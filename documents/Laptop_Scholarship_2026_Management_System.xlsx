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up" sheetId="1" state="visible" r:id="rId3"/>
    <sheet name="Summary" sheetId="2" state="visible" r:id="rId4"/>
    <sheet name="Registrations" sheetId="3" state="visible" r:id="rId5"/>
    <sheet name="Merit 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Rs 650 test processing fee (from you).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Example row — delete before use.</t>
        </r>
      </text>
    </comment>
  </commentList>
</comments>
</file>

<file path=xl/sharedStrings.xml><?xml version="1.0" encoding="utf-8"?>
<sst xmlns="http://schemas.openxmlformats.org/spreadsheetml/2006/main" count="103" uniqueCount="75">
  <si>
    <t xml:space="preserve">TalentCore Global Laptop Scholarship 2026 — Setup</t>
  </si>
  <si>
    <t xml:space="preserve">Yellow cells can be changed. Everything else updates automatically.</t>
  </si>
  <si>
    <t xml:space="preserve">Test processing fee</t>
  </si>
  <si>
    <t xml:space="preserve">Laptops per district</t>
  </si>
  <si>
    <t xml:space="preserve">Phase</t>
  </si>
  <si>
    <t xml:space="preserve">Phase 1</t>
  </si>
  <si>
    <t xml:space="preserve">District</t>
  </si>
  <si>
    <t xml:space="preserve">Code</t>
  </si>
  <si>
    <t xml:space="preserve">Dadu</t>
  </si>
  <si>
    <t xml:space="preserve">DAD</t>
  </si>
  <si>
    <t xml:space="preserve">Jamshoro</t>
  </si>
  <si>
    <t xml:space="preserve">JAM</t>
  </si>
  <si>
    <t xml:space="preserve">Hyderabad</t>
  </si>
  <si>
    <t xml:space="preserve">HYD</t>
  </si>
  <si>
    <t xml:space="preserve">Category</t>
  </si>
  <si>
    <t xml:space="preserve">Classes</t>
  </si>
  <si>
    <t xml:space="preserve">Total Marks</t>
  </si>
  <si>
    <t xml:space="preserve">Time (min)</t>
  </si>
  <si>
    <t xml:space="preserve">A</t>
  </si>
  <si>
    <t xml:space="preserve">4–5</t>
  </si>
  <si>
    <t xml:space="preserve">B</t>
  </si>
  <si>
    <t xml:space="preserve">6–8</t>
  </si>
  <si>
    <t xml:space="preserve">C</t>
  </si>
  <si>
    <t xml:space="preserve">9–10</t>
  </si>
  <si>
    <t xml:space="preserve">D</t>
  </si>
  <si>
    <t xml:space="preserve">11–12</t>
  </si>
  <si>
    <t xml:space="preserve">How it works</t>
  </si>
  <si>
    <t xml:space="preserve">1. Registrations: type each student's details (yellow cells). Roll Number and Category appear by themselves.</t>
  </si>
  <si>
    <t xml:space="preserve">2. When the fee is received, set Fee Status to Paid and write the transaction ID.</t>
  </si>
  <si>
    <t xml:space="preserve">3. After the test, type Marks Obtained. Percentage and District Rank are calculated automatically.</t>
  </si>
  <si>
    <t xml:space="preserve">4. Only students with Fee Status = Paid and marks entered are ranked.</t>
  </si>
  <si>
    <t xml:space="preserve">5. Merit List shows the Top 5 of each district. Ties: the younger student (later date of birth) ranks higher.</t>
  </si>
  <si>
    <t xml:space="preserve">6. Summary shows registrations, paid students and fee collected by district and category.</t>
  </si>
  <si>
    <t xml:space="preserve">📊 Summary — Registrations &amp; Fee</t>
  </si>
  <si>
    <t xml:space="preserve">Cat A</t>
  </si>
  <si>
    <t xml:space="preserve">Cat B</t>
  </si>
  <si>
    <t xml:space="preserve">Cat C</t>
  </si>
  <si>
    <t xml:space="preserve">Cat D</t>
  </si>
  <si>
    <t xml:space="preserve">Total Registered</t>
  </si>
  <si>
    <t xml:space="preserve">Fee Paid</t>
  </si>
  <si>
    <t xml:space="preserve">Fee Collected</t>
  </si>
  <si>
    <t xml:space="preserve">TOTAL</t>
  </si>
  <si>
    <t xml:space="preserve">Laptops to award</t>
  </si>
  <si>
    <t xml:space="preserve">Unpaid registrations</t>
  </si>
  <si>
    <t xml:space="preserve">Registrations &amp; Results</t>
  </si>
  <si>
    <t xml:space="preserve">Yellow cells: type the details. Roll No, Category, Total Marks, Percentage, Rank and Laptop fill in automatically.</t>
  </si>
  <si>
    <t xml:space="preserve">S.No</t>
  </si>
  <si>
    <t xml:space="preserve">Roll No</t>
  </si>
  <si>
    <t xml:space="preserve">Student Name</t>
  </si>
  <si>
    <t xml:space="preserve">Father Name</t>
  </si>
  <si>
    <t xml:space="preserve">Gender</t>
  </si>
  <si>
    <t xml:space="preserve">Class</t>
  </si>
  <si>
    <t xml:space="preserve">Date of Birth</t>
  </si>
  <si>
    <t xml:space="preserve">School / College</t>
  </si>
  <si>
    <t xml:space="preserve">B-Form / CNIC</t>
  </si>
  <si>
    <t xml:space="preserve">WhatsApp</t>
  </si>
  <si>
    <t xml:space="preserve">Fee Status</t>
  </si>
  <si>
    <t xml:space="preserve">Transaction ID</t>
  </si>
  <si>
    <t xml:space="preserve">Marks Obtained</t>
  </si>
  <si>
    <t xml:space="preserve">Percentage</t>
  </si>
  <si>
    <t xml:space="preserve">Score</t>
  </si>
  <si>
    <t xml:space="preserve">District Rank</t>
  </si>
  <si>
    <t xml:space="preserve">Laptop</t>
  </si>
  <si>
    <t xml:space="preserve">Key</t>
  </si>
  <si>
    <t xml:space="preserve">Ali Raza (example)</t>
  </si>
  <si>
    <t xml:space="preserve">Raza Khan</t>
  </si>
  <si>
    <t xml:space="preserve">Male</t>
  </si>
  <si>
    <t xml:space="preserve">Govt High School Jamshoro</t>
  </si>
  <si>
    <t xml:space="preserve">41306-1234567-1</t>
  </si>
  <si>
    <t xml:space="preserve">0300-1234567</t>
  </si>
  <si>
    <t xml:space="preserve">Paid</t>
  </si>
  <si>
    <t xml:space="preserve">EP-123456</t>
  </si>
  <si>
    <t xml:space="preserve">🏆 Merit List — Top 5 per District (Laptop Winners)</t>
  </si>
  <si>
    <t xml:space="preserve">Fills in automatically from the Registrations sheet. Only Paid students with marks are ranked.</t>
  </si>
  <si>
    <t xml:space="preserve">Rank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</si>
</sst>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s &quot;#,##0"/>
    <numFmt numFmtId="166" formatCode="0"/>
    <numFmt numFmtId="167" formatCode="General"/>
    <numFmt numFmtId="168" formatCode="dd\-mmm\-yyyy"/>
    <numFmt numFmtId="169" formatCode="0.00%"/>
    <numFmt numFmtId="170" formatCode="0.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B2545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2CC"/>
      </patternFill>
    </fill>
    <fill>
      <patternFill patternType="solid">
        <fgColor rgb="FF1F77B4"/>
        <bgColor rgb="FF008080"/>
      </patternFill>
    </fill>
    <fill>
      <patternFill patternType="solid">
        <fgColor rgb="FF2CA02C"/>
        <bgColor rgb="FF008080"/>
      </patternFill>
    </fill>
    <fill>
      <patternFill patternType="solid">
        <fgColor rgb="FFE8730C"/>
        <bgColor rgb="FFC77700"/>
      </patternFill>
    </fill>
    <fill>
      <patternFill patternType="solid">
        <fgColor rgb="FFD62728"/>
        <bgColor rgb="FFC00000"/>
      </patternFill>
    </fill>
    <fill>
      <patternFill patternType="solid">
        <fgColor rgb="FFFFFFFF"/>
        <bgColor rgb="FFF1F6FB"/>
      </patternFill>
    </fill>
    <fill>
      <patternFill patternType="solid">
        <fgColor rgb="FFC77700"/>
        <bgColor rgb="FFE8730C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699"/>
        </patternFill>
      </fill>
    </dxf>
    <dxf>
      <font>
        <b val="1"/>
        <color rgb="FFFFFFFF"/>
      </font>
      <fill>
        <patternFill>
          <bgColor rgb="FF1F77B4"/>
        </patternFill>
      </fill>
    </dxf>
    <dxf>
      <font>
        <b val="1"/>
        <color rgb="FFFFFFFF"/>
      </font>
      <fill>
        <patternFill>
          <bgColor rgb="FF2CA02C"/>
        </patternFill>
      </fill>
    </dxf>
    <dxf>
      <font>
        <b val="1"/>
        <color rgb="FFFFFFFF"/>
      </font>
      <fill>
        <patternFill>
          <bgColor rgb="FFE8730C"/>
        </patternFill>
      </fill>
    </dxf>
    <dxf>
      <font>
        <b val="1"/>
        <color rgb="FFFFFFFF"/>
      </font>
      <fill>
        <patternFill>
          <bgColor rgb="FFD6272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C77700"/>
      <rgbColor rgb="FF800080"/>
      <rgbColor rgb="FF008080"/>
      <rgbColor rgb="FFBFBFBF"/>
      <rgbColor rgb="FF808080"/>
      <rgbColor rgb="FF9999FF"/>
      <rgbColor rgb="FF993366"/>
      <rgbColor rgb="FFFFF8E1"/>
      <rgbColor rgb="FFF1F6FB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2CC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8730C"/>
      <rgbColor rgb="FF666666"/>
      <rgbColor rgb="FF969696"/>
      <rgbColor rgb="FF0B2545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650</v>
      </c>
    </row>
    <row r="5" customFormat="false" ht="15" hidden="false" customHeight="false" outlineLevel="0" collapsed="false">
      <c r="A5" s="3" t="s">
        <v>3</v>
      </c>
      <c r="B5" s="5" t="n">
        <v>5</v>
      </c>
    </row>
    <row r="6" customFormat="false" ht="15" hidden="false" customHeight="false" outlineLevel="0" collapsed="false">
      <c r="A6" s="3" t="s">
        <v>4</v>
      </c>
      <c r="B6" s="6" t="s">
        <v>5</v>
      </c>
    </row>
    <row r="8" customFormat="false" ht="15" hidden="false" customHeight="false" outlineLevel="0" collapsed="false">
      <c r="A8" s="7" t="s">
        <v>6</v>
      </c>
      <c r="B8" s="7" t="s">
        <v>7</v>
      </c>
    </row>
    <row r="9" customFormat="false" ht="15" hidden="false" customHeight="false" outlineLevel="0" collapsed="false">
      <c r="A9" s="8" t="s">
        <v>8</v>
      </c>
      <c r="B9" s="6" t="s">
        <v>9</v>
      </c>
    </row>
    <row r="10" customFormat="false" ht="15" hidden="false" customHeight="false" outlineLevel="0" collapsed="false">
      <c r="A10" s="8" t="s">
        <v>10</v>
      </c>
      <c r="B10" s="6" t="s">
        <v>11</v>
      </c>
    </row>
    <row r="11" customFormat="false" ht="15" hidden="false" customHeight="false" outlineLevel="0" collapsed="false">
      <c r="A11" s="8" t="s">
        <v>12</v>
      </c>
      <c r="B11" s="6" t="s">
        <v>13</v>
      </c>
    </row>
    <row r="13" customFormat="false" ht="15" hidden="false" customHeight="false" outlineLevel="0" collapsed="false">
      <c r="A13" s="7" t="s">
        <v>14</v>
      </c>
      <c r="B13" s="7" t="s">
        <v>15</v>
      </c>
      <c r="C13" s="7" t="s">
        <v>16</v>
      </c>
      <c r="D13" s="7" t="s">
        <v>17</v>
      </c>
    </row>
    <row r="14" customFormat="false" ht="15" hidden="false" customHeight="false" outlineLevel="0" collapsed="false">
      <c r="A14" s="9" t="s">
        <v>18</v>
      </c>
      <c r="B14" s="10" t="s">
        <v>19</v>
      </c>
      <c r="C14" s="6" t="n">
        <v>50</v>
      </c>
      <c r="D14" s="6" t="n">
        <v>60</v>
      </c>
    </row>
    <row r="15" customFormat="false" ht="15" hidden="false" customHeight="false" outlineLevel="0" collapsed="false">
      <c r="A15" s="11" t="s">
        <v>20</v>
      </c>
      <c r="B15" s="10" t="s">
        <v>21</v>
      </c>
      <c r="C15" s="6" t="n">
        <v>60</v>
      </c>
      <c r="D15" s="6" t="n">
        <v>75</v>
      </c>
    </row>
    <row r="16" customFormat="false" ht="15" hidden="false" customHeight="false" outlineLevel="0" collapsed="false">
      <c r="A16" s="12" t="s">
        <v>22</v>
      </c>
      <c r="B16" s="10" t="s">
        <v>23</v>
      </c>
      <c r="C16" s="6" t="n">
        <v>75</v>
      </c>
      <c r="D16" s="6" t="n">
        <v>90</v>
      </c>
    </row>
    <row r="17" customFormat="false" ht="15" hidden="false" customHeight="false" outlineLevel="0" collapsed="false">
      <c r="A17" s="13" t="s">
        <v>24</v>
      </c>
      <c r="B17" s="10" t="s">
        <v>25</v>
      </c>
      <c r="C17" s="6" t="n">
        <v>100</v>
      </c>
      <c r="D17" s="6" t="n">
        <v>120</v>
      </c>
    </row>
    <row r="19" customFormat="false" ht="15" hidden="false" customHeight="false" outlineLevel="0" collapsed="false">
      <c r="A19" s="14" t="s">
        <v>26</v>
      </c>
    </row>
    <row r="20" customFormat="false" ht="15" hidden="false" customHeight="false" outlineLevel="0" collapsed="false">
      <c r="A20" s="15" t="s">
        <v>27</v>
      </c>
    </row>
    <row r="21" customFormat="false" ht="15" hidden="false" customHeight="false" outlineLevel="0" collapsed="false">
      <c r="A21" s="15" t="s">
        <v>28</v>
      </c>
    </row>
    <row r="22" customFormat="false" ht="15" hidden="false" customHeight="false" outlineLevel="0" collapsed="false">
      <c r="A22" s="15" t="s">
        <v>29</v>
      </c>
    </row>
    <row r="23" customFormat="false" ht="15" hidden="false" customHeight="false" outlineLevel="0" collapsed="false">
      <c r="A23" s="15" t="s">
        <v>30</v>
      </c>
    </row>
    <row r="24" customFormat="false" ht="15" hidden="false" customHeight="false" outlineLevel="0" collapsed="false">
      <c r="A24" s="15" t="s">
        <v>31</v>
      </c>
    </row>
    <row r="25" customFormat="false" ht="15" hidden="false" customHeight="false" outlineLevel="0" collapsed="false">
      <c r="A25" s="15" t="s">
        <v>32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A02C"/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4" customFormat="false" ht="26.85" hidden="false" customHeight="false" outlineLevel="0" collapsed="false">
      <c r="A4" s="16" t="s">
        <v>6</v>
      </c>
      <c r="B4" s="16" t="s">
        <v>34</v>
      </c>
      <c r="C4" s="16" t="s">
        <v>35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</row>
    <row r="5" customFormat="false" ht="15" hidden="false" customHeight="false" outlineLevel="0" collapsed="false">
      <c r="A5" s="17" t="str">
        <f aca="false">Setup!$A$9</f>
        <v>Dadu</v>
      </c>
      <c r="B5" s="10" t="n">
        <f aca="false">COUNTIFS(Registrations!$I$5:$I$4004,Setup!$A$9,Registrations!$G$5:$G$4004,"A")</f>
        <v>0</v>
      </c>
      <c r="C5" s="10" t="n">
        <f aca="false">COUNTIFS(Registrations!$I$5:$I$4004,Setup!$A$9,Registrations!$G$5:$G$4004,"B")</f>
        <v>0</v>
      </c>
      <c r="D5" s="10" t="n">
        <f aca="false">COUNTIFS(Registrations!$I$5:$I$4004,Setup!$A$9,Registrations!$G$5:$G$4004,"C")</f>
        <v>0</v>
      </c>
      <c r="E5" s="10" t="n">
        <f aca="false">COUNTIFS(Registrations!$I$5:$I$4004,Setup!$A$9,Registrations!$G$5:$G$4004,"D")</f>
        <v>0</v>
      </c>
      <c r="F5" s="18" t="n">
        <f aca="false">COUNTIFS(Registrations!$I$5:$I$4004,Setup!$A$9,Registrations!$C$5:$C$4004,"&lt;&gt;")</f>
        <v>0</v>
      </c>
      <c r="G5" s="10" t="n">
        <f aca="false">COUNTIFS(Registrations!$I$5:$I$4004,Setup!$A$9,Registrations!$M$5:$M$4004,"Paid")</f>
        <v>0</v>
      </c>
      <c r="H5" s="19" t="n">
        <f aca="false">G5*Setup!$B$4</f>
        <v>0</v>
      </c>
    </row>
    <row r="6" customFormat="false" ht="15" hidden="false" customHeight="false" outlineLevel="0" collapsed="false">
      <c r="A6" s="17" t="str">
        <f aca="false">Setup!$A$10</f>
        <v>Jamshoro</v>
      </c>
      <c r="B6" s="10" t="n">
        <f aca="false">COUNTIFS(Registrations!$I$5:$I$4004,Setup!$A$10,Registrations!$G$5:$G$4004,"A")</f>
        <v>0</v>
      </c>
      <c r="C6" s="10" t="n">
        <f aca="false">COUNTIFS(Registrations!$I$5:$I$4004,Setup!$A$10,Registrations!$G$5:$G$4004,"B")</f>
        <v>0</v>
      </c>
      <c r="D6" s="10" t="n">
        <f aca="false">COUNTIFS(Registrations!$I$5:$I$4004,Setup!$A$10,Registrations!$G$5:$G$4004,"C")</f>
        <v>1</v>
      </c>
      <c r="E6" s="10" t="n">
        <f aca="false">COUNTIFS(Registrations!$I$5:$I$4004,Setup!$A$10,Registrations!$G$5:$G$4004,"D")</f>
        <v>0</v>
      </c>
      <c r="F6" s="18" t="n">
        <f aca="false">COUNTIFS(Registrations!$I$5:$I$4004,Setup!$A$10,Registrations!$C$5:$C$4004,"&lt;&gt;")</f>
        <v>1</v>
      </c>
      <c r="G6" s="10" t="n">
        <f aca="false">COUNTIFS(Registrations!$I$5:$I$4004,Setup!$A$10,Registrations!$M$5:$M$4004,"Paid")</f>
        <v>1</v>
      </c>
      <c r="H6" s="19" t="n">
        <f aca="false">G6*Setup!$B$4</f>
        <v>650</v>
      </c>
    </row>
    <row r="7" customFormat="false" ht="15" hidden="false" customHeight="false" outlineLevel="0" collapsed="false">
      <c r="A7" s="17" t="str">
        <f aca="false">Setup!$A$11</f>
        <v>Hyderabad</v>
      </c>
      <c r="B7" s="10" t="n">
        <f aca="false">COUNTIFS(Registrations!$I$5:$I$4004,Setup!$A$11,Registrations!$G$5:$G$4004,"A")</f>
        <v>0</v>
      </c>
      <c r="C7" s="10" t="n">
        <f aca="false">COUNTIFS(Registrations!$I$5:$I$4004,Setup!$A$11,Registrations!$G$5:$G$4004,"B")</f>
        <v>0</v>
      </c>
      <c r="D7" s="10" t="n">
        <f aca="false">COUNTIFS(Registrations!$I$5:$I$4004,Setup!$A$11,Registrations!$G$5:$G$4004,"C")</f>
        <v>0</v>
      </c>
      <c r="E7" s="10" t="n">
        <f aca="false">COUNTIFS(Registrations!$I$5:$I$4004,Setup!$A$11,Registrations!$G$5:$G$4004,"D")</f>
        <v>0</v>
      </c>
      <c r="F7" s="18" t="n">
        <f aca="false">COUNTIFS(Registrations!$I$5:$I$4004,Setup!$A$11,Registrations!$C$5:$C$4004,"&lt;&gt;")</f>
        <v>0</v>
      </c>
      <c r="G7" s="10" t="n">
        <f aca="false">COUNTIFS(Registrations!$I$5:$I$4004,Setup!$A$11,Registrations!$M$5:$M$4004,"Paid")</f>
        <v>0</v>
      </c>
      <c r="H7" s="19" t="n">
        <f aca="false">G7*Setup!$B$4</f>
        <v>0</v>
      </c>
    </row>
    <row r="8" customFormat="false" ht="15" hidden="false" customHeight="false" outlineLevel="0" collapsed="false">
      <c r="A8" s="20" t="s">
        <v>41</v>
      </c>
      <c r="B8" s="7" t="n">
        <f aca="false">SUM(B5:B7)</f>
        <v>0</v>
      </c>
      <c r="C8" s="7" t="n">
        <f aca="false">SUM(C5:C7)</f>
        <v>0</v>
      </c>
      <c r="D8" s="7" t="n">
        <f aca="false">SUM(D5:D7)</f>
        <v>1</v>
      </c>
      <c r="E8" s="7" t="n">
        <f aca="false">SUM(E5:E7)</f>
        <v>0</v>
      </c>
      <c r="F8" s="7" t="n">
        <f aca="false">SUM(F5:F7)</f>
        <v>1</v>
      </c>
      <c r="G8" s="7" t="n">
        <f aca="false">SUM(G5:G7)</f>
        <v>1</v>
      </c>
      <c r="H8" s="21" t="n">
        <f aca="false">SUM(H5:H7)</f>
        <v>650</v>
      </c>
    </row>
    <row r="10" customFormat="false" ht="15" hidden="false" customHeight="false" outlineLevel="0" collapsed="false">
      <c r="A10" s="3" t="s">
        <v>42</v>
      </c>
      <c r="B10" s="18" t="n">
        <f aca="false">Setup!B5*COUNTA(Setup!A9:A11)</f>
        <v>15</v>
      </c>
    </row>
    <row r="11" customFormat="false" ht="15" hidden="false" customHeight="false" outlineLevel="0" collapsed="false">
      <c r="A11" s="3" t="s">
        <v>43</v>
      </c>
      <c r="B11" s="22" t="n">
        <f aca="false">COUNTIFS(Registrations!$C$5:$C$4004,"&lt;&gt;",Registrations!$M$5:$M$4004,"&lt;&gt;Paid")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U4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tru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3"/>
    <col collapsed="false" customWidth="true" hidden="true" outlineLevel="0" max="21" min="21" style="0" width="14"/>
  </cols>
  <sheetData>
    <row r="1" customFormat="false" ht="31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1.5" hidden="false" customHeight="true" outlineLevel="0" collapsed="false">
      <c r="A4" s="23" t="s">
        <v>46</v>
      </c>
      <c r="B4" s="23" t="s">
        <v>47</v>
      </c>
      <c r="C4" s="23" t="s">
        <v>48</v>
      </c>
      <c r="D4" s="23" t="s">
        <v>49</v>
      </c>
      <c r="E4" s="23" t="s">
        <v>50</v>
      </c>
      <c r="F4" s="23" t="s">
        <v>51</v>
      </c>
      <c r="G4" s="23" t="s">
        <v>14</v>
      </c>
      <c r="H4" s="23" t="s">
        <v>52</v>
      </c>
      <c r="I4" s="23" t="s">
        <v>6</v>
      </c>
      <c r="J4" s="23" t="s">
        <v>53</v>
      </c>
      <c r="K4" s="23" t="s">
        <v>54</v>
      </c>
      <c r="L4" s="23" t="s">
        <v>55</v>
      </c>
      <c r="M4" s="23" t="s">
        <v>56</v>
      </c>
      <c r="N4" s="23" t="s">
        <v>57</v>
      </c>
      <c r="O4" s="23" t="s">
        <v>16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</row>
    <row r="5" customFormat="false" ht="15" hidden="false" customHeight="false" outlineLevel="0" collapsed="false">
      <c r="A5" s="24" t="n">
        <v>1</v>
      </c>
      <c r="B5" s="25" t="str">
        <f aca="false">IF(OR(C5="",I5="",G5=""),"",IFERROR(VLOOKUP(I5,Setup!$A$9:$B$11,2,0),"???")&amp;"-"&amp;G5&amp;"-"&amp;TEXT(COUNTIFS(I$5:I5,I5,G$5:G5,G5),"0000"))</f>
        <v>JAM-C-0001</v>
      </c>
      <c r="C5" s="26" t="s">
        <v>64</v>
      </c>
      <c r="D5" s="26" t="s">
        <v>65</v>
      </c>
      <c r="E5" s="27" t="s">
        <v>66</v>
      </c>
      <c r="F5" s="27" t="n">
        <v>9</v>
      </c>
      <c r="G5" s="24" t="str">
        <f aca="false">IF(F5="","",IF(F5&lt;=5,"A",IF(F5&lt;=8,"B",IF(F5&lt;=10,"C","D"))))</f>
        <v>C</v>
      </c>
      <c r="H5" s="28" t="n">
        <v>40664</v>
      </c>
      <c r="I5" s="27" t="s">
        <v>10</v>
      </c>
      <c r="J5" s="26" t="s">
        <v>67</v>
      </c>
      <c r="K5" s="27" t="s">
        <v>68</v>
      </c>
      <c r="L5" s="27" t="s">
        <v>69</v>
      </c>
      <c r="M5" s="27" t="s">
        <v>70</v>
      </c>
      <c r="N5" s="27" t="s">
        <v>71</v>
      </c>
      <c r="O5" s="24" t="n">
        <f aca="false">IF(G5="","",VLOOKUP(G5,Setup!$A$14:$C$17,3,0))</f>
        <v>75</v>
      </c>
      <c r="P5" s="27" t="n">
        <v>68</v>
      </c>
      <c r="Q5" s="29" t="n">
        <f aca="false">IF(OR(P5="",M5&lt;&gt;"Paid",O5=""),"",P5/O5)</f>
        <v>0.906666666666667</v>
      </c>
      <c r="R5" s="30" t="n">
        <f aca="false">IF(Q5="","",Q5+N(H5)*0.000000001)</f>
        <v>0.906707330666667</v>
      </c>
      <c r="S5" s="25" t="n">
        <f aca="false">IF(R5="","",SUMPRODUCT((I$5:I$4004=I5)*ISNUMBER(R$5:R$4004)*(R$5:R$4004&gt;R5))+1)</f>
        <v>1</v>
      </c>
      <c r="T5" s="25" t="str">
        <f aca="false">IF(S5="","",IF(S5&lt;=Setup!$B$5,"🏆 WINNER",""))</f>
        <v>🏆 WINNER</v>
      </c>
      <c r="U5" s="24" t="str">
        <f aca="false">IF(S5="","",I5&amp;"|"&amp;S5)</f>
        <v>Jamshoro|1</v>
      </c>
    </row>
    <row r="6" customFormat="false" ht="15" hidden="false" customHeight="false" outlineLevel="0" collapsed="false">
      <c r="A6" s="31" t="n">
        <v>2</v>
      </c>
      <c r="B6" s="32" t="str">
        <f aca="false">IF(OR(C6="",I6="",G6=""),"",IFERROR(VLOOKUP(I6,Setup!$A$9:$B$11,2,0),"???")&amp;"-"&amp;G6&amp;"-"&amp;TEXT(COUNTIFS(I$5:I6,I6,G$5:G6,G6),"0000"))</f>
        <v/>
      </c>
      <c r="C6" s="26"/>
      <c r="D6" s="26"/>
      <c r="E6" s="27"/>
      <c r="F6" s="27"/>
      <c r="G6" s="31" t="str">
        <f aca="false">IF(F6="","",IF(F6&lt;=5,"A",IF(F6&lt;=8,"B",IF(F6&lt;=10,"C","D"))))</f>
        <v/>
      </c>
      <c r="H6" s="28"/>
      <c r="I6" s="27"/>
      <c r="J6" s="26"/>
      <c r="K6" s="27"/>
      <c r="L6" s="27"/>
      <c r="M6" s="27"/>
      <c r="N6" s="27"/>
      <c r="O6" s="31" t="str">
        <f aca="false">IF(G6="","",VLOOKUP(G6,Setup!$A$14:$C$17,3,0))</f>
        <v/>
      </c>
      <c r="P6" s="27"/>
      <c r="Q6" s="33" t="str">
        <f aca="false">IF(OR(P6="",M6&lt;&gt;"Paid",O6=""),"",P6/O6)</f>
        <v/>
      </c>
      <c r="R6" s="34" t="str">
        <f aca="false">IF(Q6="","",Q6+N(H6)*0.000000001)</f>
        <v/>
      </c>
      <c r="S6" s="32" t="str">
        <f aca="false">IF(R6="","",SUMPRODUCT((I$5:I$4004=I6)*ISNUMBER(R$5:R$4004)*(R$5:R$4004&gt;R6))+1)</f>
        <v/>
      </c>
      <c r="T6" s="32" t="str">
        <f aca="false">IF(S6="","",IF(S6&lt;=Setup!$B$5,"🏆 WINNER",""))</f>
        <v/>
      </c>
      <c r="U6" s="31" t="str">
        <f aca="false">IF(S6="","",I6&amp;"|"&amp;S6)</f>
        <v/>
      </c>
    </row>
    <row r="7" customFormat="false" ht="15" hidden="false" customHeight="false" outlineLevel="0" collapsed="false">
      <c r="A7" s="24" t="n">
        <v>3</v>
      </c>
      <c r="B7" s="25" t="str">
        <f aca="false">IF(OR(C7="",I7="",G7=""),"",IFERROR(VLOOKUP(I7,Setup!$A$9:$B$11,2,0),"???")&amp;"-"&amp;G7&amp;"-"&amp;TEXT(COUNTIFS(I$5:I7,I7,G$5:G7,G7),"0000"))</f>
        <v/>
      </c>
      <c r="C7" s="26"/>
      <c r="D7" s="26"/>
      <c r="E7" s="27"/>
      <c r="F7" s="27"/>
      <c r="G7" s="24" t="str">
        <f aca="false">IF(F7="","",IF(F7&lt;=5,"A",IF(F7&lt;=8,"B",IF(F7&lt;=10,"C","D"))))</f>
        <v/>
      </c>
      <c r="H7" s="28"/>
      <c r="I7" s="27"/>
      <c r="J7" s="26"/>
      <c r="K7" s="27"/>
      <c r="L7" s="27"/>
      <c r="M7" s="27"/>
      <c r="N7" s="27"/>
      <c r="O7" s="24" t="str">
        <f aca="false">IF(G7="","",VLOOKUP(G7,Setup!$A$14:$C$17,3,0))</f>
        <v/>
      </c>
      <c r="P7" s="27"/>
      <c r="Q7" s="29" t="str">
        <f aca="false">IF(OR(P7="",M7&lt;&gt;"Paid",O7=""),"",P7/O7)</f>
        <v/>
      </c>
      <c r="R7" s="30" t="str">
        <f aca="false">IF(Q7="","",Q7+N(H7)*0.000000001)</f>
        <v/>
      </c>
      <c r="S7" s="25" t="str">
        <f aca="false">IF(R7="","",SUMPRODUCT((I$5:I$4004=I7)*ISNUMBER(R$5:R$4004)*(R$5:R$4004&gt;R7))+1)</f>
        <v/>
      </c>
      <c r="T7" s="25" t="str">
        <f aca="false">IF(S7="","",IF(S7&lt;=Setup!$B$5,"🏆 WINNER",""))</f>
        <v/>
      </c>
      <c r="U7" s="24" t="str">
        <f aca="false">IF(S7="","",I7&amp;"|"&amp;S7)</f>
        <v/>
      </c>
    </row>
    <row r="8" customFormat="false" ht="15" hidden="false" customHeight="false" outlineLevel="0" collapsed="false">
      <c r="A8" s="31" t="n">
        <v>4</v>
      </c>
      <c r="B8" s="32" t="str">
        <f aca="false">IF(OR(C8="",I8="",G8=""),"",IFERROR(VLOOKUP(I8,Setup!$A$9:$B$11,2,0),"???")&amp;"-"&amp;G8&amp;"-"&amp;TEXT(COUNTIFS(I$5:I8,I8,G$5:G8,G8),"0000"))</f>
        <v/>
      </c>
      <c r="C8" s="26"/>
      <c r="D8" s="26"/>
      <c r="E8" s="27"/>
      <c r="F8" s="27"/>
      <c r="G8" s="31" t="str">
        <f aca="false">IF(F8="","",IF(F8&lt;=5,"A",IF(F8&lt;=8,"B",IF(F8&lt;=10,"C","D"))))</f>
        <v/>
      </c>
      <c r="H8" s="28"/>
      <c r="I8" s="27"/>
      <c r="J8" s="26"/>
      <c r="K8" s="27"/>
      <c r="L8" s="27"/>
      <c r="M8" s="27"/>
      <c r="N8" s="27"/>
      <c r="O8" s="31" t="str">
        <f aca="false">IF(G8="","",VLOOKUP(G8,Setup!$A$14:$C$17,3,0))</f>
        <v/>
      </c>
      <c r="P8" s="27"/>
      <c r="Q8" s="33" t="str">
        <f aca="false">IF(OR(P8="",M8&lt;&gt;"Paid",O8=""),"",P8/O8)</f>
        <v/>
      </c>
      <c r="R8" s="34" t="str">
        <f aca="false">IF(Q8="","",Q8+N(H8)*0.000000001)</f>
        <v/>
      </c>
      <c r="S8" s="32" t="str">
        <f aca="false">IF(R8="","",SUMPRODUCT((I$5:I$4004=I8)*ISNUMBER(R$5:R$4004)*(R$5:R$4004&gt;R8))+1)</f>
        <v/>
      </c>
      <c r="T8" s="32" t="str">
        <f aca="false">IF(S8="","",IF(S8&lt;=Setup!$B$5,"🏆 WINNER",""))</f>
        <v/>
      </c>
      <c r="U8" s="31" t="str">
        <f aca="false">IF(S8="","",I8&amp;"|"&amp;S8)</f>
        <v/>
      </c>
    </row>
    <row r="9" customFormat="false" ht="15" hidden="false" customHeight="false" outlineLevel="0" collapsed="false">
      <c r="A9" s="24" t="n">
        <v>5</v>
      </c>
      <c r="B9" s="25" t="str">
        <f aca="false">IF(OR(C9="",I9="",G9=""),"",IFERROR(VLOOKUP(I9,Setup!$A$9:$B$11,2,0),"???")&amp;"-"&amp;G9&amp;"-"&amp;TEXT(COUNTIFS(I$5:I9,I9,G$5:G9,G9),"0000"))</f>
        <v/>
      </c>
      <c r="C9" s="26"/>
      <c r="D9" s="26"/>
      <c r="E9" s="27"/>
      <c r="F9" s="27"/>
      <c r="G9" s="24" t="str">
        <f aca="false">IF(F9="","",IF(F9&lt;=5,"A",IF(F9&lt;=8,"B",IF(F9&lt;=10,"C","D"))))</f>
        <v/>
      </c>
      <c r="H9" s="28"/>
      <c r="I9" s="27"/>
      <c r="J9" s="26"/>
      <c r="K9" s="27"/>
      <c r="L9" s="27"/>
      <c r="M9" s="27"/>
      <c r="N9" s="27"/>
      <c r="O9" s="24" t="str">
        <f aca="false">IF(G9="","",VLOOKUP(G9,Setup!$A$14:$C$17,3,0))</f>
        <v/>
      </c>
      <c r="P9" s="27"/>
      <c r="Q9" s="29" t="str">
        <f aca="false">IF(OR(P9="",M9&lt;&gt;"Paid",O9=""),"",P9/O9)</f>
        <v/>
      </c>
      <c r="R9" s="30" t="str">
        <f aca="false">IF(Q9="","",Q9+N(H9)*0.000000001)</f>
        <v/>
      </c>
      <c r="S9" s="25" t="str">
        <f aca="false">IF(R9="","",SUMPRODUCT((I$5:I$4004=I9)*ISNUMBER(R$5:R$4004)*(R$5:R$4004&gt;R9))+1)</f>
        <v/>
      </c>
      <c r="T9" s="25" t="str">
        <f aca="false">IF(S9="","",IF(S9&lt;=Setup!$B$5,"🏆 WINNER",""))</f>
        <v/>
      </c>
      <c r="U9" s="24" t="str">
        <f aca="false">IF(S9="","",I9&amp;"|"&amp;S9)</f>
        <v/>
      </c>
    </row>
    <row r="10" customFormat="false" ht="15" hidden="false" customHeight="false" outlineLevel="0" collapsed="false">
      <c r="A10" s="31" t="n">
        <v>6</v>
      </c>
      <c r="B10" s="32" t="str">
        <f aca="false">IF(OR(C10="",I10="",G10=""),"",IFERROR(VLOOKUP(I10,Setup!$A$9:$B$11,2,0),"???")&amp;"-"&amp;G10&amp;"-"&amp;TEXT(COUNTIFS(I$5:I10,I10,G$5:G10,G10),"0000"))</f>
        <v/>
      </c>
      <c r="C10" s="26"/>
      <c r="D10" s="26"/>
      <c r="E10" s="27"/>
      <c r="F10" s="27"/>
      <c r="G10" s="31" t="str">
        <f aca="false">IF(F10="","",IF(F10&lt;=5,"A",IF(F10&lt;=8,"B",IF(F10&lt;=10,"C","D"))))</f>
        <v/>
      </c>
      <c r="H10" s="28"/>
      <c r="I10" s="27"/>
      <c r="J10" s="26"/>
      <c r="K10" s="27"/>
      <c r="L10" s="27"/>
      <c r="M10" s="27"/>
      <c r="N10" s="27"/>
      <c r="O10" s="31" t="str">
        <f aca="false">IF(G10="","",VLOOKUP(G10,Setup!$A$14:$C$17,3,0))</f>
        <v/>
      </c>
      <c r="P10" s="27"/>
      <c r="Q10" s="33" t="str">
        <f aca="false">IF(OR(P10="",M10&lt;&gt;"Paid",O10=""),"",P10/O10)</f>
        <v/>
      </c>
      <c r="R10" s="34" t="str">
        <f aca="false">IF(Q10="","",Q10+N(H10)*0.000000001)</f>
        <v/>
      </c>
      <c r="S10" s="32" t="str">
        <f aca="false">IF(R10="","",SUMPRODUCT((I$5:I$4004=I10)*ISNUMBER(R$5:R$4004)*(R$5:R$4004&gt;R10))+1)</f>
        <v/>
      </c>
      <c r="T10" s="32" t="str">
        <f aca="false">IF(S10="","",IF(S10&lt;=Setup!$B$5,"🏆 WINNER",""))</f>
        <v/>
      </c>
      <c r="U10" s="31" t="str">
        <f aca="false">IF(S10="","",I10&amp;"|"&amp;S10)</f>
        <v/>
      </c>
    </row>
    <row r="11" customFormat="false" ht="15" hidden="false" customHeight="false" outlineLevel="0" collapsed="false">
      <c r="A11" s="24" t="n">
        <v>7</v>
      </c>
      <c r="B11" s="25" t="str">
        <f aca="false">IF(OR(C11="",I11="",G11=""),"",IFERROR(VLOOKUP(I11,Setup!$A$9:$B$11,2,0),"???")&amp;"-"&amp;G11&amp;"-"&amp;TEXT(COUNTIFS(I$5:I11,I11,G$5:G11,G11),"0000"))</f>
        <v/>
      </c>
      <c r="C11" s="26"/>
      <c r="D11" s="26"/>
      <c r="E11" s="27"/>
      <c r="F11" s="27"/>
      <c r="G11" s="24" t="str">
        <f aca="false">IF(F11="","",IF(F11&lt;=5,"A",IF(F11&lt;=8,"B",IF(F11&lt;=10,"C","D"))))</f>
        <v/>
      </c>
      <c r="H11" s="28"/>
      <c r="I11" s="27"/>
      <c r="J11" s="26"/>
      <c r="K11" s="27"/>
      <c r="L11" s="27"/>
      <c r="M11" s="27"/>
      <c r="N11" s="27"/>
      <c r="O11" s="24" t="str">
        <f aca="false">IF(G11="","",VLOOKUP(G11,Setup!$A$14:$C$17,3,0))</f>
        <v/>
      </c>
      <c r="P11" s="27"/>
      <c r="Q11" s="29" t="str">
        <f aca="false">IF(OR(P11="",M11&lt;&gt;"Paid",O11=""),"",P11/O11)</f>
        <v/>
      </c>
      <c r="R11" s="30" t="str">
        <f aca="false">IF(Q11="","",Q11+N(H11)*0.000000001)</f>
        <v/>
      </c>
      <c r="S11" s="25" t="str">
        <f aca="false">IF(R11="","",SUMPRODUCT((I$5:I$4004=I11)*ISNUMBER(R$5:R$4004)*(R$5:R$4004&gt;R11))+1)</f>
        <v/>
      </c>
      <c r="T11" s="25" t="str">
        <f aca="false">IF(S11="","",IF(S11&lt;=Setup!$B$5,"🏆 WINNER",""))</f>
        <v/>
      </c>
      <c r="U11" s="24" t="str">
        <f aca="false">IF(S11="","",I11&amp;"|"&amp;S11)</f>
        <v/>
      </c>
    </row>
    <row r="12" customFormat="false" ht="15" hidden="false" customHeight="false" outlineLevel="0" collapsed="false">
      <c r="A12" s="31" t="n">
        <v>8</v>
      </c>
      <c r="B12" s="32" t="str">
        <f aca="false">IF(OR(C12="",I12="",G12=""),"",IFERROR(VLOOKUP(I12,Setup!$A$9:$B$11,2,0),"???")&amp;"-"&amp;G12&amp;"-"&amp;TEXT(COUNTIFS(I$5:I12,I12,G$5:G12,G12),"0000"))</f>
        <v/>
      </c>
      <c r="C12" s="26"/>
      <c r="D12" s="26"/>
      <c r="E12" s="27"/>
      <c r="F12" s="27"/>
      <c r="G12" s="31" t="str">
        <f aca="false">IF(F12="","",IF(F12&lt;=5,"A",IF(F12&lt;=8,"B",IF(F12&lt;=10,"C","D"))))</f>
        <v/>
      </c>
      <c r="H12" s="28"/>
      <c r="I12" s="27"/>
      <c r="J12" s="26"/>
      <c r="K12" s="27"/>
      <c r="L12" s="27"/>
      <c r="M12" s="27"/>
      <c r="N12" s="27"/>
      <c r="O12" s="31" t="str">
        <f aca="false">IF(G12="","",VLOOKUP(G12,Setup!$A$14:$C$17,3,0))</f>
        <v/>
      </c>
      <c r="P12" s="27"/>
      <c r="Q12" s="33" t="str">
        <f aca="false">IF(OR(P12="",M12&lt;&gt;"Paid",O12=""),"",P12/O12)</f>
        <v/>
      </c>
      <c r="R12" s="34" t="str">
        <f aca="false">IF(Q12="","",Q12+N(H12)*0.000000001)</f>
        <v/>
      </c>
      <c r="S12" s="32" t="str">
        <f aca="false">IF(R12="","",SUMPRODUCT((I$5:I$4004=I12)*ISNUMBER(R$5:R$4004)*(R$5:R$4004&gt;R12))+1)</f>
        <v/>
      </c>
      <c r="T12" s="32" t="str">
        <f aca="false">IF(S12="","",IF(S12&lt;=Setup!$B$5,"🏆 WINNER",""))</f>
        <v/>
      </c>
      <c r="U12" s="31" t="str">
        <f aca="false">IF(S12="","",I12&amp;"|"&amp;S12)</f>
        <v/>
      </c>
    </row>
    <row r="13" customFormat="false" ht="15" hidden="false" customHeight="false" outlineLevel="0" collapsed="false">
      <c r="A13" s="24" t="n">
        <v>9</v>
      </c>
      <c r="B13" s="25" t="str">
        <f aca="false">IF(OR(C13="",I13="",G13=""),"",IFERROR(VLOOKUP(I13,Setup!$A$9:$B$11,2,0),"???")&amp;"-"&amp;G13&amp;"-"&amp;TEXT(COUNTIFS(I$5:I13,I13,G$5:G13,G13),"0000"))</f>
        <v/>
      </c>
      <c r="C13" s="26"/>
      <c r="D13" s="26"/>
      <c r="E13" s="27"/>
      <c r="F13" s="27"/>
      <c r="G13" s="24" t="str">
        <f aca="false">IF(F13="","",IF(F13&lt;=5,"A",IF(F13&lt;=8,"B",IF(F13&lt;=10,"C","D"))))</f>
        <v/>
      </c>
      <c r="H13" s="28"/>
      <c r="I13" s="27"/>
      <c r="J13" s="26"/>
      <c r="K13" s="27"/>
      <c r="L13" s="27"/>
      <c r="M13" s="27"/>
      <c r="N13" s="27"/>
      <c r="O13" s="24" t="str">
        <f aca="false">IF(G13="","",VLOOKUP(G13,Setup!$A$14:$C$17,3,0))</f>
        <v/>
      </c>
      <c r="P13" s="27"/>
      <c r="Q13" s="29" t="str">
        <f aca="false">IF(OR(P13="",M13&lt;&gt;"Paid",O13=""),"",P13/O13)</f>
        <v/>
      </c>
      <c r="R13" s="30" t="str">
        <f aca="false">IF(Q13="","",Q13+N(H13)*0.000000001)</f>
        <v/>
      </c>
      <c r="S13" s="25" t="str">
        <f aca="false">IF(R13="","",SUMPRODUCT((I$5:I$4004=I13)*ISNUMBER(R$5:R$4004)*(R$5:R$4004&gt;R13))+1)</f>
        <v/>
      </c>
      <c r="T13" s="25" t="str">
        <f aca="false">IF(S13="","",IF(S13&lt;=Setup!$B$5,"🏆 WINNER",""))</f>
        <v/>
      </c>
      <c r="U13" s="24" t="str">
        <f aca="false">IF(S13="","",I13&amp;"|"&amp;S13)</f>
        <v/>
      </c>
    </row>
    <row r="14" customFormat="false" ht="15" hidden="false" customHeight="false" outlineLevel="0" collapsed="false">
      <c r="A14" s="31" t="n">
        <v>10</v>
      </c>
      <c r="B14" s="32" t="str">
        <f aca="false">IF(OR(C14="",I14="",G14=""),"",IFERROR(VLOOKUP(I14,Setup!$A$9:$B$11,2,0),"???")&amp;"-"&amp;G14&amp;"-"&amp;TEXT(COUNTIFS(I$5:I14,I14,G$5:G14,G14),"0000"))</f>
        <v/>
      </c>
      <c r="C14" s="26"/>
      <c r="D14" s="26"/>
      <c r="E14" s="27"/>
      <c r="F14" s="27"/>
      <c r="G14" s="31" t="str">
        <f aca="false">IF(F14="","",IF(F14&lt;=5,"A",IF(F14&lt;=8,"B",IF(F14&lt;=10,"C","D"))))</f>
        <v/>
      </c>
      <c r="H14" s="28"/>
      <c r="I14" s="27"/>
      <c r="J14" s="26"/>
      <c r="K14" s="27"/>
      <c r="L14" s="27"/>
      <c r="M14" s="27"/>
      <c r="N14" s="27"/>
      <c r="O14" s="31" t="str">
        <f aca="false">IF(G14="","",VLOOKUP(G14,Setup!$A$14:$C$17,3,0))</f>
        <v/>
      </c>
      <c r="P14" s="27"/>
      <c r="Q14" s="33" t="str">
        <f aca="false">IF(OR(P14="",M14&lt;&gt;"Paid",O14=""),"",P14/O14)</f>
        <v/>
      </c>
      <c r="R14" s="34" t="str">
        <f aca="false">IF(Q14="","",Q14+N(H14)*0.000000001)</f>
        <v/>
      </c>
      <c r="S14" s="32" t="str">
        <f aca="false">IF(R14="","",SUMPRODUCT((I$5:I$4004=I14)*ISNUMBER(R$5:R$4004)*(R$5:R$4004&gt;R14))+1)</f>
        <v/>
      </c>
      <c r="T14" s="32" t="str">
        <f aca="false">IF(S14="","",IF(S14&lt;=Setup!$B$5,"🏆 WINNER",""))</f>
        <v/>
      </c>
      <c r="U14" s="31" t="str">
        <f aca="false">IF(S14="","",I14&amp;"|"&amp;S14)</f>
        <v/>
      </c>
    </row>
    <row r="15" customFormat="false" ht="15" hidden="false" customHeight="false" outlineLevel="0" collapsed="false">
      <c r="A15" s="24" t="n">
        <v>11</v>
      </c>
      <c r="B15" s="25" t="str">
        <f aca="false">IF(OR(C15="",I15="",G15=""),"",IFERROR(VLOOKUP(I15,Setup!$A$9:$B$11,2,0),"???")&amp;"-"&amp;G15&amp;"-"&amp;TEXT(COUNTIFS(I$5:I15,I15,G$5:G15,G15),"0000"))</f>
        <v/>
      </c>
      <c r="C15" s="26"/>
      <c r="D15" s="26"/>
      <c r="E15" s="27"/>
      <c r="F15" s="27"/>
      <c r="G15" s="24" t="str">
        <f aca="false">IF(F15="","",IF(F15&lt;=5,"A",IF(F15&lt;=8,"B",IF(F15&lt;=10,"C","D"))))</f>
        <v/>
      </c>
      <c r="H15" s="28"/>
      <c r="I15" s="27"/>
      <c r="J15" s="26"/>
      <c r="K15" s="27"/>
      <c r="L15" s="27"/>
      <c r="M15" s="27"/>
      <c r="N15" s="27"/>
      <c r="O15" s="24" t="str">
        <f aca="false">IF(G15="","",VLOOKUP(G15,Setup!$A$14:$C$17,3,0))</f>
        <v/>
      </c>
      <c r="P15" s="27"/>
      <c r="Q15" s="29" t="str">
        <f aca="false">IF(OR(P15="",M15&lt;&gt;"Paid",O15=""),"",P15/O15)</f>
        <v/>
      </c>
      <c r="R15" s="30" t="str">
        <f aca="false">IF(Q15="","",Q15+N(H15)*0.000000001)</f>
        <v/>
      </c>
      <c r="S15" s="25" t="str">
        <f aca="false">IF(R15="","",SUMPRODUCT((I$5:I$4004=I15)*ISNUMBER(R$5:R$4004)*(R$5:R$4004&gt;R15))+1)</f>
        <v/>
      </c>
      <c r="T15" s="25" t="str">
        <f aca="false">IF(S15="","",IF(S15&lt;=Setup!$B$5,"🏆 WINNER",""))</f>
        <v/>
      </c>
      <c r="U15" s="24" t="str">
        <f aca="false">IF(S15="","",I15&amp;"|"&amp;S15)</f>
        <v/>
      </c>
    </row>
    <row r="16" customFormat="false" ht="15" hidden="false" customHeight="false" outlineLevel="0" collapsed="false">
      <c r="A16" s="31" t="n">
        <v>12</v>
      </c>
      <c r="B16" s="32" t="str">
        <f aca="false">IF(OR(C16="",I16="",G16=""),"",IFERROR(VLOOKUP(I16,Setup!$A$9:$B$11,2,0),"???")&amp;"-"&amp;G16&amp;"-"&amp;TEXT(COUNTIFS(I$5:I16,I16,G$5:G16,G16),"0000"))</f>
        <v/>
      </c>
      <c r="C16" s="26"/>
      <c r="D16" s="26"/>
      <c r="E16" s="27"/>
      <c r="F16" s="27"/>
      <c r="G16" s="31" t="str">
        <f aca="false">IF(F16="","",IF(F16&lt;=5,"A",IF(F16&lt;=8,"B",IF(F16&lt;=10,"C","D"))))</f>
        <v/>
      </c>
      <c r="H16" s="28"/>
      <c r="I16" s="27"/>
      <c r="J16" s="26"/>
      <c r="K16" s="27"/>
      <c r="L16" s="27"/>
      <c r="M16" s="27"/>
      <c r="N16" s="27"/>
      <c r="O16" s="31" t="str">
        <f aca="false">IF(G16="","",VLOOKUP(G16,Setup!$A$14:$C$17,3,0))</f>
        <v/>
      </c>
      <c r="P16" s="27"/>
      <c r="Q16" s="33" t="str">
        <f aca="false">IF(OR(P16="",M16&lt;&gt;"Paid",O16=""),"",P16/O16)</f>
        <v/>
      </c>
      <c r="R16" s="34" t="str">
        <f aca="false">IF(Q16="","",Q16+N(H16)*0.000000001)</f>
        <v/>
      </c>
      <c r="S16" s="32" t="str">
        <f aca="false">IF(R16="","",SUMPRODUCT((I$5:I$4004=I16)*ISNUMBER(R$5:R$4004)*(R$5:R$4004&gt;R16))+1)</f>
        <v/>
      </c>
      <c r="T16" s="32" t="str">
        <f aca="false">IF(S16="","",IF(S16&lt;=Setup!$B$5,"🏆 WINNER",""))</f>
        <v/>
      </c>
      <c r="U16" s="31" t="str">
        <f aca="false">IF(S16="","",I16&amp;"|"&amp;S16)</f>
        <v/>
      </c>
    </row>
    <row r="17" customFormat="false" ht="15" hidden="false" customHeight="false" outlineLevel="0" collapsed="false">
      <c r="A17" s="24" t="n">
        <v>13</v>
      </c>
      <c r="B17" s="25" t="str">
        <f aca="false">IF(OR(C17="",I17="",G17=""),"",IFERROR(VLOOKUP(I17,Setup!$A$9:$B$11,2,0),"???")&amp;"-"&amp;G17&amp;"-"&amp;TEXT(COUNTIFS(I$5:I17,I17,G$5:G17,G17),"0000"))</f>
        <v/>
      </c>
      <c r="C17" s="26"/>
      <c r="D17" s="26"/>
      <c r="E17" s="27"/>
      <c r="F17" s="27"/>
      <c r="G17" s="24" t="str">
        <f aca="false">IF(F17="","",IF(F17&lt;=5,"A",IF(F17&lt;=8,"B",IF(F17&lt;=10,"C","D"))))</f>
        <v/>
      </c>
      <c r="H17" s="28"/>
      <c r="I17" s="27"/>
      <c r="J17" s="26"/>
      <c r="K17" s="27"/>
      <c r="L17" s="27"/>
      <c r="M17" s="27"/>
      <c r="N17" s="27"/>
      <c r="O17" s="24" t="str">
        <f aca="false">IF(G17="","",VLOOKUP(G17,Setup!$A$14:$C$17,3,0))</f>
        <v/>
      </c>
      <c r="P17" s="27"/>
      <c r="Q17" s="29" t="str">
        <f aca="false">IF(OR(P17="",M17&lt;&gt;"Paid",O17=""),"",P17/O17)</f>
        <v/>
      </c>
      <c r="R17" s="30" t="str">
        <f aca="false">IF(Q17="","",Q17+N(H17)*0.000000001)</f>
        <v/>
      </c>
      <c r="S17" s="25" t="str">
        <f aca="false">IF(R17="","",SUMPRODUCT((I$5:I$4004=I17)*ISNUMBER(R$5:R$4004)*(R$5:R$4004&gt;R17))+1)</f>
        <v/>
      </c>
      <c r="T17" s="25" t="str">
        <f aca="false">IF(S17="","",IF(S17&lt;=Setup!$B$5,"🏆 WINNER",""))</f>
        <v/>
      </c>
      <c r="U17" s="24" t="str">
        <f aca="false">IF(S17="","",I17&amp;"|"&amp;S17)</f>
        <v/>
      </c>
    </row>
    <row r="18" customFormat="false" ht="15" hidden="false" customHeight="false" outlineLevel="0" collapsed="false">
      <c r="A18" s="31" t="n">
        <v>14</v>
      </c>
      <c r="B18" s="32" t="str">
        <f aca="false">IF(OR(C18="",I18="",G18=""),"",IFERROR(VLOOKUP(I18,Setup!$A$9:$B$11,2,0),"???")&amp;"-"&amp;G18&amp;"-"&amp;TEXT(COUNTIFS(I$5:I18,I18,G$5:G18,G18),"0000"))</f>
        <v/>
      </c>
      <c r="C18" s="26"/>
      <c r="D18" s="26"/>
      <c r="E18" s="27"/>
      <c r="F18" s="27"/>
      <c r="G18" s="31" t="str">
        <f aca="false">IF(F18="","",IF(F18&lt;=5,"A",IF(F18&lt;=8,"B",IF(F18&lt;=10,"C","D"))))</f>
        <v/>
      </c>
      <c r="H18" s="28"/>
      <c r="I18" s="27"/>
      <c r="J18" s="26"/>
      <c r="K18" s="27"/>
      <c r="L18" s="27"/>
      <c r="M18" s="27"/>
      <c r="N18" s="27"/>
      <c r="O18" s="31" t="str">
        <f aca="false">IF(G18="","",VLOOKUP(G18,Setup!$A$14:$C$17,3,0))</f>
        <v/>
      </c>
      <c r="P18" s="27"/>
      <c r="Q18" s="33" t="str">
        <f aca="false">IF(OR(P18="",M18&lt;&gt;"Paid",O18=""),"",P18/O18)</f>
        <v/>
      </c>
      <c r="R18" s="34" t="str">
        <f aca="false">IF(Q18="","",Q18+N(H18)*0.000000001)</f>
        <v/>
      </c>
      <c r="S18" s="32" t="str">
        <f aca="false">IF(R18="","",SUMPRODUCT((I$5:I$4004=I18)*ISNUMBER(R$5:R$4004)*(R$5:R$4004&gt;R18))+1)</f>
        <v/>
      </c>
      <c r="T18" s="32" t="str">
        <f aca="false">IF(S18="","",IF(S18&lt;=Setup!$B$5,"🏆 WINNER",""))</f>
        <v/>
      </c>
      <c r="U18" s="31" t="str">
        <f aca="false">IF(S18="","",I18&amp;"|"&amp;S18)</f>
        <v/>
      </c>
    </row>
    <row r="19" customFormat="false" ht="15" hidden="false" customHeight="false" outlineLevel="0" collapsed="false">
      <c r="A19" s="24" t="n">
        <v>15</v>
      </c>
      <c r="B19" s="25" t="str">
        <f aca="false">IF(OR(C19="",I19="",G19=""),"",IFERROR(VLOOKUP(I19,Setup!$A$9:$B$11,2,0),"???")&amp;"-"&amp;G19&amp;"-"&amp;TEXT(COUNTIFS(I$5:I19,I19,G$5:G19,G19),"0000"))</f>
        <v/>
      </c>
      <c r="C19" s="26"/>
      <c r="D19" s="26"/>
      <c r="E19" s="27"/>
      <c r="F19" s="27"/>
      <c r="G19" s="24" t="str">
        <f aca="false">IF(F19="","",IF(F19&lt;=5,"A",IF(F19&lt;=8,"B",IF(F19&lt;=10,"C","D"))))</f>
        <v/>
      </c>
      <c r="H19" s="28"/>
      <c r="I19" s="27"/>
      <c r="J19" s="26"/>
      <c r="K19" s="27"/>
      <c r="L19" s="27"/>
      <c r="M19" s="27"/>
      <c r="N19" s="27"/>
      <c r="O19" s="24" t="str">
        <f aca="false">IF(G19="","",VLOOKUP(G19,Setup!$A$14:$C$17,3,0))</f>
        <v/>
      </c>
      <c r="P19" s="27"/>
      <c r="Q19" s="29" t="str">
        <f aca="false">IF(OR(P19="",M19&lt;&gt;"Paid",O19=""),"",P19/O19)</f>
        <v/>
      </c>
      <c r="R19" s="30" t="str">
        <f aca="false">IF(Q19="","",Q19+N(H19)*0.000000001)</f>
        <v/>
      </c>
      <c r="S19" s="25" t="str">
        <f aca="false">IF(R19="","",SUMPRODUCT((I$5:I$4004=I19)*ISNUMBER(R$5:R$4004)*(R$5:R$4004&gt;R19))+1)</f>
        <v/>
      </c>
      <c r="T19" s="25" t="str">
        <f aca="false">IF(S19="","",IF(S19&lt;=Setup!$B$5,"🏆 WINNER",""))</f>
        <v/>
      </c>
      <c r="U19" s="24" t="str">
        <f aca="false">IF(S19="","",I19&amp;"|"&amp;S19)</f>
        <v/>
      </c>
    </row>
    <row r="20" customFormat="false" ht="15" hidden="false" customHeight="false" outlineLevel="0" collapsed="false">
      <c r="A20" s="31" t="n">
        <v>16</v>
      </c>
      <c r="B20" s="32" t="str">
        <f aca="false">IF(OR(C20="",I20="",G20=""),"",IFERROR(VLOOKUP(I20,Setup!$A$9:$B$11,2,0),"???")&amp;"-"&amp;G20&amp;"-"&amp;TEXT(COUNTIFS(I$5:I20,I20,G$5:G20,G20),"0000"))</f>
        <v/>
      </c>
      <c r="C20" s="26"/>
      <c r="D20" s="26"/>
      <c r="E20" s="27"/>
      <c r="F20" s="27"/>
      <c r="G20" s="31" t="str">
        <f aca="false">IF(F20="","",IF(F20&lt;=5,"A",IF(F20&lt;=8,"B",IF(F20&lt;=10,"C","D"))))</f>
        <v/>
      </c>
      <c r="H20" s="28"/>
      <c r="I20" s="27"/>
      <c r="J20" s="26"/>
      <c r="K20" s="27"/>
      <c r="L20" s="27"/>
      <c r="M20" s="27"/>
      <c r="N20" s="27"/>
      <c r="O20" s="31" t="str">
        <f aca="false">IF(G20="","",VLOOKUP(G20,Setup!$A$14:$C$17,3,0))</f>
        <v/>
      </c>
      <c r="P20" s="27"/>
      <c r="Q20" s="33" t="str">
        <f aca="false">IF(OR(P20="",M20&lt;&gt;"Paid",O20=""),"",P20/O20)</f>
        <v/>
      </c>
      <c r="R20" s="34" t="str">
        <f aca="false">IF(Q20="","",Q20+N(H20)*0.000000001)</f>
        <v/>
      </c>
      <c r="S20" s="32" t="str">
        <f aca="false">IF(R20="","",SUMPRODUCT((I$5:I$4004=I20)*ISNUMBER(R$5:R$4004)*(R$5:R$4004&gt;R20))+1)</f>
        <v/>
      </c>
      <c r="T20" s="32" t="str">
        <f aca="false">IF(S20="","",IF(S20&lt;=Setup!$B$5,"🏆 WINNER",""))</f>
        <v/>
      </c>
      <c r="U20" s="31" t="str">
        <f aca="false">IF(S20="","",I20&amp;"|"&amp;S20)</f>
        <v/>
      </c>
    </row>
    <row r="21" customFormat="false" ht="15" hidden="false" customHeight="false" outlineLevel="0" collapsed="false">
      <c r="A21" s="24" t="n">
        <v>17</v>
      </c>
      <c r="B21" s="25" t="str">
        <f aca="false">IF(OR(C21="",I21="",G21=""),"",IFERROR(VLOOKUP(I21,Setup!$A$9:$B$11,2,0),"???")&amp;"-"&amp;G21&amp;"-"&amp;TEXT(COUNTIFS(I$5:I21,I21,G$5:G21,G21),"0000"))</f>
        <v/>
      </c>
      <c r="C21" s="26"/>
      <c r="D21" s="26"/>
      <c r="E21" s="27"/>
      <c r="F21" s="27"/>
      <c r="G21" s="24" t="str">
        <f aca="false">IF(F21="","",IF(F21&lt;=5,"A",IF(F21&lt;=8,"B",IF(F21&lt;=10,"C","D"))))</f>
        <v/>
      </c>
      <c r="H21" s="28"/>
      <c r="I21" s="27"/>
      <c r="J21" s="26"/>
      <c r="K21" s="27"/>
      <c r="L21" s="27"/>
      <c r="M21" s="27"/>
      <c r="N21" s="27"/>
      <c r="O21" s="24" t="str">
        <f aca="false">IF(G21="","",VLOOKUP(G21,Setup!$A$14:$C$17,3,0))</f>
        <v/>
      </c>
      <c r="P21" s="27"/>
      <c r="Q21" s="29" t="str">
        <f aca="false">IF(OR(P21="",M21&lt;&gt;"Paid",O21=""),"",P21/O21)</f>
        <v/>
      </c>
      <c r="R21" s="30" t="str">
        <f aca="false">IF(Q21="","",Q21+N(H21)*0.000000001)</f>
        <v/>
      </c>
      <c r="S21" s="25" t="str">
        <f aca="false">IF(R21="","",SUMPRODUCT((I$5:I$4004=I21)*ISNUMBER(R$5:R$4004)*(R$5:R$4004&gt;R21))+1)</f>
        <v/>
      </c>
      <c r="T21" s="25" t="str">
        <f aca="false">IF(S21="","",IF(S21&lt;=Setup!$B$5,"🏆 WINNER",""))</f>
        <v/>
      </c>
      <c r="U21" s="24" t="str">
        <f aca="false">IF(S21="","",I21&amp;"|"&amp;S21)</f>
        <v/>
      </c>
    </row>
    <row r="22" customFormat="false" ht="15" hidden="false" customHeight="false" outlineLevel="0" collapsed="false">
      <c r="A22" s="31" t="n">
        <v>18</v>
      </c>
      <c r="B22" s="32" t="str">
        <f aca="false">IF(OR(C22="",I22="",G22=""),"",IFERROR(VLOOKUP(I22,Setup!$A$9:$B$11,2,0),"???")&amp;"-"&amp;G22&amp;"-"&amp;TEXT(COUNTIFS(I$5:I22,I22,G$5:G22,G22),"0000"))</f>
        <v/>
      </c>
      <c r="C22" s="26"/>
      <c r="D22" s="26"/>
      <c r="E22" s="27"/>
      <c r="F22" s="27"/>
      <c r="G22" s="31" t="str">
        <f aca="false">IF(F22="","",IF(F22&lt;=5,"A",IF(F22&lt;=8,"B",IF(F22&lt;=10,"C","D"))))</f>
        <v/>
      </c>
      <c r="H22" s="28"/>
      <c r="I22" s="27"/>
      <c r="J22" s="26"/>
      <c r="K22" s="27"/>
      <c r="L22" s="27"/>
      <c r="M22" s="27"/>
      <c r="N22" s="27"/>
      <c r="O22" s="31" t="str">
        <f aca="false">IF(G22="","",VLOOKUP(G22,Setup!$A$14:$C$17,3,0))</f>
        <v/>
      </c>
      <c r="P22" s="27"/>
      <c r="Q22" s="33" t="str">
        <f aca="false">IF(OR(P22="",M22&lt;&gt;"Paid",O22=""),"",P22/O22)</f>
        <v/>
      </c>
      <c r="R22" s="34" t="str">
        <f aca="false">IF(Q22="","",Q22+N(H22)*0.000000001)</f>
        <v/>
      </c>
      <c r="S22" s="32" t="str">
        <f aca="false">IF(R22="","",SUMPRODUCT((I$5:I$4004=I22)*ISNUMBER(R$5:R$4004)*(R$5:R$4004&gt;R22))+1)</f>
        <v/>
      </c>
      <c r="T22" s="32" t="str">
        <f aca="false">IF(S22="","",IF(S22&lt;=Setup!$B$5,"🏆 WINNER",""))</f>
        <v/>
      </c>
      <c r="U22" s="31" t="str">
        <f aca="false">IF(S22="","",I22&amp;"|"&amp;S22)</f>
        <v/>
      </c>
    </row>
    <row r="23" customFormat="false" ht="15" hidden="false" customHeight="false" outlineLevel="0" collapsed="false">
      <c r="A23" s="24" t="n">
        <v>19</v>
      </c>
      <c r="B23" s="25" t="str">
        <f aca="false">IF(OR(C23="",I23="",G23=""),"",IFERROR(VLOOKUP(I23,Setup!$A$9:$B$11,2,0),"???")&amp;"-"&amp;G23&amp;"-"&amp;TEXT(COUNTIFS(I$5:I23,I23,G$5:G23,G23),"0000"))</f>
        <v/>
      </c>
      <c r="C23" s="26"/>
      <c r="D23" s="26"/>
      <c r="E23" s="27"/>
      <c r="F23" s="27"/>
      <c r="G23" s="24" t="str">
        <f aca="false">IF(F23="","",IF(F23&lt;=5,"A",IF(F23&lt;=8,"B",IF(F23&lt;=10,"C","D"))))</f>
        <v/>
      </c>
      <c r="H23" s="28"/>
      <c r="I23" s="27"/>
      <c r="J23" s="26"/>
      <c r="K23" s="27"/>
      <c r="L23" s="27"/>
      <c r="M23" s="27"/>
      <c r="N23" s="27"/>
      <c r="O23" s="24" t="str">
        <f aca="false">IF(G23="","",VLOOKUP(G23,Setup!$A$14:$C$17,3,0))</f>
        <v/>
      </c>
      <c r="P23" s="27"/>
      <c r="Q23" s="29" t="str">
        <f aca="false">IF(OR(P23="",M23&lt;&gt;"Paid",O23=""),"",P23/O23)</f>
        <v/>
      </c>
      <c r="R23" s="30" t="str">
        <f aca="false">IF(Q23="","",Q23+N(H23)*0.000000001)</f>
        <v/>
      </c>
      <c r="S23" s="25" t="str">
        <f aca="false">IF(R23="","",SUMPRODUCT((I$5:I$4004=I23)*ISNUMBER(R$5:R$4004)*(R$5:R$4004&gt;R23))+1)</f>
        <v/>
      </c>
      <c r="T23" s="25" t="str">
        <f aca="false">IF(S23="","",IF(S23&lt;=Setup!$B$5,"🏆 WINNER",""))</f>
        <v/>
      </c>
      <c r="U23" s="24" t="str">
        <f aca="false">IF(S23="","",I23&amp;"|"&amp;S23)</f>
        <v/>
      </c>
    </row>
    <row r="24" customFormat="false" ht="15" hidden="false" customHeight="false" outlineLevel="0" collapsed="false">
      <c r="A24" s="31" t="n">
        <v>20</v>
      </c>
      <c r="B24" s="32" t="str">
        <f aca="false">IF(OR(C24="",I24="",G24=""),"",IFERROR(VLOOKUP(I24,Setup!$A$9:$B$11,2,0),"???")&amp;"-"&amp;G24&amp;"-"&amp;TEXT(COUNTIFS(I$5:I24,I24,G$5:G24,G24),"0000"))</f>
        <v/>
      </c>
      <c r="C24" s="26"/>
      <c r="D24" s="26"/>
      <c r="E24" s="27"/>
      <c r="F24" s="27"/>
      <c r="G24" s="31" t="str">
        <f aca="false">IF(F24="","",IF(F24&lt;=5,"A",IF(F24&lt;=8,"B",IF(F24&lt;=10,"C","D"))))</f>
        <v/>
      </c>
      <c r="H24" s="28"/>
      <c r="I24" s="27"/>
      <c r="J24" s="26"/>
      <c r="K24" s="27"/>
      <c r="L24" s="27"/>
      <c r="M24" s="27"/>
      <c r="N24" s="27"/>
      <c r="O24" s="31" t="str">
        <f aca="false">IF(G24="","",VLOOKUP(G24,Setup!$A$14:$C$17,3,0))</f>
        <v/>
      </c>
      <c r="P24" s="27"/>
      <c r="Q24" s="33" t="str">
        <f aca="false">IF(OR(P24="",M24&lt;&gt;"Paid",O24=""),"",P24/O24)</f>
        <v/>
      </c>
      <c r="R24" s="34" t="str">
        <f aca="false">IF(Q24="","",Q24+N(H24)*0.000000001)</f>
        <v/>
      </c>
      <c r="S24" s="32" t="str">
        <f aca="false">IF(R24="","",SUMPRODUCT((I$5:I$4004=I24)*ISNUMBER(R$5:R$4004)*(R$5:R$4004&gt;R24))+1)</f>
        <v/>
      </c>
      <c r="T24" s="32" t="str">
        <f aca="false">IF(S24="","",IF(S24&lt;=Setup!$B$5,"🏆 WINNER",""))</f>
        <v/>
      </c>
      <c r="U24" s="31" t="str">
        <f aca="false">IF(S24="","",I24&amp;"|"&amp;S24)</f>
        <v/>
      </c>
    </row>
    <row r="25" customFormat="false" ht="15" hidden="false" customHeight="false" outlineLevel="0" collapsed="false">
      <c r="A25" s="24" t="n">
        <v>21</v>
      </c>
      <c r="B25" s="25" t="str">
        <f aca="false">IF(OR(C25="",I25="",G25=""),"",IFERROR(VLOOKUP(I25,Setup!$A$9:$B$11,2,0),"???")&amp;"-"&amp;G25&amp;"-"&amp;TEXT(COUNTIFS(I$5:I25,I25,G$5:G25,G25),"0000"))</f>
        <v/>
      </c>
      <c r="C25" s="26"/>
      <c r="D25" s="26"/>
      <c r="E25" s="27"/>
      <c r="F25" s="27"/>
      <c r="G25" s="24" t="str">
        <f aca="false">IF(F25="","",IF(F25&lt;=5,"A",IF(F25&lt;=8,"B",IF(F25&lt;=10,"C","D"))))</f>
        <v/>
      </c>
      <c r="H25" s="28"/>
      <c r="I25" s="27"/>
      <c r="J25" s="26"/>
      <c r="K25" s="27"/>
      <c r="L25" s="27"/>
      <c r="M25" s="27"/>
      <c r="N25" s="27"/>
      <c r="O25" s="24" t="str">
        <f aca="false">IF(G25="","",VLOOKUP(G25,Setup!$A$14:$C$17,3,0))</f>
        <v/>
      </c>
      <c r="P25" s="27"/>
      <c r="Q25" s="29" t="str">
        <f aca="false">IF(OR(P25="",M25&lt;&gt;"Paid",O25=""),"",P25/O25)</f>
        <v/>
      </c>
      <c r="R25" s="30" t="str">
        <f aca="false">IF(Q25="","",Q25+N(H25)*0.000000001)</f>
        <v/>
      </c>
      <c r="S25" s="25" t="str">
        <f aca="false">IF(R25="","",SUMPRODUCT((I$5:I$4004=I25)*ISNUMBER(R$5:R$4004)*(R$5:R$4004&gt;R25))+1)</f>
        <v/>
      </c>
      <c r="T25" s="25" t="str">
        <f aca="false">IF(S25="","",IF(S25&lt;=Setup!$B$5,"🏆 WINNER",""))</f>
        <v/>
      </c>
      <c r="U25" s="24" t="str">
        <f aca="false">IF(S25="","",I25&amp;"|"&amp;S25)</f>
        <v/>
      </c>
    </row>
    <row r="26" customFormat="false" ht="15" hidden="false" customHeight="false" outlineLevel="0" collapsed="false">
      <c r="A26" s="31" t="n">
        <v>22</v>
      </c>
      <c r="B26" s="32" t="str">
        <f aca="false">IF(OR(C26="",I26="",G26=""),"",IFERROR(VLOOKUP(I26,Setup!$A$9:$B$11,2,0),"???")&amp;"-"&amp;G26&amp;"-"&amp;TEXT(COUNTIFS(I$5:I26,I26,G$5:G26,G26),"0000"))</f>
        <v/>
      </c>
      <c r="C26" s="26"/>
      <c r="D26" s="26"/>
      <c r="E26" s="27"/>
      <c r="F26" s="27"/>
      <c r="G26" s="31" t="str">
        <f aca="false">IF(F26="","",IF(F26&lt;=5,"A",IF(F26&lt;=8,"B",IF(F26&lt;=10,"C","D"))))</f>
        <v/>
      </c>
      <c r="H26" s="28"/>
      <c r="I26" s="27"/>
      <c r="J26" s="26"/>
      <c r="K26" s="27"/>
      <c r="L26" s="27"/>
      <c r="M26" s="27"/>
      <c r="N26" s="27"/>
      <c r="O26" s="31" t="str">
        <f aca="false">IF(G26="","",VLOOKUP(G26,Setup!$A$14:$C$17,3,0))</f>
        <v/>
      </c>
      <c r="P26" s="27"/>
      <c r="Q26" s="33" t="str">
        <f aca="false">IF(OR(P26="",M26&lt;&gt;"Paid",O26=""),"",P26/O26)</f>
        <v/>
      </c>
      <c r="R26" s="34" t="str">
        <f aca="false">IF(Q26="","",Q26+N(H26)*0.000000001)</f>
        <v/>
      </c>
      <c r="S26" s="32" t="str">
        <f aca="false">IF(R26="","",SUMPRODUCT((I$5:I$4004=I26)*ISNUMBER(R$5:R$4004)*(R$5:R$4004&gt;R26))+1)</f>
        <v/>
      </c>
      <c r="T26" s="32" t="str">
        <f aca="false">IF(S26="","",IF(S26&lt;=Setup!$B$5,"🏆 WINNER",""))</f>
        <v/>
      </c>
      <c r="U26" s="31" t="str">
        <f aca="false">IF(S26="","",I26&amp;"|"&amp;S26)</f>
        <v/>
      </c>
    </row>
    <row r="27" customFormat="false" ht="15" hidden="false" customHeight="false" outlineLevel="0" collapsed="false">
      <c r="A27" s="24" t="n">
        <v>23</v>
      </c>
      <c r="B27" s="25" t="str">
        <f aca="false">IF(OR(C27="",I27="",G27=""),"",IFERROR(VLOOKUP(I27,Setup!$A$9:$B$11,2,0),"???")&amp;"-"&amp;G27&amp;"-"&amp;TEXT(COUNTIFS(I$5:I27,I27,G$5:G27,G27),"0000"))</f>
        <v/>
      </c>
      <c r="C27" s="26"/>
      <c r="D27" s="26"/>
      <c r="E27" s="27"/>
      <c r="F27" s="27"/>
      <c r="G27" s="24" t="str">
        <f aca="false">IF(F27="","",IF(F27&lt;=5,"A",IF(F27&lt;=8,"B",IF(F27&lt;=10,"C","D"))))</f>
        <v/>
      </c>
      <c r="H27" s="28"/>
      <c r="I27" s="27"/>
      <c r="J27" s="26"/>
      <c r="K27" s="27"/>
      <c r="L27" s="27"/>
      <c r="M27" s="27"/>
      <c r="N27" s="27"/>
      <c r="O27" s="24" t="str">
        <f aca="false">IF(G27="","",VLOOKUP(G27,Setup!$A$14:$C$17,3,0))</f>
        <v/>
      </c>
      <c r="P27" s="27"/>
      <c r="Q27" s="29" t="str">
        <f aca="false">IF(OR(P27="",M27&lt;&gt;"Paid",O27=""),"",P27/O27)</f>
        <v/>
      </c>
      <c r="R27" s="30" t="str">
        <f aca="false">IF(Q27="","",Q27+N(H27)*0.000000001)</f>
        <v/>
      </c>
      <c r="S27" s="25" t="str">
        <f aca="false">IF(R27="","",SUMPRODUCT((I$5:I$4004=I27)*ISNUMBER(R$5:R$4004)*(R$5:R$4004&gt;R27))+1)</f>
        <v/>
      </c>
      <c r="T27" s="25" t="str">
        <f aca="false">IF(S27="","",IF(S27&lt;=Setup!$B$5,"🏆 WINNER",""))</f>
        <v/>
      </c>
      <c r="U27" s="24" t="str">
        <f aca="false">IF(S27="","",I27&amp;"|"&amp;S27)</f>
        <v/>
      </c>
    </row>
    <row r="28" customFormat="false" ht="15" hidden="false" customHeight="false" outlineLevel="0" collapsed="false">
      <c r="A28" s="31" t="n">
        <v>24</v>
      </c>
      <c r="B28" s="32" t="str">
        <f aca="false">IF(OR(C28="",I28="",G28=""),"",IFERROR(VLOOKUP(I28,Setup!$A$9:$B$11,2,0),"???")&amp;"-"&amp;G28&amp;"-"&amp;TEXT(COUNTIFS(I$5:I28,I28,G$5:G28,G28),"0000"))</f>
        <v/>
      </c>
      <c r="C28" s="26"/>
      <c r="D28" s="26"/>
      <c r="E28" s="27"/>
      <c r="F28" s="27"/>
      <c r="G28" s="31" t="str">
        <f aca="false">IF(F28="","",IF(F28&lt;=5,"A",IF(F28&lt;=8,"B",IF(F28&lt;=10,"C","D"))))</f>
        <v/>
      </c>
      <c r="H28" s="28"/>
      <c r="I28" s="27"/>
      <c r="J28" s="26"/>
      <c r="K28" s="27"/>
      <c r="L28" s="27"/>
      <c r="M28" s="27"/>
      <c r="N28" s="27"/>
      <c r="O28" s="31" t="str">
        <f aca="false">IF(G28="","",VLOOKUP(G28,Setup!$A$14:$C$17,3,0))</f>
        <v/>
      </c>
      <c r="P28" s="27"/>
      <c r="Q28" s="33" t="str">
        <f aca="false">IF(OR(P28="",M28&lt;&gt;"Paid",O28=""),"",P28/O28)</f>
        <v/>
      </c>
      <c r="R28" s="34" t="str">
        <f aca="false">IF(Q28="","",Q28+N(H28)*0.000000001)</f>
        <v/>
      </c>
      <c r="S28" s="32" t="str">
        <f aca="false">IF(R28="","",SUMPRODUCT((I$5:I$4004=I28)*ISNUMBER(R$5:R$4004)*(R$5:R$4004&gt;R28))+1)</f>
        <v/>
      </c>
      <c r="T28" s="32" t="str">
        <f aca="false">IF(S28="","",IF(S28&lt;=Setup!$B$5,"🏆 WINNER",""))</f>
        <v/>
      </c>
      <c r="U28" s="31" t="str">
        <f aca="false">IF(S28="","",I28&amp;"|"&amp;S28)</f>
        <v/>
      </c>
    </row>
    <row r="29" customFormat="false" ht="15" hidden="false" customHeight="false" outlineLevel="0" collapsed="false">
      <c r="A29" s="24" t="n">
        <v>25</v>
      </c>
      <c r="B29" s="25" t="str">
        <f aca="false">IF(OR(C29="",I29="",G29=""),"",IFERROR(VLOOKUP(I29,Setup!$A$9:$B$11,2,0),"???")&amp;"-"&amp;G29&amp;"-"&amp;TEXT(COUNTIFS(I$5:I29,I29,G$5:G29,G29),"0000"))</f>
        <v/>
      </c>
      <c r="C29" s="26"/>
      <c r="D29" s="26"/>
      <c r="E29" s="27"/>
      <c r="F29" s="27"/>
      <c r="G29" s="24" t="str">
        <f aca="false">IF(F29="","",IF(F29&lt;=5,"A",IF(F29&lt;=8,"B",IF(F29&lt;=10,"C","D"))))</f>
        <v/>
      </c>
      <c r="H29" s="28"/>
      <c r="I29" s="27"/>
      <c r="J29" s="26"/>
      <c r="K29" s="27"/>
      <c r="L29" s="27"/>
      <c r="M29" s="27"/>
      <c r="N29" s="27"/>
      <c r="O29" s="24" t="str">
        <f aca="false">IF(G29="","",VLOOKUP(G29,Setup!$A$14:$C$17,3,0))</f>
        <v/>
      </c>
      <c r="P29" s="27"/>
      <c r="Q29" s="29" t="str">
        <f aca="false">IF(OR(P29="",M29&lt;&gt;"Paid",O29=""),"",P29/O29)</f>
        <v/>
      </c>
      <c r="R29" s="30" t="str">
        <f aca="false">IF(Q29="","",Q29+N(H29)*0.000000001)</f>
        <v/>
      </c>
      <c r="S29" s="25" t="str">
        <f aca="false">IF(R29="","",SUMPRODUCT((I$5:I$4004=I29)*ISNUMBER(R$5:R$4004)*(R$5:R$4004&gt;R29))+1)</f>
        <v/>
      </c>
      <c r="T29" s="25" t="str">
        <f aca="false">IF(S29="","",IF(S29&lt;=Setup!$B$5,"🏆 WINNER",""))</f>
        <v/>
      </c>
      <c r="U29" s="24" t="str">
        <f aca="false">IF(S29="","",I29&amp;"|"&amp;S29)</f>
        <v/>
      </c>
    </row>
    <row r="30" customFormat="false" ht="15" hidden="false" customHeight="false" outlineLevel="0" collapsed="false">
      <c r="A30" s="31" t="n">
        <v>26</v>
      </c>
      <c r="B30" s="32" t="str">
        <f aca="false">IF(OR(C30="",I30="",G30=""),"",IFERROR(VLOOKUP(I30,Setup!$A$9:$B$11,2,0),"???")&amp;"-"&amp;G30&amp;"-"&amp;TEXT(COUNTIFS(I$5:I30,I30,G$5:G30,G30),"0000"))</f>
        <v/>
      </c>
      <c r="C30" s="26"/>
      <c r="D30" s="26"/>
      <c r="E30" s="27"/>
      <c r="F30" s="27"/>
      <c r="G30" s="31" t="str">
        <f aca="false">IF(F30="","",IF(F30&lt;=5,"A",IF(F30&lt;=8,"B",IF(F30&lt;=10,"C","D"))))</f>
        <v/>
      </c>
      <c r="H30" s="28"/>
      <c r="I30" s="27"/>
      <c r="J30" s="26"/>
      <c r="K30" s="27"/>
      <c r="L30" s="27"/>
      <c r="M30" s="27"/>
      <c r="N30" s="27"/>
      <c r="O30" s="31" t="str">
        <f aca="false">IF(G30="","",VLOOKUP(G30,Setup!$A$14:$C$17,3,0))</f>
        <v/>
      </c>
      <c r="P30" s="27"/>
      <c r="Q30" s="33" t="str">
        <f aca="false">IF(OR(P30="",M30&lt;&gt;"Paid",O30=""),"",P30/O30)</f>
        <v/>
      </c>
      <c r="R30" s="34" t="str">
        <f aca="false">IF(Q30="","",Q30+N(H30)*0.000000001)</f>
        <v/>
      </c>
      <c r="S30" s="32" t="str">
        <f aca="false">IF(R30="","",SUMPRODUCT((I$5:I$4004=I30)*ISNUMBER(R$5:R$4004)*(R$5:R$4004&gt;R30))+1)</f>
        <v/>
      </c>
      <c r="T30" s="32" t="str">
        <f aca="false">IF(S30="","",IF(S30&lt;=Setup!$B$5,"🏆 WINNER",""))</f>
        <v/>
      </c>
      <c r="U30" s="31" t="str">
        <f aca="false">IF(S30="","",I30&amp;"|"&amp;S30)</f>
        <v/>
      </c>
    </row>
    <row r="31" customFormat="false" ht="15" hidden="false" customHeight="false" outlineLevel="0" collapsed="false">
      <c r="A31" s="24" t="n">
        <v>27</v>
      </c>
      <c r="B31" s="25" t="str">
        <f aca="false">IF(OR(C31="",I31="",G31=""),"",IFERROR(VLOOKUP(I31,Setup!$A$9:$B$11,2,0),"???")&amp;"-"&amp;G31&amp;"-"&amp;TEXT(COUNTIFS(I$5:I31,I31,G$5:G31,G31),"0000"))</f>
        <v/>
      </c>
      <c r="C31" s="26"/>
      <c r="D31" s="26"/>
      <c r="E31" s="27"/>
      <c r="F31" s="27"/>
      <c r="G31" s="24" t="str">
        <f aca="false">IF(F31="","",IF(F31&lt;=5,"A",IF(F31&lt;=8,"B",IF(F31&lt;=10,"C","D"))))</f>
        <v/>
      </c>
      <c r="H31" s="28"/>
      <c r="I31" s="27"/>
      <c r="J31" s="26"/>
      <c r="K31" s="27"/>
      <c r="L31" s="27"/>
      <c r="M31" s="27"/>
      <c r="N31" s="27"/>
      <c r="O31" s="24" t="str">
        <f aca="false">IF(G31="","",VLOOKUP(G31,Setup!$A$14:$C$17,3,0))</f>
        <v/>
      </c>
      <c r="P31" s="27"/>
      <c r="Q31" s="29" t="str">
        <f aca="false">IF(OR(P31="",M31&lt;&gt;"Paid",O31=""),"",P31/O31)</f>
        <v/>
      </c>
      <c r="R31" s="30" t="str">
        <f aca="false">IF(Q31="","",Q31+N(H31)*0.000000001)</f>
        <v/>
      </c>
      <c r="S31" s="25" t="str">
        <f aca="false">IF(R31="","",SUMPRODUCT((I$5:I$4004=I31)*ISNUMBER(R$5:R$4004)*(R$5:R$4004&gt;R31))+1)</f>
        <v/>
      </c>
      <c r="T31" s="25" t="str">
        <f aca="false">IF(S31="","",IF(S31&lt;=Setup!$B$5,"🏆 WINNER",""))</f>
        <v/>
      </c>
      <c r="U31" s="24" t="str">
        <f aca="false">IF(S31="","",I31&amp;"|"&amp;S31)</f>
        <v/>
      </c>
    </row>
    <row r="32" customFormat="false" ht="15" hidden="false" customHeight="false" outlineLevel="0" collapsed="false">
      <c r="A32" s="31" t="n">
        <v>28</v>
      </c>
      <c r="B32" s="32" t="str">
        <f aca="false">IF(OR(C32="",I32="",G32=""),"",IFERROR(VLOOKUP(I32,Setup!$A$9:$B$11,2,0),"???")&amp;"-"&amp;G32&amp;"-"&amp;TEXT(COUNTIFS(I$5:I32,I32,G$5:G32,G32),"0000"))</f>
        <v/>
      </c>
      <c r="C32" s="26"/>
      <c r="D32" s="26"/>
      <c r="E32" s="27"/>
      <c r="F32" s="27"/>
      <c r="G32" s="31" t="str">
        <f aca="false">IF(F32="","",IF(F32&lt;=5,"A",IF(F32&lt;=8,"B",IF(F32&lt;=10,"C","D"))))</f>
        <v/>
      </c>
      <c r="H32" s="28"/>
      <c r="I32" s="27"/>
      <c r="J32" s="26"/>
      <c r="K32" s="27"/>
      <c r="L32" s="27"/>
      <c r="M32" s="27"/>
      <c r="N32" s="27"/>
      <c r="O32" s="31" t="str">
        <f aca="false">IF(G32="","",VLOOKUP(G32,Setup!$A$14:$C$17,3,0))</f>
        <v/>
      </c>
      <c r="P32" s="27"/>
      <c r="Q32" s="33" t="str">
        <f aca="false">IF(OR(P32="",M32&lt;&gt;"Paid",O32=""),"",P32/O32)</f>
        <v/>
      </c>
      <c r="R32" s="34" t="str">
        <f aca="false">IF(Q32="","",Q32+N(H32)*0.000000001)</f>
        <v/>
      </c>
      <c r="S32" s="32" t="str">
        <f aca="false">IF(R32="","",SUMPRODUCT((I$5:I$4004=I32)*ISNUMBER(R$5:R$4004)*(R$5:R$4004&gt;R32))+1)</f>
        <v/>
      </c>
      <c r="T32" s="32" t="str">
        <f aca="false">IF(S32="","",IF(S32&lt;=Setup!$B$5,"🏆 WINNER",""))</f>
        <v/>
      </c>
      <c r="U32" s="31" t="str">
        <f aca="false">IF(S32="","",I32&amp;"|"&amp;S32)</f>
        <v/>
      </c>
    </row>
    <row r="33" customFormat="false" ht="15" hidden="false" customHeight="false" outlineLevel="0" collapsed="false">
      <c r="A33" s="24" t="n">
        <v>29</v>
      </c>
      <c r="B33" s="25" t="str">
        <f aca="false">IF(OR(C33="",I33="",G33=""),"",IFERROR(VLOOKUP(I33,Setup!$A$9:$B$11,2,0),"???")&amp;"-"&amp;G33&amp;"-"&amp;TEXT(COUNTIFS(I$5:I33,I33,G$5:G33,G33),"0000"))</f>
        <v/>
      </c>
      <c r="C33" s="26"/>
      <c r="D33" s="26"/>
      <c r="E33" s="27"/>
      <c r="F33" s="27"/>
      <c r="G33" s="24" t="str">
        <f aca="false">IF(F33="","",IF(F33&lt;=5,"A",IF(F33&lt;=8,"B",IF(F33&lt;=10,"C","D"))))</f>
        <v/>
      </c>
      <c r="H33" s="28"/>
      <c r="I33" s="27"/>
      <c r="J33" s="26"/>
      <c r="K33" s="27"/>
      <c r="L33" s="27"/>
      <c r="M33" s="27"/>
      <c r="N33" s="27"/>
      <c r="O33" s="24" t="str">
        <f aca="false">IF(G33="","",VLOOKUP(G33,Setup!$A$14:$C$17,3,0))</f>
        <v/>
      </c>
      <c r="P33" s="27"/>
      <c r="Q33" s="29" t="str">
        <f aca="false">IF(OR(P33="",M33&lt;&gt;"Paid",O33=""),"",P33/O33)</f>
        <v/>
      </c>
      <c r="R33" s="30" t="str">
        <f aca="false">IF(Q33="","",Q33+N(H33)*0.000000001)</f>
        <v/>
      </c>
      <c r="S33" s="25" t="str">
        <f aca="false">IF(R33="","",SUMPRODUCT((I$5:I$4004=I33)*ISNUMBER(R$5:R$4004)*(R$5:R$4004&gt;R33))+1)</f>
        <v/>
      </c>
      <c r="T33" s="25" t="str">
        <f aca="false">IF(S33="","",IF(S33&lt;=Setup!$B$5,"🏆 WINNER",""))</f>
        <v/>
      </c>
      <c r="U33" s="24" t="str">
        <f aca="false">IF(S33="","",I33&amp;"|"&amp;S33)</f>
        <v/>
      </c>
    </row>
    <row r="34" customFormat="false" ht="15" hidden="false" customHeight="false" outlineLevel="0" collapsed="false">
      <c r="A34" s="31" t="n">
        <v>30</v>
      </c>
      <c r="B34" s="32" t="str">
        <f aca="false">IF(OR(C34="",I34="",G34=""),"",IFERROR(VLOOKUP(I34,Setup!$A$9:$B$11,2,0),"???")&amp;"-"&amp;G34&amp;"-"&amp;TEXT(COUNTIFS(I$5:I34,I34,G$5:G34,G34),"0000"))</f>
        <v/>
      </c>
      <c r="C34" s="26"/>
      <c r="D34" s="26"/>
      <c r="E34" s="27"/>
      <c r="F34" s="27"/>
      <c r="G34" s="31" t="str">
        <f aca="false">IF(F34="","",IF(F34&lt;=5,"A",IF(F34&lt;=8,"B",IF(F34&lt;=10,"C","D"))))</f>
        <v/>
      </c>
      <c r="H34" s="28"/>
      <c r="I34" s="27"/>
      <c r="J34" s="26"/>
      <c r="K34" s="27"/>
      <c r="L34" s="27"/>
      <c r="M34" s="27"/>
      <c r="N34" s="27"/>
      <c r="O34" s="31" t="str">
        <f aca="false">IF(G34="","",VLOOKUP(G34,Setup!$A$14:$C$17,3,0))</f>
        <v/>
      </c>
      <c r="P34" s="27"/>
      <c r="Q34" s="33" t="str">
        <f aca="false">IF(OR(P34="",M34&lt;&gt;"Paid",O34=""),"",P34/O34)</f>
        <v/>
      </c>
      <c r="R34" s="34" t="str">
        <f aca="false">IF(Q34="","",Q34+N(H34)*0.000000001)</f>
        <v/>
      </c>
      <c r="S34" s="32" t="str">
        <f aca="false">IF(R34="","",SUMPRODUCT((I$5:I$4004=I34)*ISNUMBER(R$5:R$4004)*(R$5:R$4004&gt;R34))+1)</f>
        <v/>
      </c>
      <c r="T34" s="32" t="str">
        <f aca="false">IF(S34="","",IF(S34&lt;=Setup!$B$5,"🏆 WINNER",""))</f>
        <v/>
      </c>
      <c r="U34" s="31" t="str">
        <f aca="false">IF(S34="","",I34&amp;"|"&amp;S34)</f>
        <v/>
      </c>
    </row>
    <row r="35" customFormat="false" ht="15" hidden="false" customHeight="false" outlineLevel="0" collapsed="false">
      <c r="A35" s="24" t="n">
        <v>31</v>
      </c>
      <c r="B35" s="25" t="str">
        <f aca="false">IF(OR(C35="",I35="",G35=""),"",IFERROR(VLOOKUP(I35,Setup!$A$9:$B$11,2,0),"???")&amp;"-"&amp;G35&amp;"-"&amp;TEXT(COUNTIFS(I$5:I35,I35,G$5:G35,G35),"0000"))</f>
        <v/>
      </c>
      <c r="C35" s="26"/>
      <c r="D35" s="26"/>
      <c r="E35" s="27"/>
      <c r="F35" s="27"/>
      <c r="G35" s="24" t="str">
        <f aca="false">IF(F35="","",IF(F35&lt;=5,"A",IF(F35&lt;=8,"B",IF(F35&lt;=10,"C","D"))))</f>
        <v/>
      </c>
      <c r="H35" s="28"/>
      <c r="I35" s="27"/>
      <c r="J35" s="26"/>
      <c r="K35" s="27"/>
      <c r="L35" s="27"/>
      <c r="M35" s="27"/>
      <c r="N35" s="27"/>
      <c r="O35" s="24" t="str">
        <f aca="false">IF(G35="","",VLOOKUP(G35,Setup!$A$14:$C$17,3,0))</f>
        <v/>
      </c>
      <c r="P35" s="27"/>
      <c r="Q35" s="29" t="str">
        <f aca="false">IF(OR(P35="",M35&lt;&gt;"Paid",O35=""),"",P35/O35)</f>
        <v/>
      </c>
      <c r="R35" s="30" t="str">
        <f aca="false">IF(Q35="","",Q35+N(H35)*0.000000001)</f>
        <v/>
      </c>
      <c r="S35" s="25" t="str">
        <f aca="false">IF(R35="","",SUMPRODUCT((I$5:I$4004=I35)*ISNUMBER(R$5:R$4004)*(R$5:R$4004&gt;R35))+1)</f>
        <v/>
      </c>
      <c r="T35" s="25" t="str">
        <f aca="false">IF(S35="","",IF(S35&lt;=Setup!$B$5,"🏆 WINNER",""))</f>
        <v/>
      </c>
      <c r="U35" s="24" t="str">
        <f aca="false">IF(S35="","",I35&amp;"|"&amp;S35)</f>
        <v/>
      </c>
    </row>
    <row r="36" customFormat="false" ht="15" hidden="false" customHeight="false" outlineLevel="0" collapsed="false">
      <c r="A36" s="31" t="n">
        <v>32</v>
      </c>
      <c r="B36" s="32" t="str">
        <f aca="false">IF(OR(C36="",I36="",G36=""),"",IFERROR(VLOOKUP(I36,Setup!$A$9:$B$11,2,0),"???")&amp;"-"&amp;G36&amp;"-"&amp;TEXT(COUNTIFS(I$5:I36,I36,G$5:G36,G36),"0000"))</f>
        <v/>
      </c>
      <c r="C36" s="26"/>
      <c r="D36" s="26"/>
      <c r="E36" s="27"/>
      <c r="F36" s="27"/>
      <c r="G36" s="31" t="str">
        <f aca="false">IF(F36="","",IF(F36&lt;=5,"A",IF(F36&lt;=8,"B",IF(F36&lt;=10,"C","D"))))</f>
        <v/>
      </c>
      <c r="H36" s="28"/>
      <c r="I36" s="27"/>
      <c r="J36" s="26"/>
      <c r="K36" s="27"/>
      <c r="L36" s="27"/>
      <c r="M36" s="27"/>
      <c r="N36" s="27"/>
      <c r="O36" s="31" t="str">
        <f aca="false">IF(G36="","",VLOOKUP(G36,Setup!$A$14:$C$17,3,0))</f>
        <v/>
      </c>
      <c r="P36" s="27"/>
      <c r="Q36" s="33" t="str">
        <f aca="false">IF(OR(P36="",M36&lt;&gt;"Paid",O36=""),"",P36/O36)</f>
        <v/>
      </c>
      <c r="R36" s="34" t="str">
        <f aca="false">IF(Q36="","",Q36+N(H36)*0.000000001)</f>
        <v/>
      </c>
      <c r="S36" s="32" t="str">
        <f aca="false">IF(R36="","",SUMPRODUCT((I$5:I$4004=I36)*ISNUMBER(R$5:R$4004)*(R$5:R$4004&gt;R36))+1)</f>
        <v/>
      </c>
      <c r="T36" s="32" t="str">
        <f aca="false">IF(S36="","",IF(S36&lt;=Setup!$B$5,"🏆 WINNER",""))</f>
        <v/>
      </c>
      <c r="U36" s="31" t="str">
        <f aca="false">IF(S36="","",I36&amp;"|"&amp;S36)</f>
        <v/>
      </c>
    </row>
    <row r="37" customFormat="false" ht="15" hidden="false" customHeight="false" outlineLevel="0" collapsed="false">
      <c r="A37" s="24" t="n">
        <v>33</v>
      </c>
      <c r="B37" s="25" t="str">
        <f aca="false">IF(OR(C37="",I37="",G37=""),"",IFERROR(VLOOKUP(I37,Setup!$A$9:$B$11,2,0),"???")&amp;"-"&amp;G37&amp;"-"&amp;TEXT(COUNTIFS(I$5:I37,I37,G$5:G37,G37),"0000"))</f>
        <v/>
      </c>
      <c r="C37" s="26"/>
      <c r="D37" s="26"/>
      <c r="E37" s="27"/>
      <c r="F37" s="27"/>
      <c r="G37" s="24" t="str">
        <f aca="false">IF(F37="","",IF(F37&lt;=5,"A",IF(F37&lt;=8,"B",IF(F37&lt;=10,"C","D"))))</f>
        <v/>
      </c>
      <c r="H37" s="28"/>
      <c r="I37" s="27"/>
      <c r="J37" s="26"/>
      <c r="K37" s="27"/>
      <c r="L37" s="27"/>
      <c r="M37" s="27"/>
      <c r="N37" s="27"/>
      <c r="O37" s="24" t="str">
        <f aca="false">IF(G37="","",VLOOKUP(G37,Setup!$A$14:$C$17,3,0))</f>
        <v/>
      </c>
      <c r="P37" s="27"/>
      <c r="Q37" s="29" t="str">
        <f aca="false">IF(OR(P37="",M37&lt;&gt;"Paid",O37=""),"",P37/O37)</f>
        <v/>
      </c>
      <c r="R37" s="30" t="str">
        <f aca="false">IF(Q37="","",Q37+N(H37)*0.000000001)</f>
        <v/>
      </c>
      <c r="S37" s="25" t="str">
        <f aca="false">IF(R37="","",SUMPRODUCT((I$5:I$4004=I37)*ISNUMBER(R$5:R$4004)*(R$5:R$4004&gt;R37))+1)</f>
        <v/>
      </c>
      <c r="T37" s="25" t="str">
        <f aca="false">IF(S37="","",IF(S37&lt;=Setup!$B$5,"🏆 WINNER",""))</f>
        <v/>
      </c>
      <c r="U37" s="24" t="str">
        <f aca="false">IF(S37="","",I37&amp;"|"&amp;S37)</f>
        <v/>
      </c>
    </row>
    <row r="38" customFormat="false" ht="15" hidden="false" customHeight="false" outlineLevel="0" collapsed="false">
      <c r="A38" s="31" t="n">
        <v>34</v>
      </c>
      <c r="B38" s="32" t="str">
        <f aca="false">IF(OR(C38="",I38="",G38=""),"",IFERROR(VLOOKUP(I38,Setup!$A$9:$B$11,2,0),"???")&amp;"-"&amp;G38&amp;"-"&amp;TEXT(COUNTIFS(I$5:I38,I38,G$5:G38,G38),"0000"))</f>
        <v/>
      </c>
      <c r="C38" s="26"/>
      <c r="D38" s="26"/>
      <c r="E38" s="27"/>
      <c r="F38" s="27"/>
      <c r="G38" s="31" t="str">
        <f aca="false">IF(F38="","",IF(F38&lt;=5,"A",IF(F38&lt;=8,"B",IF(F38&lt;=10,"C","D"))))</f>
        <v/>
      </c>
      <c r="H38" s="28"/>
      <c r="I38" s="27"/>
      <c r="J38" s="26"/>
      <c r="K38" s="27"/>
      <c r="L38" s="27"/>
      <c r="M38" s="27"/>
      <c r="N38" s="27"/>
      <c r="O38" s="31" t="str">
        <f aca="false">IF(G38="","",VLOOKUP(G38,Setup!$A$14:$C$17,3,0))</f>
        <v/>
      </c>
      <c r="P38" s="27"/>
      <c r="Q38" s="33" t="str">
        <f aca="false">IF(OR(P38="",M38&lt;&gt;"Paid",O38=""),"",P38/O38)</f>
        <v/>
      </c>
      <c r="R38" s="34" t="str">
        <f aca="false">IF(Q38="","",Q38+N(H38)*0.000000001)</f>
        <v/>
      </c>
      <c r="S38" s="32" t="str">
        <f aca="false">IF(R38="","",SUMPRODUCT((I$5:I$4004=I38)*ISNUMBER(R$5:R$4004)*(R$5:R$4004&gt;R38))+1)</f>
        <v/>
      </c>
      <c r="T38" s="32" t="str">
        <f aca="false">IF(S38="","",IF(S38&lt;=Setup!$B$5,"🏆 WINNER",""))</f>
        <v/>
      </c>
      <c r="U38" s="31" t="str">
        <f aca="false">IF(S38="","",I38&amp;"|"&amp;S38)</f>
        <v/>
      </c>
    </row>
    <row r="39" customFormat="false" ht="15" hidden="false" customHeight="false" outlineLevel="0" collapsed="false">
      <c r="A39" s="24" t="n">
        <v>35</v>
      </c>
      <c r="B39" s="25" t="str">
        <f aca="false">IF(OR(C39="",I39="",G39=""),"",IFERROR(VLOOKUP(I39,Setup!$A$9:$B$11,2,0),"???")&amp;"-"&amp;G39&amp;"-"&amp;TEXT(COUNTIFS(I$5:I39,I39,G$5:G39,G39),"0000"))</f>
        <v/>
      </c>
      <c r="C39" s="26"/>
      <c r="D39" s="26"/>
      <c r="E39" s="27"/>
      <c r="F39" s="27"/>
      <c r="G39" s="24" t="str">
        <f aca="false">IF(F39="","",IF(F39&lt;=5,"A",IF(F39&lt;=8,"B",IF(F39&lt;=10,"C","D"))))</f>
        <v/>
      </c>
      <c r="H39" s="28"/>
      <c r="I39" s="27"/>
      <c r="J39" s="26"/>
      <c r="K39" s="27"/>
      <c r="L39" s="27"/>
      <c r="M39" s="27"/>
      <c r="N39" s="27"/>
      <c r="O39" s="24" t="str">
        <f aca="false">IF(G39="","",VLOOKUP(G39,Setup!$A$14:$C$17,3,0))</f>
        <v/>
      </c>
      <c r="P39" s="27"/>
      <c r="Q39" s="29" t="str">
        <f aca="false">IF(OR(P39="",M39&lt;&gt;"Paid",O39=""),"",P39/O39)</f>
        <v/>
      </c>
      <c r="R39" s="30" t="str">
        <f aca="false">IF(Q39="","",Q39+N(H39)*0.000000001)</f>
        <v/>
      </c>
      <c r="S39" s="25" t="str">
        <f aca="false">IF(R39="","",SUMPRODUCT((I$5:I$4004=I39)*ISNUMBER(R$5:R$4004)*(R$5:R$4004&gt;R39))+1)</f>
        <v/>
      </c>
      <c r="T39" s="25" t="str">
        <f aca="false">IF(S39="","",IF(S39&lt;=Setup!$B$5,"🏆 WINNER",""))</f>
        <v/>
      </c>
      <c r="U39" s="24" t="str">
        <f aca="false">IF(S39="","",I39&amp;"|"&amp;S39)</f>
        <v/>
      </c>
    </row>
    <row r="40" customFormat="false" ht="15" hidden="false" customHeight="false" outlineLevel="0" collapsed="false">
      <c r="A40" s="31" t="n">
        <v>36</v>
      </c>
      <c r="B40" s="32" t="str">
        <f aca="false">IF(OR(C40="",I40="",G40=""),"",IFERROR(VLOOKUP(I40,Setup!$A$9:$B$11,2,0),"???")&amp;"-"&amp;G40&amp;"-"&amp;TEXT(COUNTIFS(I$5:I40,I40,G$5:G40,G40),"0000"))</f>
        <v/>
      </c>
      <c r="C40" s="26"/>
      <c r="D40" s="26"/>
      <c r="E40" s="27"/>
      <c r="F40" s="27"/>
      <c r="G40" s="31" t="str">
        <f aca="false">IF(F40="","",IF(F40&lt;=5,"A",IF(F40&lt;=8,"B",IF(F40&lt;=10,"C","D"))))</f>
        <v/>
      </c>
      <c r="H40" s="28"/>
      <c r="I40" s="27"/>
      <c r="J40" s="26"/>
      <c r="K40" s="27"/>
      <c r="L40" s="27"/>
      <c r="M40" s="27"/>
      <c r="N40" s="27"/>
      <c r="O40" s="31" t="str">
        <f aca="false">IF(G40="","",VLOOKUP(G40,Setup!$A$14:$C$17,3,0))</f>
        <v/>
      </c>
      <c r="P40" s="27"/>
      <c r="Q40" s="33" t="str">
        <f aca="false">IF(OR(P40="",M40&lt;&gt;"Paid",O40=""),"",P40/O40)</f>
        <v/>
      </c>
      <c r="R40" s="34" t="str">
        <f aca="false">IF(Q40="","",Q40+N(H40)*0.000000001)</f>
        <v/>
      </c>
      <c r="S40" s="32" t="str">
        <f aca="false">IF(R40="","",SUMPRODUCT((I$5:I$4004=I40)*ISNUMBER(R$5:R$4004)*(R$5:R$4004&gt;R40))+1)</f>
        <v/>
      </c>
      <c r="T40" s="32" t="str">
        <f aca="false">IF(S40="","",IF(S40&lt;=Setup!$B$5,"🏆 WINNER",""))</f>
        <v/>
      </c>
      <c r="U40" s="31" t="str">
        <f aca="false">IF(S40="","",I40&amp;"|"&amp;S40)</f>
        <v/>
      </c>
    </row>
    <row r="41" customFormat="false" ht="15" hidden="false" customHeight="false" outlineLevel="0" collapsed="false">
      <c r="A41" s="24" t="n">
        <v>37</v>
      </c>
      <c r="B41" s="25" t="str">
        <f aca="false">IF(OR(C41="",I41="",G41=""),"",IFERROR(VLOOKUP(I41,Setup!$A$9:$B$11,2,0),"???")&amp;"-"&amp;G41&amp;"-"&amp;TEXT(COUNTIFS(I$5:I41,I41,G$5:G41,G41),"0000"))</f>
        <v/>
      </c>
      <c r="C41" s="26"/>
      <c r="D41" s="26"/>
      <c r="E41" s="27"/>
      <c r="F41" s="27"/>
      <c r="G41" s="24" t="str">
        <f aca="false">IF(F41="","",IF(F41&lt;=5,"A",IF(F41&lt;=8,"B",IF(F41&lt;=10,"C","D"))))</f>
        <v/>
      </c>
      <c r="H41" s="28"/>
      <c r="I41" s="27"/>
      <c r="J41" s="26"/>
      <c r="K41" s="27"/>
      <c r="L41" s="27"/>
      <c r="M41" s="27"/>
      <c r="N41" s="27"/>
      <c r="O41" s="24" t="str">
        <f aca="false">IF(G41="","",VLOOKUP(G41,Setup!$A$14:$C$17,3,0))</f>
        <v/>
      </c>
      <c r="P41" s="27"/>
      <c r="Q41" s="29" t="str">
        <f aca="false">IF(OR(P41="",M41&lt;&gt;"Paid",O41=""),"",P41/O41)</f>
        <v/>
      </c>
      <c r="R41" s="30" t="str">
        <f aca="false">IF(Q41="","",Q41+N(H41)*0.000000001)</f>
        <v/>
      </c>
      <c r="S41" s="25" t="str">
        <f aca="false">IF(R41="","",SUMPRODUCT((I$5:I$4004=I41)*ISNUMBER(R$5:R$4004)*(R$5:R$4004&gt;R41))+1)</f>
        <v/>
      </c>
      <c r="T41" s="25" t="str">
        <f aca="false">IF(S41="","",IF(S41&lt;=Setup!$B$5,"🏆 WINNER",""))</f>
        <v/>
      </c>
      <c r="U41" s="24" t="str">
        <f aca="false">IF(S41="","",I41&amp;"|"&amp;S41)</f>
        <v/>
      </c>
    </row>
    <row r="42" customFormat="false" ht="15" hidden="false" customHeight="false" outlineLevel="0" collapsed="false">
      <c r="A42" s="31" t="n">
        <v>38</v>
      </c>
      <c r="B42" s="32" t="str">
        <f aca="false">IF(OR(C42="",I42="",G42=""),"",IFERROR(VLOOKUP(I42,Setup!$A$9:$B$11,2,0),"???")&amp;"-"&amp;G42&amp;"-"&amp;TEXT(COUNTIFS(I$5:I42,I42,G$5:G42,G42),"0000"))</f>
        <v/>
      </c>
      <c r="C42" s="26"/>
      <c r="D42" s="26"/>
      <c r="E42" s="27"/>
      <c r="F42" s="27"/>
      <c r="G42" s="31" t="str">
        <f aca="false">IF(F42="","",IF(F42&lt;=5,"A",IF(F42&lt;=8,"B",IF(F42&lt;=10,"C","D"))))</f>
        <v/>
      </c>
      <c r="H42" s="28"/>
      <c r="I42" s="27"/>
      <c r="J42" s="26"/>
      <c r="K42" s="27"/>
      <c r="L42" s="27"/>
      <c r="M42" s="27"/>
      <c r="N42" s="27"/>
      <c r="O42" s="31" t="str">
        <f aca="false">IF(G42="","",VLOOKUP(G42,Setup!$A$14:$C$17,3,0))</f>
        <v/>
      </c>
      <c r="P42" s="27"/>
      <c r="Q42" s="33" t="str">
        <f aca="false">IF(OR(P42="",M42&lt;&gt;"Paid",O42=""),"",P42/O42)</f>
        <v/>
      </c>
      <c r="R42" s="34" t="str">
        <f aca="false">IF(Q42="","",Q42+N(H42)*0.000000001)</f>
        <v/>
      </c>
      <c r="S42" s="32" t="str">
        <f aca="false">IF(R42="","",SUMPRODUCT((I$5:I$4004=I42)*ISNUMBER(R$5:R$4004)*(R$5:R$4004&gt;R42))+1)</f>
        <v/>
      </c>
      <c r="T42" s="32" t="str">
        <f aca="false">IF(S42="","",IF(S42&lt;=Setup!$B$5,"🏆 WINNER",""))</f>
        <v/>
      </c>
      <c r="U42" s="31" t="str">
        <f aca="false">IF(S42="","",I42&amp;"|"&amp;S42)</f>
        <v/>
      </c>
    </row>
    <row r="43" customFormat="false" ht="15" hidden="false" customHeight="false" outlineLevel="0" collapsed="false">
      <c r="A43" s="24" t="n">
        <v>39</v>
      </c>
      <c r="B43" s="25" t="str">
        <f aca="false">IF(OR(C43="",I43="",G43=""),"",IFERROR(VLOOKUP(I43,Setup!$A$9:$B$11,2,0),"???")&amp;"-"&amp;G43&amp;"-"&amp;TEXT(COUNTIFS(I$5:I43,I43,G$5:G43,G43),"0000"))</f>
        <v/>
      </c>
      <c r="C43" s="26"/>
      <c r="D43" s="26"/>
      <c r="E43" s="27"/>
      <c r="F43" s="27"/>
      <c r="G43" s="24" t="str">
        <f aca="false">IF(F43="","",IF(F43&lt;=5,"A",IF(F43&lt;=8,"B",IF(F43&lt;=10,"C","D"))))</f>
        <v/>
      </c>
      <c r="H43" s="28"/>
      <c r="I43" s="27"/>
      <c r="J43" s="26"/>
      <c r="K43" s="27"/>
      <c r="L43" s="27"/>
      <c r="M43" s="27"/>
      <c r="N43" s="27"/>
      <c r="O43" s="24" t="str">
        <f aca="false">IF(G43="","",VLOOKUP(G43,Setup!$A$14:$C$17,3,0))</f>
        <v/>
      </c>
      <c r="P43" s="27"/>
      <c r="Q43" s="29" t="str">
        <f aca="false">IF(OR(P43="",M43&lt;&gt;"Paid",O43=""),"",P43/O43)</f>
        <v/>
      </c>
      <c r="R43" s="30" t="str">
        <f aca="false">IF(Q43="","",Q43+N(H43)*0.000000001)</f>
        <v/>
      </c>
      <c r="S43" s="25" t="str">
        <f aca="false">IF(R43="","",SUMPRODUCT((I$5:I$4004=I43)*ISNUMBER(R$5:R$4004)*(R$5:R$4004&gt;R43))+1)</f>
        <v/>
      </c>
      <c r="T43" s="25" t="str">
        <f aca="false">IF(S43="","",IF(S43&lt;=Setup!$B$5,"🏆 WINNER",""))</f>
        <v/>
      </c>
      <c r="U43" s="24" t="str">
        <f aca="false">IF(S43="","",I43&amp;"|"&amp;S43)</f>
        <v/>
      </c>
    </row>
    <row r="44" customFormat="false" ht="15" hidden="false" customHeight="false" outlineLevel="0" collapsed="false">
      <c r="A44" s="31" t="n">
        <v>40</v>
      </c>
      <c r="B44" s="32" t="str">
        <f aca="false">IF(OR(C44="",I44="",G44=""),"",IFERROR(VLOOKUP(I44,Setup!$A$9:$B$11,2,0),"???")&amp;"-"&amp;G44&amp;"-"&amp;TEXT(COUNTIFS(I$5:I44,I44,G$5:G44,G44),"0000"))</f>
        <v/>
      </c>
      <c r="C44" s="26"/>
      <c r="D44" s="26"/>
      <c r="E44" s="27"/>
      <c r="F44" s="27"/>
      <c r="G44" s="31" t="str">
        <f aca="false">IF(F44="","",IF(F44&lt;=5,"A",IF(F44&lt;=8,"B",IF(F44&lt;=10,"C","D"))))</f>
        <v/>
      </c>
      <c r="H44" s="28"/>
      <c r="I44" s="27"/>
      <c r="J44" s="26"/>
      <c r="K44" s="27"/>
      <c r="L44" s="27"/>
      <c r="M44" s="27"/>
      <c r="N44" s="27"/>
      <c r="O44" s="31" t="str">
        <f aca="false">IF(G44="","",VLOOKUP(G44,Setup!$A$14:$C$17,3,0))</f>
        <v/>
      </c>
      <c r="P44" s="27"/>
      <c r="Q44" s="33" t="str">
        <f aca="false">IF(OR(P44="",M44&lt;&gt;"Paid",O44=""),"",P44/O44)</f>
        <v/>
      </c>
      <c r="R44" s="34" t="str">
        <f aca="false">IF(Q44="","",Q44+N(H44)*0.000000001)</f>
        <v/>
      </c>
      <c r="S44" s="32" t="str">
        <f aca="false">IF(R44="","",SUMPRODUCT((I$5:I$4004=I44)*ISNUMBER(R$5:R$4004)*(R$5:R$4004&gt;R44))+1)</f>
        <v/>
      </c>
      <c r="T44" s="32" t="str">
        <f aca="false">IF(S44="","",IF(S44&lt;=Setup!$B$5,"🏆 WINNER",""))</f>
        <v/>
      </c>
      <c r="U44" s="31" t="str">
        <f aca="false">IF(S44="","",I44&amp;"|"&amp;S44)</f>
        <v/>
      </c>
    </row>
    <row r="45" customFormat="false" ht="15" hidden="false" customHeight="false" outlineLevel="0" collapsed="false">
      <c r="A45" s="24" t="n">
        <v>41</v>
      </c>
      <c r="B45" s="25" t="str">
        <f aca="false">IF(OR(C45="",I45="",G45=""),"",IFERROR(VLOOKUP(I45,Setup!$A$9:$B$11,2,0),"???")&amp;"-"&amp;G45&amp;"-"&amp;TEXT(COUNTIFS(I$5:I45,I45,G$5:G45,G45),"0000"))</f>
        <v/>
      </c>
      <c r="C45" s="26"/>
      <c r="D45" s="26"/>
      <c r="E45" s="27"/>
      <c r="F45" s="27"/>
      <c r="G45" s="24" t="str">
        <f aca="false">IF(F45="","",IF(F45&lt;=5,"A",IF(F45&lt;=8,"B",IF(F45&lt;=10,"C","D"))))</f>
        <v/>
      </c>
      <c r="H45" s="28"/>
      <c r="I45" s="27"/>
      <c r="J45" s="26"/>
      <c r="K45" s="27"/>
      <c r="L45" s="27"/>
      <c r="M45" s="27"/>
      <c r="N45" s="27"/>
      <c r="O45" s="24" t="str">
        <f aca="false">IF(G45="","",VLOOKUP(G45,Setup!$A$14:$C$17,3,0))</f>
        <v/>
      </c>
      <c r="P45" s="27"/>
      <c r="Q45" s="29" t="str">
        <f aca="false">IF(OR(P45="",M45&lt;&gt;"Paid",O45=""),"",P45/O45)</f>
        <v/>
      </c>
      <c r="R45" s="30" t="str">
        <f aca="false">IF(Q45="","",Q45+N(H45)*0.000000001)</f>
        <v/>
      </c>
      <c r="S45" s="25" t="str">
        <f aca="false">IF(R45="","",SUMPRODUCT((I$5:I$4004=I45)*ISNUMBER(R$5:R$4004)*(R$5:R$4004&gt;R45))+1)</f>
        <v/>
      </c>
      <c r="T45" s="25" t="str">
        <f aca="false">IF(S45="","",IF(S45&lt;=Setup!$B$5,"🏆 WINNER",""))</f>
        <v/>
      </c>
      <c r="U45" s="24" t="str">
        <f aca="false">IF(S45="","",I45&amp;"|"&amp;S45)</f>
        <v/>
      </c>
    </row>
    <row r="46" customFormat="false" ht="15" hidden="false" customHeight="false" outlineLevel="0" collapsed="false">
      <c r="A46" s="31" t="n">
        <v>42</v>
      </c>
      <c r="B46" s="32" t="str">
        <f aca="false">IF(OR(C46="",I46="",G46=""),"",IFERROR(VLOOKUP(I46,Setup!$A$9:$B$11,2,0),"???")&amp;"-"&amp;G46&amp;"-"&amp;TEXT(COUNTIFS(I$5:I46,I46,G$5:G46,G46),"0000"))</f>
        <v/>
      </c>
      <c r="C46" s="26"/>
      <c r="D46" s="26"/>
      <c r="E46" s="27"/>
      <c r="F46" s="27"/>
      <c r="G46" s="31" t="str">
        <f aca="false">IF(F46="","",IF(F46&lt;=5,"A",IF(F46&lt;=8,"B",IF(F46&lt;=10,"C","D"))))</f>
        <v/>
      </c>
      <c r="H46" s="28"/>
      <c r="I46" s="27"/>
      <c r="J46" s="26"/>
      <c r="K46" s="27"/>
      <c r="L46" s="27"/>
      <c r="M46" s="27"/>
      <c r="N46" s="27"/>
      <c r="O46" s="31" t="str">
        <f aca="false">IF(G46="","",VLOOKUP(G46,Setup!$A$14:$C$17,3,0))</f>
        <v/>
      </c>
      <c r="P46" s="27"/>
      <c r="Q46" s="33" t="str">
        <f aca="false">IF(OR(P46="",M46&lt;&gt;"Paid",O46=""),"",P46/O46)</f>
        <v/>
      </c>
      <c r="R46" s="34" t="str">
        <f aca="false">IF(Q46="","",Q46+N(H46)*0.000000001)</f>
        <v/>
      </c>
      <c r="S46" s="32" t="str">
        <f aca="false">IF(R46="","",SUMPRODUCT((I$5:I$4004=I46)*ISNUMBER(R$5:R$4004)*(R$5:R$4004&gt;R46))+1)</f>
        <v/>
      </c>
      <c r="T46" s="32" t="str">
        <f aca="false">IF(S46="","",IF(S46&lt;=Setup!$B$5,"🏆 WINNER",""))</f>
        <v/>
      </c>
      <c r="U46" s="31" t="str">
        <f aca="false">IF(S46="","",I46&amp;"|"&amp;S46)</f>
        <v/>
      </c>
    </row>
    <row r="47" customFormat="false" ht="15" hidden="false" customHeight="false" outlineLevel="0" collapsed="false">
      <c r="A47" s="24" t="n">
        <v>43</v>
      </c>
      <c r="B47" s="25" t="str">
        <f aca="false">IF(OR(C47="",I47="",G47=""),"",IFERROR(VLOOKUP(I47,Setup!$A$9:$B$11,2,0),"???")&amp;"-"&amp;G47&amp;"-"&amp;TEXT(COUNTIFS(I$5:I47,I47,G$5:G47,G47),"0000"))</f>
        <v/>
      </c>
      <c r="C47" s="26"/>
      <c r="D47" s="26"/>
      <c r="E47" s="27"/>
      <c r="F47" s="27"/>
      <c r="G47" s="24" t="str">
        <f aca="false">IF(F47="","",IF(F47&lt;=5,"A",IF(F47&lt;=8,"B",IF(F47&lt;=10,"C","D"))))</f>
        <v/>
      </c>
      <c r="H47" s="28"/>
      <c r="I47" s="27"/>
      <c r="J47" s="26"/>
      <c r="K47" s="27"/>
      <c r="L47" s="27"/>
      <c r="M47" s="27"/>
      <c r="N47" s="27"/>
      <c r="O47" s="24" t="str">
        <f aca="false">IF(G47="","",VLOOKUP(G47,Setup!$A$14:$C$17,3,0))</f>
        <v/>
      </c>
      <c r="P47" s="27"/>
      <c r="Q47" s="29" t="str">
        <f aca="false">IF(OR(P47="",M47&lt;&gt;"Paid",O47=""),"",P47/O47)</f>
        <v/>
      </c>
      <c r="R47" s="30" t="str">
        <f aca="false">IF(Q47="","",Q47+N(H47)*0.000000001)</f>
        <v/>
      </c>
      <c r="S47" s="25" t="str">
        <f aca="false">IF(R47="","",SUMPRODUCT((I$5:I$4004=I47)*ISNUMBER(R$5:R$4004)*(R$5:R$4004&gt;R47))+1)</f>
        <v/>
      </c>
      <c r="T47" s="25" t="str">
        <f aca="false">IF(S47="","",IF(S47&lt;=Setup!$B$5,"🏆 WINNER",""))</f>
        <v/>
      </c>
      <c r="U47" s="24" t="str">
        <f aca="false">IF(S47="","",I47&amp;"|"&amp;S47)</f>
        <v/>
      </c>
    </row>
    <row r="48" customFormat="false" ht="15" hidden="false" customHeight="false" outlineLevel="0" collapsed="false">
      <c r="A48" s="31" t="n">
        <v>44</v>
      </c>
      <c r="B48" s="32" t="str">
        <f aca="false">IF(OR(C48="",I48="",G48=""),"",IFERROR(VLOOKUP(I48,Setup!$A$9:$B$11,2,0),"???")&amp;"-"&amp;G48&amp;"-"&amp;TEXT(COUNTIFS(I$5:I48,I48,G$5:G48,G48),"0000"))</f>
        <v/>
      </c>
      <c r="C48" s="26"/>
      <c r="D48" s="26"/>
      <c r="E48" s="27"/>
      <c r="F48" s="27"/>
      <c r="G48" s="31" t="str">
        <f aca="false">IF(F48="","",IF(F48&lt;=5,"A",IF(F48&lt;=8,"B",IF(F48&lt;=10,"C","D"))))</f>
        <v/>
      </c>
      <c r="H48" s="28"/>
      <c r="I48" s="27"/>
      <c r="J48" s="26"/>
      <c r="K48" s="27"/>
      <c r="L48" s="27"/>
      <c r="M48" s="27"/>
      <c r="N48" s="27"/>
      <c r="O48" s="31" t="str">
        <f aca="false">IF(G48="","",VLOOKUP(G48,Setup!$A$14:$C$17,3,0))</f>
        <v/>
      </c>
      <c r="P48" s="27"/>
      <c r="Q48" s="33" t="str">
        <f aca="false">IF(OR(P48="",M48&lt;&gt;"Paid",O48=""),"",P48/O48)</f>
        <v/>
      </c>
      <c r="R48" s="34" t="str">
        <f aca="false">IF(Q48="","",Q48+N(H48)*0.000000001)</f>
        <v/>
      </c>
      <c r="S48" s="32" t="str">
        <f aca="false">IF(R48="","",SUMPRODUCT((I$5:I$4004=I48)*ISNUMBER(R$5:R$4004)*(R$5:R$4004&gt;R48))+1)</f>
        <v/>
      </c>
      <c r="T48" s="32" t="str">
        <f aca="false">IF(S48="","",IF(S48&lt;=Setup!$B$5,"🏆 WINNER",""))</f>
        <v/>
      </c>
      <c r="U48" s="31" t="str">
        <f aca="false">IF(S48="","",I48&amp;"|"&amp;S48)</f>
        <v/>
      </c>
    </row>
    <row r="49" customFormat="false" ht="15" hidden="false" customHeight="false" outlineLevel="0" collapsed="false">
      <c r="A49" s="24" t="n">
        <v>45</v>
      </c>
      <c r="B49" s="25" t="str">
        <f aca="false">IF(OR(C49="",I49="",G49=""),"",IFERROR(VLOOKUP(I49,Setup!$A$9:$B$11,2,0),"???")&amp;"-"&amp;G49&amp;"-"&amp;TEXT(COUNTIFS(I$5:I49,I49,G$5:G49,G49),"0000"))</f>
        <v/>
      </c>
      <c r="C49" s="26"/>
      <c r="D49" s="26"/>
      <c r="E49" s="27"/>
      <c r="F49" s="27"/>
      <c r="G49" s="24" t="str">
        <f aca="false">IF(F49="","",IF(F49&lt;=5,"A",IF(F49&lt;=8,"B",IF(F49&lt;=10,"C","D"))))</f>
        <v/>
      </c>
      <c r="H49" s="28"/>
      <c r="I49" s="27"/>
      <c r="J49" s="26"/>
      <c r="K49" s="27"/>
      <c r="L49" s="27"/>
      <c r="M49" s="27"/>
      <c r="N49" s="27"/>
      <c r="O49" s="24" t="str">
        <f aca="false">IF(G49="","",VLOOKUP(G49,Setup!$A$14:$C$17,3,0))</f>
        <v/>
      </c>
      <c r="P49" s="27"/>
      <c r="Q49" s="29" t="str">
        <f aca="false">IF(OR(P49="",M49&lt;&gt;"Paid",O49=""),"",P49/O49)</f>
        <v/>
      </c>
      <c r="R49" s="30" t="str">
        <f aca="false">IF(Q49="","",Q49+N(H49)*0.000000001)</f>
        <v/>
      </c>
      <c r="S49" s="25" t="str">
        <f aca="false">IF(R49="","",SUMPRODUCT((I$5:I$4004=I49)*ISNUMBER(R$5:R$4004)*(R$5:R$4004&gt;R49))+1)</f>
        <v/>
      </c>
      <c r="T49" s="25" t="str">
        <f aca="false">IF(S49="","",IF(S49&lt;=Setup!$B$5,"🏆 WINNER",""))</f>
        <v/>
      </c>
      <c r="U49" s="24" t="str">
        <f aca="false">IF(S49="","",I49&amp;"|"&amp;S49)</f>
        <v/>
      </c>
    </row>
    <row r="50" customFormat="false" ht="15" hidden="false" customHeight="false" outlineLevel="0" collapsed="false">
      <c r="A50" s="31" t="n">
        <v>46</v>
      </c>
      <c r="B50" s="32" t="str">
        <f aca="false">IF(OR(C50="",I50="",G50=""),"",IFERROR(VLOOKUP(I50,Setup!$A$9:$B$11,2,0),"???")&amp;"-"&amp;G50&amp;"-"&amp;TEXT(COUNTIFS(I$5:I50,I50,G$5:G50,G50),"0000"))</f>
        <v/>
      </c>
      <c r="C50" s="26"/>
      <c r="D50" s="26"/>
      <c r="E50" s="27"/>
      <c r="F50" s="27"/>
      <c r="G50" s="31" t="str">
        <f aca="false">IF(F50="","",IF(F50&lt;=5,"A",IF(F50&lt;=8,"B",IF(F50&lt;=10,"C","D"))))</f>
        <v/>
      </c>
      <c r="H50" s="28"/>
      <c r="I50" s="27"/>
      <c r="J50" s="26"/>
      <c r="K50" s="27"/>
      <c r="L50" s="27"/>
      <c r="M50" s="27"/>
      <c r="N50" s="27"/>
      <c r="O50" s="31" t="str">
        <f aca="false">IF(G50="","",VLOOKUP(G50,Setup!$A$14:$C$17,3,0))</f>
        <v/>
      </c>
      <c r="P50" s="27"/>
      <c r="Q50" s="33" t="str">
        <f aca="false">IF(OR(P50="",M50&lt;&gt;"Paid",O50=""),"",P50/O50)</f>
        <v/>
      </c>
      <c r="R50" s="34" t="str">
        <f aca="false">IF(Q50="","",Q50+N(H50)*0.000000001)</f>
        <v/>
      </c>
      <c r="S50" s="32" t="str">
        <f aca="false">IF(R50="","",SUMPRODUCT((I$5:I$4004=I50)*ISNUMBER(R$5:R$4004)*(R$5:R$4004&gt;R50))+1)</f>
        <v/>
      </c>
      <c r="T50" s="32" t="str">
        <f aca="false">IF(S50="","",IF(S50&lt;=Setup!$B$5,"🏆 WINNER",""))</f>
        <v/>
      </c>
      <c r="U50" s="31" t="str">
        <f aca="false">IF(S50="","",I50&amp;"|"&amp;S50)</f>
        <v/>
      </c>
    </row>
    <row r="51" customFormat="false" ht="15" hidden="false" customHeight="false" outlineLevel="0" collapsed="false">
      <c r="A51" s="24" t="n">
        <v>47</v>
      </c>
      <c r="B51" s="25" t="str">
        <f aca="false">IF(OR(C51="",I51="",G51=""),"",IFERROR(VLOOKUP(I51,Setup!$A$9:$B$11,2,0),"???")&amp;"-"&amp;G51&amp;"-"&amp;TEXT(COUNTIFS(I$5:I51,I51,G$5:G51,G51),"0000"))</f>
        <v/>
      </c>
      <c r="C51" s="26"/>
      <c r="D51" s="26"/>
      <c r="E51" s="27"/>
      <c r="F51" s="27"/>
      <c r="G51" s="24" t="str">
        <f aca="false">IF(F51="","",IF(F51&lt;=5,"A",IF(F51&lt;=8,"B",IF(F51&lt;=10,"C","D"))))</f>
        <v/>
      </c>
      <c r="H51" s="28"/>
      <c r="I51" s="27"/>
      <c r="J51" s="26"/>
      <c r="K51" s="27"/>
      <c r="L51" s="27"/>
      <c r="M51" s="27"/>
      <c r="N51" s="27"/>
      <c r="O51" s="24" t="str">
        <f aca="false">IF(G51="","",VLOOKUP(G51,Setup!$A$14:$C$17,3,0))</f>
        <v/>
      </c>
      <c r="P51" s="27"/>
      <c r="Q51" s="29" t="str">
        <f aca="false">IF(OR(P51="",M51&lt;&gt;"Paid",O51=""),"",P51/O51)</f>
        <v/>
      </c>
      <c r="R51" s="30" t="str">
        <f aca="false">IF(Q51="","",Q51+N(H51)*0.000000001)</f>
        <v/>
      </c>
      <c r="S51" s="25" t="str">
        <f aca="false">IF(R51="","",SUMPRODUCT((I$5:I$4004=I51)*ISNUMBER(R$5:R$4004)*(R$5:R$4004&gt;R51))+1)</f>
        <v/>
      </c>
      <c r="T51" s="25" t="str">
        <f aca="false">IF(S51="","",IF(S51&lt;=Setup!$B$5,"🏆 WINNER",""))</f>
        <v/>
      </c>
      <c r="U51" s="24" t="str">
        <f aca="false">IF(S51="","",I51&amp;"|"&amp;S51)</f>
        <v/>
      </c>
    </row>
    <row r="52" customFormat="false" ht="15" hidden="false" customHeight="false" outlineLevel="0" collapsed="false">
      <c r="A52" s="31" t="n">
        <v>48</v>
      </c>
      <c r="B52" s="32" t="str">
        <f aca="false">IF(OR(C52="",I52="",G52=""),"",IFERROR(VLOOKUP(I52,Setup!$A$9:$B$11,2,0),"???")&amp;"-"&amp;G52&amp;"-"&amp;TEXT(COUNTIFS(I$5:I52,I52,G$5:G52,G52),"0000"))</f>
        <v/>
      </c>
      <c r="C52" s="26"/>
      <c r="D52" s="26"/>
      <c r="E52" s="27"/>
      <c r="F52" s="27"/>
      <c r="G52" s="31" t="str">
        <f aca="false">IF(F52="","",IF(F52&lt;=5,"A",IF(F52&lt;=8,"B",IF(F52&lt;=10,"C","D"))))</f>
        <v/>
      </c>
      <c r="H52" s="28"/>
      <c r="I52" s="27"/>
      <c r="J52" s="26"/>
      <c r="K52" s="27"/>
      <c r="L52" s="27"/>
      <c r="M52" s="27"/>
      <c r="N52" s="27"/>
      <c r="O52" s="31" t="str">
        <f aca="false">IF(G52="","",VLOOKUP(G52,Setup!$A$14:$C$17,3,0))</f>
        <v/>
      </c>
      <c r="P52" s="27"/>
      <c r="Q52" s="33" t="str">
        <f aca="false">IF(OR(P52="",M52&lt;&gt;"Paid",O52=""),"",P52/O52)</f>
        <v/>
      </c>
      <c r="R52" s="34" t="str">
        <f aca="false">IF(Q52="","",Q52+N(H52)*0.000000001)</f>
        <v/>
      </c>
      <c r="S52" s="32" t="str">
        <f aca="false">IF(R52="","",SUMPRODUCT((I$5:I$4004=I52)*ISNUMBER(R$5:R$4004)*(R$5:R$4004&gt;R52))+1)</f>
        <v/>
      </c>
      <c r="T52" s="32" t="str">
        <f aca="false">IF(S52="","",IF(S52&lt;=Setup!$B$5,"🏆 WINNER",""))</f>
        <v/>
      </c>
      <c r="U52" s="31" t="str">
        <f aca="false">IF(S52="","",I52&amp;"|"&amp;S52)</f>
        <v/>
      </c>
    </row>
    <row r="53" customFormat="false" ht="15" hidden="false" customHeight="false" outlineLevel="0" collapsed="false">
      <c r="A53" s="24" t="n">
        <v>49</v>
      </c>
      <c r="B53" s="25" t="str">
        <f aca="false">IF(OR(C53="",I53="",G53=""),"",IFERROR(VLOOKUP(I53,Setup!$A$9:$B$11,2,0),"???")&amp;"-"&amp;G53&amp;"-"&amp;TEXT(COUNTIFS(I$5:I53,I53,G$5:G53,G53),"0000"))</f>
        <v/>
      </c>
      <c r="C53" s="26"/>
      <c r="D53" s="26"/>
      <c r="E53" s="27"/>
      <c r="F53" s="27"/>
      <c r="G53" s="24" t="str">
        <f aca="false">IF(F53="","",IF(F53&lt;=5,"A",IF(F53&lt;=8,"B",IF(F53&lt;=10,"C","D"))))</f>
        <v/>
      </c>
      <c r="H53" s="28"/>
      <c r="I53" s="27"/>
      <c r="J53" s="26"/>
      <c r="K53" s="27"/>
      <c r="L53" s="27"/>
      <c r="M53" s="27"/>
      <c r="N53" s="27"/>
      <c r="O53" s="24" t="str">
        <f aca="false">IF(G53="","",VLOOKUP(G53,Setup!$A$14:$C$17,3,0))</f>
        <v/>
      </c>
      <c r="P53" s="27"/>
      <c r="Q53" s="29" t="str">
        <f aca="false">IF(OR(P53="",M53&lt;&gt;"Paid",O53=""),"",P53/O53)</f>
        <v/>
      </c>
      <c r="R53" s="30" t="str">
        <f aca="false">IF(Q53="","",Q53+N(H53)*0.000000001)</f>
        <v/>
      </c>
      <c r="S53" s="25" t="str">
        <f aca="false">IF(R53="","",SUMPRODUCT((I$5:I$4004=I53)*ISNUMBER(R$5:R$4004)*(R$5:R$4004&gt;R53))+1)</f>
        <v/>
      </c>
      <c r="T53" s="25" t="str">
        <f aca="false">IF(S53="","",IF(S53&lt;=Setup!$B$5,"🏆 WINNER",""))</f>
        <v/>
      </c>
      <c r="U53" s="24" t="str">
        <f aca="false">IF(S53="","",I53&amp;"|"&amp;S53)</f>
        <v/>
      </c>
    </row>
    <row r="54" customFormat="false" ht="15" hidden="false" customHeight="false" outlineLevel="0" collapsed="false">
      <c r="A54" s="31" t="n">
        <v>50</v>
      </c>
      <c r="B54" s="32" t="str">
        <f aca="false">IF(OR(C54="",I54="",G54=""),"",IFERROR(VLOOKUP(I54,Setup!$A$9:$B$11,2,0),"???")&amp;"-"&amp;G54&amp;"-"&amp;TEXT(COUNTIFS(I$5:I54,I54,G$5:G54,G54),"0000"))</f>
        <v/>
      </c>
      <c r="C54" s="26"/>
      <c r="D54" s="26"/>
      <c r="E54" s="27"/>
      <c r="F54" s="27"/>
      <c r="G54" s="31" t="str">
        <f aca="false">IF(F54="","",IF(F54&lt;=5,"A",IF(F54&lt;=8,"B",IF(F54&lt;=10,"C","D"))))</f>
        <v/>
      </c>
      <c r="H54" s="28"/>
      <c r="I54" s="27"/>
      <c r="J54" s="26"/>
      <c r="K54" s="27"/>
      <c r="L54" s="27"/>
      <c r="M54" s="27"/>
      <c r="N54" s="27"/>
      <c r="O54" s="31" t="str">
        <f aca="false">IF(G54="","",VLOOKUP(G54,Setup!$A$14:$C$17,3,0))</f>
        <v/>
      </c>
      <c r="P54" s="27"/>
      <c r="Q54" s="33" t="str">
        <f aca="false">IF(OR(P54="",M54&lt;&gt;"Paid",O54=""),"",P54/O54)</f>
        <v/>
      </c>
      <c r="R54" s="34" t="str">
        <f aca="false">IF(Q54="","",Q54+N(H54)*0.000000001)</f>
        <v/>
      </c>
      <c r="S54" s="32" t="str">
        <f aca="false">IF(R54="","",SUMPRODUCT((I$5:I$4004=I54)*ISNUMBER(R$5:R$4004)*(R$5:R$4004&gt;R54))+1)</f>
        <v/>
      </c>
      <c r="T54" s="32" t="str">
        <f aca="false">IF(S54="","",IF(S54&lt;=Setup!$B$5,"🏆 WINNER",""))</f>
        <v/>
      </c>
      <c r="U54" s="31" t="str">
        <f aca="false">IF(S54="","",I54&amp;"|"&amp;S54)</f>
        <v/>
      </c>
    </row>
    <row r="55" customFormat="false" ht="15" hidden="false" customHeight="false" outlineLevel="0" collapsed="false">
      <c r="A55" s="24" t="n">
        <v>51</v>
      </c>
      <c r="B55" s="25" t="str">
        <f aca="false">IF(OR(C55="",I55="",G55=""),"",IFERROR(VLOOKUP(I55,Setup!$A$9:$B$11,2,0),"???")&amp;"-"&amp;G55&amp;"-"&amp;TEXT(COUNTIFS(I$5:I55,I55,G$5:G55,G55),"0000"))</f>
        <v/>
      </c>
      <c r="C55" s="26"/>
      <c r="D55" s="26"/>
      <c r="E55" s="27"/>
      <c r="F55" s="27"/>
      <c r="G55" s="24" t="str">
        <f aca="false">IF(F55="","",IF(F55&lt;=5,"A",IF(F55&lt;=8,"B",IF(F55&lt;=10,"C","D"))))</f>
        <v/>
      </c>
      <c r="H55" s="28"/>
      <c r="I55" s="27"/>
      <c r="J55" s="26"/>
      <c r="K55" s="27"/>
      <c r="L55" s="27"/>
      <c r="M55" s="27"/>
      <c r="N55" s="27"/>
      <c r="O55" s="24" t="str">
        <f aca="false">IF(G55="","",VLOOKUP(G55,Setup!$A$14:$C$17,3,0))</f>
        <v/>
      </c>
      <c r="P55" s="27"/>
      <c r="Q55" s="29" t="str">
        <f aca="false">IF(OR(P55="",M55&lt;&gt;"Paid",O55=""),"",P55/O55)</f>
        <v/>
      </c>
      <c r="R55" s="30" t="str">
        <f aca="false">IF(Q55="","",Q55+N(H55)*0.000000001)</f>
        <v/>
      </c>
      <c r="S55" s="25" t="str">
        <f aca="false">IF(R55="","",SUMPRODUCT((I$5:I$4004=I55)*ISNUMBER(R$5:R$4004)*(R$5:R$4004&gt;R55))+1)</f>
        <v/>
      </c>
      <c r="T55" s="25" t="str">
        <f aca="false">IF(S55="","",IF(S55&lt;=Setup!$B$5,"🏆 WINNER",""))</f>
        <v/>
      </c>
      <c r="U55" s="24" t="str">
        <f aca="false">IF(S55="","",I55&amp;"|"&amp;S55)</f>
        <v/>
      </c>
    </row>
    <row r="56" customFormat="false" ht="15" hidden="false" customHeight="false" outlineLevel="0" collapsed="false">
      <c r="A56" s="31" t="n">
        <v>52</v>
      </c>
      <c r="B56" s="32" t="str">
        <f aca="false">IF(OR(C56="",I56="",G56=""),"",IFERROR(VLOOKUP(I56,Setup!$A$9:$B$11,2,0),"???")&amp;"-"&amp;G56&amp;"-"&amp;TEXT(COUNTIFS(I$5:I56,I56,G$5:G56,G56),"0000"))</f>
        <v/>
      </c>
      <c r="C56" s="26"/>
      <c r="D56" s="26"/>
      <c r="E56" s="27"/>
      <c r="F56" s="27"/>
      <c r="G56" s="31" t="str">
        <f aca="false">IF(F56="","",IF(F56&lt;=5,"A",IF(F56&lt;=8,"B",IF(F56&lt;=10,"C","D"))))</f>
        <v/>
      </c>
      <c r="H56" s="28"/>
      <c r="I56" s="27"/>
      <c r="J56" s="26"/>
      <c r="K56" s="27"/>
      <c r="L56" s="27"/>
      <c r="M56" s="27"/>
      <c r="N56" s="27"/>
      <c r="O56" s="31" t="str">
        <f aca="false">IF(G56="","",VLOOKUP(G56,Setup!$A$14:$C$17,3,0))</f>
        <v/>
      </c>
      <c r="P56" s="27"/>
      <c r="Q56" s="33" t="str">
        <f aca="false">IF(OR(P56="",M56&lt;&gt;"Paid",O56=""),"",P56/O56)</f>
        <v/>
      </c>
      <c r="R56" s="34" t="str">
        <f aca="false">IF(Q56="","",Q56+N(H56)*0.000000001)</f>
        <v/>
      </c>
      <c r="S56" s="32" t="str">
        <f aca="false">IF(R56="","",SUMPRODUCT((I$5:I$4004=I56)*ISNUMBER(R$5:R$4004)*(R$5:R$4004&gt;R56))+1)</f>
        <v/>
      </c>
      <c r="T56" s="32" t="str">
        <f aca="false">IF(S56="","",IF(S56&lt;=Setup!$B$5,"🏆 WINNER",""))</f>
        <v/>
      </c>
      <c r="U56" s="31" t="str">
        <f aca="false">IF(S56="","",I56&amp;"|"&amp;S56)</f>
        <v/>
      </c>
    </row>
    <row r="57" customFormat="false" ht="15" hidden="false" customHeight="false" outlineLevel="0" collapsed="false">
      <c r="A57" s="24" t="n">
        <v>53</v>
      </c>
      <c r="B57" s="25" t="str">
        <f aca="false">IF(OR(C57="",I57="",G57=""),"",IFERROR(VLOOKUP(I57,Setup!$A$9:$B$11,2,0),"???")&amp;"-"&amp;G57&amp;"-"&amp;TEXT(COUNTIFS(I$5:I57,I57,G$5:G57,G57),"0000"))</f>
        <v/>
      </c>
      <c r="C57" s="26"/>
      <c r="D57" s="26"/>
      <c r="E57" s="27"/>
      <c r="F57" s="27"/>
      <c r="G57" s="24" t="str">
        <f aca="false">IF(F57="","",IF(F57&lt;=5,"A",IF(F57&lt;=8,"B",IF(F57&lt;=10,"C","D"))))</f>
        <v/>
      </c>
      <c r="H57" s="28"/>
      <c r="I57" s="27"/>
      <c r="J57" s="26"/>
      <c r="K57" s="27"/>
      <c r="L57" s="27"/>
      <c r="M57" s="27"/>
      <c r="N57" s="27"/>
      <c r="O57" s="24" t="str">
        <f aca="false">IF(G57="","",VLOOKUP(G57,Setup!$A$14:$C$17,3,0))</f>
        <v/>
      </c>
      <c r="P57" s="27"/>
      <c r="Q57" s="29" t="str">
        <f aca="false">IF(OR(P57="",M57&lt;&gt;"Paid",O57=""),"",P57/O57)</f>
        <v/>
      </c>
      <c r="R57" s="30" t="str">
        <f aca="false">IF(Q57="","",Q57+N(H57)*0.000000001)</f>
        <v/>
      </c>
      <c r="S57" s="25" t="str">
        <f aca="false">IF(R57="","",SUMPRODUCT((I$5:I$4004=I57)*ISNUMBER(R$5:R$4004)*(R$5:R$4004&gt;R57))+1)</f>
        <v/>
      </c>
      <c r="T57" s="25" t="str">
        <f aca="false">IF(S57="","",IF(S57&lt;=Setup!$B$5,"🏆 WINNER",""))</f>
        <v/>
      </c>
      <c r="U57" s="24" t="str">
        <f aca="false">IF(S57="","",I57&amp;"|"&amp;S57)</f>
        <v/>
      </c>
    </row>
    <row r="58" customFormat="false" ht="15" hidden="false" customHeight="false" outlineLevel="0" collapsed="false">
      <c r="A58" s="31" t="n">
        <v>54</v>
      </c>
      <c r="B58" s="32" t="str">
        <f aca="false">IF(OR(C58="",I58="",G58=""),"",IFERROR(VLOOKUP(I58,Setup!$A$9:$B$11,2,0),"???")&amp;"-"&amp;G58&amp;"-"&amp;TEXT(COUNTIFS(I$5:I58,I58,G$5:G58,G58),"0000"))</f>
        <v/>
      </c>
      <c r="C58" s="26"/>
      <c r="D58" s="26"/>
      <c r="E58" s="27"/>
      <c r="F58" s="27"/>
      <c r="G58" s="31" t="str">
        <f aca="false">IF(F58="","",IF(F58&lt;=5,"A",IF(F58&lt;=8,"B",IF(F58&lt;=10,"C","D"))))</f>
        <v/>
      </c>
      <c r="H58" s="28"/>
      <c r="I58" s="27"/>
      <c r="J58" s="26"/>
      <c r="K58" s="27"/>
      <c r="L58" s="27"/>
      <c r="M58" s="27"/>
      <c r="N58" s="27"/>
      <c r="O58" s="31" t="str">
        <f aca="false">IF(G58="","",VLOOKUP(G58,Setup!$A$14:$C$17,3,0))</f>
        <v/>
      </c>
      <c r="P58" s="27"/>
      <c r="Q58" s="33" t="str">
        <f aca="false">IF(OR(P58="",M58&lt;&gt;"Paid",O58=""),"",P58/O58)</f>
        <v/>
      </c>
      <c r="R58" s="34" t="str">
        <f aca="false">IF(Q58="","",Q58+N(H58)*0.000000001)</f>
        <v/>
      </c>
      <c r="S58" s="32" t="str">
        <f aca="false">IF(R58="","",SUMPRODUCT((I$5:I$4004=I58)*ISNUMBER(R$5:R$4004)*(R$5:R$4004&gt;R58))+1)</f>
        <v/>
      </c>
      <c r="T58" s="32" t="str">
        <f aca="false">IF(S58="","",IF(S58&lt;=Setup!$B$5,"🏆 WINNER",""))</f>
        <v/>
      </c>
      <c r="U58" s="31" t="str">
        <f aca="false">IF(S58="","",I58&amp;"|"&amp;S58)</f>
        <v/>
      </c>
    </row>
    <row r="59" customFormat="false" ht="15" hidden="false" customHeight="false" outlineLevel="0" collapsed="false">
      <c r="A59" s="24" t="n">
        <v>55</v>
      </c>
      <c r="B59" s="25" t="str">
        <f aca="false">IF(OR(C59="",I59="",G59=""),"",IFERROR(VLOOKUP(I59,Setup!$A$9:$B$11,2,0),"???")&amp;"-"&amp;G59&amp;"-"&amp;TEXT(COUNTIFS(I$5:I59,I59,G$5:G59,G59),"0000"))</f>
        <v/>
      </c>
      <c r="C59" s="26"/>
      <c r="D59" s="26"/>
      <c r="E59" s="27"/>
      <c r="F59" s="27"/>
      <c r="G59" s="24" t="str">
        <f aca="false">IF(F59="","",IF(F59&lt;=5,"A",IF(F59&lt;=8,"B",IF(F59&lt;=10,"C","D"))))</f>
        <v/>
      </c>
      <c r="H59" s="28"/>
      <c r="I59" s="27"/>
      <c r="J59" s="26"/>
      <c r="K59" s="27"/>
      <c r="L59" s="27"/>
      <c r="M59" s="27"/>
      <c r="N59" s="27"/>
      <c r="O59" s="24" t="str">
        <f aca="false">IF(G59="","",VLOOKUP(G59,Setup!$A$14:$C$17,3,0))</f>
        <v/>
      </c>
      <c r="P59" s="27"/>
      <c r="Q59" s="29" t="str">
        <f aca="false">IF(OR(P59="",M59&lt;&gt;"Paid",O59=""),"",P59/O59)</f>
        <v/>
      </c>
      <c r="R59" s="30" t="str">
        <f aca="false">IF(Q59="","",Q59+N(H59)*0.000000001)</f>
        <v/>
      </c>
      <c r="S59" s="25" t="str">
        <f aca="false">IF(R59="","",SUMPRODUCT((I$5:I$4004=I59)*ISNUMBER(R$5:R$4004)*(R$5:R$4004&gt;R59))+1)</f>
        <v/>
      </c>
      <c r="T59" s="25" t="str">
        <f aca="false">IF(S59="","",IF(S59&lt;=Setup!$B$5,"🏆 WINNER",""))</f>
        <v/>
      </c>
      <c r="U59" s="24" t="str">
        <f aca="false">IF(S59="","",I59&amp;"|"&amp;S59)</f>
        <v/>
      </c>
    </row>
    <row r="60" customFormat="false" ht="15" hidden="false" customHeight="false" outlineLevel="0" collapsed="false">
      <c r="A60" s="31" t="n">
        <v>56</v>
      </c>
      <c r="B60" s="32" t="str">
        <f aca="false">IF(OR(C60="",I60="",G60=""),"",IFERROR(VLOOKUP(I60,Setup!$A$9:$B$11,2,0),"???")&amp;"-"&amp;G60&amp;"-"&amp;TEXT(COUNTIFS(I$5:I60,I60,G$5:G60,G60),"0000"))</f>
        <v/>
      </c>
      <c r="C60" s="26"/>
      <c r="D60" s="26"/>
      <c r="E60" s="27"/>
      <c r="F60" s="27"/>
      <c r="G60" s="31" t="str">
        <f aca="false">IF(F60="","",IF(F60&lt;=5,"A",IF(F60&lt;=8,"B",IF(F60&lt;=10,"C","D"))))</f>
        <v/>
      </c>
      <c r="H60" s="28"/>
      <c r="I60" s="27"/>
      <c r="J60" s="26"/>
      <c r="K60" s="27"/>
      <c r="L60" s="27"/>
      <c r="M60" s="27"/>
      <c r="N60" s="27"/>
      <c r="O60" s="31" t="str">
        <f aca="false">IF(G60="","",VLOOKUP(G60,Setup!$A$14:$C$17,3,0))</f>
        <v/>
      </c>
      <c r="P60" s="27"/>
      <c r="Q60" s="33" t="str">
        <f aca="false">IF(OR(P60="",M60&lt;&gt;"Paid",O60=""),"",P60/O60)</f>
        <v/>
      </c>
      <c r="R60" s="34" t="str">
        <f aca="false">IF(Q60="","",Q60+N(H60)*0.000000001)</f>
        <v/>
      </c>
      <c r="S60" s="32" t="str">
        <f aca="false">IF(R60="","",SUMPRODUCT((I$5:I$4004=I60)*ISNUMBER(R$5:R$4004)*(R$5:R$4004&gt;R60))+1)</f>
        <v/>
      </c>
      <c r="T60" s="32" t="str">
        <f aca="false">IF(S60="","",IF(S60&lt;=Setup!$B$5,"🏆 WINNER",""))</f>
        <v/>
      </c>
      <c r="U60" s="31" t="str">
        <f aca="false">IF(S60="","",I60&amp;"|"&amp;S60)</f>
        <v/>
      </c>
    </row>
    <row r="61" customFormat="false" ht="15" hidden="false" customHeight="false" outlineLevel="0" collapsed="false">
      <c r="A61" s="24" t="n">
        <v>57</v>
      </c>
      <c r="B61" s="25" t="str">
        <f aca="false">IF(OR(C61="",I61="",G61=""),"",IFERROR(VLOOKUP(I61,Setup!$A$9:$B$11,2,0),"???")&amp;"-"&amp;G61&amp;"-"&amp;TEXT(COUNTIFS(I$5:I61,I61,G$5:G61,G61),"0000"))</f>
        <v/>
      </c>
      <c r="C61" s="26"/>
      <c r="D61" s="26"/>
      <c r="E61" s="27"/>
      <c r="F61" s="27"/>
      <c r="G61" s="24" t="str">
        <f aca="false">IF(F61="","",IF(F61&lt;=5,"A",IF(F61&lt;=8,"B",IF(F61&lt;=10,"C","D"))))</f>
        <v/>
      </c>
      <c r="H61" s="28"/>
      <c r="I61" s="27"/>
      <c r="J61" s="26"/>
      <c r="K61" s="27"/>
      <c r="L61" s="27"/>
      <c r="M61" s="27"/>
      <c r="N61" s="27"/>
      <c r="O61" s="24" t="str">
        <f aca="false">IF(G61="","",VLOOKUP(G61,Setup!$A$14:$C$17,3,0))</f>
        <v/>
      </c>
      <c r="P61" s="27"/>
      <c r="Q61" s="29" t="str">
        <f aca="false">IF(OR(P61="",M61&lt;&gt;"Paid",O61=""),"",P61/O61)</f>
        <v/>
      </c>
      <c r="R61" s="30" t="str">
        <f aca="false">IF(Q61="","",Q61+N(H61)*0.000000001)</f>
        <v/>
      </c>
      <c r="S61" s="25" t="str">
        <f aca="false">IF(R61="","",SUMPRODUCT((I$5:I$4004=I61)*ISNUMBER(R$5:R$4004)*(R$5:R$4004&gt;R61))+1)</f>
        <v/>
      </c>
      <c r="T61" s="25" t="str">
        <f aca="false">IF(S61="","",IF(S61&lt;=Setup!$B$5,"🏆 WINNER",""))</f>
        <v/>
      </c>
      <c r="U61" s="24" t="str">
        <f aca="false">IF(S61="","",I61&amp;"|"&amp;S61)</f>
        <v/>
      </c>
    </row>
    <row r="62" customFormat="false" ht="15" hidden="false" customHeight="false" outlineLevel="0" collapsed="false">
      <c r="A62" s="31" t="n">
        <v>58</v>
      </c>
      <c r="B62" s="32" t="str">
        <f aca="false">IF(OR(C62="",I62="",G62=""),"",IFERROR(VLOOKUP(I62,Setup!$A$9:$B$11,2,0),"???")&amp;"-"&amp;G62&amp;"-"&amp;TEXT(COUNTIFS(I$5:I62,I62,G$5:G62,G62),"0000"))</f>
        <v/>
      </c>
      <c r="C62" s="26"/>
      <c r="D62" s="26"/>
      <c r="E62" s="27"/>
      <c r="F62" s="27"/>
      <c r="G62" s="31" t="str">
        <f aca="false">IF(F62="","",IF(F62&lt;=5,"A",IF(F62&lt;=8,"B",IF(F62&lt;=10,"C","D"))))</f>
        <v/>
      </c>
      <c r="H62" s="28"/>
      <c r="I62" s="27"/>
      <c r="J62" s="26"/>
      <c r="K62" s="27"/>
      <c r="L62" s="27"/>
      <c r="M62" s="27"/>
      <c r="N62" s="27"/>
      <c r="O62" s="31" t="str">
        <f aca="false">IF(G62="","",VLOOKUP(G62,Setup!$A$14:$C$17,3,0))</f>
        <v/>
      </c>
      <c r="P62" s="27"/>
      <c r="Q62" s="33" t="str">
        <f aca="false">IF(OR(P62="",M62&lt;&gt;"Paid",O62=""),"",P62/O62)</f>
        <v/>
      </c>
      <c r="R62" s="34" t="str">
        <f aca="false">IF(Q62="","",Q62+N(H62)*0.000000001)</f>
        <v/>
      </c>
      <c r="S62" s="32" t="str">
        <f aca="false">IF(R62="","",SUMPRODUCT((I$5:I$4004=I62)*ISNUMBER(R$5:R$4004)*(R$5:R$4004&gt;R62))+1)</f>
        <v/>
      </c>
      <c r="T62" s="32" t="str">
        <f aca="false">IF(S62="","",IF(S62&lt;=Setup!$B$5,"🏆 WINNER",""))</f>
        <v/>
      </c>
      <c r="U62" s="31" t="str">
        <f aca="false">IF(S62="","",I62&amp;"|"&amp;S62)</f>
        <v/>
      </c>
    </row>
    <row r="63" customFormat="false" ht="15" hidden="false" customHeight="false" outlineLevel="0" collapsed="false">
      <c r="A63" s="24" t="n">
        <v>59</v>
      </c>
      <c r="B63" s="25" t="str">
        <f aca="false">IF(OR(C63="",I63="",G63=""),"",IFERROR(VLOOKUP(I63,Setup!$A$9:$B$11,2,0),"???")&amp;"-"&amp;G63&amp;"-"&amp;TEXT(COUNTIFS(I$5:I63,I63,G$5:G63,G63),"0000"))</f>
        <v/>
      </c>
      <c r="C63" s="26"/>
      <c r="D63" s="26"/>
      <c r="E63" s="27"/>
      <c r="F63" s="27"/>
      <c r="G63" s="24" t="str">
        <f aca="false">IF(F63="","",IF(F63&lt;=5,"A",IF(F63&lt;=8,"B",IF(F63&lt;=10,"C","D"))))</f>
        <v/>
      </c>
      <c r="H63" s="28"/>
      <c r="I63" s="27"/>
      <c r="J63" s="26"/>
      <c r="K63" s="27"/>
      <c r="L63" s="27"/>
      <c r="M63" s="27"/>
      <c r="N63" s="27"/>
      <c r="O63" s="24" t="str">
        <f aca="false">IF(G63="","",VLOOKUP(G63,Setup!$A$14:$C$17,3,0))</f>
        <v/>
      </c>
      <c r="P63" s="27"/>
      <c r="Q63" s="29" t="str">
        <f aca="false">IF(OR(P63="",M63&lt;&gt;"Paid",O63=""),"",P63/O63)</f>
        <v/>
      </c>
      <c r="R63" s="30" t="str">
        <f aca="false">IF(Q63="","",Q63+N(H63)*0.000000001)</f>
        <v/>
      </c>
      <c r="S63" s="25" t="str">
        <f aca="false">IF(R63="","",SUMPRODUCT((I$5:I$4004=I63)*ISNUMBER(R$5:R$4004)*(R$5:R$4004&gt;R63))+1)</f>
        <v/>
      </c>
      <c r="T63" s="25" t="str">
        <f aca="false">IF(S63="","",IF(S63&lt;=Setup!$B$5,"🏆 WINNER",""))</f>
        <v/>
      </c>
      <c r="U63" s="24" t="str">
        <f aca="false">IF(S63="","",I63&amp;"|"&amp;S63)</f>
        <v/>
      </c>
    </row>
    <row r="64" customFormat="false" ht="15" hidden="false" customHeight="false" outlineLevel="0" collapsed="false">
      <c r="A64" s="31" t="n">
        <v>60</v>
      </c>
      <c r="B64" s="32" t="str">
        <f aca="false">IF(OR(C64="",I64="",G64=""),"",IFERROR(VLOOKUP(I64,Setup!$A$9:$B$11,2,0),"???")&amp;"-"&amp;G64&amp;"-"&amp;TEXT(COUNTIFS(I$5:I64,I64,G$5:G64,G64),"0000"))</f>
        <v/>
      </c>
      <c r="C64" s="26"/>
      <c r="D64" s="26"/>
      <c r="E64" s="27"/>
      <c r="F64" s="27"/>
      <c r="G64" s="31" t="str">
        <f aca="false">IF(F64="","",IF(F64&lt;=5,"A",IF(F64&lt;=8,"B",IF(F64&lt;=10,"C","D"))))</f>
        <v/>
      </c>
      <c r="H64" s="28"/>
      <c r="I64" s="27"/>
      <c r="J64" s="26"/>
      <c r="K64" s="27"/>
      <c r="L64" s="27"/>
      <c r="M64" s="27"/>
      <c r="N64" s="27"/>
      <c r="O64" s="31" t="str">
        <f aca="false">IF(G64="","",VLOOKUP(G64,Setup!$A$14:$C$17,3,0))</f>
        <v/>
      </c>
      <c r="P64" s="27"/>
      <c r="Q64" s="33" t="str">
        <f aca="false">IF(OR(P64="",M64&lt;&gt;"Paid",O64=""),"",P64/O64)</f>
        <v/>
      </c>
      <c r="R64" s="34" t="str">
        <f aca="false">IF(Q64="","",Q64+N(H64)*0.000000001)</f>
        <v/>
      </c>
      <c r="S64" s="32" t="str">
        <f aca="false">IF(R64="","",SUMPRODUCT((I$5:I$4004=I64)*ISNUMBER(R$5:R$4004)*(R$5:R$4004&gt;R64))+1)</f>
        <v/>
      </c>
      <c r="T64" s="32" t="str">
        <f aca="false">IF(S64="","",IF(S64&lt;=Setup!$B$5,"🏆 WINNER",""))</f>
        <v/>
      </c>
      <c r="U64" s="31" t="str">
        <f aca="false">IF(S64="","",I64&amp;"|"&amp;S64)</f>
        <v/>
      </c>
    </row>
    <row r="65" customFormat="false" ht="15" hidden="false" customHeight="false" outlineLevel="0" collapsed="false">
      <c r="A65" s="24" t="n">
        <v>61</v>
      </c>
      <c r="B65" s="25" t="str">
        <f aca="false">IF(OR(C65="",I65="",G65=""),"",IFERROR(VLOOKUP(I65,Setup!$A$9:$B$11,2,0),"???")&amp;"-"&amp;G65&amp;"-"&amp;TEXT(COUNTIFS(I$5:I65,I65,G$5:G65,G65),"0000"))</f>
        <v/>
      </c>
      <c r="C65" s="26"/>
      <c r="D65" s="26"/>
      <c r="E65" s="27"/>
      <c r="F65" s="27"/>
      <c r="G65" s="24" t="str">
        <f aca="false">IF(F65="","",IF(F65&lt;=5,"A",IF(F65&lt;=8,"B",IF(F65&lt;=10,"C","D"))))</f>
        <v/>
      </c>
      <c r="H65" s="28"/>
      <c r="I65" s="27"/>
      <c r="J65" s="26"/>
      <c r="K65" s="27"/>
      <c r="L65" s="27"/>
      <c r="M65" s="27"/>
      <c r="N65" s="27"/>
      <c r="O65" s="24" t="str">
        <f aca="false">IF(G65="","",VLOOKUP(G65,Setup!$A$14:$C$17,3,0))</f>
        <v/>
      </c>
      <c r="P65" s="27"/>
      <c r="Q65" s="29" t="str">
        <f aca="false">IF(OR(P65="",M65&lt;&gt;"Paid",O65=""),"",P65/O65)</f>
        <v/>
      </c>
      <c r="R65" s="30" t="str">
        <f aca="false">IF(Q65="","",Q65+N(H65)*0.000000001)</f>
        <v/>
      </c>
      <c r="S65" s="25" t="str">
        <f aca="false">IF(R65="","",SUMPRODUCT((I$5:I$4004=I65)*ISNUMBER(R$5:R$4004)*(R$5:R$4004&gt;R65))+1)</f>
        <v/>
      </c>
      <c r="T65" s="25" t="str">
        <f aca="false">IF(S65="","",IF(S65&lt;=Setup!$B$5,"🏆 WINNER",""))</f>
        <v/>
      </c>
      <c r="U65" s="24" t="str">
        <f aca="false">IF(S65="","",I65&amp;"|"&amp;S65)</f>
        <v/>
      </c>
    </row>
    <row r="66" customFormat="false" ht="15" hidden="false" customHeight="false" outlineLevel="0" collapsed="false">
      <c r="A66" s="31" t="n">
        <v>62</v>
      </c>
      <c r="B66" s="32" t="str">
        <f aca="false">IF(OR(C66="",I66="",G66=""),"",IFERROR(VLOOKUP(I66,Setup!$A$9:$B$11,2,0),"???")&amp;"-"&amp;G66&amp;"-"&amp;TEXT(COUNTIFS(I$5:I66,I66,G$5:G66,G66),"0000"))</f>
        <v/>
      </c>
      <c r="C66" s="26"/>
      <c r="D66" s="26"/>
      <c r="E66" s="27"/>
      <c r="F66" s="27"/>
      <c r="G66" s="31" t="str">
        <f aca="false">IF(F66="","",IF(F66&lt;=5,"A",IF(F66&lt;=8,"B",IF(F66&lt;=10,"C","D"))))</f>
        <v/>
      </c>
      <c r="H66" s="28"/>
      <c r="I66" s="27"/>
      <c r="J66" s="26"/>
      <c r="K66" s="27"/>
      <c r="L66" s="27"/>
      <c r="M66" s="27"/>
      <c r="N66" s="27"/>
      <c r="O66" s="31" t="str">
        <f aca="false">IF(G66="","",VLOOKUP(G66,Setup!$A$14:$C$17,3,0))</f>
        <v/>
      </c>
      <c r="P66" s="27"/>
      <c r="Q66" s="33" t="str">
        <f aca="false">IF(OR(P66="",M66&lt;&gt;"Paid",O66=""),"",P66/O66)</f>
        <v/>
      </c>
      <c r="R66" s="34" t="str">
        <f aca="false">IF(Q66="","",Q66+N(H66)*0.000000001)</f>
        <v/>
      </c>
      <c r="S66" s="32" t="str">
        <f aca="false">IF(R66="","",SUMPRODUCT((I$5:I$4004=I66)*ISNUMBER(R$5:R$4004)*(R$5:R$4004&gt;R66))+1)</f>
        <v/>
      </c>
      <c r="T66" s="32" t="str">
        <f aca="false">IF(S66="","",IF(S66&lt;=Setup!$B$5,"🏆 WINNER",""))</f>
        <v/>
      </c>
      <c r="U66" s="31" t="str">
        <f aca="false">IF(S66="","",I66&amp;"|"&amp;S66)</f>
        <v/>
      </c>
    </row>
    <row r="67" customFormat="false" ht="15" hidden="false" customHeight="false" outlineLevel="0" collapsed="false">
      <c r="A67" s="24" t="n">
        <v>63</v>
      </c>
      <c r="B67" s="25" t="str">
        <f aca="false">IF(OR(C67="",I67="",G67=""),"",IFERROR(VLOOKUP(I67,Setup!$A$9:$B$11,2,0),"???")&amp;"-"&amp;G67&amp;"-"&amp;TEXT(COUNTIFS(I$5:I67,I67,G$5:G67,G67),"0000"))</f>
        <v/>
      </c>
      <c r="C67" s="26"/>
      <c r="D67" s="26"/>
      <c r="E67" s="27"/>
      <c r="F67" s="27"/>
      <c r="G67" s="24" t="str">
        <f aca="false">IF(F67="","",IF(F67&lt;=5,"A",IF(F67&lt;=8,"B",IF(F67&lt;=10,"C","D"))))</f>
        <v/>
      </c>
      <c r="H67" s="28"/>
      <c r="I67" s="27"/>
      <c r="J67" s="26"/>
      <c r="K67" s="27"/>
      <c r="L67" s="27"/>
      <c r="M67" s="27"/>
      <c r="N67" s="27"/>
      <c r="O67" s="24" t="str">
        <f aca="false">IF(G67="","",VLOOKUP(G67,Setup!$A$14:$C$17,3,0))</f>
        <v/>
      </c>
      <c r="P67" s="27"/>
      <c r="Q67" s="29" t="str">
        <f aca="false">IF(OR(P67="",M67&lt;&gt;"Paid",O67=""),"",P67/O67)</f>
        <v/>
      </c>
      <c r="R67" s="30" t="str">
        <f aca="false">IF(Q67="","",Q67+N(H67)*0.000000001)</f>
        <v/>
      </c>
      <c r="S67" s="25" t="str">
        <f aca="false">IF(R67="","",SUMPRODUCT((I$5:I$4004=I67)*ISNUMBER(R$5:R$4004)*(R$5:R$4004&gt;R67))+1)</f>
        <v/>
      </c>
      <c r="T67" s="25" t="str">
        <f aca="false">IF(S67="","",IF(S67&lt;=Setup!$B$5,"🏆 WINNER",""))</f>
        <v/>
      </c>
      <c r="U67" s="24" t="str">
        <f aca="false">IF(S67="","",I67&amp;"|"&amp;S67)</f>
        <v/>
      </c>
    </row>
    <row r="68" customFormat="false" ht="15" hidden="false" customHeight="false" outlineLevel="0" collapsed="false">
      <c r="A68" s="31" t="n">
        <v>64</v>
      </c>
      <c r="B68" s="32" t="str">
        <f aca="false">IF(OR(C68="",I68="",G68=""),"",IFERROR(VLOOKUP(I68,Setup!$A$9:$B$11,2,0),"???")&amp;"-"&amp;G68&amp;"-"&amp;TEXT(COUNTIFS(I$5:I68,I68,G$5:G68,G68),"0000"))</f>
        <v/>
      </c>
      <c r="C68" s="26"/>
      <c r="D68" s="26"/>
      <c r="E68" s="27"/>
      <c r="F68" s="27"/>
      <c r="G68" s="31" t="str">
        <f aca="false">IF(F68="","",IF(F68&lt;=5,"A",IF(F68&lt;=8,"B",IF(F68&lt;=10,"C","D"))))</f>
        <v/>
      </c>
      <c r="H68" s="28"/>
      <c r="I68" s="27"/>
      <c r="J68" s="26"/>
      <c r="K68" s="27"/>
      <c r="L68" s="27"/>
      <c r="M68" s="27"/>
      <c r="N68" s="27"/>
      <c r="O68" s="31" t="str">
        <f aca="false">IF(G68="","",VLOOKUP(G68,Setup!$A$14:$C$17,3,0))</f>
        <v/>
      </c>
      <c r="P68" s="27"/>
      <c r="Q68" s="33" t="str">
        <f aca="false">IF(OR(P68="",M68&lt;&gt;"Paid",O68=""),"",P68/O68)</f>
        <v/>
      </c>
      <c r="R68" s="34" t="str">
        <f aca="false">IF(Q68="","",Q68+N(H68)*0.000000001)</f>
        <v/>
      </c>
      <c r="S68" s="32" t="str">
        <f aca="false">IF(R68="","",SUMPRODUCT((I$5:I$4004=I68)*ISNUMBER(R$5:R$4004)*(R$5:R$4004&gt;R68))+1)</f>
        <v/>
      </c>
      <c r="T68" s="32" t="str">
        <f aca="false">IF(S68="","",IF(S68&lt;=Setup!$B$5,"🏆 WINNER",""))</f>
        <v/>
      </c>
      <c r="U68" s="31" t="str">
        <f aca="false">IF(S68="","",I68&amp;"|"&amp;S68)</f>
        <v/>
      </c>
    </row>
    <row r="69" customFormat="false" ht="15" hidden="false" customHeight="false" outlineLevel="0" collapsed="false">
      <c r="A69" s="24" t="n">
        <v>65</v>
      </c>
      <c r="B69" s="25" t="str">
        <f aca="false">IF(OR(C69="",I69="",G69=""),"",IFERROR(VLOOKUP(I69,Setup!$A$9:$B$11,2,0),"???")&amp;"-"&amp;G69&amp;"-"&amp;TEXT(COUNTIFS(I$5:I69,I69,G$5:G69,G69),"0000"))</f>
        <v/>
      </c>
      <c r="C69" s="26"/>
      <c r="D69" s="26"/>
      <c r="E69" s="27"/>
      <c r="F69" s="27"/>
      <c r="G69" s="24" t="str">
        <f aca="false">IF(F69="","",IF(F69&lt;=5,"A",IF(F69&lt;=8,"B",IF(F69&lt;=10,"C","D"))))</f>
        <v/>
      </c>
      <c r="H69" s="28"/>
      <c r="I69" s="27"/>
      <c r="J69" s="26"/>
      <c r="K69" s="27"/>
      <c r="L69" s="27"/>
      <c r="M69" s="27"/>
      <c r="N69" s="27"/>
      <c r="O69" s="24" t="str">
        <f aca="false">IF(G69="","",VLOOKUP(G69,Setup!$A$14:$C$17,3,0))</f>
        <v/>
      </c>
      <c r="P69" s="27"/>
      <c r="Q69" s="29" t="str">
        <f aca="false">IF(OR(P69="",M69&lt;&gt;"Paid",O69=""),"",P69/O69)</f>
        <v/>
      </c>
      <c r="R69" s="30" t="str">
        <f aca="false">IF(Q69="","",Q69+N(H69)*0.000000001)</f>
        <v/>
      </c>
      <c r="S69" s="25" t="str">
        <f aca="false">IF(R69="","",SUMPRODUCT((I$5:I$4004=I69)*ISNUMBER(R$5:R$4004)*(R$5:R$4004&gt;R69))+1)</f>
        <v/>
      </c>
      <c r="T69" s="25" t="str">
        <f aca="false">IF(S69="","",IF(S69&lt;=Setup!$B$5,"🏆 WINNER",""))</f>
        <v/>
      </c>
      <c r="U69" s="24" t="str">
        <f aca="false">IF(S69="","",I69&amp;"|"&amp;S69)</f>
        <v/>
      </c>
    </row>
    <row r="70" customFormat="false" ht="15" hidden="false" customHeight="false" outlineLevel="0" collapsed="false">
      <c r="A70" s="31" t="n">
        <v>66</v>
      </c>
      <c r="B70" s="32" t="str">
        <f aca="false">IF(OR(C70="",I70="",G70=""),"",IFERROR(VLOOKUP(I70,Setup!$A$9:$B$11,2,0),"???")&amp;"-"&amp;G70&amp;"-"&amp;TEXT(COUNTIFS(I$5:I70,I70,G$5:G70,G70),"0000"))</f>
        <v/>
      </c>
      <c r="C70" s="26"/>
      <c r="D70" s="26"/>
      <c r="E70" s="27"/>
      <c r="F70" s="27"/>
      <c r="G70" s="31" t="str">
        <f aca="false">IF(F70="","",IF(F70&lt;=5,"A",IF(F70&lt;=8,"B",IF(F70&lt;=10,"C","D"))))</f>
        <v/>
      </c>
      <c r="H70" s="28"/>
      <c r="I70" s="27"/>
      <c r="J70" s="26"/>
      <c r="K70" s="27"/>
      <c r="L70" s="27"/>
      <c r="M70" s="27"/>
      <c r="N70" s="27"/>
      <c r="O70" s="31" t="str">
        <f aca="false">IF(G70="","",VLOOKUP(G70,Setup!$A$14:$C$17,3,0))</f>
        <v/>
      </c>
      <c r="P70" s="27"/>
      <c r="Q70" s="33" t="str">
        <f aca="false">IF(OR(P70="",M70&lt;&gt;"Paid",O70=""),"",P70/O70)</f>
        <v/>
      </c>
      <c r="R70" s="34" t="str">
        <f aca="false">IF(Q70="","",Q70+N(H70)*0.000000001)</f>
        <v/>
      </c>
      <c r="S70" s="32" t="str">
        <f aca="false">IF(R70="","",SUMPRODUCT((I$5:I$4004=I70)*ISNUMBER(R$5:R$4004)*(R$5:R$4004&gt;R70))+1)</f>
        <v/>
      </c>
      <c r="T70" s="32" t="str">
        <f aca="false">IF(S70="","",IF(S70&lt;=Setup!$B$5,"🏆 WINNER",""))</f>
        <v/>
      </c>
      <c r="U70" s="31" t="str">
        <f aca="false">IF(S70="","",I70&amp;"|"&amp;S70)</f>
        <v/>
      </c>
    </row>
    <row r="71" customFormat="false" ht="15" hidden="false" customHeight="false" outlineLevel="0" collapsed="false">
      <c r="A71" s="24" t="n">
        <v>67</v>
      </c>
      <c r="B71" s="25" t="str">
        <f aca="false">IF(OR(C71="",I71="",G71=""),"",IFERROR(VLOOKUP(I71,Setup!$A$9:$B$11,2,0),"???")&amp;"-"&amp;G71&amp;"-"&amp;TEXT(COUNTIFS(I$5:I71,I71,G$5:G71,G71),"0000"))</f>
        <v/>
      </c>
      <c r="C71" s="26"/>
      <c r="D71" s="26"/>
      <c r="E71" s="27"/>
      <c r="F71" s="27"/>
      <c r="G71" s="24" t="str">
        <f aca="false">IF(F71="","",IF(F71&lt;=5,"A",IF(F71&lt;=8,"B",IF(F71&lt;=10,"C","D"))))</f>
        <v/>
      </c>
      <c r="H71" s="28"/>
      <c r="I71" s="27"/>
      <c r="J71" s="26"/>
      <c r="K71" s="27"/>
      <c r="L71" s="27"/>
      <c r="M71" s="27"/>
      <c r="N71" s="27"/>
      <c r="O71" s="24" t="str">
        <f aca="false">IF(G71="","",VLOOKUP(G71,Setup!$A$14:$C$17,3,0))</f>
        <v/>
      </c>
      <c r="P71" s="27"/>
      <c r="Q71" s="29" t="str">
        <f aca="false">IF(OR(P71="",M71&lt;&gt;"Paid",O71=""),"",P71/O71)</f>
        <v/>
      </c>
      <c r="R71" s="30" t="str">
        <f aca="false">IF(Q71="","",Q71+N(H71)*0.000000001)</f>
        <v/>
      </c>
      <c r="S71" s="25" t="str">
        <f aca="false">IF(R71="","",SUMPRODUCT((I$5:I$4004=I71)*ISNUMBER(R$5:R$4004)*(R$5:R$4004&gt;R71))+1)</f>
        <v/>
      </c>
      <c r="T71" s="25" t="str">
        <f aca="false">IF(S71="","",IF(S71&lt;=Setup!$B$5,"🏆 WINNER",""))</f>
        <v/>
      </c>
      <c r="U71" s="24" t="str">
        <f aca="false">IF(S71="","",I71&amp;"|"&amp;S71)</f>
        <v/>
      </c>
    </row>
    <row r="72" customFormat="false" ht="15" hidden="false" customHeight="false" outlineLevel="0" collapsed="false">
      <c r="A72" s="31" t="n">
        <v>68</v>
      </c>
      <c r="B72" s="32" t="str">
        <f aca="false">IF(OR(C72="",I72="",G72=""),"",IFERROR(VLOOKUP(I72,Setup!$A$9:$B$11,2,0),"???")&amp;"-"&amp;G72&amp;"-"&amp;TEXT(COUNTIFS(I$5:I72,I72,G$5:G72,G72),"0000"))</f>
        <v/>
      </c>
      <c r="C72" s="26"/>
      <c r="D72" s="26"/>
      <c r="E72" s="27"/>
      <c r="F72" s="27"/>
      <c r="G72" s="31" t="str">
        <f aca="false">IF(F72="","",IF(F72&lt;=5,"A",IF(F72&lt;=8,"B",IF(F72&lt;=10,"C","D"))))</f>
        <v/>
      </c>
      <c r="H72" s="28"/>
      <c r="I72" s="27"/>
      <c r="J72" s="26"/>
      <c r="K72" s="27"/>
      <c r="L72" s="27"/>
      <c r="M72" s="27"/>
      <c r="N72" s="27"/>
      <c r="O72" s="31" t="str">
        <f aca="false">IF(G72="","",VLOOKUP(G72,Setup!$A$14:$C$17,3,0))</f>
        <v/>
      </c>
      <c r="P72" s="27"/>
      <c r="Q72" s="33" t="str">
        <f aca="false">IF(OR(P72="",M72&lt;&gt;"Paid",O72=""),"",P72/O72)</f>
        <v/>
      </c>
      <c r="R72" s="34" t="str">
        <f aca="false">IF(Q72="","",Q72+N(H72)*0.000000001)</f>
        <v/>
      </c>
      <c r="S72" s="32" t="str">
        <f aca="false">IF(R72="","",SUMPRODUCT((I$5:I$4004=I72)*ISNUMBER(R$5:R$4004)*(R$5:R$4004&gt;R72))+1)</f>
        <v/>
      </c>
      <c r="T72" s="32" t="str">
        <f aca="false">IF(S72="","",IF(S72&lt;=Setup!$B$5,"🏆 WINNER",""))</f>
        <v/>
      </c>
      <c r="U72" s="31" t="str">
        <f aca="false">IF(S72="","",I72&amp;"|"&amp;S72)</f>
        <v/>
      </c>
    </row>
    <row r="73" customFormat="false" ht="15" hidden="false" customHeight="false" outlineLevel="0" collapsed="false">
      <c r="A73" s="24" t="n">
        <v>69</v>
      </c>
      <c r="B73" s="25" t="str">
        <f aca="false">IF(OR(C73="",I73="",G73=""),"",IFERROR(VLOOKUP(I73,Setup!$A$9:$B$11,2,0),"???")&amp;"-"&amp;G73&amp;"-"&amp;TEXT(COUNTIFS(I$5:I73,I73,G$5:G73,G73),"0000"))</f>
        <v/>
      </c>
      <c r="C73" s="26"/>
      <c r="D73" s="26"/>
      <c r="E73" s="27"/>
      <c r="F73" s="27"/>
      <c r="G73" s="24" t="str">
        <f aca="false">IF(F73="","",IF(F73&lt;=5,"A",IF(F73&lt;=8,"B",IF(F73&lt;=10,"C","D"))))</f>
        <v/>
      </c>
      <c r="H73" s="28"/>
      <c r="I73" s="27"/>
      <c r="J73" s="26"/>
      <c r="K73" s="27"/>
      <c r="L73" s="27"/>
      <c r="M73" s="27"/>
      <c r="N73" s="27"/>
      <c r="O73" s="24" t="str">
        <f aca="false">IF(G73="","",VLOOKUP(G73,Setup!$A$14:$C$17,3,0))</f>
        <v/>
      </c>
      <c r="P73" s="27"/>
      <c r="Q73" s="29" t="str">
        <f aca="false">IF(OR(P73="",M73&lt;&gt;"Paid",O73=""),"",P73/O73)</f>
        <v/>
      </c>
      <c r="R73" s="30" t="str">
        <f aca="false">IF(Q73="","",Q73+N(H73)*0.000000001)</f>
        <v/>
      </c>
      <c r="S73" s="25" t="str">
        <f aca="false">IF(R73="","",SUMPRODUCT((I$5:I$4004=I73)*ISNUMBER(R$5:R$4004)*(R$5:R$4004&gt;R73))+1)</f>
        <v/>
      </c>
      <c r="T73" s="25" t="str">
        <f aca="false">IF(S73="","",IF(S73&lt;=Setup!$B$5,"🏆 WINNER",""))</f>
        <v/>
      </c>
      <c r="U73" s="24" t="str">
        <f aca="false">IF(S73="","",I73&amp;"|"&amp;S73)</f>
        <v/>
      </c>
    </row>
    <row r="74" customFormat="false" ht="15" hidden="false" customHeight="false" outlineLevel="0" collapsed="false">
      <c r="A74" s="31" t="n">
        <v>70</v>
      </c>
      <c r="B74" s="32" t="str">
        <f aca="false">IF(OR(C74="",I74="",G74=""),"",IFERROR(VLOOKUP(I74,Setup!$A$9:$B$11,2,0),"???")&amp;"-"&amp;G74&amp;"-"&amp;TEXT(COUNTIFS(I$5:I74,I74,G$5:G74,G74),"0000"))</f>
        <v/>
      </c>
      <c r="C74" s="26"/>
      <c r="D74" s="26"/>
      <c r="E74" s="27"/>
      <c r="F74" s="27"/>
      <c r="G74" s="31" t="str">
        <f aca="false">IF(F74="","",IF(F74&lt;=5,"A",IF(F74&lt;=8,"B",IF(F74&lt;=10,"C","D"))))</f>
        <v/>
      </c>
      <c r="H74" s="28"/>
      <c r="I74" s="27"/>
      <c r="J74" s="26"/>
      <c r="K74" s="27"/>
      <c r="L74" s="27"/>
      <c r="M74" s="27"/>
      <c r="N74" s="27"/>
      <c r="O74" s="31" t="str">
        <f aca="false">IF(G74="","",VLOOKUP(G74,Setup!$A$14:$C$17,3,0))</f>
        <v/>
      </c>
      <c r="P74" s="27"/>
      <c r="Q74" s="33" t="str">
        <f aca="false">IF(OR(P74="",M74&lt;&gt;"Paid",O74=""),"",P74/O74)</f>
        <v/>
      </c>
      <c r="R74" s="34" t="str">
        <f aca="false">IF(Q74="","",Q74+N(H74)*0.000000001)</f>
        <v/>
      </c>
      <c r="S74" s="32" t="str">
        <f aca="false">IF(R74="","",SUMPRODUCT((I$5:I$4004=I74)*ISNUMBER(R$5:R$4004)*(R$5:R$4004&gt;R74))+1)</f>
        <v/>
      </c>
      <c r="T74" s="32" t="str">
        <f aca="false">IF(S74="","",IF(S74&lt;=Setup!$B$5,"🏆 WINNER",""))</f>
        <v/>
      </c>
      <c r="U74" s="31" t="str">
        <f aca="false">IF(S74="","",I74&amp;"|"&amp;S74)</f>
        <v/>
      </c>
    </row>
    <row r="75" customFormat="false" ht="15" hidden="false" customHeight="false" outlineLevel="0" collapsed="false">
      <c r="A75" s="24" t="n">
        <v>71</v>
      </c>
      <c r="B75" s="25" t="str">
        <f aca="false">IF(OR(C75="",I75="",G75=""),"",IFERROR(VLOOKUP(I75,Setup!$A$9:$B$11,2,0),"???")&amp;"-"&amp;G75&amp;"-"&amp;TEXT(COUNTIFS(I$5:I75,I75,G$5:G75,G75),"0000"))</f>
        <v/>
      </c>
      <c r="C75" s="26"/>
      <c r="D75" s="26"/>
      <c r="E75" s="27"/>
      <c r="F75" s="27"/>
      <c r="G75" s="24" t="str">
        <f aca="false">IF(F75="","",IF(F75&lt;=5,"A",IF(F75&lt;=8,"B",IF(F75&lt;=10,"C","D"))))</f>
        <v/>
      </c>
      <c r="H75" s="28"/>
      <c r="I75" s="27"/>
      <c r="J75" s="26"/>
      <c r="K75" s="27"/>
      <c r="L75" s="27"/>
      <c r="M75" s="27"/>
      <c r="N75" s="27"/>
      <c r="O75" s="24" t="str">
        <f aca="false">IF(G75="","",VLOOKUP(G75,Setup!$A$14:$C$17,3,0))</f>
        <v/>
      </c>
      <c r="P75" s="27"/>
      <c r="Q75" s="29" t="str">
        <f aca="false">IF(OR(P75="",M75&lt;&gt;"Paid",O75=""),"",P75/O75)</f>
        <v/>
      </c>
      <c r="R75" s="30" t="str">
        <f aca="false">IF(Q75="","",Q75+N(H75)*0.000000001)</f>
        <v/>
      </c>
      <c r="S75" s="25" t="str">
        <f aca="false">IF(R75="","",SUMPRODUCT((I$5:I$4004=I75)*ISNUMBER(R$5:R$4004)*(R$5:R$4004&gt;R75))+1)</f>
        <v/>
      </c>
      <c r="T75" s="25" t="str">
        <f aca="false">IF(S75="","",IF(S75&lt;=Setup!$B$5,"🏆 WINNER",""))</f>
        <v/>
      </c>
      <c r="U75" s="24" t="str">
        <f aca="false">IF(S75="","",I75&amp;"|"&amp;S75)</f>
        <v/>
      </c>
    </row>
    <row r="76" customFormat="false" ht="15" hidden="false" customHeight="false" outlineLevel="0" collapsed="false">
      <c r="A76" s="31" t="n">
        <v>72</v>
      </c>
      <c r="B76" s="32" t="str">
        <f aca="false">IF(OR(C76="",I76="",G76=""),"",IFERROR(VLOOKUP(I76,Setup!$A$9:$B$11,2,0),"???")&amp;"-"&amp;G76&amp;"-"&amp;TEXT(COUNTIFS(I$5:I76,I76,G$5:G76,G76),"0000"))</f>
        <v/>
      </c>
      <c r="C76" s="26"/>
      <c r="D76" s="26"/>
      <c r="E76" s="27"/>
      <c r="F76" s="27"/>
      <c r="G76" s="31" t="str">
        <f aca="false">IF(F76="","",IF(F76&lt;=5,"A",IF(F76&lt;=8,"B",IF(F76&lt;=10,"C","D"))))</f>
        <v/>
      </c>
      <c r="H76" s="28"/>
      <c r="I76" s="27"/>
      <c r="J76" s="26"/>
      <c r="K76" s="27"/>
      <c r="L76" s="27"/>
      <c r="M76" s="27"/>
      <c r="N76" s="27"/>
      <c r="O76" s="31" t="str">
        <f aca="false">IF(G76="","",VLOOKUP(G76,Setup!$A$14:$C$17,3,0))</f>
        <v/>
      </c>
      <c r="P76" s="27"/>
      <c r="Q76" s="33" t="str">
        <f aca="false">IF(OR(P76="",M76&lt;&gt;"Paid",O76=""),"",P76/O76)</f>
        <v/>
      </c>
      <c r="R76" s="34" t="str">
        <f aca="false">IF(Q76="","",Q76+N(H76)*0.000000001)</f>
        <v/>
      </c>
      <c r="S76" s="32" t="str">
        <f aca="false">IF(R76="","",SUMPRODUCT((I$5:I$4004=I76)*ISNUMBER(R$5:R$4004)*(R$5:R$4004&gt;R76))+1)</f>
        <v/>
      </c>
      <c r="T76" s="32" t="str">
        <f aca="false">IF(S76="","",IF(S76&lt;=Setup!$B$5,"🏆 WINNER",""))</f>
        <v/>
      </c>
      <c r="U76" s="31" t="str">
        <f aca="false">IF(S76="","",I76&amp;"|"&amp;S76)</f>
        <v/>
      </c>
    </row>
    <row r="77" customFormat="false" ht="15" hidden="false" customHeight="false" outlineLevel="0" collapsed="false">
      <c r="A77" s="24" t="n">
        <v>73</v>
      </c>
      <c r="B77" s="25" t="str">
        <f aca="false">IF(OR(C77="",I77="",G77=""),"",IFERROR(VLOOKUP(I77,Setup!$A$9:$B$11,2,0),"???")&amp;"-"&amp;G77&amp;"-"&amp;TEXT(COUNTIFS(I$5:I77,I77,G$5:G77,G77),"0000"))</f>
        <v/>
      </c>
      <c r="C77" s="26"/>
      <c r="D77" s="26"/>
      <c r="E77" s="27"/>
      <c r="F77" s="27"/>
      <c r="G77" s="24" t="str">
        <f aca="false">IF(F77="","",IF(F77&lt;=5,"A",IF(F77&lt;=8,"B",IF(F77&lt;=10,"C","D"))))</f>
        <v/>
      </c>
      <c r="H77" s="28"/>
      <c r="I77" s="27"/>
      <c r="J77" s="26"/>
      <c r="K77" s="27"/>
      <c r="L77" s="27"/>
      <c r="M77" s="27"/>
      <c r="N77" s="27"/>
      <c r="O77" s="24" t="str">
        <f aca="false">IF(G77="","",VLOOKUP(G77,Setup!$A$14:$C$17,3,0))</f>
        <v/>
      </c>
      <c r="P77" s="27"/>
      <c r="Q77" s="29" t="str">
        <f aca="false">IF(OR(P77="",M77&lt;&gt;"Paid",O77=""),"",P77/O77)</f>
        <v/>
      </c>
      <c r="R77" s="30" t="str">
        <f aca="false">IF(Q77="","",Q77+N(H77)*0.000000001)</f>
        <v/>
      </c>
      <c r="S77" s="25" t="str">
        <f aca="false">IF(R77="","",SUMPRODUCT((I$5:I$4004=I77)*ISNUMBER(R$5:R$4004)*(R$5:R$4004&gt;R77))+1)</f>
        <v/>
      </c>
      <c r="T77" s="25" t="str">
        <f aca="false">IF(S77="","",IF(S77&lt;=Setup!$B$5,"🏆 WINNER",""))</f>
        <v/>
      </c>
      <c r="U77" s="24" t="str">
        <f aca="false">IF(S77="","",I77&amp;"|"&amp;S77)</f>
        <v/>
      </c>
    </row>
    <row r="78" customFormat="false" ht="15" hidden="false" customHeight="false" outlineLevel="0" collapsed="false">
      <c r="A78" s="31" t="n">
        <v>74</v>
      </c>
      <c r="B78" s="32" t="str">
        <f aca="false">IF(OR(C78="",I78="",G78=""),"",IFERROR(VLOOKUP(I78,Setup!$A$9:$B$11,2,0),"???")&amp;"-"&amp;G78&amp;"-"&amp;TEXT(COUNTIFS(I$5:I78,I78,G$5:G78,G78),"0000"))</f>
        <v/>
      </c>
      <c r="C78" s="26"/>
      <c r="D78" s="26"/>
      <c r="E78" s="27"/>
      <c r="F78" s="27"/>
      <c r="G78" s="31" t="str">
        <f aca="false">IF(F78="","",IF(F78&lt;=5,"A",IF(F78&lt;=8,"B",IF(F78&lt;=10,"C","D"))))</f>
        <v/>
      </c>
      <c r="H78" s="28"/>
      <c r="I78" s="27"/>
      <c r="J78" s="26"/>
      <c r="K78" s="27"/>
      <c r="L78" s="27"/>
      <c r="M78" s="27"/>
      <c r="N78" s="27"/>
      <c r="O78" s="31" t="str">
        <f aca="false">IF(G78="","",VLOOKUP(G78,Setup!$A$14:$C$17,3,0))</f>
        <v/>
      </c>
      <c r="P78" s="27"/>
      <c r="Q78" s="33" t="str">
        <f aca="false">IF(OR(P78="",M78&lt;&gt;"Paid",O78=""),"",P78/O78)</f>
        <v/>
      </c>
      <c r="R78" s="34" t="str">
        <f aca="false">IF(Q78="","",Q78+N(H78)*0.000000001)</f>
        <v/>
      </c>
      <c r="S78" s="32" t="str">
        <f aca="false">IF(R78="","",SUMPRODUCT((I$5:I$4004=I78)*ISNUMBER(R$5:R$4004)*(R$5:R$4004&gt;R78))+1)</f>
        <v/>
      </c>
      <c r="T78" s="32" t="str">
        <f aca="false">IF(S78="","",IF(S78&lt;=Setup!$B$5,"🏆 WINNER",""))</f>
        <v/>
      </c>
      <c r="U78" s="31" t="str">
        <f aca="false">IF(S78="","",I78&amp;"|"&amp;S78)</f>
        <v/>
      </c>
    </row>
    <row r="79" customFormat="false" ht="15" hidden="false" customHeight="false" outlineLevel="0" collapsed="false">
      <c r="A79" s="24" t="n">
        <v>75</v>
      </c>
      <c r="B79" s="25" t="str">
        <f aca="false">IF(OR(C79="",I79="",G79=""),"",IFERROR(VLOOKUP(I79,Setup!$A$9:$B$11,2,0),"???")&amp;"-"&amp;G79&amp;"-"&amp;TEXT(COUNTIFS(I$5:I79,I79,G$5:G79,G79),"0000"))</f>
        <v/>
      </c>
      <c r="C79" s="26"/>
      <c r="D79" s="26"/>
      <c r="E79" s="27"/>
      <c r="F79" s="27"/>
      <c r="G79" s="24" t="str">
        <f aca="false">IF(F79="","",IF(F79&lt;=5,"A",IF(F79&lt;=8,"B",IF(F79&lt;=10,"C","D"))))</f>
        <v/>
      </c>
      <c r="H79" s="28"/>
      <c r="I79" s="27"/>
      <c r="J79" s="26"/>
      <c r="K79" s="27"/>
      <c r="L79" s="27"/>
      <c r="M79" s="27"/>
      <c r="N79" s="27"/>
      <c r="O79" s="24" t="str">
        <f aca="false">IF(G79="","",VLOOKUP(G79,Setup!$A$14:$C$17,3,0))</f>
        <v/>
      </c>
      <c r="P79" s="27"/>
      <c r="Q79" s="29" t="str">
        <f aca="false">IF(OR(P79="",M79&lt;&gt;"Paid",O79=""),"",P79/O79)</f>
        <v/>
      </c>
      <c r="R79" s="30" t="str">
        <f aca="false">IF(Q79="","",Q79+N(H79)*0.000000001)</f>
        <v/>
      </c>
      <c r="S79" s="25" t="str">
        <f aca="false">IF(R79="","",SUMPRODUCT((I$5:I$4004=I79)*ISNUMBER(R$5:R$4004)*(R$5:R$4004&gt;R79))+1)</f>
        <v/>
      </c>
      <c r="T79" s="25" t="str">
        <f aca="false">IF(S79="","",IF(S79&lt;=Setup!$B$5,"🏆 WINNER",""))</f>
        <v/>
      </c>
      <c r="U79" s="24" t="str">
        <f aca="false">IF(S79="","",I79&amp;"|"&amp;S79)</f>
        <v/>
      </c>
    </row>
    <row r="80" customFormat="false" ht="15" hidden="false" customHeight="false" outlineLevel="0" collapsed="false">
      <c r="A80" s="31" t="n">
        <v>76</v>
      </c>
      <c r="B80" s="32" t="str">
        <f aca="false">IF(OR(C80="",I80="",G80=""),"",IFERROR(VLOOKUP(I80,Setup!$A$9:$B$11,2,0),"???")&amp;"-"&amp;G80&amp;"-"&amp;TEXT(COUNTIFS(I$5:I80,I80,G$5:G80,G80),"0000"))</f>
        <v/>
      </c>
      <c r="C80" s="26"/>
      <c r="D80" s="26"/>
      <c r="E80" s="27"/>
      <c r="F80" s="27"/>
      <c r="G80" s="31" t="str">
        <f aca="false">IF(F80="","",IF(F80&lt;=5,"A",IF(F80&lt;=8,"B",IF(F80&lt;=10,"C","D"))))</f>
        <v/>
      </c>
      <c r="H80" s="28"/>
      <c r="I80" s="27"/>
      <c r="J80" s="26"/>
      <c r="K80" s="27"/>
      <c r="L80" s="27"/>
      <c r="M80" s="27"/>
      <c r="N80" s="27"/>
      <c r="O80" s="31" t="str">
        <f aca="false">IF(G80="","",VLOOKUP(G80,Setup!$A$14:$C$17,3,0))</f>
        <v/>
      </c>
      <c r="P80" s="27"/>
      <c r="Q80" s="33" t="str">
        <f aca="false">IF(OR(P80="",M80&lt;&gt;"Paid",O80=""),"",P80/O80)</f>
        <v/>
      </c>
      <c r="R80" s="34" t="str">
        <f aca="false">IF(Q80="","",Q80+N(H80)*0.000000001)</f>
        <v/>
      </c>
      <c r="S80" s="32" t="str">
        <f aca="false">IF(R80="","",SUMPRODUCT((I$5:I$4004=I80)*ISNUMBER(R$5:R$4004)*(R$5:R$4004&gt;R80))+1)</f>
        <v/>
      </c>
      <c r="T80" s="32" t="str">
        <f aca="false">IF(S80="","",IF(S80&lt;=Setup!$B$5,"🏆 WINNER",""))</f>
        <v/>
      </c>
      <c r="U80" s="31" t="str">
        <f aca="false">IF(S80="","",I80&amp;"|"&amp;S80)</f>
        <v/>
      </c>
    </row>
    <row r="81" customFormat="false" ht="15" hidden="false" customHeight="false" outlineLevel="0" collapsed="false">
      <c r="A81" s="24" t="n">
        <v>77</v>
      </c>
      <c r="B81" s="25" t="str">
        <f aca="false">IF(OR(C81="",I81="",G81=""),"",IFERROR(VLOOKUP(I81,Setup!$A$9:$B$11,2,0),"???")&amp;"-"&amp;G81&amp;"-"&amp;TEXT(COUNTIFS(I$5:I81,I81,G$5:G81,G81),"0000"))</f>
        <v/>
      </c>
      <c r="C81" s="26"/>
      <c r="D81" s="26"/>
      <c r="E81" s="27"/>
      <c r="F81" s="27"/>
      <c r="G81" s="24" t="str">
        <f aca="false">IF(F81="","",IF(F81&lt;=5,"A",IF(F81&lt;=8,"B",IF(F81&lt;=10,"C","D"))))</f>
        <v/>
      </c>
      <c r="H81" s="28"/>
      <c r="I81" s="27"/>
      <c r="J81" s="26"/>
      <c r="K81" s="27"/>
      <c r="L81" s="27"/>
      <c r="M81" s="27"/>
      <c r="N81" s="27"/>
      <c r="O81" s="24" t="str">
        <f aca="false">IF(G81="","",VLOOKUP(G81,Setup!$A$14:$C$17,3,0))</f>
        <v/>
      </c>
      <c r="P81" s="27"/>
      <c r="Q81" s="29" t="str">
        <f aca="false">IF(OR(P81="",M81&lt;&gt;"Paid",O81=""),"",P81/O81)</f>
        <v/>
      </c>
      <c r="R81" s="30" t="str">
        <f aca="false">IF(Q81="","",Q81+N(H81)*0.000000001)</f>
        <v/>
      </c>
      <c r="S81" s="25" t="str">
        <f aca="false">IF(R81="","",SUMPRODUCT((I$5:I$4004=I81)*ISNUMBER(R$5:R$4004)*(R$5:R$4004&gt;R81))+1)</f>
        <v/>
      </c>
      <c r="T81" s="25" t="str">
        <f aca="false">IF(S81="","",IF(S81&lt;=Setup!$B$5,"🏆 WINNER",""))</f>
        <v/>
      </c>
      <c r="U81" s="24" t="str">
        <f aca="false">IF(S81="","",I81&amp;"|"&amp;S81)</f>
        <v/>
      </c>
    </row>
    <row r="82" customFormat="false" ht="15" hidden="false" customHeight="false" outlineLevel="0" collapsed="false">
      <c r="A82" s="31" t="n">
        <v>78</v>
      </c>
      <c r="B82" s="32" t="str">
        <f aca="false">IF(OR(C82="",I82="",G82=""),"",IFERROR(VLOOKUP(I82,Setup!$A$9:$B$11,2,0),"???")&amp;"-"&amp;G82&amp;"-"&amp;TEXT(COUNTIFS(I$5:I82,I82,G$5:G82,G82),"0000"))</f>
        <v/>
      </c>
      <c r="C82" s="26"/>
      <c r="D82" s="26"/>
      <c r="E82" s="27"/>
      <c r="F82" s="27"/>
      <c r="G82" s="31" t="str">
        <f aca="false">IF(F82="","",IF(F82&lt;=5,"A",IF(F82&lt;=8,"B",IF(F82&lt;=10,"C","D"))))</f>
        <v/>
      </c>
      <c r="H82" s="28"/>
      <c r="I82" s="27"/>
      <c r="J82" s="26"/>
      <c r="K82" s="27"/>
      <c r="L82" s="27"/>
      <c r="M82" s="27"/>
      <c r="N82" s="27"/>
      <c r="O82" s="31" t="str">
        <f aca="false">IF(G82="","",VLOOKUP(G82,Setup!$A$14:$C$17,3,0))</f>
        <v/>
      </c>
      <c r="P82" s="27"/>
      <c r="Q82" s="33" t="str">
        <f aca="false">IF(OR(P82="",M82&lt;&gt;"Paid",O82=""),"",P82/O82)</f>
        <v/>
      </c>
      <c r="R82" s="34" t="str">
        <f aca="false">IF(Q82="","",Q82+N(H82)*0.000000001)</f>
        <v/>
      </c>
      <c r="S82" s="32" t="str">
        <f aca="false">IF(R82="","",SUMPRODUCT((I$5:I$4004=I82)*ISNUMBER(R$5:R$4004)*(R$5:R$4004&gt;R82))+1)</f>
        <v/>
      </c>
      <c r="T82" s="32" t="str">
        <f aca="false">IF(S82="","",IF(S82&lt;=Setup!$B$5,"🏆 WINNER",""))</f>
        <v/>
      </c>
      <c r="U82" s="31" t="str">
        <f aca="false">IF(S82="","",I82&amp;"|"&amp;S82)</f>
        <v/>
      </c>
    </row>
    <row r="83" customFormat="false" ht="15" hidden="false" customHeight="false" outlineLevel="0" collapsed="false">
      <c r="A83" s="24" t="n">
        <v>79</v>
      </c>
      <c r="B83" s="25" t="str">
        <f aca="false">IF(OR(C83="",I83="",G83=""),"",IFERROR(VLOOKUP(I83,Setup!$A$9:$B$11,2,0),"???")&amp;"-"&amp;G83&amp;"-"&amp;TEXT(COUNTIFS(I$5:I83,I83,G$5:G83,G83),"0000"))</f>
        <v/>
      </c>
      <c r="C83" s="26"/>
      <c r="D83" s="26"/>
      <c r="E83" s="27"/>
      <c r="F83" s="27"/>
      <c r="G83" s="24" t="str">
        <f aca="false">IF(F83="","",IF(F83&lt;=5,"A",IF(F83&lt;=8,"B",IF(F83&lt;=10,"C","D"))))</f>
        <v/>
      </c>
      <c r="H83" s="28"/>
      <c r="I83" s="27"/>
      <c r="J83" s="26"/>
      <c r="K83" s="27"/>
      <c r="L83" s="27"/>
      <c r="M83" s="27"/>
      <c r="N83" s="27"/>
      <c r="O83" s="24" t="str">
        <f aca="false">IF(G83="","",VLOOKUP(G83,Setup!$A$14:$C$17,3,0))</f>
        <v/>
      </c>
      <c r="P83" s="27"/>
      <c r="Q83" s="29" t="str">
        <f aca="false">IF(OR(P83="",M83&lt;&gt;"Paid",O83=""),"",P83/O83)</f>
        <v/>
      </c>
      <c r="R83" s="30" t="str">
        <f aca="false">IF(Q83="","",Q83+N(H83)*0.000000001)</f>
        <v/>
      </c>
      <c r="S83" s="25" t="str">
        <f aca="false">IF(R83="","",SUMPRODUCT((I$5:I$4004=I83)*ISNUMBER(R$5:R$4004)*(R$5:R$4004&gt;R83))+1)</f>
        <v/>
      </c>
      <c r="T83" s="25" t="str">
        <f aca="false">IF(S83="","",IF(S83&lt;=Setup!$B$5,"🏆 WINNER",""))</f>
        <v/>
      </c>
      <c r="U83" s="24" t="str">
        <f aca="false">IF(S83="","",I83&amp;"|"&amp;S83)</f>
        <v/>
      </c>
    </row>
    <row r="84" customFormat="false" ht="15" hidden="false" customHeight="false" outlineLevel="0" collapsed="false">
      <c r="A84" s="31" t="n">
        <v>80</v>
      </c>
      <c r="B84" s="32" t="str">
        <f aca="false">IF(OR(C84="",I84="",G84=""),"",IFERROR(VLOOKUP(I84,Setup!$A$9:$B$11,2,0),"???")&amp;"-"&amp;G84&amp;"-"&amp;TEXT(COUNTIFS(I$5:I84,I84,G$5:G84,G84),"0000"))</f>
        <v/>
      </c>
      <c r="C84" s="26"/>
      <c r="D84" s="26"/>
      <c r="E84" s="27"/>
      <c r="F84" s="27"/>
      <c r="G84" s="31" t="str">
        <f aca="false">IF(F84="","",IF(F84&lt;=5,"A",IF(F84&lt;=8,"B",IF(F84&lt;=10,"C","D"))))</f>
        <v/>
      </c>
      <c r="H84" s="28"/>
      <c r="I84" s="27"/>
      <c r="J84" s="26"/>
      <c r="K84" s="27"/>
      <c r="L84" s="27"/>
      <c r="M84" s="27"/>
      <c r="N84" s="27"/>
      <c r="O84" s="31" t="str">
        <f aca="false">IF(G84="","",VLOOKUP(G84,Setup!$A$14:$C$17,3,0))</f>
        <v/>
      </c>
      <c r="P84" s="27"/>
      <c r="Q84" s="33" t="str">
        <f aca="false">IF(OR(P84="",M84&lt;&gt;"Paid",O84=""),"",P84/O84)</f>
        <v/>
      </c>
      <c r="R84" s="34" t="str">
        <f aca="false">IF(Q84="","",Q84+N(H84)*0.000000001)</f>
        <v/>
      </c>
      <c r="S84" s="32" t="str">
        <f aca="false">IF(R84="","",SUMPRODUCT((I$5:I$4004=I84)*ISNUMBER(R$5:R$4004)*(R$5:R$4004&gt;R84))+1)</f>
        <v/>
      </c>
      <c r="T84" s="32" t="str">
        <f aca="false">IF(S84="","",IF(S84&lt;=Setup!$B$5,"🏆 WINNER",""))</f>
        <v/>
      </c>
      <c r="U84" s="31" t="str">
        <f aca="false">IF(S84="","",I84&amp;"|"&amp;S84)</f>
        <v/>
      </c>
    </row>
    <row r="85" customFormat="false" ht="15" hidden="false" customHeight="false" outlineLevel="0" collapsed="false">
      <c r="A85" s="24" t="n">
        <v>81</v>
      </c>
      <c r="B85" s="25" t="str">
        <f aca="false">IF(OR(C85="",I85="",G85=""),"",IFERROR(VLOOKUP(I85,Setup!$A$9:$B$11,2,0),"???")&amp;"-"&amp;G85&amp;"-"&amp;TEXT(COUNTIFS(I$5:I85,I85,G$5:G85,G85),"0000"))</f>
        <v/>
      </c>
      <c r="C85" s="26"/>
      <c r="D85" s="26"/>
      <c r="E85" s="27"/>
      <c r="F85" s="27"/>
      <c r="G85" s="24" t="str">
        <f aca="false">IF(F85="","",IF(F85&lt;=5,"A",IF(F85&lt;=8,"B",IF(F85&lt;=10,"C","D"))))</f>
        <v/>
      </c>
      <c r="H85" s="28"/>
      <c r="I85" s="27"/>
      <c r="J85" s="26"/>
      <c r="K85" s="27"/>
      <c r="L85" s="27"/>
      <c r="M85" s="27"/>
      <c r="N85" s="27"/>
      <c r="O85" s="24" t="str">
        <f aca="false">IF(G85="","",VLOOKUP(G85,Setup!$A$14:$C$17,3,0))</f>
        <v/>
      </c>
      <c r="P85" s="27"/>
      <c r="Q85" s="29" t="str">
        <f aca="false">IF(OR(P85="",M85&lt;&gt;"Paid",O85=""),"",P85/O85)</f>
        <v/>
      </c>
      <c r="R85" s="30" t="str">
        <f aca="false">IF(Q85="","",Q85+N(H85)*0.000000001)</f>
        <v/>
      </c>
      <c r="S85" s="25" t="str">
        <f aca="false">IF(R85="","",SUMPRODUCT((I$5:I$4004=I85)*ISNUMBER(R$5:R$4004)*(R$5:R$4004&gt;R85))+1)</f>
        <v/>
      </c>
      <c r="T85" s="25" t="str">
        <f aca="false">IF(S85="","",IF(S85&lt;=Setup!$B$5,"🏆 WINNER",""))</f>
        <v/>
      </c>
      <c r="U85" s="24" t="str">
        <f aca="false">IF(S85="","",I85&amp;"|"&amp;S85)</f>
        <v/>
      </c>
    </row>
    <row r="86" customFormat="false" ht="15" hidden="false" customHeight="false" outlineLevel="0" collapsed="false">
      <c r="A86" s="31" t="n">
        <v>82</v>
      </c>
      <c r="B86" s="32" t="str">
        <f aca="false">IF(OR(C86="",I86="",G86=""),"",IFERROR(VLOOKUP(I86,Setup!$A$9:$B$11,2,0),"???")&amp;"-"&amp;G86&amp;"-"&amp;TEXT(COUNTIFS(I$5:I86,I86,G$5:G86,G86),"0000"))</f>
        <v/>
      </c>
      <c r="C86" s="26"/>
      <c r="D86" s="26"/>
      <c r="E86" s="27"/>
      <c r="F86" s="27"/>
      <c r="G86" s="31" t="str">
        <f aca="false">IF(F86="","",IF(F86&lt;=5,"A",IF(F86&lt;=8,"B",IF(F86&lt;=10,"C","D"))))</f>
        <v/>
      </c>
      <c r="H86" s="28"/>
      <c r="I86" s="27"/>
      <c r="J86" s="26"/>
      <c r="K86" s="27"/>
      <c r="L86" s="27"/>
      <c r="M86" s="27"/>
      <c r="N86" s="27"/>
      <c r="O86" s="31" t="str">
        <f aca="false">IF(G86="","",VLOOKUP(G86,Setup!$A$14:$C$17,3,0))</f>
        <v/>
      </c>
      <c r="P86" s="27"/>
      <c r="Q86" s="33" t="str">
        <f aca="false">IF(OR(P86="",M86&lt;&gt;"Paid",O86=""),"",P86/O86)</f>
        <v/>
      </c>
      <c r="R86" s="34" t="str">
        <f aca="false">IF(Q86="","",Q86+N(H86)*0.000000001)</f>
        <v/>
      </c>
      <c r="S86" s="32" t="str">
        <f aca="false">IF(R86="","",SUMPRODUCT((I$5:I$4004=I86)*ISNUMBER(R$5:R$4004)*(R$5:R$4004&gt;R86))+1)</f>
        <v/>
      </c>
      <c r="T86" s="32" t="str">
        <f aca="false">IF(S86="","",IF(S86&lt;=Setup!$B$5,"🏆 WINNER",""))</f>
        <v/>
      </c>
      <c r="U86" s="31" t="str">
        <f aca="false">IF(S86="","",I86&amp;"|"&amp;S86)</f>
        <v/>
      </c>
    </row>
    <row r="87" customFormat="false" ht="15" hidden="false" customHeight="false" outlineLevel="0" collapsed="false">
      <c r="A87" s="24" t="n">
        <v>83</v>
      </c>
      <c r="B87" s="25" t="str">
        <f aca="false">IF(OR(C87="",I87="",G87=""),"",IFERROR(VLOOKUP(I87,Setup!$A$9:$B$11,2,0),"???")&amp;"-"&amp;G87&amp;"-"&amp;TEXT(COUNTIFS(I$5:I87,I87,G$5:G87,G87),"0000"))</f>
        <v/>
      </c>
      <c r="C87" s="26"/>
      <c r="D87" s="26"/>
      <c r="E87" s="27"/>
      <c r="F87" s="27"/>
      <c r="G87" s="24" t="str">
        <f aca="false">IF(F87="","",IF(F87&lt;=5,"A",IF(F87&lt;=8,"B",IF(F87&lt;=10,"C","D"))))</f>
        <v/>
      </c>
      <c r="H87" s="28"/>
      <c r="I87" s="27"/>
      <c r="J87" s="26"/>
      <c r="K87" s="27"/>
      <c r="L87" s="27"/>
      <c r="M87" s="27"/>
      <c r="N87" s="27"/>
      <c r="O87" s="24" t="str">
        <f aca="false">IF(G87="","",VLOOKUP(G87,Setup!$A$14:$C$17,3,0))</f>
        <v/>
      </c>
      <c r="P87" s="27"/>
      <c r="Q87" s="29" t="str">
        <f aca="false">IF(OR(P87="",M87&lt;&gt;"Paid",O87=""),"",P87/O87)</f>
        <v/>
      </c>
      <c r="R87" s="30" t="str">
        <f aca="false">IF(Q87="","",Q87+N(H87)*0.000000001)</f>
        <v/>
      </c>
      <c r="S87" s="25" t="str">
        <f aca="false">IF(R87="","",SUMPRODUCT((I$5:I$4004=I87)*ISNUMBER(R$5:R$4004)*(R$5:R$4004&gt;R87))+1)</f>
        <v/>
      </c>
      <c r="T87" s="25" t="str">
        <f aca="false">IF(S87="","",IF(S87&lt;=Setup!$B$5,"🏆 WINNER",""))</f>
        <v/>
      </c>
      <c r="U87" s="24" t="str">
        <f aca="false">IF(S87="","",I87&amp;"|"&amp;S87)</f>
        <v/>
      </c>
    </row>
    <row r="88" customFormat="false" ht="15" hidden="false" customHeight="false" outlineLevel="0" collapsed="false">
      <c r="A88" s="31" t="n">
        <v>84</v>
      </c>
      <c r="B88" s="32" t="str">
        <f aca="false">IF(OR(C88="",I88="",G88=""),"",IFERROR(VLOOKUP(I88,Setup!$A$9:$B$11,2,0),"???")&amp;"-"&amp;G88&amp;"-"&amp;TEXT(COUNTIFS(I$5:I88,I88,G$5:G88,G88),"0000"))</f>
        <v/>
      </c>
      <c r="C88" s="26"/>
      <c r="D88" s="26"/>
      <c r="E88" s="27"/>
      <c r="F88" s="27"/>
      <c r="G88" s="31" t="str">
        <f aca="false">IF(F88="","",IF(F88&lt;=5,"A",IF(F88&lt;=8,"B",IF(F88&lt;=10,"C","D"))))</f>
        <v/>
      </c>
      <c r="H88" s="28"/>
      <c r="I88" s="27"/>
      <c r="J88" s="26"/>
      <c r="K88" s="27"/>
      <c r="L88" s="27"/>
      <c r="M88" s="27"/>
      <c r="N88" s="27"/>
      <c r="O88" s="31" t="str">
        <f aca="false">IF(G88="","",VLOOKUP(G88,Setup!$A$14:$C$17,3,0))</f>
        <v/>
      </c>
      <c r="P88" s="27"/>
      <c r="Q88" s="33" t="str">
        <f aca="false">IF(OR(P88="",M88&lt;&gt;"Paid",O88=""),"",P88/O88)</f>
        <v/>
      </c>
      <c r="R88" s="34" t="str">
        <f aca="false">IF(Q88="","",Q88+N(H88)*0.000000001)</f>
        <v/>
      </c>
      <c r="S88" s="32" t="str">
        <f aca="false">IF(R88="","",SUMPRODUCT((I$5:I$4004=I88)*ISNUMBER(R$5:R$4004)*(R$5:R$4004&gt;R88))+1)</f>
        <v/>
      </c>
      <c r="T88" s="32" t="str">
        <f aca="false">IF(S88="","",IF(S88&lt;=Setup!$B$5,"🏆 WINNER",""))</f>
        <v/>
      </c>
      <c r="U88" s="31" t="str">
        <f aca="false">IF(S88="","",I88&amp;"|"&amp;S88)</f>
        <v/>
      </c>
    </row>
    <row r="89" customFormat="false" ht="15" hidden="false" customHeight="false" outlineLevel="0" collapsed="false">
      <c r="A89" s="24" t="n">
        <v>85</v>
      </c>
      <c r="B89" s="25" t="str">
        <f aca="false">IF(OR(C89="",I89="",G89=""),"",IFERROR(VLOOKUP(I89,Setup!$A$9:$B$11,2,0),"???")&amp;"-"&amp;G89&amp;"-"&amp;TEXT(COUNTIFS(I$5:I89,I89,G$5:G89,G89),"0000"))</f>
        <v/>
      </c>
      <c r="C89" s="26"/>
      <c r="D89" s="26"/>
      <c r="E89" s="27"/>
      <c r="F89" s="27"/>
      <c r="G89" s="24" t="str">
        <f aca="false">IF(F89="","",IF(F89&lt;=5,"A",IF(F89&lt;=8,"B",IF(F89&lt;=10,"C","D"))))</f>
        <v/>
      </c>
      <c r="H89" s="28"/>
      <c r="I89" s="27"/>
      <c r="J89" s="26"/>
      <c r="K89" s="27"/>
      <c r="L89" s="27"/>
      <c r="M89" s="27"/>
      <c r="N89" s="27"/>
      <c r="O89" s="24" t="str">
        <f aca="false">IF(G89="","",VLOOKUP(G89,Setup!$A$14:$C$17,3,0))</f>
        <v/>
      </c>
      <c r="P89" s="27"/>
      <c r="Q89" s="29" t="str">
        <f aca="false">IF(OR(P89="",M89&lt;&gt;"Paid",O89=""),"",P89/O89)</f>
        <v/>
      </c>
      <c r="R89" s="30" t="str">
        <f aca="false">IF(Q89="","",Q89+N(H89)*0.000000001)</f>
        <v/>
      </c>
      <c r="S89" s="25" t="str">
        <f aca="false">IF(R89="","",SUMPRODUCT((I$5:I$4004=I89)*ISNUMBER(R$5:R$4004)*(R$5:R$4004&gt;R89))+1)</f>
        <v/>
      </c>
      <c r="T89" s="25" t="str">
        <f aca="false">IF(S89="","",IF(S89&lt;=Setup!$B$5,"🏆 WINNER",""))</f>
        <v/>
      </c>
      <c r="U89" s="24" t="str">
        <f aca="false">IF(S89="","",I89&amp;"|"&amp;S89)</f>
        <v/>
      </c>
    </row>
    <row r="90" customFormat="false" ht="15" hidden="false" customHeight="false" outlineLevel="0" collapsed="false">
      <c r="A90" s="31" t="n">
        <v>86</v>
      </c>
      <c r="B90" s="32" t="str">
        <f aca="false">IF(OR(C90="",I90="",G90=""),"",IFERROR(VLOOKUP(I90,Setup!$A$9:$B$11,2,0),"???")&amp;"-"&amp;G90&amp;"-"&amp;TEXT(COUNTIFS(I$5:I90,I90,G$5:G90,G90),"0000"))</f>
        <v/>
      </c>
      <c r="C90" s="26"/>
      <c r="D90" s="26"/>
      <c r="E90" s="27"/>
      <c r="F90" s="27"/>
      <c r="G90" s="31" t="str">
        <f aca="false">IF(F90="","",IF(F90&lt;=5,"A",IF(F90&lt;=8,"B",IF(F90&lt;=10,"C","D"))))</f>
        <v/>
      </c>
      <c r="H90" s="28"/>
      <c r="I90" s="27"/>
      <c r="J90" s="26"/>
      <c r="K90" s="27"/>
      <c r="L90" s="27"/>
      <c r="M90" s="27"/>
      <c r="N90" s="27"/>
      <c r="O90" s="31" t="str">
        <f aca="false">IF(G90="","",VLOOKUP(G90,Setup!$A$14:$C$17,3,0))</f>
        <v/>
      </c>
      <c r="P90" s="27"/>
      <c r="Q90" s="33" t="str">
        <f aca="false">IF(OR(P90="",M90&lt;&gt;"Paid",O90=""),"",P90/O90)</f>
        <v/>
      </c>
      <c r="R90" s="34" t="str">
        <f aca="false">IF(Q90="","",Q90+N(H90)*0.000000001)</f>
        <v/>
      </c>
      <c r="S90" s="32" t="str">
        <f aca="false">IF(R90="","",SUMPRODUCT((I$5:I$4004=I90)*ISNUMBER(R$5:R$4004)*(R$5:R$4004&gt;R90))+1)</f>
        <v/>
      </c>
      <c r="T90" s="32" t="str">
        <f aca="false">IF(S90="","",IF(S90&lt;=Setup!$B$5,"🏆 WINNER",""))</f>
        <v/>
      </c>
      <c r="U90" s="31" t="str">
        <f aca="false">IF(S90="","",I90&amp;"|"&amp;S90)</f>
        <v/>
      </c>
    </row>
    <row r="91" customFormat="false" ht="15" hidden="false" customHeight="false" outlineLevel="0" collapsed="false">
      <c r="A91" s="24" t="n">
        <v>87</v>
      </c>
      <c r="B91" s="25" t="str">
        <f aca="false">IF(OR(C91="",I91="",G91=""),"",IFERROR(VLOOKUP(I91,Setup!$A$9:$B$11,2,0),"???")&amp;"-"&amp;G91&amp;"-"&amp;TEXT(COUNTIFS(I$5:I91,I91,G$5:G91,G91),"0000"))</f>
        <v/>
      </c>
      <c r="C91" s="26"/>
      <c r="D91" s="26"/>
      <c r="E91" s="27"/>
      <c r="F91" s="27"/>
      <c r="G91" s="24" t="str">
        <f aca="false">IF(F91="","",IF(F91&lt;=5,"A",IF(F91&lt;=8,"B",IF(F91&lt;=10,"C","D"))))</f>
        <v/>
      </c>
      <c r="H91" s="28"/>
      <c r="I91" s="27"/>
      <c r="J91" s="26"/>
      <c r="K91" s="27"/>
      <c r="L91" s="27"/>
      <c r="M91" s="27"/>
      <c r="N91" s="27"/>
      <c r="O91" s="24" t="str">
        <f aca="false">IF(G91="","",VLOOKUP(G91,Setup!$A$14:$C$17,3,0))</f>
        <v/>
      </c>
      <c r="P91" s="27"/>
      <c r="Q91" s="29" t="str">
        <f aca="false">IF(OR(P91="",M91&lt;&gt;"Paid",O91=""),"",P91/O91)</f>
        <v/>
      </c>
      <c r="R91" s="30" t="str">
        <f aca="false">IF(Q91="","",Q91+N(H91)*0.000000001)</f>
        <v/>
      </c>
      <c r="S91" s="25" t="str">
        <f aca="false">IF(R91="","",SUMPRODUCT((I$5:I$4004=I91)*ISNUMBER(R$5:R$4004)*(R$5:R$4004&gt;R91))+1)</f>
        <v/>
      </c>
      <c r="T91" s="25" t="str">
        <f aca="false">IF(S91="","",IF(S91&lt;=Setup!$B$5,"🏆 WINNER",""))</f>
        <v/>
      </c>
      <c r="U91" s="24" t="str">
        <f aca="false">IF(S91="","",I91&amp;"|"&amp;S91)</f>
        <v/>
      </c>
    </row>
    <row r="92" customFormat="false" ht="15" hidden="false" customHeight="false" outlineLevel="0" collapsed="false">
      <c r="A92" s="31" t="n">
        <v>88</v>
      </c>
      <c r="B92" s="32" t="str">
        <f aca="false">IF(OR(C92="",I92="",G92=""),"",IFERROR(VLOOKUP(I92,Setup!$A$9:$B$11,2,0),"???")&amp;"-"&amp;G92&amp;"-"&amp;TEXT(COUNTIFS(I$5:I92,I92,G$5:G92,G92),"0000"))</f>
        <v/>
      </c>
      <c r="C92" s="26"/>
      <c r="D92" s="26"/>
      <c r="E92" s="27"/>
      <c r="F92" s="27"/>
      <c r="G92" s="31" t="str">
        <f aca="false">IF(F92="","",IF(F92&lt;=5,"A",IF(F92&lt;=8,"B",IF(F92&lt;=10,"C","D"))))</f>
        <v/>
      </c>
      <c r="H92" s="28"/>
      <c r="I92" s="27"/>
      <c r="J92" s="26"/>
      <c r="K92" s="27"/>
      <c r="L92" s="27"/>
      <c r="M92" s="27"/>
      <c r="N92" s="27"/>
      <c r="O92" s="31" t="str">
        <f aca="false">IF(G92="","",VLOOKUP(G92,Setup!$A$14:$C$17,3,0))</f>
        <v/>
      </c>
      <c r="P92" s="27"/>
      <c r="Q92" s="33" t="str">
        <f aca="false">IF(OR(P92="",M92&lt;&gt;"Paid",O92=""),"",P92/O92)</f>
        <v/>
      </c>
      <c r="R92" s="34" t="str">
        <f aca="false">IF(Q92="","",Q92+N(H92)*0.000000001)</f>
        <v/>
      </c>
      <c r="S92" s="32" t="str">
        <f aca="false">IF(R92="","",SUMPRODUCT((I$5:I$4004=I92)*ISNUMBER(R$5:R$4004)*(R$5:R$4004&gt;R92))+1)</f>
        <v/>
      </c>
      <c r="T92" s="32" t="str">
        <f aca="false">IF(S92="","",IF(S92&lt;=Setup!$B$5,"🏆 WINNER",""))</f>
        <v/>
      </c>
      <c r="U92" s="31" t="str">
        <f aca="false">IF(S92="","",I92&amp;"|"&amp;S92)</f>
        <v/>
      </c>
    </row>
    <row r="93" customFormat="false" ht="15" hidden="false" customHeight="false" outlineLevel="0" collapsed="false">
      <c r="A93" s="24" t="n">
        <v>89</v>
      </c>
      <c r="B93" s="25" t="str">
        <f aca="false">IF(OR(C93="",I93="",G93=""),"",IFERROR(VLOOKUP(I93,Setup!$A$9:$B$11,2,0),"???")&amp;"-"&amp;G93&amp;"-"&amp;TEXT(COUNTIFS(I$5:I93,I93,G$5:G93,G93),"0000"))</f>
        <v/>
      </c>
      <c r="C93" s="26"/>
      <c r="D93" s="26"/>
      <c r="E93" s="27"/>
      <c r="F93" s="27"/>
      <c r="G93" s="24" t="str">
        <f aca="false">IF(F93="","",IF(F93&lt;=5,"A",IF(F93&lt;=8,"B",IF(F93&lt;=10,"C","D"))))</f>
        <v/>
      </c>
      <c r="H93" s="28"/>
      <c r="I93" s="27"/>
      <c r="J93" s="26"/>
      <c r="K93" s="27"/>
      <c r="L93" s="27"/>
      <c r="M93" s="27"/>
      <c r="N93" s="27"/>
      <c r="O93" s="24" t="str">
        <f aca="false">IF(G93="","",VLOOKUP(G93,Setup!$A$14:$C$17,3,0))</f>
        <v/>
      </c>
      <c r="P93" s="27"/>
      <c r="Q93" s="29" t="str">
        <f aca="false">IF(OR(P93="",M93&lt;&gt;"Paid",O93=""),"",P93/O93)</f>
        <v/>
      </c>
      <c r="R93" s="30" t="str">
        <f aca="false">IF(Q93="","",Q93+N(H93)*0.000000001)</f>
        <v/>
      </c>
      <c r="S93" s="25" t="str">
        <f aca="false">IF(R93="","",SUMPRODUCT((I$5:I$4004=I93)*ISNUMBER(R$5:R$4004)*(R$5:R$4004&gt;R93))+1)</f>
        <v/>
      </c>
      <c r="T93" s="25" t="str">
        <f aca="false">IF(S93="","",IF(S93&lt;=Setup!$B$5,"🏆 WINNER",""))</f>
        <v/>
      </c>
      <c r="U93" s="24" t="str">
        <f aca="false">IF(S93="","",I93&amp;"|"&amp;S93)</f>
        <v/>
      </c>
    </row>
    <row r="94" customFormat="false" ht="15" hidden="false" customHeight="false" outlineLevel="0" collapsed="false">
      <c r="A94" s="31" t="n">
        <v>90</v>
      </c>
      <c r="B94" s="32" t="str">
        <f aca="false">IF(OR(C94="",I94="",G94=""),"",IFERROR(VLOOKUP(I94,Setup!$A$9:$B$11,2,0),"???")&amp;"-"&amp;G94&amp;"-"&amp;TEXT(COUNTIFS(I$5:I94,I94,G$5:G94,G94),"0000"))</f>
        <v/>
      </c>
      <c r="C94" s="26"/>
      <c r="D94" s="26"/>
      <c r="E94" s="27"/>
      <c r="F94" s="27"/>
      <c r="G94" s="31" t="str">
        <f aca="false">IF(F94="","",IF(F94&lt;=5,"A",IF(F94&lt;=8,"B",IF(F94&lt;=10,"C","D"))))</f>
        <v/>
      </c>
      <c r="H94" s="28"/>
      <c r="I94" s="27"/>
      <c r="J94" s="26"/>
      <c r="K94" s="27"/>
      <c r="L94" s="27"/>
      <c r="M94" s="27"/>
      <c r="N94" s="27"/>
      <c r="O94" s="31" t="str">
        <f aca="false">IF(G94="","",VLOOKUP(G94,Setup!$A$14:$C$17,3,0))</f>
        <v/>
      </c>
      <c r="P94" s="27"/>
      <c r="Q94" s="33" t="str">
        <f aca="false">IF(OR(P94="",M94&lt;&gt;"Paid",O94=""),"",P94/O94)</f>
        <v/>
      </c>
      <c r="R94" s="34" t="str">
        <f aca="false">IF(Q94="","",Q94+N(H94)*0.000000001)</f>
        <v/>
      </c>
      <c r="S94" s="32" t="str">
        <f aca="false">IF(R94="","",SUMPRODUCT((I$5:I$4004=I94)*ISNUMBER(R$5:R$4004)*(R$5:R$4004&gt;R94))+1)</f>
        <v/>
      </c>
      <c r="T94" s="32" t="str">
        <f aca="false">IF(S94="","",IF(S94&lt;=Setup!$B$5,"🏆 WINNER",""))</f>
        <v/>
      </c>
      <c r="U94" s="31" t="str">
        <f aca="false">IF(S94="","",I94&amp;"|"&amp;S94)</f>
        <v/>
      </c>
    </row>
    <row r="95" customFormat="false" ht="15" hidden="false" customHeight="false" outlineLevel="0" collapsed="false">
      <c r="A95" s="24" t="n">
        <v>91</v>
      </c>
      <c r="B95" s="25" t="str">
        <f aca="false">IF(OR(C95="",I95="",G95=""),"",IFERROR(VLOOKUP(I95,Setup!$A$9:$B$11,2,0),"???")&amp;"-"&amp;G95&amp;"-"&amp;TEXT(COUNTIFS(I$5:I95,I95,G$5:G95,G95),"0000"))</f>
        <v/>
      </c>
      <c r="C95" s="26"/>
      <c r="D95" s="26"/>
      <c r="E95" s="27"/>
      <c r="F95" s="27"/>
      <c r="G95" s="24" t="str">
        <f aca="false">IF(F95="","",IF(F95&lt;=5,"A",IF(F95&lt;=8,"B",IF(F95&lt;=10,"C","D"))))</f>
        <v/>
      </c>
      <c r="H95" s="28"/>
      <c r="I95" s="27"/>
      <c r="J95" s="26"/>
      <c r="K95" s="27"/>
      <c r="L95" s="27"/>
      <c r="M95" s="27"/>
      <c r="N95" s="27"/>
      <c r="O95" s="24" t="str">
        <f aca="false">IF(G95="","",VLOOKUP(G95,Setup!$A$14:$C$17,3,0))</f>
        <v/>
      </c>
      <c r="P95" s="27"/>
      <c r="Q95" s="29" t="str">
        <f aca="false">IF(OR(P95="",M95&lt;&gt;"Paid",O95=""),"",P95/O95)</f>
        <v/>
      </c>
      <c r="R95" s="30" t="str">
        <f aca="false">IF(Q95="","",Q95+N(H95)*0.000000001)</f>
        <v/>
      </c>
      <c r="S95" s="25" t="str">
        <f aca="false">IF(R95="","",SUMPRODUCT((I$5:I$4004=I95)*ISNUMBER(R$5:R$4004)*(R$5:R$4004&gt;R95))+1)</f>
        <v/>
      </c>
      <c r="T95" s="25" t="str">
        <f aca="false">IF(S95="","",IF(S95&lt;=Setup!$B$5,"🏆 WINNER",""))</f>
        <v/>
      </c>
      <c r="U95" s="24" t="str">
        <f aca="false">IF(S95="","",I95&amp;"|"&amp;S95)</f>
        <v/>
      </c>
    </row>
    <row r="96" customFormat="false" ht="15" hidden="false" customHeight="false" outlineLevel="0" collapsed="false">
      <c r="A96" s="31" t="n">
        <v>92</v>
      </c>
      <c r="B96" s="32" t="str">
        <f aca="false">IF(OR(C96="",I96="",G96=""),"",IFERROR(VLOOKUP(I96,Setup!$A$9:$B$11,2,0),"???")&amp;"-"&amp;G96&amp;"-"&amp;TEXT(COUNTIFS(I$5:I96,I96,G$5:G96,G96),"0000"))</f>
        <v/>
      </c>
      <c r="C96" s="26"/>
      <c r="D96" s="26"/>
      <c r="E96" s="27"/>
      <c r="F96" s="27"/>
      <c r="G96" s="31" t="str">
        <f aca="false">IF(F96="","",IF(F96&lt;=5,"A",IF(F96&lt;=8,"B",IF(F96&lt;=10,"C","D"))))</f>
        <v/>
      </c>
      <c r="H96" s="28"/>
      <c r="I96" s="27"/>
      <c r="J96" s="26"/>
      <c r="K96" s="27"/>
      <c r="L96" s="27"/>
      <c r="M96" s="27"/>
      <c r="N96" s="27"/>
      <c r="O96" s="31" t="str">
        <f aca="false">IF(G96="","",VLOOKUP(G96,Setup!$A$14:$C$17,3,0))</f>
        <v/>
      </c>
      <c r="P96" s="27"/>
      <c r="Q96" s="33" t="str">
        <f aca="false">IF(OR(P96="",M96&lt;&gt;"Paid",O96=""),"",P96/O96)</f>
        <v/>
      </c>
      <c r="R96" s="34" t="str">
        <f aca="false">IF(Q96="","",Q96+N(H96)*0.000000001)</f>
        <v/>
      </c>
      <c r="S96" s="32" t="str">
        <f aca="false">IF(R96="","",SUMPRODUCT((I$5:I$4004=I96)*ISNUMBER(R$5:R$4004)*(R$5:R$4004&gt;R96))+1)</f>
        <v/>
      </c>
      <c r="T96" s="32" t="str">
        <f aca="false">IF(S96="","",IF(S96&lt;=Setup!$B$5,"🏆 WINNER",""))</f>
        <v/>
      </c>
      <c r="U96" s="31" t="str">
        <f aca="false">IF(S96="","",I96&amp;"|"&amp;S96)</f>
        <v/>
      </c>
    </row>
    <row r="97" customFormat="false" ht="15" hidden="false" customHeight="false" outlineLevel="0" collapsed="false">
      <c r="A97" s="24" t="n">
        <v>93</v>
      </c>
      <c r="B97" s="25" t="str">
        <f aca="false">IF(OR(C97="",I97="",G97=""),"",IFERROR(VLOOKUP(I97,Setup!$A$9:$B$11,2,0),"???")&amp;"-"&amp;G97&amp;"-"&amp;TEXT(COUNTIFS(I$5:I97,I97,G$5:G97,G97),"0000"))</f>
        <v/>
      </c>
      <c r="C97" s="26"/>
      <c r="D97" s="26"/>
      <c r="E97" s="27"/>
      <c r="F97" s="27"/>
      <c r="G97" s="24" t="str">
        <f aca="false">IF(F97="","",IF(F97&lt;=5,"A",IF(F97&lt;=8,"B",IF(F97&lt;=10,"C","D"))))</f>
        <v/>
      </c>
      <c r="H97" s="28"/>
      <c r="I97" s="27"/>
      <c r="J97" s="26"/>
      <c r="K97" s="27"/>
      <c r="L97" s="27"/>
      <c r="M97" s="27"/>
      <c r="N97" s="27"/>
      <c r="O97" s="24" t="str">
        <f aca="false">IF(G97="","",VLOOKUP(G97,Setup!$A$14:$C$17,3,0))</f>
        <v/>
      </c>
      <c r="P97" s="27"/>
      <c r="Q97" s="29" t="str">
        <f aca="false">IF(OR(P97="",M97&lt;&gt;"Paid",O97=""),"",P97/O97)</f>
        <v/>
      </c>
      <c r="R97" s="30" t="str">
        <f aca="false">IF(Q97="","",Q97+N(H97)*0.000000001)</f>
        <v/>
      </c>
      <c r="S97" s="25" t="str">
        <f aca="false">IF(R97="","",SUMPRODUCT((I$5:I$4004=I97)*ISNUMBER(R$5:R$4004)*(R$5:R$4004&gt;R97))+1)</f>
        <v/>
      </c>
      <c r="T97" s="25" t="str">
        <f aca="false">IF(S97="","",IF(S97&lt;=Setup!$B$5,"🏆 WINNER",""))</f>
        <v/>
      </c>
      <c r="U97" s="24" t="str">
        <f aca="false">IF(S97="","",I97&amp;"|"&amp;S97)</f>
        <v/>
      </c>
    </row>
    <row r="98" customFormat="false" ht="15" hidden="false" customHeight="false" outlineLevel="0" collapsed="false">
      <c r="A98" s="31" t="n">
        <v>94</v>
      </c>
      <c r="B98" s="32" t="str">
        <f aca="false">IF(OR(C98="",I98="",G98=""),"",IFERROR(VLOOKUP(I98,Setup!$A$9:$B$11,2,0),"???")&amp;"-"&amp;G98&amp;"-"&amp;TEXT(COUNTIFS(I$5:I98,I98,G$5:G98,G98),"0000"))</f>
        <v/>
      </c>
      <c r="C98" s="26"/>
      <c r="D98" s="26"/>
      <c r="E98" s="27"/>
      <c r="F98" s="27"/>
      <c r="G98" s="31" t="str">
        <f aca="false">IF(F98="","",IF(F98&lt;=5,"A",IF(F98&lt;=8,"B",IF(F98&lt;=10,"C","D"))))</f>
        <v/>
      </c>
      <c r="H98" s="28"/>
      <c r="I98" s="27"/>
      <c r="J98" s="26"/>
      <c r="K98" s="27"/>
      <c r="L98" s="27"/>
      <c r="M98" s="27"/>
      <c r="N98" s="27"/>
      <c r="O98" s="31" t="str">
        <f aca="false">IF(G98="","",VLOOKUP(G98,Setup!$A$14:$C$17,3,0))</f>
        <v/>
      </c>
      <c r="P98" s="27"/>
      <c r="Q98" s="33" t="str">
        <f aca="false">IF(OR(P98="",M98&lt;&gt;"Paid",O98=""),"",P98/O98)</f>
        <v/>
      </c>
      <c r="R98" s="34" t="str">
        <f aca="false">IF(Q98="","",Q98+N(H98)*0.000000001)</f>
        <v/>
      </c>
      <c r="S98" s="32" t="str">
        <f aca="false">IF(R98="","",SUMPRODUCT((I$5:I$4004=I98)*ISNUMBER(R$5:R$4004)*(R$5:R$4004&gt;R98))+1)</f>
        <v/>
      </c>
      <c r="T98" s="32" t="str">
        <f aca="false">IF(S98="","",IF(S98&lt;=Setup!$B$5,"🏆 WINNER",""))</f>
        <v/>
      </c>
      <c r="U98" s="31" t="str">
        <f aca="false">IF(S98="","",I98&amp;"|"&amp;S98)</f>
        <v/>
      </c>
    </row>
    <row r="99" customFormat="false" ht="15" hidden="false" customHeight="false" outlineLevel="0" collapsed="false">
      <c r="A99" s="24" t="n">
        <v>95</v>
      </c>
      <c r="B99" s="25" t="str">
        <f aca="false">IF(OR(C99="",I99="",G99=""),"",IFERROR(VLOOKUP(I99,Setup!$A$9:$B$11,2,0),"???")&amp;"-"&amp;G99&amp;"-"&amp;TEXT(COUNTIFS(I$5:I99,I99,G$5:G99,G99),"0000"))</f>
        <v/>
      </c>
      <c r="C99" s="26"/>
      <c r="D99" s="26"/>
      <c r="E99" s="27"/>
      <c r="F99" s="27"/>
      <c r="G99" s="24" t="str">
        <f aca="false">IF(F99="","",IF(F99&lt;=5,"A",IF(F99&lt;=8,"B",IF(F99&lt;=10,"C","D"))))</f>
        <v/>
      </c>
      <c r="H99" s="28"/>
      <c r="I99" s="27"/>
      <c r="J99" s="26"/>
      <c r="K99" s="27"/>
      <c r="L99" s="27"/>
      <c r="M99" s="27"/>
      <c r="N99" s="27"/>
      <c r="O99" s="24" t="str">
        <f aca="false">IF(G99="","",VLOOKUP(G99,Setup!$A$14:$C$17,3,0))</f>
        <v/>
      </c>
      <c r="P99" s="27"/>
      <c r="Q99" s="29" t="str">
        <f aca="false">IF(OR(P99="",M99&lt;&gt;"Paid",O99=""),"",P99/O99)</f>
        <v/>
      </c>
      <c r="R99" s="30" t="str">
        <f aca="false">IF(Q99="","",Q99+N(H99)*0.000000001)</f>
        <v/>
      </c>
      <c r="S99" s="25" t="str">
        <f aca="false">IF(R99="","",SUMPRODUCT((I$5:I$4004=I99)*ISNUMBER(R$5:R$4004)*(R$5:R$4004&gt;R99))+1)</f>
        <v/>
      </c>
      <c r="T99" s="25" t="str">
        <f aca="false">IF(S99="","",IF(S99&lt;=Setup!$B$5,"🏆 WINNER",""))</f>
        <v/>
      </c>
      <c r="U99" s="24" t="str">
        <f aca="false">IF(S99="","",I99&amp;"|"&amp;S99)</f>
        <v/>
      </c>
    </row>
    <row r="100" customFormat="false" ht="15" hidden="false" customHeight="false" outlineLevel="0" collapsed="false">
      <c r="A100" s="31" t="n">
        <v>96</v>
      </c>
      <c r="B100" s="32" t="str">
        <f aca="false">IF(OR(C100="",I100="",G100=""),"",IFERROR(VLOOKUP(I100,Setup!$A$9:$B$11,2,0),"???")&amp;"-"&amp;G100&amp;"-"&amp;TEXT(COUNTIFS(I$5:I100,I100,G$5:G100,G100),"0000"))</f>
        <v/>
      </c>
      <c r="C100" s="26"/>
      <c r="D100" s="26"/>
      <c r="E100" s="27"/>
      <c r="F100" s="27"/>
      <c r="G100" s="31" t="str">
        <f aca="false">IF(F100="","",IF(F100&lt;=5,"A",IF(F100&lt;=8,"B",IF(F100&lt;=10,"C","D"))))</f>
        <v/>
      </c>
      <c r="H100" s="28"/>
      <c r="I100" s="27"/>
      <c r="J100" s="26"/>
      <c r="K100" s="27"/>
      <c r="L100" s="27"/>
      <c r="M100" s="27"/>
      <c r="N100" s="27"/>
      <c r="O100" s="31" t="str">
        <f aca="false">IF(G100="","",VLOOKUP(G100,Setup!$A$14:$C$17,3,0))</f>
        <v/>
      </c>
      <c r="P100" s="27"/>
      <c r="Q100" s="33" t="str">
        <f aca="false">IF(OR(P100="",M100&lt;&gt;"Paid",O100=""),"",P100/O100)</f>
        <v/>
      </c>
      <c r="R100" s="34" t="str">
        <f aca="false">IF(Q100="","",Q100+N(H100)*0.000000001)</f>
        <v/>
      </c>
      <c r="S100" s="32" t="str">
        <f aca="false">IF(R100="","",SUMPRODUCT((I$5:I$4004=I100)*ISNUMBER(R$5:R$4004)*(R$5:R$4004&gt;R100))+1)</f>
        <v/>
      </c>
      <c r="T100" s="32" t="str">
        <f aca="false">IF(S100="","",IF(S100&lt;=Setup!$B$5,"🏆 WINNER",""))</f>
        <v/>
      </c>
      <c r="U100" s="31" t="str">
        <f aca="false">IF(S100="","",I100&amp;"|"&amp;S100)</f>
        <v/>
      </c>
    </row>
    <row r="101" customFormat="false" ht="15" hidden="false" customHeight="false" outlineLevel="0" collapsed="false">
      <c r="A101" s="24" t="n">
        <v>97</v>
      </c>
      <c r="B101" s="25" t="str">
        <f aca="false">IF(OR(C101="",I101="",G101=""),"",IFERROR(VLOOKUP(I101,Setup!$A$9:$B$11,2,0),"???")&amp;"-"&amp;G101&amp;"-"&amp;TEXT(COUNTIFS(I$5:I101,I101,G$5:G101,G101),"0000"))</f>
        <v/>
      </c>
      <c r="C101" s="26"/>
      <c r="D101" s="26"/>
      <c r="E101" s="27"/>
      <c r="F101" s="27"/>
      <c r="G101" s="24" t="str">
        <f aca="false">IF(F101="","",IF(F101&lt;=5,"A",IF(F101&lt;=8,"B",IF(F101&lt;=10,"C","D"))))</f>
        <v/>
      </c>
      <c r="H101" s="28"/>
      <c r="I101" s="27"/>
      <c r="J101" s="26"/>
      <c r="K101" s="27"/>
      <c r="L101" s="27"/>
      <c r="M101" s="27"/>
      <c r="N101" s="27"/>
      <c r="O101" s="24" t="str">
        <f aca="false">IF(G101="","",VLOOKUP(G101,Setup!$A$14:$C$17,3,0))</f>
        <v/>
      </c>
      <c r="P101" s="27"/>
      <c r="Q101" s="29" t="str">
        <f aca="false">IF(OR(P101="",M101&lt;&gt;"Paid",O101=""),"",P101/O101)</f>
        <v/>
      </c>
      <c r="R101" s="30" t="str">
        <f aca="false">IF(Q101="","",Q101+N(H101)*0.000000001)</f>
        <v/>
      </c>
      <c r="S101" s="25" t="str">
        <f aca="false">IF(R101="","",SUMPRODUCT((I$5:I$4004=I101)*ISNUMBER(R$5:R$4004)*(R$5:R$4004&gt;R101))+1)</f>
        <v/>
      </c>
      <c r="T101" s="25" t="str">
        <f aca="false">IF(S101="","",IF(S101&lt;=Setup!$B$5,"🏆 WINNER",""))</f>
        <v/>
      </c>
      <c r="U101" s="24" t="str">
        <f aca="false">IF(S101="","",I101&amp;"|"&amp;S101)</f>
        <v/>
      </c>
    </row>
    <row r="102" customFormat="false" ht="15" hidden="false" customHeight="false" outlineLevel="0" collapsed="false">
      <c r="A102" s="31" t="n">
        <v>98</v>
      </c>
      <c r="B102" s="32" t="str">
        <f aca="false">IF(OR(C102="",I102="",G102=""),"",IFERROR(VLOOKUP(I102,Setup!$A$9:$B$11,2,0),"???")&amp;"-"&amp;G102&amp;"-"&amp;TEXT(COUNTIFS(I$5:I102,I102,G$5:G102,G102),"0000"))</f>
        <v/>
      </c>
      <c r="C102" s="26"/>
      <c r="D102" s="26"/>
      <c r="E102" s="27"/>
      <c r="F102" s="27"/>
      <c r="G102" s="31" t="str">
        <f aca="false">IF(F102="","",IF(F102&lt;=5,"A",IF(F102&lt;=8,"B",IF(F102&lt;=10,"C","D"))))</f>
        <v/>
      </c>
      <c r="H102" s="28"/>
      <c r="I102" s="27"/>
      <c r="J102" s="26"/>
      <c r="K102" s="27"/>
      <c r="L102" s="27"/>
      <c r="M102" s="27"/>
      <c r="N102" s="27"/>
      <c r="O102" s="31" t="str">
        <f aca="false">IF(G102="","",VLOOKUP(G102,Setup!$A$14:$C$17,3,0))</f>
        <v/>
      </c>
      <c r="P102" s="27"/>
      <c r="Q102" s="33" t="str">
        <f aca="false">IF(OR(P102="",M102&lt;&gt;"Paid",O102=""),"",P102/O102)</f>
        <v/>
      </c>
      <c r="R102" s="34" t="str">
        <f aca="false">IF(Q102="","",Q102+N(H102)*0.000000001)</f>
        <v/>
      </c>
      <c r="S102" s="32" t="str">
        <f aca="false">IF(R102="","",SUMPRODUCT((I$5:I$4004=I102)*ISNUMBER(R$5:R$4004)*(R$5:R$4004&gt;R102))+1)</f>
        <v/>
      </c>
      <c r="T102" s="32" t="str">
        <f aca="false">IF(S102="","",IF(S102&lt;=Setup!$B$5,"🏆 WINNER",""))</f>
        <v/>
      </c>
      <c r="U102" s="31" t="str">
        <f aca="false">IF(S102="","",I102&amp;"|"&amp;S102)</f>
        <v/>
      </c>
    </row>
    <row r="103" customFormat="false" ht="15" hidden="false" customHeight="false" outlineLevel="0" collapsed="false">
      <c r="A103" s="24" t="n">
        <v>99</v>
      </c>
      <c r="B103" s="25" t="str">
        <f aca="false">IF(OR(C103="",I103="",G103=""),"",IFERROR(VLOOKUP(I103,Setup!$A$9:$B$11,2,0),"???")&amp;"-"&amp;G103&amp;"-"&amp;TEXT(COUNTIFS(I$5:I103,I103,G$5:G103,G103),"0000"))</f>
        <v/>
      </c>
      <c r="C103" s="26"/>
      <c r="D103" s="26"/>
      <c r="E103" s="27"/>
      <c r="F103" s="27"/>
      <c r="G103" s="24" t="str">
        <f aca="false">IF(F103="","",IF(F103&lt;=5,"A",IF(F103&lt;=8,"B",IF(F103&lt;=10,"C","D"))))</f>
        <v/>
      </c>
      <c r="H103" s="28"/>
      <c r="I103" s="27"/>
      <c r="J103" s="26"/>
      <c r="K103" s="27"/>
      <c r="L103" s="27"/>
      <c r="M103" s="27"/>
      <c r="N103" s="27"/>
      <c r="O103" s="24" t="str">
        <f aca="false">IF(G103="","",VLOOKUP(G103,Setup!$A$14:$C$17,3,0))</f>
        <v/>
      </c>
      <c r="P103" s="27"/>
      <c r="Q103" s="29" t="str">
        <f aca="false">IF(OR(P103="",M103&lt;&gt;"Paid",O103=""),"",P103/O103)</f>
        <v/>
      </c>
      <c r="R103" s="30" t="str">
        <f aca="false">IF(Q103="","",Q103+N(H103)*0.000000001)</f>
        <v/>
      </c>
      <c r="S103" s="25" t="str">
        <f aca="false">IF(R103="","",SUMPRODUCT((I$5:I$4004=I103)*ISNUMBER(R$5:R$4004)*(R$5:R$4004&gt;R103))+1)</f>
        <v/>
      </c>
      <c r="T103" s="25" t="str">
        <f aca="false">IF(S103="","",IF(S103&lt;=Setup!$B$5,"🏆 WINNER",""))</f>
        <v/>
      </c>
      <c r="U103" s="24" t="str">
        <f aca="false">IF(S103="","",I103&amp;"|"&amp;S103)</f>
        <v/>
      </c>
    </row>
    <row r="104" customFormat="false" ht="15" hidden="false" customHeight="false" outlineLevel="0" collapsed="false">
      <c r="A104" s="31" t="n">
        <v>100</v>
      </c>
      <c r="B104" s="32" t="str">
        <f aca="false">IF(OR(C104="",I104="",G104=""),"",IFERROR(VLOOKUP(I104,Setup!$A$9:$B$11,2,0),"???")&amp;"-"&amp;G104&amp;"-"&amp;TEXT(COUNTIFS(I$5:I104,I104,G$5:G104,G104),"0000"))</f>
        <v/>
      </c>
      <c r="C104" s="26"/>
      <c r="D104" s="26"/>
      <c r="E104" s="27"/>
      <c r="F104" s="27"/>
      <c r="G104" s="31" t="str">
        <f aca="false">IF(F104="","",IF(F104&lt;=5,"A",IF(F104&lt;=8,"B",IF(F104&lt;=10,"C","D"))))</f>
        <v/>
      </c>
      <c r="H104" s="28"/>
      <c r="I104" s="27"/>
      <c r="J104" s="26"/>
      <c r="K104" s="27"/>
      <c r="L104" s="27"/>
      <c r="M104" s="27"/>
      <c r="N104" s="27"/>
      <c r="O104" s="31" t="str">
        <f aca="false">IF(G104="","",VLOOKUP(G104,Setup!$A$14:$C$17,3,0))</f>
        <v/>
      </c>
      <c r="P104" s="27"/>
      <c r="Q104" s="33" t="str">
        <f aca="false">IF(OR(P104="",M104&lt;&gt;"Paid",O104=""),"",P104/O104)</f>
        <v/>
      </c>
      <c r="R104" s="34" t="str">
        <f aca="false">IF(Q104="","",Q104+N(H104)*0.000000001)</f>
        <v/>
      </c>
      <c r="S104" s="32" t="str">
        <f aca="false">IF(R104="","",SUMPRODUCT((I$5:I$4004=I104)*ISNUMBER(R$5:R$4004)*(R$5:R$4004&gt;R104))+1)</f>
        <v/>
      </c>
      <c r="T104" s="32" t="str">
        <f aca="false">IF(S104="","",IF(S104&lt;=Setup!$B$5,"🏆 WINNER",""))</f>
        <v/>
      </c>
      <c r="U104" s="31" t="str">
        <f aca="false">IF(S104="","",I104&amp;"|"&amp;S104)</f>
        <v/>
      </c>
    </row>
    <row r="105" customFormat="false" ht="15" hidden="false" customHeight="false" outlineLevel="0" collapsed="false">
      <c r="A105" s="24" t="n">
        <v>101</v>
      </c>
      <c r="B105" s="25" t="str">
        <f aca="false">IF(OR(C105="",I105="",G105=""),"",IFERROR(VLOOKUP(I105,Setup!$A$9:$B$11,2,0),"???")&amp;"-"&amp;G105&amp;"-"&amp;TEXT(COUNTIFS(I$5:I105,I105,G$5:G105,G105),"0000"))</f>
        <v/>
      </c>
      <c r="C105" s="26"/>
      <c r="D105" s="26"/>
      <c r="E105" s="27"/>
      <c r="F105" s="27"/>
      <c r="G105" s="24" t="str">
        <f aca="false">IF(F105="","",IF(F105&lt;=5,"A",IF(F105&lt;=8,"B",IF(F105&lt;=10,"C","D"))))</f>
        <v/>
      </c>
      <c r="H105" s="28"/>
      <c r="I105" s="27"/>
      <c r="J105" s="26"/>
      <c r="K105" s="27"/>
      <c r="L105" s="27"/>
      <c r="M105" s="27"/>
      <c r="N105" s="27"/>
      <c r="O105" s="24" t="str">
        <f aca="false">IF(G105="","",VLOOKUP(G105,Setup!$A$14:$C$17,3,0))</f>
        <v/>
      </c>
      <c r="P105" s="27"/>
      <c r="Q105" s="29" t="str">
        <f aca="false">IF(OR(P105="",M105&lt;&gt;"Paid",O105=""),"",P105/O105)</f>
        <v/>
      </c>
      <c r="R105" s="30" t="str">
        <f aca="false">IF(Q105="","",Q105+N(H105)*0.000000001)</f>
        <v/>
      </c>
      <c r="S105" s="25" t="str">
        <f aca="false">IF(R105="","",SUMPRODUCT((I$5:I$4004=I105)*ISNUMBER(R$5:R$4004)*(R$5:R$4004&gt;R105))+1)</f>
        <v/>
      </c>
      <c r="T105" s="25" t="str">
        <f aca="false">IF(S105="","",IF(S105&lt;=Setup!$B$5,"🏆 WINNER",""))</f>
        <v/>
      </c>
      <c r="U105" s="24" t="str">
        <f aca="false">IF(S105="","",I105&amp;"|"&amp;S105)</f>
        <v/>
      </c>
    </row>
    <row r="106" customFormat="false" ht="15" hidden="false" customHeight="false" outlineLevel="0" collapsed="false">
      <c r="A106" s="31" t="n">
        <v>102</v>
      </c>
      <c r="B106" s="32" t="str">
        <f aca="false">IF(OR(C106="",I106="",G106=""),"",IFERROR(VLOOKUP(I106,Setup!$A$9:$B$11,2,0),"???")&amp;"-"&amp;G106&amp;"-"&amp;TEXT(COUNTIFS(I$5:I106,I106,G$5:G106,G106),"0000"))</f>
        <v/>
      </c>
      <c r="C106" s="26"/>
      <c r="D106" s="26"/>
      <c r="E106" s="27"/>
      <c r="F106" s="27"/>
      <c r="G106" s="31" t="str">
        <f aca="false">IF(F106="","",IF(F106&lt;=5,"A",IF(F106&lt;=8,"B",IF(F106&lt;=10,"C","D"))))</f>
        <v/>
      </c>
      <c r="H106" s="28"/>
      <c r="I106" s="27"/>
      <c r="J106" s="26"/>
      <c r="K106" s="27"/>
      <c r="L106" s="27"/>
      <c r="M106" s="27"/>
      <c r="N106" s="27"/>
      <c r="O106" s="31" t="str">
        <f aca="false">IF(G106="","",VLOOKUP(G106,Setup!$A$14:$C$17,3,0))</f>
        <v/>
      </c>
      <c r="P106" s="27"/>
      <c r="Q106" s="33" t="str">
        <f aca="false">IF(OR(P106="",M106&lt;&gt;"Paid",O106=""),"",P106/O106)</f>
        <v/>
      </c>
      <c r="R106" s="34" t="str">
        <f aca="false">IF(Q106="","",Q106+N(H106)*0.000000001)</f>
        <v/>
      </c>
      <c r="S106" s="32" t="str">
        <f aca="false">IF(R106="","",SUMPRODUCT((I$5:I$4004=I106)*ISNUMBER(R$5:R$4004)*(R$5:R$4004&gt;R106))+1)</f>
        <v/>
      </c>
      <c r="T106" s="32" t="str">
        <f aca="false">IF(S106="","",IF(S106&lt;=Setup!$B$5,"🏆 WINNER",""))</f>
        <v/>
      </c>
      <c r="U106" s="31" t="str">
        <f aca="false">IF(S106="","",I106&amp;"|"&amp;S106)</f>
        <v/>
      </c>
    </row>
    <row r="107" customFormat="false" ht="15" hidden="false" customHeight="false" outlineLevel="0" collapsed="false">
      <c r="A107" s="24" t="n">
        <v>103</v>
      </c>
      <c r="B107" s="25" t="str">
        <f aca="false">IF(OR(C107="",I107="",G107=""),"",IFERROR(VLOOKUP(I107,Setup!$A$9:$B$11,2,0),"???")&amp;"-"&amp;G107&amp;"-"&amp;TEXT(COUNTIFS(I$5:I107,I107,G$5:G107,G107),"0000"))</f>
        <v/>
      </c>
      <c r="C107" s="26"/>
      <c r="D107" s="26"/>
      <c r="E107" s="27"/>
      <c r="F107" s="27"/>
      <c r="G107" s="24" t="str">
        <f aca="false">IF(F107="","",IF(F107&lt;=5,"A",IF(F107&lt;=8,"B",IF(F107&lt;=10,"C","D"))))</f>
        <v/>
      </c>
      <c r="H107" s="28"/>
      <c r="I107" s="27"/>
      <c r="J107" s="26"/>
      <c r="K107" s="27"/>
      <c r="L107" s="27"/>
      <c r="M107" s="27"/>
      <c r="N107" s="27"/>
      <c r="O107" s="24" t="str">
        <f aca="false">IF(G107="","",VLOOKUP(G107,Setup!$A$14:$C$17,3,0))</f>
        <v/>
      </c>
      <c r="P107" s="27"/>
      <c r="Q107" s="29" t="str">
        <f aca="false">IF(OR(P107="",M107&lt;&gt;"Paid",O107=""),"",P107/O107)</f>
        <v/>
      </c>
      <c r="R107" s="30" t="str">
        <f aca="false">IF(Q107="","",Q107+N(H107)*0.000000001)</f>
        <v/>
      </c>
      <c r="S107" s="25" t="str">
        <f aca="false">IF(R107="","",SUMPRODUCT((I$5:I$4004=I107)*ISNUMBER(R$5:R$4004)*(R$5:R$4004&gt;R107))+1)</f>
        <v/>
      </c>
      <c r="T107" s="25" t="str">
        <f aca="false">IF(S107="","",IF(S107&lt;=Setup!$B$5,"🏆 WINNER",""))</f>
        <v/>
      </c>
      <c r="U107" s="24" t="str">
        <f aca="false">IF(S107="","",I107&amp;"|"&amp;S107)</f>
        <v/>
      </c>
    </row>
    <row r="108" customFormat="false" ht="15" hidden="false" customHeight="false" outlineLevel="0" collapsed="false">
      <c r="A108" s="31" t="n">
        <v>104</v>
      </c>
      <c r="B108" s="32" t="str">
        <f aca="false">IF(OR(C108="",I108="",G108=""),"",IFERROR(VLOOKUP(I108,Setup!$A$9:$B$11,2,0),"???")&amp;"-"&amp;G108&amp;"-"&amp;TEXT(COUNTIFS(I$5:I108,I108,G$5:G108,G108),"0000"))</f>
        <v/>
      </c>
      <c r="C108" s="26"/>
      <c r="D108" s="26"/>
      <c r="E108" s="27"/>
      <c r="F108" s="27"/>
      <c r="G108" s="31" t="str">
        <f aca="false">IF(F108="","",IF(F108&lt;=5,"A",IF(F108&lt;=8,"B",IF(F108&lt;=10,"C","D"))))</f>
        <v/>
      </c>
      <c r="H108" s="28"/>
      <c r="I108" s="27"/>
      <c r="J108" s="26"/>
      <c r="K108" s="27"/>
      <c r="L108" s="27"/>
      <c r="M108" s="27"/>
      <c r="N108" s="27"/>
      <c r="O108" s="31" t="str">
        <f aca="false">IF(G108="","",VLOOKUP(G108,Setup!$A$14:$C$17,3,0))</f>
        <v/>
      </c>
      <c r="P108" s="27"/>
      <c r="Q108" s="33" t="str">
        <f aca="false">IF(OR(P108="",M108&lt;&gt;"Paid",O108=""),"",P108/O108)</f>
        <v/>
      </c>
      <c r="R108" s="34" t="str">
        <f aca="false">IF(Q108="","",Q108+N(H108)*0.000000001)</f>
        <v/>
      </c>
      <c r="S108" s="32" t="str">
        <f aca="false">IF(R108="","",SUMPRODUCT((I$5:I$4004=I108)*ISNUMBER(R$5:R$4004)*(R$5:R$4004&gt;R108))+1)</f>
        <v/>
      </c>
      <c r="T108" s="32" t="str">
        <f aca="false">IF(S108="","",IF(S108&lt;=Setup!$B$5,"🏆 WINNER",""))</f>
        <v/>
      </c>
      <c r="U108" s="31" t="str">
        <f aca="false">IF(S108="","",I108&amp;"|"&amp;S108)</f>
        <v/>
      </c>
    </row>
    <row r="109" customFormat="false" ht="15" hidden="false" customHeight="false" outlineLevel="0" collapsed="false">
      <c r="A109" s="24" t="n">
        <v>105</v>
      </c>
      <c r="B109" s="25" t="str">
        <f aca="false">IF(OR(C109="",I109="",G109=""),"",IFERROR(VLOOKUP(I109,Setup!$A$9:$B$11,2,0),"???")&amp;"-"&amp;G109&amp;"-"&amp;TEXT(COUNTIFS(I$5:I109,I109,G$5:G109,G109),"0000"))</f>
        <v/>
      </c>
      <c r="C109" s="26"/>
      <c r="D109" s="26"/>
      <c r="E109" s="27"/>
      <c r="F109" s="27"/>
      <c r="G109" s="24" t="str">
        <f aca="false">IF(F109="","",IF(F109&lt;=5,"A",IF(F109&lt;=8,"B",IF(F109&lt;=10,"C","D"))))</f>
        <v/>
      </c>
      <c r="H109" s="28"/>
      <c r="I109" s="27"/>
      <c r="J109" s="26"/>
      <c r="K109" s="27"/>
      <c r="L109" s="27"/>
      <c r="M109" s="27"/>
      <c r="N109" s="27"/>
      <c r="O109" s="24" t="str">
        <f aca="false">IF(G109="","",VLOOKUP(G109,Setup!$A$14:$C$17,3,0))</f>
        <v/>
      </c>
      <c r="P109" s="27"/>
      <c r="Q109" s="29" t="str">
        <f aca="false">IF(OR(P109="",M109&lt;&gt;"Paid",O109=""),"",P109/O109)</f>
        <v/>
      </c>
      <c r="R109" s="30" t="str">
        <f aca="false">IF(Q109="","",Q109+N(H109)*0.000000001)</f>
        <v/>
      </c>
      <c r="S109" s="25" t="str">
        <f aca="false">IF(R109="","",SUMPRODUCT((I$5:I$4004=I109)*ISNUMBER(R$5:R$4004)*(R$5:R$4004&gt;R109))+1)</f>
        <v/>
      </c>
      <c r="T109" s="25" t="str">
        <f aca="false">IF(S109="","",IF(S109&lt;=Setup!$B$5,"🏆 WINNER",""))</f>
        <v/>
      </c>
      <c r="U109" s="24" t="str">
        <f aca="false">IF(S109="","",I109&amp;"|"&amp;S109)</f>
        <v/>
      </c>
    </row>
    <row r="110" customFormat="false" ht="15" hidden="false" customHeight="false" outlineLevel="0" collapsed="false">
      <c r="A110" s="31" t="n">
        <v>106</v>
      </c>
      <c r="B110" s="32" t="str">
        <f aca="false">IF(OR(C110="",I110="",G110=""),"",IFERROR(VLOOKUP(I110,Setup!$A$9:$B$11,2,0),"???")&amp;"-"&amp;G110&amp;"-"&amp;TEXT(COUNTIFS(I$5:I110,I110,G$5:G110,G110),"0000"))</f>
        <v/>
      </c>
      <c r="C110" s="26"/>
      <c r="D110" s="26"/>
      <c r="E110" s="27"/>
      <c r="F110" s="27"/>
      <c r="G110" s="31" t="str">
        <f aca="false">IF(F110="","",IF(F110&lt;=5,"A",IF(F110&lt;=8,"B",IF(F110&lt;=10,"C","D"))))</f>
        <v/>
      </c>
      <c r="H110" s="28"/>
      <c r="I110" s="27"/>
      <c r="J110" s="26"/>
      <c r="K110" s="27"/>
      <c r="L110" s="27"/>
      <c r="M110" s="27"/>
      <c r="N110" s="27"/>
      <c r="O110" s="31" t="str">
        <f aca="false">IF(G110="","",VLOOKUP(G110,Setup!$A$14:$C$17,3,0))</f>
        <v/>
      </c>
      <c r="P110" s="27"/>
      <c r="Q110" s="33" t="str">
        <f aca="false">IF(OR(P110="",M110&lt;&gt;"Paid",O110=""),"",P110/O110)</f>
        <v/>
      </c>
      <c r="R110" s="34" t="str">
        <f aca="false">IF(Q110="","",Q110+N(H110)*0.000000001)</f>
        <v/>
      </c>
      <c r="S110" s="32" t="str">
        <f aca="false">IF(R110="","",SUMPRODUCT((I$5:I$4004=I110)*ISNUMBER(R$5:R$4004)*(R$5:R$4004&gt;R110))+1)</f>
        <v/>
      </c>
      <c r="T110" s="32" t="str">
        <f aca="false">IF(S110="","",IF(S110&lt;=Setup!$B$5,"🏆 WINNER",""))</f>
        <v/>
      </c>
      <c r="U110" s="31" t="str">
        <f aca="false">IF(S110="","",I110&amp;"|"&amp;S110)</f>
        <v/>
      </c>
    </row>
    <row r="111" customFormat="false" ht="15" hidden="false" customHeight="false" outlineLevel="0" collapsed="false">
      <c r="A111" s="24" t="n">
        <v>107</v>
      </c>
      <c r="B111" s="25" t="str">
        <f aca="false">IF(OR(C111="",I111="",G111=""),"",IFERROR(VLOOKUP(I111,Setup!$A$9:$B$11,2,0),"???")&amp;"-"&amp;G111&amp;"-"&amp;TEXT(COUNTIFS(I$5:I111,I111,G$5:G111,G111),"0000"))</f>
        <v/>
      </c>
      <c r="C111" s="26"/>
      <c r="D111" s="26"/>
      <c r="E111" s="27"/>
      <c r="F111" s="27"/>
      <c r="G111" s="24" t="str">
        <f aca="false">IF(F111="","",IF(F111&lt;=5,"A",IF(F111&lt;=8,"B",IF(F111&lt;=10,"C","D"))))</f>
        <v/>
      </c>
      <c r="H111" s="28"/>
      <c r="I111" s="27"/>
      <c r="J111" s="26"/>
      <c r="K111" s="27"/>
      <c r="L111" s="27"/>
      <c r="M111" s="27"/>
      <c r="N111" s="27"/>
      <c r="O111" s="24" t="str">
        <f aca="false">IF(G111="","",VLOOKUP(G111,Setup!$A$14:$C$17,3,0))</f>
        <v/>
      </c>
      <c r="P111" s="27"/>
      <c r="Q111" s="29" t="str">
        <f aca="false">IF(OR(P111="",M111&lt;&gt;"Paid",O111=""),"",P111/O111)</f>
        <v/>
      </c>
      <c r="R111" s="30" t="str">
        <f aca="false">IF(Q111="","",Q111+N(H111)*0.000000001)</f>
        <v/>
      </c>
      <c r="S111" s="25" t="str">
        <f aca="false">IF(R111="","",SUMPRODUCT((I$5:I$4004=I111)*ISNUMBER(R$5:R$4004)*(R$5:R$4004&gt;R111))+1)</f>
        <v/>
      </c>
      <c r="T111" s="25" t="str">
        <f aca="false">IF(S111="","",IF(S111&lt;=Setup!$B$5,"🏆 WINNER",""))</f>
        <v/>
      </c>
      <c r="U111" s="24" t="str">
        <f aca="false">IF(S111="","",I111&amp;"|"&amp;S111)</f>
        <v/>
      </c>
    </row>
    <row r="112" customFormat="false" ht="15" hidden="false" customHeight="false" outlineLevel="0" collapsed="false">
      <c r="A112" s="31" t="n">
        <v>108</v>
      </c>
      <c r="B112" s="32" t="str">
        <f aca="false">IF(OR(C112="",I112="",G112=""),"",IFERROR(VLOOKUP(I112,Setup!$A$9:$B$11,2,0),"???")&amp;"-"&amp;G112&amp;"-"&amp;TEXT(COUNTIFS(I$5:I112,I112,G$5:G112,G112),"0000"))</f>
        <v/>
      </c>
      <c r="C112" s="26"/>
      <c r="D112" s="26"/>
      <c r="E112" s="27"/>
      <c r="F112" s="27"/>
      <c r="G112" s="31" t="str">
        <f aca="false">IF(F112="","",IF(F112&lt;=5,"A",IF(F112&lt;=8,"B",IF(F112&lt;=10,"C","D"))))</f>
        <v/>
      </c>
      <c r="H112" s="28"/>
      <c r="I112" s="27"/>
      <c r="J112" s="26"/>
      <c r="K112" s="27"/>
      <c r="L112" s="27"/>
      <c r="M112" s="27"/>
      <c r="N112" s="27"/>
      <c r="O112" s="31" t="str">
        <f aca="false">IF(G112="","",VLOOKUP(G112,Setup!$A$14:$C$17,3,0))</f>
        <v/>
      </c>
      <c r="P112" s="27"/>
      <c r="Q112" s="33" t="str">
        <f aca="false">IF(OR(P112="",M112&lt;&gt;"Paid",O112=""),"",P112/O112)</f>
        <v/>
      </c>
      <c r="R112" s="34" t="str">
        <f aca="false">IF(Q112="","",Q112+N(H112)*0.000000001)</f>
        <v/>
      </c>
      <c r="S112" s="32" t="str">
        <f aca="false">IF(R112="","",SUMPRODUCT((I$5:I$4004=I112)*ISNUMBER(R$5:R$4004)*(R$5:R$4004&gt;R112))+1)</f>
        <v/>
      </c>
      <c r="T112" s="32" t="str">
        <f aca="false">IF(S112="","",IF(S112&lt;=Setup!$B$5,"🏆 WINNER",""))</f>
        <v/>
      </c>
      <c r="U112" s="31" t="str">
        <f aca="false">IF(S112="","",I112&amp;"|"&amp;S112)</f>
        <v/>
      </c>
    </row>
    <row r="113" customFormat="false" ht="15" hidden="false" customHeight="false" outlineLevel="0" collapsed="false">
      <c r="A113" s="24" t="n">
        <v>109</v>
      </c>
      <c r="B113" s="25" t="str">
        <f aca="false">IF(OR(C113="",I113="",G113=""),"",IFERROR(VLOOKUP(I113,Setup!$A$9:$B$11,2,0),"???")&amp;"-"&amp;G113&amp;"-"&amp;TEXT(COUNTIFS(I$5:I113,I113,G$5:G113,G113),"0000"))</f>
        <v/>
      </c>
      <c r="C113" s="26"/>
      <c r="D113" s="26"/>
      <c r="E113" s="27"/>
      <c r="F113" s="27"/>
      <c r="G113" s="24" t="str">
        <f aca="false">IF(F113="","",IF(F113&lt;=5,"A",IF(F113&lt;=8,"B",IF(F113&lt;=10,"C","D"))))</f>
        <v/>
      </c>
      <c r="H113" s="28"/>
      <c r="I113" s="27"/>
      <c r="J113" s="26"/>
      <c r="K113" s="27"/>
      <c r="L113" s="27"/>
      <c r="M113" s="27"/>
      <c r="N113" s="27"/>
      <c r="O113" s="24" t="str">
        <f aca="false">IF(G113="","",VLOOKUP(G113,Setup!$A$14:$C$17,3,0))</f>
        <v/>
      </c>
      <c r="P113" s="27"/>
      <c r="Q113" s="29" t="str">
        <f aca="false">IF(OR(P113="",M113&lt;&gt;"Paid",O113=""),"",P113/O113)</f>
        <v/>
      </c>
      <c r="R113" s="30" t="str">
        <f aca="false">IF(Q113="","",Q113+N(H113)*0.000000001)</f>
        <v/>
      </c>
      <c r="S113" s="25" t="str">
        <f aca="false">IF(R113="","",SUMPRODUCT((I$5:I$4004=I113)*ISNUMBER(R$5:R$4004)*(R$5:R$4004&gt;R113))+1)</f>
        <v/>
      </c>
      <c r="T113" s="25" t="str">
        <f aca="false">IF(S113="","",IF(S113&lt;=Setup!$B$5,"🏆 WINNER",""))</f>
        <v/>
      </c>
      <c r="U113" s="24" t="str">
        <f aca="false">IF(S113="","",I113&amp;"|"&amp;S113)</f>
        <v/>
      </c>
    </row>
    <row r="114" customFormat="false" ht="15" hidden="false" customHeight="false" outlineLevel="0" collapsed="false">
      <c r="A114" s="31" t="n">
        <v>110</v>
      </c>
      <c r="B114" s="32" t="str">
        <f aca="false">IF(OR(C114="",I114="",G114=""),"",IFERROR(VLOOKUP(I114,Setup!$A$9:$B$11,2,0),"???")&amp;"-"&amp;G114&amp;"-"&amp;TEXT(COUNTIFS(I$5:I114,I114,G$5:G114,G114),"0000"))</f>
        <v/>
      </c>
      <c r="C114" s="26"/>
      <c r="D114" s="26"/>
      <c r="E114" s="27"/>
      <c r="F114" s="27"/>
      <c r="G114" s="31" t="str">
        <f aca="false">IF(F114="","",IF(F114&lt;=5,"A",IF(F114&lt;=8,"B",IF(F114&lt;=10,"C","D"))))</f>
        <v/>
      </c>
      <c r="H114" s="28"/>
      <c r="I114" s="27"/>
      <c r="J114" s="26"/>
      <c r="K114" s="27"/>
      <c r="L114" s="27"/>
      <c r="M114" s="27"/>
      <c r="N114" s="27"/>
      <c r="O114" s="31" t="str">
        <f aca="false">IF(G114="","",VLOOKUP(G114,Setup!$A$14:$C$17,3,0))</f>
        <v/>
      </c>
      <c r="P114" s="27"/>
      <c r="Q114" s="33" t="str">
        <f aca="false">IF(OR(P114="",M114&lt;&gt;"Paid",O114=""),"",P114/O114)</f>
        <v/>
      </c>
      <c r="R114" s="34" t="str">
        <f aca="false">IF(Q114="","",Q114+N(H114)*0.000000001)</f>
        <v/>
      </c>
      <c r="S114" s="32" t="str">
        <f aca="false">IF(R114="","",SUMPRODUCT((I$5:I$4004=I114)*ISNUMBER(R$5:R$4004)*(R$5:R$4004&gt;R114))+1)</f>
        <v/>
      </c>
      <c r="T114" s="32" t="str">
        <f aca="false">IF(S114="","",IF(S114&lt;=Setup!$B$5,"🏆 WINNER",""))</f>
        <v/>
      </c>
      <c r="U114" s="31" t="str">
        <f aca="false">IF(S114="","",I114&amp;"|"&amp;S114)</f>
        <v/>
      </c>
    </row>
    <row r="115" customFormat="false" ht="15" hidden="false" customHeight="false" outlineLevel="0" collapsed="false">
      <c r="A115" s="24" t="n">
        <v>111</v>
      </c>
      <c r="B115" s="25" t="str">
        <f aca="false">IF(OR(C115="",I115="",G115=""),"",IFERROR(VLOOKUP(I115,Setup!$A$9:$B$11,2,0),"???")&amp;"-"&amp;G115&amp;"-"&amp;TEXT(COUNTIFS(I$5:I115,I115,G$5:G115,G115),"0000"))</f>
        <v/>
      </c>
      <c r="C115" s="26"/>
      <c r="D115" s="26"/>
      <c r="E115" s="27"/>
      <c r="F115" s="27"/>
      <c r="G115" s="24" t="str">
        <f aca="false">IF(F115="","",IF(F115&lt;=5,"A",IF(F115&lt;=8,"B",IF(F115&lt;=10,"C","D"))))</f>
        <v/>
      </c>
      <c r="H115" s="28"/>
      <c r="I115" s="27"/>
      <c r="J115" s="26"/>
      <c r="K115" s="27"/>
      <c r="L115" s="27"/>
      <c r="M115" s="27"/>
      <c r="N115" s="27"/>
      <c r="O115" s="24" t="str">
        <f aca="false">IF(G115="","",VLOOKUP(G115,Setup!$A$14:$C$17,3,0))</f>
        <v/>
      </c>
      <c r="P115" s="27"/>
      <c r="Q115" s="29" t="str">
        <f aca="false">IF(OR(P115="",M115&lt;&gt;"Paid",O115=""),"",P115/O115)</f>
        <v/>
      </c>
      <c r="R115" s="30" t="str">
        <f aca="false">IF(Q115="","",Q115+N(H115)*0.000000001)</f>
        <v/>
      </c>
      <c r="S115" s="25" t="str">
        <f aca="false">IF(R115="","",SUMPRODUCT((I$5:I$4004=I115)*ISNUMBER(R$5:R$4004)*(R$5:R$4004&gt;R115))+1)</f>
        <v/>
      </c>
      <c r="T115" s="25" t="str">
        <f aca="false">IF(S115="","",IF(S115&lt;=Setup!$B$5,"🏆 WINNER",""))</f>
        <v/>
      </c>
      <c r="U115" s="24" t="str">
        <f aca="false">IF(S115="","",I115&amp;"|"&amp;S115)</f>
        <v/>
      </c>
    </row>
    <row r="116" customFormat="false" ht="15" hidden="false" customHeight="false" outlineLevel="0" collapsed="false">
      <c r="A116" s="31" t="n">
        <v>112</v>
      </c>
      <c r="B116" s="32" t="str">
        <f aca="false">IF(OR(C116="",I116="",G116=""),"",IFERROR(VLOOKUP(I116,Setup!$A$9:$B$11,2,0),"???")&amp;"-"&amp;G116&amp;"-"&amp;TEXT(COUNTIFS(I$5:I116,I116,G$5:G116,G116),"0000"))</f>
        <v/>
      </c>
      <c r="C116" s="26"/>
      <c r="D116" s="26"/>
      <c r="E116" s="27"/>
      <c r="F116" s="27"/>
      <c r="G116" s="31" t="str">
        <f aca="false">IF(F116="","",IF(F116&lt;=5,"A",IF(F116&lt;=8,"B",IF(F116&lt;=10,"C","D"))))</f>
        <v/>
      </c>
      <c r="H116" s="28"/>
      <c r="I116" s="27"/>
      <c r="J116" s="26"/>
      <c r="K116" s="27"/>
      <c r="L116" s="27"/>
      <c r="M116" s="27"/>
      <c r="N116" s="27"/>
      <c r="O116" s="31" t="str">
        <f aca="false">IF(G116="","",VLOOKUP(G116,Setup!$A$14:$C$17,3,0))</f>
        <v/>
      </c>
      <c r="P116" s="27"/>
      <c r="Q116" s="33" t="str">
        <f aca="false">IF(OR(P116="",M116&lt;&gt;"Paid",O116=""),"",P116/O116)</f>
        <v/>
      </c>
      <c r="R116" s="34" t="str">
        <f aca="false">IF(Q116="","",Q116+N(H116)*0.000000001)</f>
        <v/>
      </c>
      <c r="S116" s="32" t="str">
        <f aca="false">IF(R116="","",SUMPRODUCT((I$5:I$4004=I116)*ISNUMBER(R$5:R$4004)*(R$5:R$4004&gt;R116))+1)</f>
        <v/>
      </c>
      <c r="T116" s="32" t="str">
        <f aca="false">IF(S116="","",IF(S116&lt;=Setup!$B$5,"🏆 WINNER",""))</f>
        <v/>
      </c>
      <c r="U116" s="31" t="str">
        <f aca="false">IF(S116="","",I116&amp;"|"&amp;S116)</f>
        <v/>
      </c>
    </row>
    <row r="117" customFormat="false" ht="15" hidden="false" customHeight="false" outlineLevel="0" collapsed="false">
      <c r="A117" s="24" t="n">
        <v>113</v>
      </c>
      <c r="B117" s="25" t="str">
        <f aca="false">IF(OR(C117="",I117="",G117=""),"",IFERROR(VLOOKUP(I117,Setup!$A$9:$B$11,2,0),"???")&amp;"-"&amp;G117&amp;"-"&amp;TEXT(COUNTIFS(I$5:I117,I117,G$5:G117,G117),"0000"))</f>
        <v/>
      </c>
      <c r="C117" s="26"/>
      <c r="D117" s="26"/>
      <c r="E117" s="27"/>
      <c r="F117" s="27"/>
      <c r="G117" s="24" t="str">
        <f aca="false">IF(F117="","",IF(F117&lt;=5,"A",IF(F117&lt;=8,"B",IF(F117&lt;=10,"C","D"))))</f>
        <v/>
      </c>
      <c r="H117" s="28"/>
      <c r="I117" s="27"/>
      <c r="J117" s="26"/>
      <c r="K117" s="27"/>
      <c r="L117" s="27"/>
      <c r="M117" s="27"/>
      <c r="N117" s="27"/>
      <c r="O117" s="24" t="str">
        <f aca="false">IF(G117="","",VLOOKUP(G117,Setup!$A$14:$C$17,3,0))</f>
        <v/>
      </c>
      <c r="P117" s="27"/>
      <c r="Q117" s="29" t="str">
        <f aca="false">IF(OR(P117="",M117&lt;&gt;"Paid",O117=""),"",P117/O117)</f>
        <v/>
      </c>
      <c r="R117" s="30" t="str">
        <f aca="false">IF(Q117="","",Q117+N(H117)*0.000000001)</f>
        <v/>
      </c>
      <c r="S117" s="25" t="str">
        <f aca="false">IF(R117="","",SUMPRODUCT((I$5:I$4004=I117)*ISNUMBER(R$5:R$4004)*(R$5:R$4004&gt;R117))+1)</f>
        <v/>
      </c>
      <c r="T117" s="25" t="str">
        <f aca="false">IF(S117="","",IF(S117&lt;=Setup!$B$5,"🏆 WINNER",""))</f>
        <v/>
      </c>
      <c r="U117" s="24" t="str">
        <f aca="false">IF(S117="","",I117&amp;"|"&amp;S117)</f>
        <v/>
      </c>
    </row>
    <row r="118" customFormat="false" ht="15" hidden="false" customHeight="false" outlineLevel="0" collapsed="false">
      <c r="A118" s="31" t="n">
        <v>114</v>
      </c>
      <c r="B118" s="32" t="str">
        <f aca="false">IF(OR(C118="",I118="",G118=""),"",IFERROR(VLOOKUP(I118,Setup!$A$9:$B$11,2,0),"???")&amp;"-"&amp;G118&amp;"-"&amp;TEXT(COUNTIFS(I$5:I118,I118,G$5:G118,G118),"0000"))</f>
        <v/>
      </c>
      <c r="C118" s="26"/>
      <c r="D118" s="26"/>
      <c r="E118" s="27"/>
      <c r="F118" s="27"/>
      <c r="G118" s="31" t="str">
        <f aca="false">IF(F118="","",IF(F118&lt;=5,"A",IF(F118&lt;=8,"B",IF(F118&lt;=10,"C","D"))))</f>
        <v/>
      </c>
      <c r="H118" s="28"/>
      <c r="I118" s="27"/>
      <c r="J118" s="26"/>
      <c r="K118" s="27"/>
      <c r="L118" s="27"/>
      <c r="M118" s="27"/>
      <c r="N118" s="27"/>
      <c r="O118" s="31" t="str">
        <f aca="false">IF(G118="","",VLOOKUP(G118,Setup!$A$14:$C$17,3,0))</f>
        <v/>
      </c>
      <c r="P118" s="27"/>
      <c r="Q118" s="33" t="str">
        <f aca="false">IF(OR(P118="",M118&lt;&gt;"Paid",O118=""),"",P118/O118)</f>
        <v/>
      </c>
      <c r="R118" s="34" t="str">
        <f aca="false">IF(Q118="","",Q118+N(H118)*0.000000001)</f>
        <v/>
      </c>
      <c r="S118" s="32" t="str">
        <f aca="false">IF(R118="","",SUMPRODUCT((I$5:I$4004=I118)*ISNUMBER(R$5:R$4004)*(R$5:R$4004&gt;R118))+1)</f>
        <v/>
      </c>
      <c r="T118" s="32" t="str">
        <f aca="false">IF(S118="","",IF(S118&lt;=Setup!$B$5,"🏆 WINNER",""))</f>
        <v/>
      </c>
      <c r="U118" s="31" t="str">
        <f aca="false">IF(S118="","",I118&amp;"|"&amp;S118)</f>
        <v/>
      </c>
    </row>
    <row r="119" customFormat="false" ht="15" hidden="false" customHeight="false" outlineLevel="0" collapsed="false">
      <c r="A119" s="24" t="n">
        <v>115</v>
      </c>
      <c r="B119" s="25" t="str">
        <f aca="false">IF(OR(C119="",I119="",G119=""),"",IFERROR(VLOOKUP(I119,Setup!$A$9:$B$11,2,0),"???")&amp;"-"&amp;G119&amp;"-"&amp;TEXT(COUNTIFS(I$5:I119,I119,G$5:G119,G119),"0000"))</f>
        <v/>
      </c>
      <c r="C119" s="26"/>
      <c r="D119" s="26"/>
      <c r="E119" s="27"/>
      <c r="F119" s="27"/>
      <c r="G119" s="24" t="str">
        <f aca="false">IF(F119="","",IF(F119&lt;=5,"A",IF(F119&lt;=8,"B",IF(F119&lt;=10,"C","D"))))</f>
        <v/>
      </c>
      <c r="H119" s="28"/>
      <c r="I119" s="27"/>
      <c r="J119" s="26"/>
      <c r="K119" s="27"/>
      <c r="L119" s="27"/>
      <c r="M119" s="27"/>
      <c r="N119" s="27"/>
      <c r="O119" s="24" t="str">
        <f aca="false">IF(G119="","",VLOOKUP(G119,Setup!$A$14:$C$17,3,0))</f>
        <v/>
      </c>
      <c r="P119" s="27"/>
      <c r="Q119" s="29" t="str">
        <f aca="false">IF(OR(P119="",M119&lt;&gt;"Paid",O119=""),"",P119/O119)</f>
        <v/>
      </c>
      <c r="R119" s="30" t="str">
        <f aca="false">IF(Q119="","",Q119+N(H119)*0.000000001)</f>
        <v/>
      </c>
      <c r="S119" s="25" t="str">
        <f aca="false">IF(R119="","",SUMPRODUCT((I$5:I$4004=I119)*ISNUMBER(R$5:R$4004)*(R$5:R$4004&gt;R119))+1)</f>
        <v/>
      </c>
      <c r="T119" s="25" t="str">
        <f aca="false">IF(S119="","",IF(S119&lt;=Setup!$B$5,"🏆 WINNER",""))</f>
        <v/>
      </c>
      <c r="U119" s="24" t="str">
        <f aca="false">IF(S119="","",I119&amp;"|"&amp;S119)</f>
        <v/>
      </c>
    </row>
    <row r="120" customFormat="false" ht="15" hidden="false" customHeight="false" outlineLevel="0" collapsed="false">
      <c r="A120" s="31" t="n">
        <v>116</v>
      </c>
      <c r="B120" s="32" t="str">
        <f aca="false">IF(OR(C120="",I120="",G120=""),"",IFERROR(VLOOKUP(I120,Setup!$A$9:$B$11,2,0),"???")&amp;"-"&amp;G120&amp;"-"&amp;TEXT(COUNTIFS(I$5:I120,I120,G$5:G120,G120),"0000"))</f>
        <v/>
      </c>
      <c r="C120" s="26"/>
      <c r="D120" s="26"/>
      <c r="E120" s="27"/>
      <c r="F120" s="27"/>
      <c r="G120" s="31" t="str">
        <f aca="false">IF(F120="","",IF(F120&lt;=5,"A",IF(F120&lt;=8,"B",IF(F120&lt;=10,"C","D"))))</f>
        <v/>
      </c>
      <c r="H120" s="28"/>
      <c r="I120" s="27"/>
      <c r="J120" s="26"/>
      <c r="K120" s="27"/>
      <c r="L120" s="27"/>
      <c r="M120" s="27"/>
      <c r="N120" s="27"/>
      <c r="O120" s="31" t="str">
        <f aca="false">IF(G120="","",VLOOKUP(G120,Setup!$A$14:$C$17,3,0))</f>
        <v/>
      </c>
      <c r="P120" s="27"/>
      <c r="Q120" s="33" t="str">
        <f aca="false">IF(OR(P120="",M120&lt;&gt;"Paid",O120=""),"",P120/O120)</f>
        <v/>
      </c>
      <c r="R120" s="34" t="str">
        <f aca="false">IF(Q120="","",Q120+N(H120)*0.000000001)</f>
        <v/>
      </c>
      <c r="S120" s="32" t="str">
        <f aca="false">IF(R120="","",SUMPRODUCT((I$5:I$4004=I120)*ISNUMBER(R$5:R$4004)*(R$5:R$4004&gt;R120))+1)</f>
        <v/>
      </c>
      <c r="T120" s="32" t="str">
        <f aca="false">IF(S120="","",IF(S120&lt;=Setup!$B$5,"🏆 WINNER",""))</f>
        <v/>
      </c>
      <c r="U120" s="31" t="str">
        <f aca="false">IF(S120="","",I120&amp;"|"&amp;S120)</f>
        <v/>
      </c>
    </row>
    <row r="121" customFormat="false" ht="15" hidden="false" customHeight="false" outlineLevel="0" collapsed="false">
      <c r="A121" s="24" t="n">
        <v>117</v>
      </c>
      <c r="B121" s="25" t="str">
        <f aca="false">IF(OR(C121="",I121="",G121=""),"",IFERROR(VLOOKUP(I121,Setup!$A$9:$B$11,2,0),"???")&amp;"-"&amp;G121&amp;"-"&amp;TEXT(COUNTIFS(I$5:I121,I121,G$5:G121,G121),"0000"))</f>
        <v/>
      </c>
      <c r="C121" s="26"/>
      <c r="D121" s="26"/>
      <c r="E121" s="27"/>
      <c r="F121" s="27"/>
      <c r="G121" s="24" t="str">
        <f aca="false">IF(F121="","",IF(F121&lt;=5,"A",IF(F121&lt;=8,"B",IF(F121&lt;=10,"C","D"))))</f>
        <v/>
      </c>
      <c r="H121" s="28"/>
      <c r="I121" s="27"/>
      <c r="J121" s="26"/>
      <c r="K121" s="27"/>
      <c r="L121" s="27"/>
      <c r="M121" s="27"/>
      <c r="N121" s="27"/>
      <c r="O121" s="24" t="str">
        <f aca="false">IF(G121="","",VLOOKUP(G121,Setup!$A$14:$C$17,3,0))</f>
        <v/>
      </c>
      <c r="P121" s="27"/>
      <c r="Q121" s="29" t="str">
        <f aca="false">IF(OR(P121="",M121&lt;&gt;"Paid",O121=""),"",P121/O121)</f>
        <v/>
      </c>
      <c r="R121" s="30" t="str">
        <f aca="false">IF(Q121="","",Q121+N(H121)*0.000000001)</f>
        <v/>
      </c>
      <c r="S121" s="25" t="str">
        <f aca="false">IF(R121="","",SUMPRODUCT((I$5:I$4004=I121)*ISNUMBER(R$5:R$4004)*(R$5:R$4004&gt;R121))+1)</f>
        <v/>
      </c>
      <c r="T121" s="25" t="str">
        <f aca="false">IF(S121="","",IF(S121&lt;=Setup!$B$5,"🏆 WINNER",""))</f>
        <v/>
      </c>
      <c r="U121" s="24" t="str">
        <f aca="false">IF(S121="","",I121&amp;"|"&amp;S121)</f>
        <v/>
      </c>
    </row>
    <row r="122" customFormat="false" ht="15" hidden="false" customHeight="false" outlineLevel="0" collapsed="false">
      <c r="A122" s="31" t="n">
        <v>118</v>
      </c>
      <c r="B122" s="32" t="str">
        <f aca="false">IF(OR(C122="",I122="",G122=""),"",IFERROR(VLOOKUP(I122,Setup!$A$9:$B$11,2,0),"???")&amp;"-"&amp;G122&amp;"-"&amp;TEXT(COUNTIFS(I$5:I122,I122,G$5:G122,G122),"0000"))</f>
        <v/>
      </c>
      <c r="C122" s="26"/>
      <c r="D122" s="26"/>
      <c r="E122" s="27"/>
      <c r="F122" s="27"/>
      <c r="G122" s="31" t="str">
        <f aca="false">IF(F122="","",IF(F122&lt;=5,"A",IF(F122&lt;=8,"B",IF(F122&lt;=10,"C","D"))))</f>
        <v/>
      </c>
      <c r="H122" s="28"/>
      <c r="I122" s="27"/>
      <c r="J122" s="26"/>
      <c r="K122" s="27"/>
      <c r="L122" s="27"/>
      <c r="M122" s="27"/>
      <c r="N122" s="27"/>
      <c r="O122" s="31" t="str">
        <f aca="false">IF(G122="","",VLOOKUP(G122,Setup!$A$14:$C$17,3,0))</f>
        <v/>
      </c>
      <c r="P122" s="27"/>
      <c r="Q122" s="33" t="str">
        <f aca="false">IF(OR(P122="",M122&lt;&gt;"Paid",O122=""),"",P122/O122)</f>
        <v/>
      </c>
      <c r="R122" s="34" t="str">
        <f aca="false">IF(Q122="","",Q122+N(H122)*0.000000001)</f>
        <v/>
      </c>
      <c r="S122" s="32" t="str">
        <f aca="false">IF(R122="","",SUMPRODUCT((I$5:I$4004=I122)*ISNUMBER(R$5:R$4004)*(R$5:R$4004&gt;R122))+1)</f>
        <v/>
      </c>
      <c r="T122" s="32" t="str">
        <f aca="false">IF(S122="","",IF(S122&lt;=Setup!$B$5,"🏆 WINNER",""))</f>
        <v/>
      </c>
      <c r="U122" s="31" t="str">
        <f aca="false">IF(S122="","",I122&amp;"|"&amp;S122)</f>
        <v/>
      </c>
    </row>
    <row r="123" customFormat="false" ht="15" hidden="false" customHeight="false" outlineLevel="0" collapsed="false">
      <c r="A123" s="24" t="n">
        <v>119</v>
      </c>
      <c r="B123" s="25" t="str">
        <f aca="false">IF(OR(C123="",I123="",G123=""),"",IFERROR(VLOOKUP(I123,Setup!$A$9:$B$11,2,0),"???")&amp;"-"&amp;G123&amp;"-"&amp;TEXT(COUNTIFS(I$5:I123,I123,G$5:G123,G123),"0000"))</f>
        <v/>
      </c>
      <c r="C123" s="26"/>
      <c r="D123" s="26"/>
      <c r="E123" s="27"/>
      <c r="F123" s="27"/>
      <c r="G123" s="24" t="str">
        <f aca="false">IF(F123="","",IF(F123&lt;=5,"A",IF(F123&lt;=8,"B",IF(F123&lt;=10,"C","D"))))</f>
        <v/>
      </c>
      <c r="H123" s="28"/>
      <c r="I123" s="27"/>
      <c r="J123" s="26"/>
      <c r="K123" s="27"/>
      <c r="L123" s="27"/>
      <c r="M123" s="27"/>
      <c r="N123" s="27"/>
      <c r="O123" s="24" t="str">
        <f aca="false">IF(G123="","",VLOOKUP(G123,Setup!$A$14:$C$17,3,0))</f>
        <v/>
      </c>
      <c r="P123" s="27"/>
      <c r="Q123" s="29" t="str">
        <f aca="false">IF(OR(P123="",M123&lt;&gt;"Paid",O123=""),"",P123/O123)</f>
        <v/>
      </c>
      <c r="R123" s="30" t="str">
        <f aca="false">IF(Q123="","",Q123+N(H123)*0.000000001)</f>
        <v/>
      </c>
      <c r="S123" s="25" t="str">
        <f aca="false">IF(R123="","",SUMPRODUCT((I$5:I$4004=I123)*ISNUMBER(R$5:R$4004)*(R$5:R$4004&gt;R123))+1)</f>
        <v/>
      </c>
      <c r="T123" s="25" t="str">
        <f aca="false">IF(S123="","",IF(S123&lt;=Setup!$B$5,"🏆 WINNER",""))</f>
        <v/>
      </c>
      <c r="U123" s="24" t="str">
        <f aca="false">IF(S123="","",I123&amp;"|"&amp;S123)</f>
        <v/>
      </c>
    </row>
    <row r="124" customFormat="false" ht="15" hidden="false" customHeight="false" outlineLevel="0" collapsed="false">
      <c r="A124" s="31" t="n">
        <v>120</v>
      </c>
      <c r="B124" s="32" t="str">
        <f aca="false">IF(OR(C124="",I124="",G124=""),"",IFERROR(VLOOKUP(I124,Setup!$A$9:$B$11,2,0),"???")&amp;"-"&amp;G124&amp;"-"&amp;TEXT(COUNTIFS(I$5:I124,I124,G$5:G124,G124),"0000"))</f>
        <v/>
      </c>
      <c r="C124" s="26"/>
      <c r="D124" s="26"/>
      <c r="E124" s="27"/>
      <c r="F124" s="27"/>
      <c r="G124" s="31" t="str">
        <f aca="false">IF(F124="","",IF(F124&lt;=5,"A",IF(F124&lt;=8,"B",IF(F124&lt;=10,"C","D"))))</f>
        <v/>
      </c>
      <c r="H124" s="28"/>
      <c r="I124" s="27"/>
      <c r="J124" s="26"/>
      <c r="K124" s="27"/>
      <c r="L124" s="27"/>
      <c r="M124" s="27"/>
      <c r="N124" s="27"/>
      <c r="O124" s="31" t="str">
        <f aca="false">IF(G124="","",VLOOKUP(G124,Setup!$A$14:$C$17,3,0))</f>
        <v/>
      </c>
      <c r="P124" s="27"/>
      <c r="Q124" s="33" t="str">
        <f aca="false">IF(OR(P124="",M124&lt;&gt;"Paid",O124=""),"",P124/O124)</f>
        <v/>
      </c>
      <c r="R124" s="34" t="str">
        <f aca="false">IF(Q124="","",Q124+N(H124)*0.000000001)</f>
        <v/>
      </c>
      <c r="S124" s="32" t="str">
        <f aca="false">IF(R124="","",SUMPRODUCT((I$5:I$4004=I124)*ISNUMBER(R$5:R$4004)*(R$5:R$4004&gt;R124))+1)</f>
        <v/>
      </c>
      <c r="T124" s="32" t="str">
        <f aca="false">IF(S124="","",IF(S124&lt;=Setup!$B$5,"🏆 WINNER",""))</f>
        <v/>
      </c>
      <c r="U124" s="31" t="str">
        <f aca="false">IF(S124="","",I124&amp;"|"&amp;S124)</f>
        <v/>
      </c>
    </row>
    <row r="125" customFormat="false" ht="15" hidden="false" customHeight="false" outlineLevel="0" collapsed="false">
      <c r="A125" s="24" t="n">
        <v>121</v>
      </c>
      <c r="B125" s="25" t="str">
        <f aca="false">IF(OR(C125="",I125="",G125=""),"",IFERROR(VLOOKUP(I125,Setup!$A$9:$B$11,2,0),"???")&amp;"-"&amp;G125&amp;"-"&amp;TEXT(COUNTIFS(I$5:I125,I125,G$5:G125,G125),"0000"))</f>
        <v/>
      </c>
      <c r="C125" s="26"/>
      <c r="D125" s="26"/>
      <c r="E125" s="27"/>
      <c r="F125" s="27"/>
      <c r="G125" s="24" t="str">
        <f aca="false">IF(F125="","",IF(F125&lt;=5,"A",IF(F125&lt;=8,"B",IF(F125&lt;=10,"C","D"))))</f>
        <v/>
      </c>
      <c r="H125" s="28"/>
      <c r="I125" s="27"/>
      <c r="J125" s="26"/>
      <c r="K125" s="27"/>
      <c r="L125" s="27"/>
      <c r="M125" s="27"/>
      <c r="N125" s="27"/>
      <c r="O125" s="24" t="str">
        <f aca="false">IF(G125="","",VLOOKUP(G125,Setup!$A$14:$C$17,3,0))</f>
        <v/>
      </c>
      <c r="P125" s="27"/>
      <c r="Q125" s="29" t="str">
        <f aca="false">IF(OR(P125="",M125&lt;&gt;"Paid",O125=""),"",P125/O125)</f>
        <v/>
      </c>
      <c r="R125" s="30" t="str">
        <f aca="false">IF(Q125="","",Q125+N(H125)*0.000000001)</f>
        <v/>
      </c>
      <c r="S125" s="25" t="str">
        <f aca="false">IF(R125="","",SUMPRODUCT((I$5:I$4004=I125)*ISNUMBER(R$5:R$4004)*(R$5:R$4004&gt;R125))+1)</f>
        <v/>
      </c>
      <c r="T125" s="25" t="str">
        <f aca="false">IF(S125="","",IF(S125&lt;=Setup!$B$5,"🏆 WINNER",""))</f>
        <v/>
      </c>
      <c r="U125" s="24" t="str">
        <f aca="false">IF(S125="","",I125&amp;"|"&amp;S125)</f>
        <v/>
      </c>
    </row>
    <row r="126" customFormat="false" ht="15" hidden="false" customHeight="false" outlineLevel="0" collapsed="false">
      <c r="A126" s="31" t="n">
        <v>122</v>
      </c>
      <c r="B126" s="32" t="str">
        <f aca="false">IF(OR(C126="",I126="",G126=""),"",IFERROR(VLOOKUP(I126,Setup!$A$9:$B$11,2,0),"???")&amp;"-"&amp;G126&amp;"-"&amp;TEXT(COUNTIFS(I$5:I126,I126,G$5:G126,G126),"0000"))</f>
        <v/>
      </c>
      <c r="C126" s="26"/>
      <c r="D126" s="26"/>
      <c r="E126" s="27"/>
      <c r="F126" s="27"/>
      <c r="G126" s="31" t="str">
        <f aca="false">IF(F126="","",IF(F126&lt;=5,"A",IF(F126&lt;=8,"B",IF(F126&lt;=10,"C","D"))))</f>
        <v/>
      </c>
      <c r="H126" s="28"/>
      <c r="I126" s="27"/>
      <c r="J126" s="26"/>
      <c r="K126" s="27"/>
      <c r="L126" s="27"/>
      <c r="M126" s="27"/>
      <c r="N126" s="27"/>
      <c r="O126" s="31" t="str">
        <f aca="false">IF(G126="","",VLOOKUP(G126,Setup!$A$14:$C$17,3,0))</f>
        <v/>
      </c>
      <c r="P126" s="27"/>
      <c r="Q126" s="33" t="str">
        <f aca="false">IF(OR(P126="",M126&lt;&gt;"Paid",O126=""),"",P126/O126)</f>
        <v/>
      </c>
      <c r="R126" s="34" t="str">
        <f aca="false">IF(Q126="","",Q126+N(H126)*0.000000001)</f>
        <v/>
      </c>
      <c r="S126" s="32" t="str">
        <f aca="false">IF(R126="","",SUMPRODUCT((I$5:I$4004=I126)*ISNUMBER(R$5:R$4004)*(R$5:R$4004&gt;R126))+1)</f>
        <v/>
      </c>
      <c r="T126" s="32" t="str">
        <f aca="false">IF(S126="","",IF(S126&lt;=Setup!$B$5,"🏆 WINNER",""))</f>
        <v/>
      </c>
      <c r="U126" s="31" t="str">
        <f aca="false">IF(S126="","",I126&amp;"|"&amp;S126)</f>
        <v/>
      </c>
    </row>
    <row r="127" customFormat="false" ht="15" hidden="false" customHeight="false" outlineLevel="0" collapsed="false">
      <c r="A127" s="24" t="n">
        <v>123</v>
      </c>
      <c r="B127" s="25" t="str">
        <f aca="false">IF(OR(C127="",I127="",G127=""),"",IFERROR(VLOOKUP(I127,Setup!$A$9:$B$11,2,0),"???")&amp;"-"&amp;G127&amp;"-"&amp;TEXT(COUNTIFS(I$5:I127,I127,G$5:G127,G127),"0000"))</f>
        <v/>
      </c>
      <c r="C127" s="26"/>
      <c r="D127" s="26"/>
      <c r="E127" s="27"/>
      <c r="F127" s="27"/>
      <c r="G127" s="24" t="str">
        <f aca="false">IF(F127="","",IF(F127&lt;=5,"A",IF(F127&lt;=8,"B",IF(F127&lt;=10,"C","D"))))</f>
        <v/>
      </c>
      <c r="H127" s="28"/>
      <c r="I127" s="27"/>
      <c r="J127" s="26"/>
      <c r="K127" s="27"/>
      <c r="L127" s="27"/>
      <c r="M127" s="27"/>
      <c r="N127" s="27"/>
      <c r="O127" s="24" t="str">
        <f aca="false">IF(G127="","",VLOOKUP(G127,Setup!$A$14:$C$17,3,0))</f>
        <v/>
      </c>
      <c r="P127" s="27"/>
      <c r="Q127" s="29" t="str">
        <f aca="false">IF(OR(P127="",M127&lt;&gt;"Paid",O127=""),"",P127/O127)</f>
        <v/>
      </c>
      <c r="R127" s="30" t="str">
        <f aca="false">IF(Q127="","",Q127+N(H127)*0.000000001)</f>
        <v/>
      </c>
      <c r="S127" s="25" t="str">
        <f aca="false">IF(R127="","",SUMPRODUCT((I$5:I$4004=I127)*ISNUMBER(R$5:R$4004)*(R$5:R$4004&gt;R127))+1)</f>
        <v/>
      </c>
      <c r="T127" s="25" t="str">
        <f aca="false">IF(S127="","",IF(S127&lt;=Setup!$B$5,"🏆 WINNER",""))</f>
        <v/>
      </c>
      <c r="U127" s="24" t="str">
        <f aca="false">IF(S127="","",I127&amp;"|"&amp;S127)</f>
        <v/>
      </c>
    </row>
    <row r="128" customFormat="false" ht="15" hidden="false" customHeight="false" outlineLevel="0" collapsed="false">
      <c r="A128" s="31" t="n">
        <v>124</v>
      </c>
      <c r="B128" s="32" t="str">
        <f aca="false">IF(OR(C128="",I128="",G128=""),"",IFERROR(VLOOKUP(I128,Setup!$A$9:$B$11,2,0),"???")&amp;"-"&amp;G128&amp;"-"&amp;TEXT(COUNTIFS(I$5:I128,I128,G$5:G128,G128),"0000"))</f>
        <v/>
      </c>
      <c r="C128" s="26"/>
      <c r="D128" s="26"/>
      <c r="E128" s="27"/>
      <c r="F128" s="27"/>
      <c r="G128" s="31" t="str">
        <f aca="false">IF(F128="","",IF(F128&lt;=5,"A",IF(F128&lt;=8,"B",IF(F128&lt;=10,"C","D"))))</f>
        <v/>
      </c>
      <c r="H128" s="28"/>
      <c r="I128" s="27"/>
      <c r="J128" s="26"/>
      <c r="K128" s="27"/>
      <c r="L128" s="27"/>
      <c r="M128" s="27"/>
      <c r="N128" s="27"/>
      <c r="O128" s="31" t="str">
        <f aca="false">IF(G128="","",VLOOKUP(G128,Setup!$A$14:$C$17,3,0))</f>
        <v/>
      </c>
      <c r="P128" s="27"/>
      <c r="Q128" s="33" t="str">
        <f aca="false">IF(OR(P128="",M128&lt;&gt;"Paid",O128=""),"",P128/O128)</f>
        <v/>
      </c>
      <c r="R128" s="34" t="str">
        <f aca="false">IF(Q128="","",Q128+N(H128)*0.000000001)</f>
        <v/>
      </c>
      <c r="S128" s="32" t="str">
        <f aca="false">IF(R128="","",SUMPRODUCT((I$5:I$4004=I128)*ISNUMBER(R$5:R$4004)*(R$5:R$4004&gt;R128))+1)</f>
        <v/>
      </c>
      <c r="T128" s="32" t="str">
        <f aca="false">IF(S128="","",IF(S128&lt;=Setup!$B$5,"🏆 WINNER",""))</f>
        <v/>
      </c>
      <c r="U128" s="31" t="str">
        <f aca="false">IF(S128="","",I128&amp;"|"&amp;S128)</f>
        <v/>
      </c>
    </row>
    <row r="129" customFormat="false" ht="15" hidden="false" customHeight="false" outlineLevel="0" collapsed="false">
      <c r="A129" s="24" t="n">
        <v>125</v>
      </c>
      <c r="B129" s="25" t="str">
        <f aca="false">IF(OR(C129="",I129="",G129=""),"",IFERROR(VLOOKUP(I129,Setup!$A$9:$B$11,2,0),"???")&amp;"-"&amp;G129&amp;"-"&amp;TEXT(COUNTIFS(I$5:I129,I129,G$5:G129,G129),"0000"))</f>
        <v/>
      </c>
      <c r="C129" s="26"/>
      <c r="D129" s="26"/>
      <c r="E129" s="27"/>
      <c r="F129" s="27"/>
      <c r="G129" s="24" t="str">
        <f aca="false">IF(F129="","",IF(F129&lt;=5,"A",IF(F129&lt;=8,"B",IF(F129&lt;=10,"C","D"))))</f>
        <v/>
      </c>
      <c r="H129" s="28"/>
      <c r="I129" s="27"/>
      <c r="J129" s="26"/>
      <c r="K129" s="27"/>
      <c r="L129" s="27"/>
      <c r="M129" s="27"/>
      <c r="N129" s="27"/>
      <c r="O129" s="24" t="str">
        <f aca="false">IF(G129="","",VLOOKUP(G129,Setup!$A$14:$C$17,3,0))</f>
        <v/>
      </c>
      <c r="P129" s="27"/>
      <c r="Q129" s="29" t="str">
        <f aca="false">IF(OR(P129="",M129&lt;&gt;"Paid",O129=""),"",P129/O129)</f>
        <v/>
      </c>
      <c r="R129" s="30" t="str">
        <f aca="false">IF(Q129="","",Q129+N(H129)*0.000000001)</f>
        <v/>
      </c>
      <c r="S129" s="25" t="str">
        <f aca="false">IF(R129="","",SUMPRODUCT((I$5:I$4004=I129)*ISNUMBER(R$5:R$4004)*(R$5:R$4004&gt;R129))+1)</f>
        <v/>
      </c>
      <c r="T129" s="25" t="str">
        <f aca="false">IF(S129="","",IF(S129&lt;=Setup!$B$5,"🏆 WINNER",""))</f>
        <v/>
      </c>
      <c r="U129" s="24" t="str">
        <f aca="false">IF(S129="","",I129&amp;"|"&amp;S129)</f>
        <v/>
      </c>
    </row>
    <row r="130" customFormat="false" ht="15" hidden="false" customHeight="false" outlineLevel="0" collapsed="false">
      <c r="A130" s="31" t="n">
        <v>126</v>
      </c>
      <c r="B130" s="32" t="str">
        <f aca="false">IF(OR(C130="",I130="",G130=""),"",IFERROR(VLOOKUP(I130,Setup!$A$9:$B$11,2,0),"???")&amp;"-"&amp;G130&amp;"-"&amp;TEXT(COUNTIFS(I$5:I130,I130,G$5:G130,G130),"0000"))</f>
        <v/>
      </c>
      <c r="C130" s="26"/>
      <c r="D130" s="26"/>
      <c r="E130" s="27"/>
      <c r="F130" s="27"/>
      <c r="G130" s="31" t="str">
        <f aca="false">IF(F130="","",IF(F130&lt;=5,"A",IF(F130&lt;=8,"B",IF(F130&lt;=10,"C","D"))))</f>
        <v/>
      </c>
      <c r="H130" s="28"/>
      <c r="I130" s="27"/>
      <c r="J130" s="26"/>
      <c r="K130" s="27"/>
      <c r="L130" s="27"/>
      <c r="M130" s="27"/>
      <c r="N130" s="27"/>
      <c r="O130" s="31" t="str">
        <f aca="false">IF(G130="","",VLOOKUP(G130,Setup!$A$14:$C$17,3,0))</f>
        <v/>
      </c>
      <c r="P130" s="27"/>
      <c r="Q130" s="33" t="str">
        <f aca="false">IF(OR(P130="",M130&lt;&gt;"Paid",O130=""),"",P130/O130)</f>
        <v/>
      </c>
      <c r="R130" s="34" t="str">
        <f aca="false">IF(Q130="","",Q130+N(H130)*0.000000001)</f>
        <v/>
      </c>
      <c r="S130" s="32" t="str">
        <f aca="false">IF(R130="","",SUMPRODUCT((I$5:I$4004=I130)*ISNUMBER(R$5:R$4004)*(R$5:R$4004&gt;R130))+1)</f>
        <v/>
      </c>
      <c r="T130" s="32" t="str">
        <f aca="false">IF(S130="","",IF(S130&lt;=Setup!$B$5,"🏆 WINNER",""))</f>
        <v/>
      </c>
      <c r="U130" s="31" t="str">
        <f aca="false">IF(S130="","",I130&amp;"|"&amp;S130)</f>
        <v/>
      </c>
    </row>
    <row r="131" customFormat="false" ht="15" hidden="false" customHeight="false" outlineLevel="0" collapsed="false">
      <c r="A131" s="24" t="n">
        <v>127</v>
      </c>
      <c r="B131" s="25" t="str">
        <f aca="false">IF(OR(C131="",I131="",G131=""),"",IFERROR(VLOOKUP(I131,Setup!$A$9:$B$11,2,0),"???")&amp;"-"&amp;G131&amp;"-"&amp;TEXT(COUNTIFS(I$5:I131,I131,G$5:G131,G131),"0000"))</f>
        <v/>
      </c>
      <c r="C131" s="26"/>
      <c r="D131" s="26"/>
      <c r="E131" s="27"/>
      <c r="F131" s="27"/>
      <c r="G131" s="24" t="str">
        <f aca="false">IF(F131="","",IF(F131&lt;=5,"A",IF(F131&lt;=8,"B",IF(F131&lt;=10,"C","D"))))</f>
        <v/>
      </c>
      <c r="H131" s="28"/>
      <c r="I131" s="27"/>
      <c r="J131" s="26"/>
      <c r="K131" s="27"/>
      <c r="L131" s="27"/>
      <c r="M131" s="27"/>
      <c r="N131" s="27"/>
      <c r="O131" s="24" t="str">
        <f aca="false">IF(G131="","",VLOOKUP(G131,Setup!$A$14:$C$17,3,0))</f>
        <v/>
      </c>
      <c r="P131" s="27"/>
      <c r="Q131" s="29" t="str">
        <f aca="false">IF(OR(P131="",M131&lt;&gt;"Paid",O131=""),"",P131/O131)</f>
        <v/>
      </c>
      <c r="R131" s="30" t="str">
        <f aca="false">IF(Q131="","",Q131+N(H131)*0.000000001)</f>
        <v/>
      </c>
      <c r="S131" s="25" t="str">
        <f aca="false">IF(R131="","",SUMPRODUCT((I$5:I$4004=I131)*ISNUMBER(R$5:R$4004)*(R$5:R$4004&gt;R131))+1)</f>
        <v/>
      </c>
      <c r="T131" s="25" t="str">
        <f aca="false">IF(S131="","",IF(S131&lt;=Setup!$B$5,"🏆 WINNER",""))</f>
        <v/>
      </c>
      <c r="U131" s="24" t="str">
        <f aca="false">IF(S131="","",I131&amp;"|"&amp;S131)</f>
        <v/>
      </c>
    </row>
    <row r="132" customFormat="false" ht="15" hidden="false" customHeight="false" outlineLevel="0" collapsed="false">
      <c r="A132" s="31" t="n">
        <v>128</v>
      </c>
      <c r="B132" s="32" t="str">
        <f aca="false">IF(OR(C132="",I132="",G132=""),"",IFERROR(VLOOKUP(I132,Setup!$A$9:$B$11,2,0),"???")&amp;"-"&amp;G132&amp;"-"&amp;TEXT(COUNTIFS(I$5:I132,I132,G$5:G132,G132),"0000"))</f>
        <v/>
      </c>
      <c r="C132" s="26"/>
      <c r="D132" s="26"/>
      <c r="E132" s="27"/>
      <c r="F132" s="27"/>
      <c r="G132" s="31" t="str">
        <f aca="false">IF(F132="","",IF(F132&lt;=5,"A",IF(F132&lt;=8,"B",IF(F132&lt;=10,"C","D"))))</f>
        <v/>
      </c>
      <c r="H132" s="28"/>
      <c r="I132" s="27"/>
      <c r="J132" s="26"/>
      <c r="K132" s="27"/>
      <c r="L132" s="27"/>
      <c r="M132" s="27"/>
      <c r="N132" s="27"/>
      <c r="O132" s="31" t="str">
        <f aca="false">IF(G132="","",VLOOKUP(G132,Setup!$A$14:$C$17,3,0))</f>
        <v/>
      </c>
      <c r="P132" s="27"/>
      <c r="Q132" s="33" t="str">
        <f aca="false">IF(OR(P132="",M132&lt;&gt;"Paid",O132=""),"",P132/O132)</f>
        <v/>
      </c>
      <c r="R132" s="34" t="str">
        <f aca="false">IF(Q132="","",Q132+N(H132)*0.000000001)</f>
        <v/>
      </c>
      <c r="S132" s="32" t="str">
        <f aca="false">IF(R132="","",SUMPRODUCT((I$5:I$4004=I132)*ISNUMBER(R$5:R$4004)*(R$5:R$4004&gt;R132))+1)</f>
        <v/>
      </c>
      <c r="T132" s="32" t="str">
        <f aca="false">IF(S132="","",IF(S132&lt;=Setup!$B$5,"🏆 WINNER",""))</f>
        <v/>
      </c>
      <c r="U132" s="31" t="str">
        <f aca="false">IF(S132="","",I132&amp;"|"&amp;S132)</f>
        <v/>
      </c>
    </row>
    <row r="133" customFormat="false" ht="15" hidden="false" customHeight="false" outlineLevel="0" collapsed="false">
      <c r="A133" s="24" t="n">
        <v>129</v>
      </c>
      <c r="B133" s="25" t="str">
        <f aca="false">IF(OR(C133="",I133="",G133=""),"",IFERROR(VLOOKUP(I133,Setup!$A$9:$B$11,2,0),"???")&amp;"-"&amp;G133&amp;"-"&amp;TEXT(COUNTIFS(I$5:I133,I133,G$5:G133,G133),"0000"))</f>
        <v/>
      </c>
      <c r="C133" s="26"/>
      <c r="D133" s="26"/>
      <c r="E133" s="27"/>
      <c r="F133" s="27"/>
      <c r="G133" s="24" t="str">
        <f aca="false">IF(F133="","",IF(F133&lt;=5,"A",IF(F133&lt;=8,"B",IF(F133&lt;=10,"C","D"))))</f>
        <v/>
      </c>
      <c r="H133" s="28"/>
      <c r="I133" s="27"/>
      <c r="J133" s="26"/>
      <c r="K133" s="27"/>
      <c r="L133" s="27"/>
      <c r="M133" s="27"/>
      <c r="N133" s="27"/>
      <c r="O133" s="24" t="str">
        <f aca="false">IF(G133="","",VLOOKUP(G133,Setup!$A$14:$C$17,3,0))</f>
        <v/>
      </c>
      <c r="P133" s="27"/>
      <c r="Q133" s="29" t="str">
        <f aca="false">IF(OR(P133="",M133&lt;&gt;"Paid",O133=""),"",P133/O133)</f>
        <v/>
      </c>
      <c r="R133" s="30" t="str">
        <f aca="false">IF(Q133="","",Q133+N(H133)*0.000000001)</f>
        <v/>
      </c>
      <c r="S133" s="25" t="str">
        <f aca="false">IF(R133="","",SUMPRODUCT((I$5:I$4004=I133)*ISNUMBER(R$5:R$4004)*(R$5:R$4004&gt;R133))+1)</f>
        <v/>
      </c>
      <c r="T133" s="25" t="str">
        <f aca="false">IF(S133="","",IF(S133&lt;=Setup!$B$5,"🏆 WINNER",""))</f>
        <v/>
      </c>
      <c r="U133" s="24" t="str">
        <f aca="false">IF(S133="","",I133&amp;"|"&amp;S133)</f>
        <v/>
      </c>
    </row>
    <row r="134" customFormat="false" ht="15" hidden="false" customHeight="false" outlineLevel="0" collapsed="false">
      <c r="A134" s="31" t="n">
        <v>130</v>
      </c>
      <c r="B134" s="32" t="str">
        <f aca="false">IF(OR(C134="",I134="",G134=""),"",IFERROR(VLOOKUP(I134,Setup!$A$9:$B$11,2,0),"???")&amp;"-"&amp;G134&amp;"-"&amp;TEXT(COUNTIFS(I$5:I134,I134,G$5:G134,G134),"0000"))</f>
        <v/>
      </c>
      <c r="C134" s="26"/>
      <c r="D134" s="26"/>
      <c r="E134" s="27"/>
      <c r="F134" s="27"/>
      <c r="G134" s="31" t="str">
        <f aca="false">IF(F134="","",IF(F134&lt;=5,"A",IF(F134&lt;=8,"B",IF(F134&lt;=10,"C","D"))))</f>
        <v/>
      </c>
      <c r="H134" s="28"/>
      <c r="I134" s="27"/>
      <c r="J134" s="26"/>
      <c r="K134" s="27"/>
      <c r="L134" s="27"/>
      <c r="M134" s="27"/>
      <c r="N134" s="27"/>
      <c r="O134" s="31" t="str">
        <f aca="false">IF(G134="","",VLOOKUP(G134,Setup!$A$14:$C$17,3,0))</f>
        <v/>
      </c>
      <c r="P134" s="27"/>
      <c r="Q134" s="33" t="str">
        <f aca="false">IF(OR(P134="",M134&lt;&gt;"Paid",O134=""),"",P134/O134)</f>
        <v/>
      </c>
      <c r="R134" s="34" t="str">
        <f aca="false">IF(Q134="","",Q134+N(H134)*0.000000001)</f>
        <v/>
      </c>
      <c r="S134" s="32" t="str">
        <f aca="false">IF(R134="","",SUMPRODUCT((I$5:I$4004=I134)*ISNUMBER(R$5:R$4004)*(R$5:R$4004&gt;R134))+1)</f>
        <v/>
      </c>
      <c r="T134" s="32" t="str">
        <f aca="false">IF(S134="","",IF(S134&lt;=Setup!$B$5,"🏆 WINNER",""))</f>
        <v/>
      </c>
      <c r="U134" s="31" t="str">
        <f aca="false">IF(S134="","",I134&amp;"|"&amp;S134)</f>
        <v/>
      </c>
    </row>
    <row r="135" customFormat="false" ht="15" hidden="false" customHeight="false" outlineLevel="0" collapsed="false">
      <c r="A135" s="24" t="n">
        <v>131</v>
      </c>
      <c r="B135" s="25" t="str">
        <f aca="false">IF(OR(C135="",I135="",G135=""),"",IFERROR(VLOOKUP(I135,Setup!$A$9:$B$11,2,0),"???")&amp;"-"&amp;G135&amp;"-"&amp;TEXT(COUNTIFS(I$5:I135,I135,G$5:G135,G135),"0000"))</f>
        <v/>
      </c>
      <c r="C135" s="26"/>
      <c r="D135" s="26"/>
      <c r="E135" s="27"/>
      <c r="F135" s="27"/>
      <c r="G135" s="24" t="str">
        <f aca="false">IF(F135="","",IF(F135&lt;=5,"A",IF(F135&lt;=8,"B",IF(F135&lt;=10,"C","D"))))</f>
        <v/>
      </c>
      <c r="H135" s="28"/>
      <c r="I135" s="27"/>
      <c r="J135" s="26"/>
      <c r="K135" s="27"/>
      <c r="L135" s="27"/>
      <c r="M135" s="27"/>
      <c r="N135" s="27"/>
      <c r="O135" s="24" t="str">
        <f aca="false">IF(G135="","",VLOOKUP(G135,Setup!$A$14:$C$17,3,0))</f>
        <v/>
      </c>
      <c r="P135" s="27"/>
      <c r="Q135" s="29" t="str">
        <f aca="false">IF(OR(P135="",M135&lt;&gt;"Paid",O135=""),"",P135/O135)</f>
        <v/>
      </c>
      <c r="R135" s="30" t="str">
        <f aca="false">IF(Q135="","",Q135+N(H135)*0.000000001)</f>
        <v/>
      </c>
      <c r="S135" s="25" t="str">
        <f aca="false">IF(R135="","",SUMPRODUCT((I$5:I$4004=I135)*ISNUMBER(R$5:R$4004)*(R$5:R$4004&gt;R135))+1)</f>
        <v/>
      </c>
      <c r="T135" s="25" t="str">
        <f aca="false">IF(S135="","",IF(S135&lt;=Setup!$B$5,"🏆 WINNER",""))</f>
        <v/>
      </c>
      <c r="U135" s="24" t="str">
        <f aca="false">IF(S135="","",I135&amp;"|"&amp;S135)</f>
        <v/>
      </c>
    </row>
    <row r="136" customFormat="false" ht="15" hidden="false" customHeight="false" outlineLevel="0" collapsed="false">
      <c r="A136" s="31" t="n">
        <v>132</v>
      </c>
      <c r="B136" s="32" t="str">
        <f aca="false">IF(OR(C136="",I136="",G136=""),"",IFERROR(VLOOKUP(I136,Setup!$A$9:$B$11,2,0),"???")&amp;"-"&amp;G136&amp;"-"&amp;TEXT(COUNTIFS(I$5:I136,I136,G$5:G136,G136),"0000"))</f>
        <v/>
      </c>
      <c r="C136" s="26"/>
      <c r="D136" s="26"/>
      <c r="E136" s="27"/>
      <c r="F136" s="27"/>
      <c r="G136" s="31" t="str">
        <f aca="false">IF(F136="","",IF(F136&lt;=5,"A",IF(F136&lt;=8,"B",IF(F136&lt;=10,"C","D"))))</f>
        <v/>
      </c>
      <c r="H136" s="28"/>
      <c r="I136" s="27"/>
      <c r="J136" s="26"/>
      <c r="K136" s="27"/>
      <c r="L136" s="27"/>
      <c r="M136" s="27"/>
      <c r="N136" s="27"/>
      <c r="O136" s="31" t="str">
        <f aca="false">IF(G136="","",VLOOKUP(G136,Setup!$A$14:$C$17,3,0))</f>
        <v/>
      </c>
      <c r="P136" s="27"/>
      <c r="Q136" s="33" t="str">
        <f aca="false">IF(OR(P136="",M136&lt;&gt;"Paid",O136=""),"",P136/O136)</f>
        <v/>
      </c>
      <c r="R136" s="34" t="str">
        <f aca="false">IF(Q136="","",Q136+N(H136)*0.000000001)</f>
        <v/>
      </c>
      <c r="S136" s="32" t="str">
        <f aca="false">IF(R136="","",SUMPRODUCT((I$5:I$4004=I136)*ISNUMBER(R$5:R$4004)*(R$5:R$4004&gt;R136))+1)</f>
        <v/>
      </c>
      <c r="T136" s="32" t="str">
        <f aca="false">IF(S136="","",IF(S136&lt;=Setup!$B$5,"🏆 WINNER",""))</f>
        <v/>
      </c>
      <c r="U136" s="31" t="str">
        <f aca="false">IF(S136="","",I136&amp;"|"&amp;S136)</f>
        <v/>
      </c>
    </row>
    <row r="137" customFormat="false" ht="15" hidden="false" customHeight="false" outlineLevel="0" collapsed="false">
      <c r="A137" s="24" t="n">
        <v>133</v>
      </c>
      <c r="B137" s="25" t="str">
        <f aca="false">IF(OR(C137="",I137="",G137=""),"",IFERROR(VLOOKUP(I137,Setup!$A$9:$B$11,2,0),"???")&amp;"-"&amp;G137&amp;"-"&amp;TEXT(COUNTIFS(I$5:I137,I137,G$5:G137,G137),"0000"))</f>
        <v/>
      </c>
      <c r="C137" s="26"/>
      <c r="D137" s="26"/>
      <c r="E137" s="27"/>
      <c r="F137" s="27"/>
      <c r="G137" s="24" t="str">
        <f aca="false">IF(F137="","",IF(F137&lt;=5,"A",IF(F137&lt;=8,"B",IF(F137&lt;=10,"C","D"))))</f>
        <v/>
      </c>
      <c r="H137" s="28"/>
      <c r="I137" s="27"/>
      <c r="J137" s="26"/>
      <c r="K137" s="27"/>
      <c r="L137" s="27"/>
      <c r="M137" s="27"/>
      <c r="N137" s="27"/>
      <c r="O137" s="24" t="str">
        <f aca="false">IF(G137="","",VLOOKUP(G137,Setup!$A$14:$C$17,3,0))</f>
        <v/>
      </c>
      <c r="P137" s="27"/>
      <c r="Q137" s="29" t="str">
        <f aca="false">IF(OR(P137="",M137&lt;&gt;"Paid",O137=""),"",P137/O137)</f>
        <v/>
      </c>
      <c r="R137" s="30" t="str">
        <f aca="false">IF(Q137="","",Q137+N(H137)*0.000000001)</f>
        <v/>
      </c>
      <c r="S137" s="25" t="str">
        <f aca="false">IF(R137="","",SUMPRODUCT((I$5:I$4004=I137)*ISNUMBER(R$5:R$4004)*(R$5:R$4004&gt;R137))+1)</f>
        <v/>
      </c>
      <c r="T137" s="25" t="str">
        <f aca="false">IF(S137="","",IF(S137&lt;=Setup!$B$5,"🏆 WINNER",""))</f>
        <v/>
      </c>
      <c r="U137" s="24" t="str">
        <f aca="false">IF(S137="","",I137&amp;"|"&amp;S137)</f>
        <v/>
      </c>
    </row>
    <row r="138" customFormat="false" ht="15" hidden="false" customHeight="false" outlineLevel="0" collapsed="false">
      <c r="A138" s="31" t="n">
        <v>134</v>
      </c>
      <c r="B138" s="32" t="str">
        <f aca="false">IF(OR(C138="",I138="",G138=""),"",IFERROR(VLOOKUP(I138,Setup!$A$9:$B$11,2,0),"???")&amp;"-"&amp;G138&amp;"-"&amp;TEXT(COUNTIFS(I$5:I138,I138,G$5:G138,G138),"0000"))</f>
        <v/>
      </c>
      <c r="C138" s="26"/>
      <c r="D138" s="26"/>
      <c r="E138" s="27"/>
      <c r="F138" s="27"/>
      <c r="G138" s="31" t="str">
        <f aca="false">IF(F138="","",IF(F138&lt;=5,"A",IF(F138&lt;=8,"B",IF(F138&lt;=10,"C","D"))))</f>
        <v/>
      </c>
      <c r="H138" s="28"/>
      <c r="I138" s="27"/>
      <c r="J138" s="26"/>
      <c r="K138" s="27"/>
      <c r="L138" s="27"/>
      <c r="M138" s="27"/>
      <c r="N138" s="27"/>
      <c r="O138" s="31" t="str">
        <f aca="false">IF(G138="","",VLOOKUP(G138,Setup!$A$14:$C$17,3,0))</f>
        <v/>
      </c>
      <c r="P138" s="27"/>
      <c r="Q138" s="33" t="str">
        <f aca="false">IF(OR(P138="",M138&lt;&gt;"Paid",O138=""),"",P138/O138)</f>
        <v/>
      </c>
      <c r="R138" s="34" t="str">
        <f aca="false">IF(Q138="","",Q138+N(H138)*0.000000001)</f>
        <v/>
      </c>
      <c r="S138" s="32" t="str">
        <f aca="false">IF(R138="","",SUMPRODUCT((I$5:I$4004=I138)*ISNUMBER(R$5:R$4004)*(R$5:R$4004&gt;R138))+1)</f>
        <v/>
      </c>
      <c r="T138" s="32" t="str">
        <f aca="false">IF(S138="","",IF(S138&lt;=Setup!$B$5,"🏆 WINNER",""))</f>
        <v/>
      </c>
      <c r="U138" s="31" t="str">
        <f aca="false">IF(S138="","",I138&amp;"|"&amp;S138)</f>
        <v/>
      </c>
    </row>
    <row r="139" customFormat="false" ht="15" hidden="false" customHeight="false" outlineLevel="0" collapsed="false">
      <c r="A139" s="24" t="n">
        <v>135</v>
      </c>
      <c r="B139" s="25" t="str">
        <f aca="false">IF(OR(C139="",I139="",G139=""),"",IFERROR(VLOOKUP(I139,Setup!$A$9:$B$11,2,0),"???")&amp;"-"&amp;G139&amp;"-"&amp;TEXT(COUNTIFS(I$5:I139,I139,G$5:G139,G139),"0000"))</f>
        <v/>
      </c>
      <c r="C139" s="26"/>
      <c r="D139" s="26"/>
      <c r="E139" s="27"/>
      <c r="F139" s="27"/>
      <c r="G139" s="24" t="str">
        <f aca="false">IF(F139="","",IF(F139&lt;=5,"A",IF(F139&lt;=8,"B",IF(F139&lt;=10,"C","D"))))</f>
        <v/>
      </c>
      <c r="H139" s="28"/>
      <c r="I139" s="27"/>
      <c r="J139" s="26"/>
      <c r="K139" s="27"/>
      <c r="L139" s="27"/>
      <c r="M139" s="27"/>
      <c r="N139" s="27"/>
      <c r="O139" s="24" t="str">
        <f aca="false">IF(G139="","",VLOOKUP(G139,Setup!$A$14:$C$17,3,0))</f>
        <v/>
      </c>
      <c r="P139" s="27"/>
      <c r="Q139" s="29" t="str">
        <f aca="false">IF(OR(P139="",M139&lt;&gt;"Paid",O139=""),"",P139/O139)</f>
        <v/>
      </c>
      <c r="R139" s="30" t="str">
        <f aca="false">IF(Q139="","",Q139+N(H139)*0.000000001)</f>
        <v/>
      </c>
      <c r="S139" s="25" t="str">
        <f aca="false">IF(R139="","",SUMPRODUCT((I$5:I$4004=I139)*ISNUMBER(R$5:R$4004)*(R$5:R$4004&gt;R139))+1)</f>
        <v/>
      </c>
      <c r="T139" s="25" t="str">
        <f aca="false">IF(S139="","",IF(S139&lt;=Setup!$B$5,"🏆 WINNER",""))</f>
        <v/>
      </c>
      <c r="U139" s="24" t="str">
        <f aca="false">IF(S139="","",I139&amp;"|"&amp;S139)</f>
        <v/>
      </c>
    </row>
    <row r="140" customFormat="false" ht="15" hidden="false" customHeight="false" outlineLevel="0" collapsed="false">
      <c r="A140" s="31" t="n">
        <v>136</v>
      </c>
      <c r="B140" s="32" t="str">
        <f aca="false">IF(OR(C140="",I140="",G140=""),"",IFERROR(VLOOKUP(I140,Setup!$A$9:$B$11,2,0),"???")&amp;"-"&amp;G140&amp;"-"&amp;TEXT(COUNTIFS(I$5:I140,I140,G$5:G140,G140),"0000"))</f>
        <v/>
      </c>
      <c r="C140" s="26"/>
      <c r="D140" s="26"/>
      <c r="E140" s="27"/>
      <c r="F140" s="27"/>
      <c r="G140" s="31" t="str">
        <f aca="false">IF(F140="","",IF(F140&lt;=5,"A",IF(F140&lt;=8,"B",IF(F140&lt;=10,"C","D"))))</f>
        <v/>
      </c>
      <c r="H140" s="28"/>
      <c r="I140" s="27"/>
      <c r="J140" s="26"/>
      <c r="K140" s="27"/>
      <c r="L140" s="27"/>
      <c r="M140" s="27"/>
      <c r="N140" s="27"/>
      <c r="O140" s="31" t="str">
        <f aca="false">IF(G140="","",VLOOKUP(G140,Setup!$A$14:$C$17,3,0))</f>
        <v/>
      </c>
      <c r="P140" s="27"/>
      <c r="Q140" s="33" t="str">
        <f aca="false">IF(OR(P140="",M140&lt;&gt;"Paid",O140=""),"",P140/O140)</f>
        <v/>
      </c>
      <c r="R140" s="34" t="str">
        <f aca="false">IF(Q140="","",Q140+N(H140)*0.000000001)</f>
        <v/>
      </c>
      <c r="S140" s="32" t="str">
        <f aca="false">IF(R140="","",SUMPRODUCT((I$5:I$4004=I140)*ISNUMBER(R$5:R$4004)*(R$5:R$4004&gt;R140))+1)</f>
        <v/>
      </c>
      <c r="T140" s="32" t="str">
        <f aca="false">IF(S140="","",IF(S140&lt;=Setup!$B$5,"🏆 WINNER",""))</f>
        <v/>
      </c>
      <c r="U140" s="31" t="str">
        <f aca="false">IF(S140="","",I140&amp;"|"&amp;S140)</f>
        <v/>
      </c>
    </row>
    <row r="141" customFormat="false" ht="15" hidden="false" customHeight="false" outlineLevel="0" collapsed="false">
      <c r="A141" s="24" t="n">
        <v>137</v>
      </c>
      <c r="B141" s="25" t="str">
        <f aca="false">IF(OR(C141="",I141="",G141=""),"",IFERROR(VLOOKUP(I141,Setup!$A$9:$B$11,2,0),"???")&amp;"-"&amp;G141&amp;"-"&amp;TEXT(COUNTIFS(I$5:I141,I141,G$5:G141,G141),"0000"))</f>
        <v/>
      </c>
      <c r="C141" s="26"/>
      <c r="D141" s="26"/>
      <c r="E141" s="27"/>
      <c r="F141" s="27"/>
      <c r="G141" s="24" t="str">
        <f aca="false">IF(F141="","",IF(F141&lt;=5,"A",IF(F141&lt;=8,"B",IF(F141&lt;=10,"C","D"))))</f>
        <v/>
      </c>
      <c r="H141" s="28"/>
      <c r="I141" s="27"/>
      <c r="J141" s="26"/>
      <c r="K141" s="27"/>
      <c r="L141" s="27"/>
      <c r="M141" s="27"/>
      <c r="N141" s="27"/>
      <c r="O141" s="24" t="str">
        <f aca="false">IF(G141="","",VLOOKUP(G141,Setup!$A$14:$C$17,3,0))</f>
        <v/>
      </c>
      <c r="P141" s="27"/>
      <c r="Q141" s="29" t="str">
        <f aca="false">IF(OR(P141="",M141&lt;&gt;"Paid",O141=""),"",P141/O141)</f>
        <v/>
      </c>
      <c r="R141" s="30" t="str">
        <f aca="false">IF(Q141="","",Q141+N(H141)*0.000000001)</f>
        <v/>
      </c>
      <c r="S141" s="25" t="str">
        <f aca="false">IF(R141="","",SUMPRODUCT((I$5:I$4004=I141)*ISNUMBER(R$5:R$4004)*(R$5:R$4004&gt;R141))+1)</f>
        <v/>
      </c>
      <c r="T141" s="25" t="str">
        <f aca="false">IF(S141="","",IF(S141&lt;=Setup!$B$5,"🏆 WINNER",""))</f>
        <v/>
      </c>
      <c r="U141" s="24" t="str">
        <f aca="false">IF(S141="","",I141&amp;"|"&amp;S141)</f>
        <v/>
      </c>
    </row>
    <row r="142" customFormat="false" ht="15" hidden="false" customHeight="false" outlineLevel="0" collapsed="false">
      <c r="A142" s="31" t="n">
        <v>138</v>
      </c>
      <c r="B142" s="32" t="str">
        <f aca="false">IF(OR(C142="",I142="",G142=""),"",IFERROR(VLOOKUP(I142,Setup!$A$9:$B$11,2,0),"???")&amp;"-"&amp;G142&amp;"-"&amp;TEXT(COUNTIFS(I$5:I142,I142,G$5:G142,G142),"0000"))</f>
        <v/>
      </c>
      <c r="C142" s="26"/>
      <c r="D142" s="26"/>
      <c r="E142" s="27"/>
      <c r="F142" s="27"/>
      <c r="G142" s="31" t="str">
        <f aca="false">IF(F142="","",IF(F142&lt;=5,"A",IF(F142&lt;=8,"B",IF(F142&lt;=10,"C","D"))))</f>
        <v/>
      </c>
      <c r="H142" s="28"/>
      <c r="I142" s="27"/>
      <c r="J142" s="26"/>
      <c r="K142" s="27"/>
      <c r="L142" s="27"/>
      <c r="M142" s="27"/>
      <c r="N142" s="27"/>
      <c r="O142" s="31" t="str">
        <f aca="false">IF(G142="","",VLOOKUP(G142,Setup!$A$14:$C$17,3,0))</f>
        <v/>
      </c>
      <c r="P142" s="27"/>
      <c r="Q142" s="33" t="str">
        <f aca="false">IF(OR(P142="",M142&lt;&gt;"Paid",O142=""),"",P142/O142)</f>
        <v/>
      </c>
      <c r="R142" s="34" t="str">
        <f aca="false">IF(Q142="","",Q142+N(H142)*0.000000001)</f>
        <v/>
      </c>
      <c r="S142" s="32" t="str">
        <f aca="false">IF(R142="","",SUMPRODUCT((I$5:I$4004=I142)*ISNUMBER(R$5:R$4004)*(R$5:R$4004&gt;R142))+1)</f>
        <v/>
      </c>
      <c r="T142" s="32" t="str">
        <f aca="false">IF(S142="","",IF(S142&lt;=Setup!$B$5,"🏆 WINNER",""))</f>
        <v/>
      </c>
      <c r="U142" s="31" t="str">
        <f aca="false">IF(S142="","",I142&amp;"|"&amp;S142)</f>
        <v/>
      </c>
    </row>
    <row r="143" customFormat="false" ht="15" hidden="false" customHeight="false" outlineLevel="0" collapsed="false">
      <c r="A143" s="24" t="n">
        <v>139</v>
      </c>
      <c r="B143" s="25" t="str">
        <f aca="false">IF(OR(C143="",I143="",G143=""),"",IFERROR(VLOOKUP(I143,Setup!$A$9:$B$11,2,0),"???")&amp;"-"&amp;G143&amp;"-"&amp;TEXT(COUNTIFS(I$5:I143,I143,G$5:G143,G143),"0000"))</f>
        <v/>
      </c>
      <c r="C143" s="26"/>
      <c r="D143" s="26"/>
      <c r="E143" s="27"/>
      <c r="F143" s="27"/>
      <c r="G143" s="24" t="str">
        <f aca="false">IF(F143="","",IF(F143&lt;=5,"A",IF(F143&lt;=8,"B",IF(F143&lt;=10,"C","D"))))</f>
        <v/>
      </c>
      <c r="H143" s="28"/>
      <c r="I143" s="27"/>
      <c r="J143" s="26"/>
      <c r="K143" s="27"/>
      <c r="L143" s="27"/>
      <c r="M143" s="27"/>
      <c r="N143" s="27"/>
      <c r="O143" s="24" t="str">
        <f aca="false">IF(G143="","",VLOOKUP(G143,Setup!$A$14:$C$17,3,0))</f>
        <v/>
      </c>
      <c r="P143" s="27"/>
      <c r="Q143" s="29" t="str">
        <f aca="false">IF(OR(P143="",M143&lt;&gt;"Paid",O143=""),"",P143/O143)</f>
        <v/>
      </c>
      <c r="R143" s="30" t="str">
        <f aca="false">IF(Q143="","",Q143+N(H143)*0.000000001)</f>
        <v/>
      </c>
      <c r="S143" s="25" t="str">
        <f aca="false">IF(R143="","",SUMPRODUCT((I$5:I$4004=I143)*ISNUMBER(R$5:R$4004)*(R$5:R$4004&gt;R143))+1)</f>
        <v/>
      </c>
      <c r="T143" s="25" t="str">
        <f aca="false">IF(S143="","",IF(S143&lt;=Setup!$B$5,"🏆 WINNER",""))</f>
        <v/>
      </c>
      <c r="U143" s="24" t="str">
        <f aca="false">IF(S143="","",I143&amp;"|"&amp;S143)</f>
        <v/>
      </c>
    </row>
    <row r="144" customFormat="false" ht="15" hidden="false" customHeight="false" outlineLevel="0" collapsed="false">
      <c r="A144" s="31" t="n">
        <v>140</v>
      </c>
      <c r="B144" s="32" t="str">
        <f aca="false">IF(OR(C144="",I144="",G144=""),"",IFERROR(VLOOKUP(I144,Setup!$A$9:$B$11,2,0),"???")&amp;"-"&amp;G144&amp;"-"&amp;TEXT(COUNTIFS(I$5:I144,I144,G$5:G144,G144),"0000"))</f>
        <v/>
      </c>
      <c r="C144" s="26"/>
      <c r="D144" s="26"/>
      <c r="E144" s="27"/>
      <c r="F144" s="27"/>
      <c r="G144" s="31" t="str">
        <f aca="false">IF(F144="","",IF(F144&lt;=5,"A",IF(F144&lt;=8,"B",IF(F144&lt;=10,"C","D"))))</f>
        <v/>
      </c>
      <c r="H144" s="28"/>
      <c r="I144" s="27"/>
      <c r="J144" s="26"/>
      <c r="K144" s="27"/>
      <c r="L144" s="27"/>
      <c r="M144" s="27"/>
      <c r="N144" s="27"/>
      <c r="O144" s="31" t="str">
        <f aca="false">IF(G144="","",VLOOKUP(G144,Setup!$A$14:$C$17,3,0))</f>
        <v/>
      </c>
      <c r="P144" s="27"/>
      <c r="Q144" s="33" t="str">
        <f aca="false">IF(OR(P144="",M144&lt;&gt;"Paid",O144=""),"",P144/O144)</f>
        <v/>
      </c>
      <c r="R144" s="34" t="str">
        <f aca="false">IF(Q144="","",Q144+N(H144)*0.000000001)</f>
        <v/>
      </c>
      <c r="S144" s="32" t="str">
        <f aca="false">IF(R144="","",SUMPRODUCT((I$5:I$4004=I144)*ISNUMBER(R$5:R$4004)*(R$5:R$4004&gt;R144))+1)</f>
        <v/>
      </c>
      <c r="T144" s="32" t="str">
        <f aca="false">IF(S144="","",IF(S144&lt;=Setup!$B$5,"🏆 WINNER",""))</f>
        <v/>
      </c>
      <c r="U144" s="31" t="str">
        <f aca="false">IF(S144="","",I144&amp;"|"&amp;S144)</f>
        <v/>
      </c>
    </row>
    <row r="145" customFormat="false" ht="15" hidden="false" customHeight="false" outlineLevel="0" collapsed="false">
      <c r="A145" s="24" t="n">
        <v>141</v>
      </c>
      <c r="B145" s="25" t="str">
        <f aca="false">IF(OR(C145="",I145="",G145=""),"",IFERROR(VLOOKUP(I145,Setup!$A$9:$B$11,2,0),"???")&amp;"-"&amp;G145&amp;"-"&amp;TEXT(COUNTIFS(I$5:I145,I145,G$5:G145,G145),"0000"))</f>
        <v/>
      </c>
      <c r="C145" s="26"/>
      <c r="D145" s="26"/>
      <c r="E145" s="27"/>
      <c r="F145" s="27"/>
      <c r="G145" s="24" t="str">
        <f aca="false">IF(F145="","",IF(F145&lt;=5,"A",IF(F145&lt;=8,"B",IF(F145&lt;=10,"C","D"))))</f>
        <v/>
      </c>
      <c r="H145" s="28"/>
      <c r="I145" s="27"/>
      <c r="J145" s="26"/>
      <c r="K145" s="27"/>
      <c r="L145" s="27"/>
      <c r="M145" s="27"/>
      <c r="N145" s="27"/>
      <c r="O145" s="24" t="str">
        <f aca="false">IF(G145="","",VLOOKUP(G145,Setup!$A$14:$C$17,3,0))</f>
        <v/>
      </c>
      <c r="P145" s="27"/>
      <c r="Q145" s="29" t="str">
        <f aca="false">IF(OR(P145="",M145&lt;&gt;"Paid",O145=""),"",P145/O145)</f>
        <v/>
      </c>
      <c r="R145" s="30" t="str">
        <f aca="false">IF(Q145="","",Q145+N(H145)*0.000000001)</f>
        <v/>
      </c>
      <c r="S145" s="25" t="str">
        <f aca="false">IF(R145="","",SUMPRODUCT((I$5:I$4004=I145)*ISNUMBER(R$5:R$4004)*(R$5:R$4004&gt;R145))+1)</f>
        <v/>
      </c>
      <c r="T145" s="25" t="str">
        <f aca="false">IF(S145="","",IF(S145&lt;=Setup!$B$5,"🏆 WINNER",""))</f>
        <v/>
      </c>
      <c r="U145" s="24" t="str">
        <f aca="false">IF(S145="","",I145&amp;"|"&amp;S145)</f>
        <v/>
      </c>
    </row>
    <row r="146" customFormat="false" ht="15" hidden="false" customHeight="false" outlineLevel="0" collapsed="false">
      <c r="A146" s="31" t="n">
        <v>142</v>
      </c>
      <c r="B146" s="32" t="str">
        <f aca="false">IF(OR(C146="",I146="",G146=""),"",IFERROR(VLOOKUP(I146,Setup!$A$9:$B$11,2,0),"???")&amp;"-"&amp;G146&amp;"-"&amp;TEXT(COUNTIFS(I$5:I146,I146,G$5:G146,G146),"0000"))</f>
        <v/>
      </c>
      <c r="C146" s="26"/>
      <c r="D146" s="26"/>
      <c r="E146" s="27"/>
      <c r="F146" s="27"/>
      <c r="G146" s="31" t="str">
        <f aca="false">IF(F146="","",IF(F146&lt;=5,"A",IF(F146&lt;=8,"B",IF(F146&lt;=10,"C","D"))))</f>
        <v/>
      </c>
      <c r="H146" s="28"/>
      <c r="I146" s="27"/>
      <c r="J146" s="26"/>
      <c r="K146" s="27"/>
      <c r="L146" s="27"/>
      <c r="M146" s="27"/>
      <c r="N146" s="27"/>
      <c r="O146" s="31" t="str">
        <f aca="false">IF(G146="","",VLOOKUP(G146,Setup!$A$14:$C$17,3,0))</f>
        <v/>
      </c>
      <c r="P146" s="27"/>
      <c r="Q146" s="33" t="str">
        <f aca="false">IF(OR(P146="",M146&lt;&gt;"Paid",O146=""),"",P146/O146)</f>
        <v/>
      </c>
      <c r="R146" s="34" t="str">
        <f aca="false">IF(Q146="","",Q146+N(H146)*0.000000001)</f>
        <v/>
      </c>
      <c r="S146" s="32" t="str">
        <f aca="false">IF(R146="","",SUMPRODUCT((I$5:I$4004=I146)*ISNUMBER(R$5:R$4004)*(R$5:R$4004&gt;R146))+1)</f>
        <v/>
      </c>
      <c r="T146" s="32" t="str">
        <f aca="false">IF(S146="","",IF(S146&lt;=Setup!$B$5,"🏆 WINNER",""))</f>
        <v/>
      </c>
      <c r="U146" s="31" t="str">
        <f aca="false">IF(S146="","",I146&amp;"|"&amp;S146)</f>
        <v/>
      </c>
    </row>
    <row r="147" customFormat="false" ht="15" hidden="false" customHeight="false" outlineLevel="0" collapsed="false">
      <c r="A147" s="24" t="n">
        <v>143</v>
      </c>
      <c r="B147" s="25" t="str">
        <f aca="false">IF(OR(C147="",I147="",G147=""),"",IFERROR(VLOOKUP(I147,Setup!$A$9:$B$11,2,0),"???")&amp;"-"&amp;G147&amp;"-"&amp;TEXT(COUNTIFS(I$5:I147,I147,G$5:G147,G147),"0000"))</f>
        <v/>
      </c>
      <c r="C147" s="26"/>
      <c r="D147" s="26"/>
      <c r="E147" s="27"/>
      <c r="F147" s="27"/>
      <c r="G147" s="24" t="str">
        <f aca="false">IF(F147="","",IF(F147&lt;=5,"A",IF(F147&lt;=8,"B",IF(F147&lt;=10,"C","D"))))</f>
        <v/>
      </c>
      <c r="H147" s="28"/>
      <c r="I147" s="27"/>
      <c r="J147" s="26"/>
      <c r="K147" s="27"/>
      <c r="L147" s="27"/>
      <c r="M147" s="27"/>
      <c r="N147" s="27"/>
      <c r="O147" s="24" t="str">
        <f aca="false">IF(G147="","",VLOOKUP(G147,Setup!$A$14:$C$17,3,0))</f>
        <v/>
      </c>
      <c r="P147" s="27"/>
      <c r="Q147" s="29" t="str">
        <f aca="false">IF(OR(P147="",M147&lt;&gt;"Paid",O147=""),"",P147/O147)</f>
        <v/>
      </c>
      <c r="R147" s="30" t="str">
        <f aca="false">IF(Q147="","",Q147+N(H147)*0.000000001)</f>
        <v/>
      </c>
      <c r="S147" s="25" t="str">
        <f aca="false">IF(R147="","",SUMPRODUCT((I$5:I$4004=I147)*ISNUMBER(R$5:R$4004)*(R$5:R$4004&gt;R147))+1)</f>
        <v/>
      </c>
      <c r="T147" s="25" t="str">
        <f aca="false">IF(S147="","",IF(S147&lt;=Setup!$B$5,"🏆 WINNER",""))</f>
        <v/>
      </c>
      <c r="U147" s="24" t="str">
        <f aca="false">IF(S147="","",I147&amp;"|"&amp;S147)</f>
        <v/>
      </c>
    </row>
    <row r="148" customFormat="false" ht="15" hidden="false" customHeight="false" outlineLevel="0" collapsed="false">
      <c r="A148" s="31" t="n">
        <v>144</v>
      </c>
      <c r="B148" s="32" t="str">
        <f aca="false">IF(OR(C148="",I148="",G148=""),"",IFERROR(VLOOKUP(I148,Setup!$A$9:$B$11,2,0),"???")&amp;"-"&amp;G148&amp;"-"&amp;TEXT(COUNTIFS(I$5:I148,I148,G$5:G148,G148),"0000"))</f>
        <v/>
      </c>
      <c r="C148" s="26"/>
      <c r="D148" s="26"/>
      <c r="E148" s="27"/>
      <c r="F148" s="27"/>
      <c r="G148" s="31" t="str">
        <f aca="false">IF(F148="","",IF(F148&lt;=5,"A",IF(F148&lt;=8,"B",IF(F148&lt;=10,"C","D"))))</f>
        <v/>
      </c>
      <c r="H148" s="28"/>
      <c r="I148" s="27"/>
      <c r="J148" s="26"/>
      <c r="K148" s="27"/>
      <c r="L148" s="27"/>
      <c r="M148" s="27"/>
      <c r="N148" s="27"/>
      <c r="O148" s="31" t="str">
        <f aca="false">IF(G148="","",VLOOKUP(G148,Setup!$A$14:$C$17,3,0))</f>
        <v/>
      </c>
      <c r="P148" s="27"/>
      <c r="Q148" s="33" t="str">
        <f aca="false">IF(OR(P148="",M148&lt;&gt;"Paid",O148=""),"",P148/O148)</f>
        <v/>
      </c>
      <c r="R148" s="34" t="str">
        <f aca="false">IF(Q148="","",Q148+N(H148)*0.000000001)</f>
        <v/>
      </c>
      <c r="S148" s="32" t="str">
        <f aca="false">IF(R148="","",SUMPRODUCT((I$5:I$4004=I148)*ISNUMBER(R$5:R$4004)*(R$5:R$4004&gt;R148))+1)</f>
        <v/>
      </c>
      <c r="T148" s="32" t="str">
        <f aca="false">IF(S148="","",IF(S148&lt;=Setup!$B$5,"🏆 WINNER",""))</f>
        <v/>
      </c>
      <c r="U148" s="31" t="str">
        <f aca="false">IF(S148="","",I148&amp;"|"&amp;S148)</f>
        <v/>
      </c>
    </row>
    <row r="149" customFormat="false" ht="15" hidden="false" customHeight="false" outlineLevel="0" collapsed="false">
      <c r="A149" s="24" t="n">
        <v>145</v>
      </c>
      <c r="B149" s="25" t="str">
        <f aca="false">IF(OR(C149="",I149="",G149=""),"",IFERROR(VLOOKUP(I149,Setup!$A$9:$B$11,2,0),"???")&amp;"-"&amp;G149&amp;"-"&amp;TEXT(COUNTIFS(I$5:I149,I149,G$5:G149,G149),"0000"))</f>
        <v/>
      </c>
      <c r="C149" s="26"/>
      <c r="D149" s="26"/>
      <c r="E149" s="27"/>
      <c r="F149" s="27"/>
      <c r="G149" s="24" t="str">
        <f aca="false">IF(F149="","",IF(F149&lt;=5,"A",IF(F149&lt;=8,"B",IF(F149&lt;=10,"C","D"))))</f>
        <v/>
      </c>
      <c r="H149" s="28"/>
      <c r="I149" s="27"/>
      <c r="J149" s="26"/>
      <c r="K149" s="27"/>
      <c r="L149" s="27"/>
      <c r="M149" s="27"/>
      <c r="N149" s="27"/>
      <c r="O149" s="24" t="str">
        <f aca="false">IF(G149="","",VLOOKUP(G149,Setup!$A$14:$C$17,3,0))</f>
        <v/>
      </c>
      <c r="P149" s="27"/>
      <c r="Q149" s="29" t="str">
        <f aca="false">IF(OR(P149="",M149&lt;&gt;"Paid",O149=""),"",P149/O149)</f>
        <v/>
      </c>
      <c r="R149" s="30" t="str">
        <f aca="false">IF(Q149="","",Q149+N(H149)*0.000000001)</f>
        <v/>
      </c>
      <c r="S149" s="25" t="str">
        <f aca="false">IF(R149="","",SUMPRODUCT((I$5:I$4004=I149)*ISNUMBER(R$5:R$4004)*(R$5:R$4004&gt;R149))+1)</f>
        <v/>
      </c>
      <c r="T149" s="25" t="str">
        <f aca="false">IF(S149="","",IF(S149&lt;=Setup!$B$5,"🏆 WINNER",""))</f>
        <v/>
      </c>
      <c r="U149" s="24" t="str">
        <f aca="false">IF(S149="","",I149&amp;"|"&amp;S149)</f>
        <v/>
      </c>
    </row>
    <row r="150" customFormat="false" ht="15" hidden="false" customHeight="false" outlineLevel="0" collapsed="false">
      <c r="A150" s="31" t="n">
        <v>146</v>
      </c>
      <c r="B150" s="32" t="str">
        <f aca="false">IF(OR(C150="",I150="",G150=""),"",IFERROR(VLOOKUP(I150,Setup!$A$9:$B$11,2,0),"???")&amp;"-"&amp;G150&amp;"-"&amp;TEXT(COUNTIFS(I$5:I150,I150,G$5:G150,G150),"0000"))</f>
        <v/>
      </c>
      <c r="C150" s="26"/>
      <c r="D150" s="26"/>
      <c r="E150" s="27"/>
      <c r="F150" s="27"/>
      <c r="G150" s="31" t="str">
        <f aca="false">IF(F150="","",IF(F150&lt;=5,"A",IF(F150&lt;=8,"B",IF(F150&lt;=10,"C","D"))))</f>
        <v/>
      </c>
      <c r="H150" s="28"/>
      <c r="I150" s="27"/>
      <c r="J150" s="26"/>
      <c r="K150" s="27"/>
      <c r="L150" s="27"/>
      <c r="M150" s="27"/>
      <c r="N150" s="27"/>
      <c r="O150" s="31" t="str">
        <f aca="false">IF(G150="","",VLOOKUP(G150,Setup!$A$14:$C$17,3,0))</f>
        <v/>
      </c>
      <c r="P150" s="27"/>
      <c r="Q150" s="33" t="str">
        <f aca="false">IF(OR(P150="",M150&lt;&gt;"Paid",O150=""),"",P150/O150)</f>
        <v/>
      </c>
      <c r="R150" s="34" t="str">
        <f aca="false">IF(Q150="","",Q150+N(H150)*0.000000001)</f>
        <v/>
      </c>
      <c r="S150" s="32" t="str">
        <f aca="false">IF(R150="","",SUMPRODUCT((I$5:I$4004=I150)*ISNUMBER(R$5:R$4004)*(R$5:R$4004&gt;R150))+1)</f>
        <v/>
      </c>
      <c r="T150" s="32" t="str">
        <f aca="false">IF(S150="","",IF(S150&lt;=Setup!$B$5,"🏆 WINNER",""))</f>
        <v/>
      </c>
      <c r="U150" s="31" t="str">
        <f aca="false">IF(S150="","",I150&amp;"|"&amp;S150)</f>
        <v/>
      </c>
    </row>
    <row r="151" customFormat="false" ht="15" hidden="false" customHeight="false" outlineLevel="0" collapsed="false">
      <c r="A151" s="24" t="n">
        <v>147</v>
      </c>
      <c r="B151" s="25" t="str">
        <f aca="false">IF(OR(C151="",I151="",G151=""),"",IFERROR(VLOOKUP(I151,Setup!$A$9:$B$11,2,0),"???")&amp;"-"&amp;G151&amp;"-"&amp;TEXT(COUNTIFS(I$5:I151,I151,G$5:G151,G151),"0000"))</f>
        <v/>
      </c>
      <c r="C151" s="26"/>
      <c r="D151" s="26"/>
      <c r="E151" s="27"/>
      <c r="F151" s="27"/>
      <c r="G151" s="24" t="str">
        <f aca="false">IF(F151="","",IF(F151&lt;=5,"A",IF(F151&lt;=8,"B",IF(F151&lt;=10,"C","D"))))</f>
        <v/>
      </c>
      <c r="H151" s="28"/>
      <c r="I151" s="27"/>
      <c r="J151" s="26"/>
      <c r="K151" s="27"/>
      <c r="L151" s="27"/>
      <c r="M151" s="27"/>
      <c r="N151" s="27"/>
      <c r="O151" s="24" t="str">
        <f aca="false">IF(G151="","",VLOOKUP(G151,Setup!$A$14:$C$17,3,0))</f>
        <v/>
      </c>
      <c r="P151" s="27"/>
      <c r="Q151" s="29" t="str">
        <f aca="false">IF(OR(P151="",M151&lt;&gt;"Paid",O151=""),"",P151/O151)</f>
        <v/>
      </c>
      <c r="R151" s="30" t="str">
        <f aca="false">IF(Q151="","",Q151+N(H151)*0.000000001)</f>
        <v/>
      </c>
      <c r="S151" s="25" t="str">
        <f aca="false">IF(R151="","",SUMPRODUCT((I$5:I$4004=I151)*ISNUMBER(R$5:R$4004)*(R$5:R$4004&gt;R151))+1)</f>
        <v/>
      </c>
      <c r="T151" s="25" t="str">
        <f aca="false">IF(S151="","",IF(S151&lt;=Setup!$B$5,"🏆 WINNER",""))</f>
        <v/>
      </c>
      <c r="U151" s="24" t="str">
        <f aca="false">IF(S151="","",I151&amp;"|"&amp;S151)</f>
        <v/>
      </c>
    </row>
    <row r="152" customFormat="false" ht="15" hidden="false" customHeight="false" outlineLevel="0" collapsed="false">
      <c r="A152" s="31" t="n">
        <v>148</v>
      </c>
      <c r="B152" s="32" t="str">
        <f aca="false">IF(OR(C152="",I152="",G152=""),"",IFERROR(VLOOKUP(I152,Setup!$A$9:$B$11,2,0),"???")&amp;"-"&amp;G152&amp;"-"&amp;TEXT(COUNTIFS(I$5:I152,I152,G$5:G152,G152),"0000"))</f>
        <v/>
      </c>
      <c r="C152" s="26"/>
      <c r="D152" s="26"/>
      <c r="E152" s="27"/>
      <c r="F152" s="27"/>
      <c r="G152" s="31" t="str">
        <f aca="false">IF(F152="","",IF(F152&lt;=5,"A",IF(F152&lt;=8,"B",IF(F152&lt;=10,"C","D"))))</f>
        <v/>
      </c>
      <c r="H152" s="28"/>
      <c r="I152" s="27"/>
      <c r="J152" s="26"/>
      <c r="K152" s="27"/>
      <c r="L152" s="27"/>
      <c r="M152" s="27"/>
      <c r="N152" s="27"/>
      <c r="O152" s="31" t="str">
        <f aca="false">IF(G152="","",VLOOKUP(G152,Setup!$A$14:$C$17,3,0))</f>
        <v/>
      </c>
      <c r="P152" s="27"/>
      <c r="Q152" s="33" t="str">
        <f aca="false">IF(OR(P152="",M152&lt;&gt;"Paid",O152=""),"",P152/O152)</f>
        <v/>
      </c>
      <c r="R152" s="34" t="str">
        <f aca="false">IF(Q152="","",Q152+N(H152)*0.000000001)</f>
        <v/>
      </c>
      <c r="S152" s="32" t="str">
        <f aca="false">IF(R152="","",SUMPRODUCT((I$5:I$4004=I152)*ISNUMBER(R$5:R$4004)*(R$5:R$4004&gt;R152))+1)</f>
        <v/>
      </c>
      <c r="T152" s="32" t="str">
        <f aca="false">IF(S152="","",IF(S152&lt;=Setup!$B$5,"🏆 WINNER",""))</f>
        <v/>
      </c>
      <c r="U152" s="31" t="str">
        <f aca="false">IF(S152="","",I152&amp;"|"&amp;S152)</f>
        <v/>
      </c>
    </row>
    <row r="153" customFormat="false" ht="15" hidden="false" customHeight="false" outlineLevel="0" collapsed="false">
      <c r="A153" s="24" t="n">
        <v>149</v>
      </c>
      <c r="B153" s="25" t="str">
        <f aca="false">IF(OR(C153="",I153="",G153=""),"",IFERROR(VLOOKUP(I153,Setup!$A$9:$B$11,2,0),"???")&amp;"-"&amp;G153&amp;"-"&amp;TEXT(COUNTIFS(I$5:I153,I153,G$5:G153,G153),"0000"))</f>
        <v/>
      </c>
      <c r="C153" s="26"/>
      <c r="D153" s="26"/>
      <c r="E153" s="27"/>
      <c r="F153" s="27"/>
      <c r="G153" s="24" t="str">
        <f aca="false">IF(F153="","",IF(F153&lt;=5,"A",IF(F153&lt;=8,"B",IF(F153&lt;=10,"C","D"))))</f>
        <v/>
      </c>
      <c r="H153" s="28"/>
      <c r="I153" s="27"/>
      <c r="J153" s="26"/>
      <c r="K153" s="27"/>
      <c r="L153" s="27"/>
      <c r="M153" s="27"/>
      <c r="N153" s="27"/>
      <c r="O153" s="24" t="str">
        <f aca="false">IF(G153="","",VLOOKUP(G153,Setup!$A$14:$C$17,3,0))</f>
        <v/>
      </c>
      <c r="P153" s="27"/>
      <c r="Q153" s="29" t="str">
        <f aca="false">IF(OR(P153="",M153&lt;&gt;"Paid",O153=""),"",P153/O153)</f>
        <v/>
      </c>
      <c r="R153" s="30" t="str">
        <f aca="false">IF(Q153="","",Q153+N(H153)*0.000000001)</f>
        <v/>
      </c>
      <c r="S153" s="25" t="str">
        <f aca="false">IF(R153="","",SUMPRODUCT((I$5:I$4004=I153)*ISNUMBER(R$5:R$4004)*(R$5:R$4004&gt;R153))+1)</f>
        <v/>
      </c>
      <c r="T153" s="25" t="str">
        <f aca="false">IF(S153="","",IF(S153&lt;=Setup!$B$5,"🏆 WINNER",""))</f>
        <v/>
      </c>
      <c r="U153" s="24" t="str">
        <f aca="false">IF(S153="","",I153&amp;"|"&amp;S153)</f>
        <v/>
      </c>
    </row>
    <row r="154" customFormat="false" ht="15" hidden="false" customHeight="false" outlineLevel="0" collapsed="false">
      <c r="A154" s="31" t="n">
        <v>150</v>
      </c>
      <c r="B154" s="32" t="str">
        <f aca="false">IF(OR(C154="",I154="",G154=""),"",IFERROR(VLOOKUP(I154,Setup!$A$9:$B$11,2,0),"???")&amp;"-"&amp;G154&amp;"-"&amp;TEXT(COUNTIFS(I$5:I154,I154,G$5:G154,G154),"0000"))</f>
        <v/>
      </c>
      <c r="C154" s="26"/>
      <c r="D154" s="26"/>
      <c r="E154" s="27"/>
      <c r="F154" s="27"/>
      <c r="G154" s="31" t="str">
        <f aca="false">IF(F154="","",IF(F154&lt;=5,"A",IF(F154&lt;=8,"B",IF(F154&lt;=10,"C","D"))))</f>
        <v/>
      </c>
      <c r="H154" s="28"/>
      <c r="I154" s="27"/>
      <c r="J154" s="26"/>
      <c r="K154" s="27"/>
      <c r="L154" s="27"/>
      <c r="M154" s="27"/>
      <c r="N154" s="27"/>
      <c r="O154" s="31" t="str">
        <f aca="false">IF(G154="","",VLOOKUP(G154,Setup!$A$14:$C$17,3,0))</f>
        <v/>
      </c>
      <c r="P154" s="27"/>
      <c r="Q154" s="33" t="str">
        <f aca="false">IF(OR(P154="",M154&lt;&gt;"Paid",O154=""),"",P154/O154)</f>
        <v/>
      </c>
      <c r="R154" s="34" t="str">
        <f aca="false">IF(Q154="","",Q154+N(H154)*0.000000001)</f>
        <v/>
      </c>
      <c r="S154" s="32" t="str">
        <f aca="false">IF(R154="","",SUMPRODUCT((I$5:I$4004=I154)*ISNUMBER(R$5:R$4004)*(R$5:R$4004&gt;R154))+1)</f>
        <v/>
      </c>
      <c r="T154" s="32" t="str">
        <f aca="false">IF(S154="","",IF(S154&lt;=Setup!$B$5,"🏆 WINNER",""))</f>
        <v/>
      </c>
      <c r="U154" s="31" t="str">
        <f aca="false">IF(S154="","",I154&amp;"|"&amp;S154)</f>
        <v/>
      </c>
    </row>
    <row r="155" customFormat="false" ht="15" hidden="false" customHeight="false" outlineLevel="0" collapsed="false">
      <c r="A155" s="24" t="n">
        <v>151</v>
      </c>
      <c r="B155" s="25" t="str">
        <f aca="false">IF(OR(C155="",I155="",G155=""),"",IFERROR(VLOOKUP(I155,Setup!$A$9:$B$11,2,0),"???")&amp;"-"&amp;G155&amp;"-"&amp;TEXT(COUNTIFS(I$5:I155,I155,G$5:G155,G155),"0000"))</f>
        <v/>
      </c>
      <c r="C155" s="26"/>
      <c r="D155" s="26"/>
      <c r="E155" s="27"/>
      <c r="F155" s="27"/>
      <c r="G155" s="24" t="str">
        <f aca="false">IF(F155="","",IF(F155&lt;=5,"A",IF(F155&lt;=8,"B",IF(F155&lt;=10,"C","D"))))</f>
        <v/>
      </c>
      <c r="H155" s="28"/>
      <c r="I155" s="27"/>
      <c r="J155" s="26"/>
      <c r="K155" s="27"/>
      <c r="L155" s="27"/>
      <c r="M155" s="27"/>
      <c r="N155" s="27"/>
      <c r="O155" s="24" t="str">
        <f aca="false">IF(G155="","",VLOOKUP(G155,Setup!$A$14:$C$17,3,0))</f>
        <v/>
      </c>
      <c r="P155" s="27"/>
      <c r="Q155" s="29" t="str">
        <f aca="false">IF(OR(P155="",M155&lt;&gt;"Paid",O155=""),"",P155/O155)</f>
        <v/>
      </c>
      <c r="R155" s="30" t="str">
        <f aca="false">IF(Q155="","",Q155+N(H155)*0.000000001)</f>
        <v/>
      </c>
      <c r="S155" s="25" t="str">
        <f aca="false">IF(R155="","",SUMPRODUCT((I$5:I$4004=I155)*ISNUMBER(R$5:R$4004)*(R$5:R$4004&gt;R155))+1)</f>
        <v/>
      </c>
      <c r="T155" s="25" t="str">
        <f aca="false">IF(S155="","",IF(S155&lt;=Setup!$B$5,"🏆 WINNER",""))</f>
        <v/>
      </c>
      <c r="U155" s="24" t="str">
        <f aca="false">IF(S155="","",I155&amp;"|"&amp;S155)</f>
        <v/>
      </c>
    </row>
    <row r="156" customFormat="false" ht="15" hidden="false" customHeight="false" outlineLevel="0" collapsed="false">
      <c r="A156" s="31" t="n">
        <v>152</v>
      </c>
      <c r="B156" s="32" t="str">
        <f aca="false">IF(OR(C156="",I156="",G156=""),"",IFERROR(VLOOKUP(I156,Setup!$A$9:$B$11,2,0),"???")&amp;"-"&amp;G156&amp;"-"&amp;TEXT(COUNTIFS(I$5:I156,I156,G$5:G156,G156),"0000"))</f>
        <v/>
      </c>
      <c r="C156" s="26"/>
      <c r="D156" s="26"/>
      <c r="E156" s="27"/>
      <c r="F156" s="27"/>
      <c r="G156" s="31" t="str">
        <f aca="false">IF(F156="","",IF(F156&lt;=5,"A",IF(F156&lt;=8,"B",IF(F156&lt;=10,"C","D"))))</f>
        <v/>
      </c>
      <c r="H156" s="28"/>
      <c r="I156" s="27"/>
      <c r="J156" s="26"/>
      <c r="K156" s="27"/>
      <c r="L156" s="27"/>
      <c r="M156" s="27"/>
      <c r="N156" s="27"/>
      <c r="O156" s="31" t="str">
        <f aca="false">IF(G156="","",VLOOKUP(G156,Setup!$A$14:$C$17,3,0))</f>
        <v/>
      </c>
      <c r="P156" s="27"/>
      <c r="Q156" s="33" t="str">
        <f aca="false">IF(OR(P156="",M156&lt;&gt;"Paid",O156=""),"",P156/O156)</f>
        <v/>
      </c>
      <c r="R156" s="34" t="str">
        <f aca="false">IF(Q156="","",Q156+N(H156)*0.000000001)</f>
        <v/>
      </c>
      <c r="S156" s="32" t="str">
        <f aca="false">IF(R156="","",SUMPRODUCT((I$5:I$4004=I156)*ISNUMBER(R$5:R$4004)*(R$5:R$4004&gt;R156))+1)</f>
        <v/>
      </c>
      <c r="T156" s="32" t="str">
        <f aca="false">IF(S156="","",IF(S156&lt;=Setup!$B$5,"🏆 WINNER",""))</f>
        <v/>
      </c>
      <c r="U156" s="31" t="str">
        <f aca="false">IF(S156="","",I156&amp;"|"&amp;S156)</f>
        <v/>
      </c>
    </row>
    <row r="157" customFormat="false" ht="15" hidden="false" customHeight="false" outlineLevel="0" collapsed="false">
      <c r="A157" s="24" t="n">
        <v>153</v>
      </c>
      <c r="B157" s="25" t="str">
        <f aca="false">IF(OR(C157="",I157="",G157=""),"",IFERROR(VLOOKUP(I157,Setup!$A$9:$B$11,2,0),"???")&amp;"-"&amp;G157&amp;"-"&amp;TEXT(COUNTIFS(I$5:I157,I157,G$5:G157,G157),"0000"))</f>
        <v/>
      </c>
      <c r="C157" s="26"/>
      <c r="D157" s="26"/>
      <c r="E157" s="27"/>
      <c r="F157" s="27"/>
      <c r="G157" s="24" t="str">
        <f aca="false">IF(F157="","",IF(F157&lt;=5,"A",IF(F157&lt;=8,"B",IF(F157&lt;=10,"C","D"))))</f>
        <v/>
      </c>
      <c r="H157" s="28"/>
      <c r="I157" s="27"/>
      <c r="J157" s="26"/>
      <c r="K157" s="27"/>
      <c r="L157" s="27"/>
      <c r="M157" s="27"/>
      <c r="N157" s="27"/>
      <c r="O157" s="24" t="str">
        <f aca="false">IF(G157="","",VLOOKUP(G157,Setup!$A$14:$C$17,3,0))</f>
        <v/>
      </c>
      <c r="P157" s="27"/>
      <c r="Q157" s="29" t="str">
        <f aca="false">IF(OR(P157="",M157&lt;&gt;"Paid",O157=""),"",P157/O157)</f>
        <v/>
      </c>
      <c r="R157" s="30" t="str">
        <f aca="false">IF(Q157="","",Q157+N(H157)*0.000000001)</f>
        <v/>
      </c>
      <c r="S157" s="25" t="str">
        <f aca="false">IF(R157="","",SUMPRODUCT((I$5:I$4004=I157)*ISNUMBER(R$5:R$4004)*(R$5:R$4004&gt;R157))+1)</f>
        <v/>
      </c>
      <c r="T157" s="25" t="str">
        <f aca="false">IF(S157="","",IF(S157&lt;=Setup!$B$5,"🏆 WINNER",""))</f>
        <v/>
      </c>
      <c r="U157" s="24" t="str">
        <f aca="false">IF(S157="","",I157&amp;"|"&amp;S157)</f>
        <v/>
      </c>
    </row>
    <row r="158" customFormat="false" ht="15" hidden="false" customHeight="false" outlineLevel="0" collapsed="false">
      <c r="A158" s="31" t="n">
        <v>154</v>
      </c>
      <c r="B158" s="32" t="str">
        <f aca="false">IF(OR(C158="",I158="",G158=""),"",IFERROR(VLOOKUP(I158,Setup!$A$9:$B$11,2,0),"???")&amp;"-"&amp;G158&amp;"-"&amp;TEXT(COUNTIFS(I$5:I158,I158,G$5:G158,G158),"0000"))</f>
        <v/>
      </c>
      <c r="C158" s="26"/>
      <c r="D158" s="26"/>
      <c r="E158" s="27"/>
      <c r="F158" s="27"/>
      <c r="G158" s="31" t="str">
        <f aca="false">IF(F158="","",IF(F158&lt;=5,"A",IF(F158&lt;=8,"B",IF(F158&lt;=10,"C","D"))))</f>
        <v/>
      </c>
      <c r="H158" s="28"/>
      <c r="I158" s="27"/>
      <c r="J158" s="26"/>
      <c r="K158" s="27"/>
      <c r="L158" s="27"/>
      <c r="M158" s="27"/>
      <c r="N158" s="27"/>
      <c r="O158" s="31" t="str">
        <f aca="false">IF(G158="","",VLOOKUP(G158,Setup!$A$14:$C$17,3,0))</f>
        <v/>
      </c>
      <c r="P158" s="27"/>
      <c r="Q158" s="33" t="str">
        <f aca="false">IF(OR(P158="",M158&lt;&gt;"Paid",O158=""),"",P158/O158)</f>
        <v/>
      </c>
      <c r="R158" s="34" t="str">
        <f aca="false">IF(Q158="","",Q158+N(H158)*0.000000001)</f>
        <v/>
      </c>
      <c r="S158" s="32" t="str">
        <f aca="false">IF(R158="","",SUMPRODUCT((I$5:I$4004=I158)*ISNUMBER(R$5:R$4004)*(R$5:R$4004&gt;R158))+1)</f>
        <v/>
      </c>
      <c r="T158" s="32" t="str">
        <f aca="false">IF(S158="","",IF(S158&lt;=Setup!$B$5,"🏆 WINNER",""))</f>
        <v/>
      </c>
      <c r="U158" s="31" t="str">
        <f aca="false">IF(S158="","",I158&amp;"|"&amp;S158)</f>
        <v/>
      </c>
    </row>
    <row r="159" customFormat="false" ht="15" hidden="false" customHeight="false" outlineLevel="0" collapsed="false">
      <c r="A159" s="24" t="n">
        <v>155</v>
      </c>
      <c r="B159" s="25" t="str">
        <f aca="false">IF(OR(C159="",I159="",G159=""),"",IFERROR(VLOOKUP(I159,Setup!$A$9:$B$11,2,0),"???")&amp;"-"&amp;G159&amp;"-"&amp;TEXT(COUNTIFS(I$5:I159,I159,G$5:G159,G159),"0000"))</f>
        <v/>
      </c>
      <c r="C159" s="26"/>
      <c r="D159" s="26"/>
      <c r="E159" s="27"/>
      <c r="F159" s="27"/>
      <c r="G159" s="24" t="str">
        <f aca="false">IF(F159="","",IF(F159&lt;=5,"A",IF(F159&lt;=8,"B",IF(F159&lt;=10,"C","D"))))</f>
        <v/>
      </c>
      <c r="H159" s="28"/>
      <c r="I159" s="27"/>
      <c r="J159" s="26"/>
      <c r="K159" s="27"/>
      <c r="L159" s="27"/>
      <c r="M159" s="27"/>
      <c r="N159" s="27"/>
      <c r="O159" s="24" t="str">
        <f aca="false">IF(G159="","",VLOOKUP(G159,Setup!$A$14:$C$17,3,0))</f>
        <v/>
      </c>
      <c r="P159" s="27"/>
      <c r="Q159" s="29" t="str">
        <f aca="false">IF(OR(P159="",M159&lt;&gt;"Paid",O159=""),"",P159/O159)</f>
        <v/>
      </c>
      <c r="R159" s="30" t="str">
        <f aca="false">IF(Q159="","",Q159+N(H159)*0.000000001)</f>
        <v/>
      </c>
      <c r="S159" s="25" t="str">
        <f aca="false">IF(R159="","",SUMPRODUCT((I$5:I$4004=I159)*ISNUMBER(R$5:R$4004)*(R$5:R$4004&gt;R159))+1)</f>
        <v/>
      </c>
      <c r="T159" s="25" t="str">
        <f aca="false">IF(S159="","",IF(S159&lt;=Setup!$B$5,"🏆 WINNER",""))</f>
        <v/>
      </c>
      <c r="U159" s="24" t="str">
        <f aca="false">IF(S159="","",I159&amp;"|"&amp;S159)</f>
        <v/>
      </c>
    </row>
    <row r="160" customFormat="false" ht="15" hidden="false" customHeight="false" outlineLevel="0" collapsed="false">
      <c r="A160" s="31" t="n">
        <v>156</v>
      </c>
      <c r="B160" s="32" t="str">
        <f aca="false">IF(OR(C160="",I160="",G160=""),"",IFERROR(VLOOKUP(I160,Setup!$A$9:$B$11,2,0),"???")&amp;"-"&amp;G160&amp;"-"&amp;TEXT(COUNTIFS(I$5:I160,I160,G$5:G160,G160),"0000"))</f>
        <v/>
      </c>
      <c r="C160" s="26"/>
      <c r="D160" s="26"/>
      <c r="E160" s="27"/>
      <c r="F160" s="27"/>
      <c r="G160" s="31" t="str">
        <f aca="false">IF(F160="","",IF(F160&lt;=5,"A",IF(F160&lt;=8,"B",IF(F160&lt;=10,"C","D"))))</f>
        <v/>
      </c>
      <c r="H160" s="28"/>
      <c r="I160" s="27"/>
      <c r="J160" s="26"/>
      <c r="K160" s="27"/>
      <c r="L160" s="27"/>
      <c r="M160" s="27"/>
      <c r="N160" s="27"/>
      <c r="O160" s="31" t="str">
        <f aca="false">IF(G160="","",VLOOKUP(G160,Setup!$A$14:$C$17,3,0))</f>
        <v/>
      </c>
      <c r="P160" s="27"/>
      <c r="Q160" s="33" t="str">
        <f aca="false">IF(OR(P160="",M160&lt;&gt;"Paid",O160=""),"",P160/O160)</f>
        <v/>
      </c>
      <c r="R160" s="34" t="str">
        <f aca="false">IF(Q160="","",Q160+N(H160)*0.000000001)</f>
        <v/>
      </c>
      <c r="S160" s="32" t="str">
        <f aca="false">IF(R160="","",SUMPRODUCT((I$5:I$4004=I160)*ISNUMBER(R$5:R$4004)*(R$5:R$4004&gt;R160))+1)</f>
        <v/>
      </c>
      <c r="T160" s="32" t="str">
        <f aca="false">IF(S160="","",IF(S160&lt;=Setup!$B$5,"🏆 WINNER",""))</f>
        <v/>
      </c>
      <c r="U160" s="31" t="str">
        <f aca="false">IF(S160="","",I160&amp;"|"&amp;S160)</f>
        <v/>
      </c>
    </row>
    <row r="161" customFormat="false" ht="15" hidden="false" customHeight="false" outlineLevel="0" collapsed="false">
      <c r="A161" s="24" t="n">
        <v>157</v>
      </c>
      <c r="B161" s="25" t="str">
        <f aca="false">IF(OR(C161="",I161="",G161=""),"",IFERROR(VLOOKUP(I161,Setup!$A$9:$B$11,2,0),"???")&amp;"-"&amp;G161&amp;"-"&amp;TEXT(COUNTIFS(I$5:I161,I161,G$5:G161,G161),"0000"))</f>
        <v/>
      </c>
      <c r="C161" s="26"/>
      <c r="D161" s="26"/>
      <c r="E161" s="27"/>
      <c r="F161" s="27"/>
      <c r="G161" s="24" t="str">
        <f aca="false">IF(F161="","",IF(F161&lt;=5,"A",IF(F161&lt;=8,"B",IF(F161&lt;=10,"C","D"))))</f>
        <v/>
      </c>
      <c r="H161" s="28"/>
      <c r="I161" s="27"/>
      <c r="J161" s="26"/>
      <c r="K161" s="27"/>
      <c r="L161" s="27"/>
      <c r="M161" s="27"/>
      <c r="N161" s="27"/>
      <c r="O161" s="24" t="str">
        <f aca="false">IF(G161="","",VLOOKUP(G161,Setup!$A$14:$C$17,3,0))</f>
        <v/>
      </c>
      <c r="P161" s="27"/>
      <c r="Q161" s="29" t="str">
        <f aca="false">IF(OR(P161="",M161&lt;&gt;"Paid",O161=""),"",P161/O161)</f>
        <v/>
      </c>
      <c r="R161" s="30" t="str">
        <f aca="false">IF(Q161="","",Q161+N(H161)*0.000000001)</f>
        <v/>
      </c>
      <c r="S161" s="25" t="str">
        <f aca="false">IF(R161="","",SUMPRODUCT((I$5:I$4004=I161)*ISNUMBER(R$5:R$4004)*(R$5:R$4004&gt;R161))+1)</f>
        <v/>
      </c>
      <c r="T161" s="25" t="str">
        <f aca="false">IF(S161="","",IF(S161&lt;=Setup!$B$5,"🏆 WINNER",""))</f>
        <v/>
      </c>
      <c r="U161" s="24" t="str">
        <f aca="false">IF(S161="","",I161&amp;"|"&amp;S161)</f>
        <v/>
      </c>
    </row>
    <row r="162" customFormat="false" ht="15" hidden="false" customHeight="false" outlineLevel="0" collapsed="false">
      <c r="A162" s="31" t="n">
        <v>158</v>
      </c>
      <c r="B162" s="32" t="str">
        <f aca="false">IF(OR(C162="",I162="",G162=""),"",IFERROR(VLOOKUP(I162,Setup!$A$9:$B$11,2,0),"???")&amp;"-"&amp;G162&amp;"-"&amp;TEXT(COUNTIFS(I$5:I162,I162,G$5:G162,G162),"0000"))</f>
        <v/>
      </c>
      <c r="C162" s="26"/>
      <c r="D162" s="26"/>
      <c r="E162" s="27"/>
      <c r="F162" s="27"/>
      <c r="G162" s="31" t="str">
        <f aca="false">IF(F162="","",IF(F162&lt;=5,"A",IF(F162&lt;=8,"B",IF(F162&lt;=10,"C","D"))))</f>
        <v/>
      </c>
      <c r="H162" s="28"/>
      <c r="I162" s="27"/>
      <c r="J162" s="26"/>
      <c r="K162" s="27"/>
      <c r="L162" s="27"/>
      <c r="M162" s="27"/>
      <c r="N162" s="27"/>
      <c r="O162" s="31" t="str">
        <f aca="false">IF(G162="","",VLOOKUP(G162,Setup!$A$14:$C$17,3,0))</f>
        <v/>
      </c>
      <c r="P162" s="27"/>
      <c r="Q162" s="33" t="str">
        <f aca="false">IF(OR(P162="",M162&lt;&gt;"Paid",O162=""),"",P162/O162)</f>
        <v/>
      </c>
      <c r="R162" s="34" t="str">
        <f aca="false">IF(Q162="","",Q162+N(H162)*0.000000001)</f>
        <v/>
      </c>
      <c r="S162" s="32" t="str">
        <f aca="false">IF(R162="","",SUMPRODUCT((I$5:I$4004=I162)*ISNUMBER(R$5:R$4004)*(R$5:R$4004&gt;R162))+1)</f>
        <v/>
      </c>
      <c r="T162" s="32" t="str">
        <f aca="false">IF(S162="","",IF(S162&lt;=Setup!$B$5,"🏆 WINNER",""))</f>
        <v/>
      </c>
      <c r="U162" s="31" t="str">
        <f aca="false">IF(S162="","",I162&amp;"|"&amp;S162)</f>
        <v/>
      </c>
    </row>
    <row r="163" customFormat="false" ht="15" hidden="false" customHeight="false" outlineLevel="0" collapsed="false">
      <c r="A163" s="24" t="n">
        <v>159</v>
      </c>
      <c r="B163" s="25" t="str">
        <f aca="false">IF(OR(C163="",I163="",G163=""),"",IFERROR(VLOOKUP(I163,Setup!$A$9:$B$11,2,0),"???")&amp;"-"&amp;G163&amp;"-"&amp;TEXT(COUNTIFS(I$5:I163,I163,G$5:G163,G163),"0000"))</f>
        <v/>
      </c>
      <c r="C163" s="26"/>
      <c r="D163" s="26"/>
      <c r="E163" s="27"/>
      <c r="F163" s="27"/>
      <c r="G163" s="24" t="str">
        <f aca="false">IF(F163="","",IF(F163&lt;=5,"A",IF(F163&lt;=8,"B",IF(F163&lt;=10,"C","D"))))</f>
        <v/>
      </c>
      <c r="H163" s="28"/>
      <c r="I163" s="27"/>
      <c r="J163" s="26"/>
      <c r="K163" s="27"/>
      <c r="L163" s="27"/>
      <c r="M163" s="27"/>
      <c r="N163" s="27"/>
      <c r="O163" s="24" t="str">
        <f aca="false">IF(G163="","",VLOOKUP(G163,Setup!$A$14:$C$17,3,0))</f>
        <v/>
      </c>
      <c r="P163" s="27"/>
      <c r="Q163" s="29" t="str">
        <f aca="false">IF(OR(P163="",M163&lt;&gt;"Paid",O163=""),"",P163/O163)</f>
        <v/>
      </c>
      <c r="R163" s="30" t="str">
        <f aca="false">IF(Q163="","",Q163+N(H163)*0.000000001)</f>
        <v/>
      </c>
      <c r="S163" s="25" t="str">
        <f aca="false">IF(R163="","",SUMPRODUCT((I$5:I$4004=I163)*ISNUMBER(R$5:R$4004)*(R$5:R$4004&gt;R163))+1)</f>
        <v/>
      </c>
      <c r="T163" s="25" t="str">
        <f aca="false">IF(S163="","",IF(S163&lt;=Setup!$B$5,"🏆 WINNER",""))</f>
        <v/>
      </c>
      <c r="U163" s="24" t="str">
        <f aca="false">IF(S163="","",I163&amp;"|"&amp;S163)</f>
        <v/>
      </c>
    </row>
    <row r="164" customFormat="false" ht="15" hidden="false" customHeight="false" outlineLevel="0" collapsed="false">
      <c r="A164" s="31" t="n">
        <v>160</v>
      </c>
      <c r="B164" s="32" t="str">
        <f aca="false">IF(OR(C164="",I164="",G164=""),"",IFERROR(VLOOKUP(I164,Setup!$A$9:$B$11,2,0),"???")&amp;"-"&amp;G164&amp;"-"&amp;TEXT(COUNTIFS(I$5:I164,I164,G$5:G164,G164),"0000"))</f>
        <v/>
      </c>
      <c r="C164" s="26"/>
      <c r="D164" s="26"/>
      <c r="E164" s="27"/>
      <c r="F164" s="27"/>
      <c r="G164" s="31" t="str">
        <f aca="false">IF(F164="","",IF(F164&lt;=5,"A",IF(F164&lt;=8,"B",IF(F164&lt;=10,"C","D"))))</f>
        <v/>
      </c>
      <c r="H164" s="28"/>
      <c r="I164" s="27"/>
      <c r="J164" s="26"/>
      <c r="K164" s="27"/>
      <c r="L164" s="27"/>
      <c r="M164" s="27"/>
      <c r="N164" s="27"/>
      <c r="O164" s="31" t="str">
        <f aca="false">IF(G164="","",VLOOKUP(G164,Setup!$A$14:$C$17,3,0))</f>
        <v/>
      </c>
      <c r="P164" s="27"/>
      <c r="Q164" s="33" t="str">
        <f aca="false">IF(OR(P164="",M164&lt;&gt;"Paid",O164=""),"",P164/O164)</f>
        <v/>
      </c>
      <c r="R164" s="34" t="str">
        <f aca="false">IF(Q164="","",Q164+N(H164)*0.000000001)</f>
        <v/>
      </c>
      <c r="S164" s="32" t="str">
        <f aca="false">IF(R164="","",SUMPRODUCT((I$5:I$4004=I164)*ISNUMBER(R$5:R$4004)*(R$5:R$4004&gt;R164))+1)</f>
        <v/>
      </c>
      <c r="T164" s="32" t="str">
        <f aca="false">IF(S164="","",IF(S164&lt;=Setup!$B$5,"🏆 WINNER",""))</f>
        <v/>
      </c>
      <c r="U164" s="31" t="str">
        <f aca="false">IF(S164="","",I164&amp;"|"&amp;S164)</f>
        <v/>
      </c>
    </row>
    <row r="165" customFormat="false" ht="15" hidden="false" customHeight="false" outlineLevel="0" collapsed="false">
      <c r="A165" s="24" t="n">
        <v>161</v>
      </c>
      <c r="B165" s="25" t="str">
        <f aca="false">IF(OR(C165="",I165="",G165=""),"",IFERROR(VLOOKUP(I165,Setup!$A$9:$B$11,2,0),"???")&amp;"-"&amp;G165&amp;"-"&amp;TEXT(COUNTIFS(I$5:I165,I165,G$5:G165,G165),"0000"))</f>
        <v/>
      </c>
      <c r="C165" s="26"/>
      <c r="D165" s="26"/>
      <c r="E165" s="27"/>
      <c r="F165" s="27"/>
      <c r="G165" s="24" t="str">
        <f aca="false">IF(F165="","",IF(F165&lt;=5,"A",IF(F165&lt;=8,"B",IF(F165&lt;=10,"C","D"))))</f>
        <v/>
      </c>
      <c r="H165" s="28"/>
      <c r="I165" s="27"/>
      <c r="J165" s="26"/>
      <c r="K165" s="27"/>
      <c r="L165" s="27"/>
      <c r="M165" s="27"/>
      <c r="N165" s="27"/>
      <c r="O165" s="24" t="str">
        <f aca="false">IF(G165="","",VLOOKUP(G165,Setup!$A$14:$C$17,3,0))</f>
        <v/>
      </c>
      <c r="P165" s="27"/>
      <c r="Q165" s="29" t="str">
        <f aca="false">IF(OR(P165="",M165&lt;&gt;"Paid",O165=""),"",P165/O165)</f>
        <v/>
      </c>
      <c r="R165" s="30" t="str">
        <f aca="false">IF(Q165="","",Q165+N(H165)*0.000000001)</f>
        <v/>
      </c>
      <c r="S165" s="25" t="str">
        <f aca="false">IF(R165="","",SUMPRODUCT((I$5:I$4004=I165)*ISNUMBER(R$5:R$4004)*(R$5:R$4004&gt;R165))+1)</f>
        <v/>
      </c>
      <c r="T165" s="25" t="str">
        <f aca="false">IF(S165="","",IF(S165&lt;=Setup!$B$5,"🏆 WINNER",""))</f>
        <v/>
      </c>
      <c r="U165" s="24" t="str">
        <f aca="false">IF(S165="","",I165&amp;"|"&amp;S165)</f>
        <v/>
      </c>
    </row>
    <row r="166" customFormat="false" ht="15" hidden="false" customHeight="false" outlineLevel="0" collapsed="false">
      <c r="A166" s="31" t="n">
        <v>162</v>
      </c>
      <c r="B166" s="32" t="str">
        <f aca="false">IF(OR(C166="",I166="",G166=""),"",IFERROR(VLOOKUP(I166,Setup!$A$9:$B$11,2,0),"???")&amp;"-"&amp;G166&amp;"-"&amp;TEXT(COUNTIFS(I$5:I166,I166,G$5:G166,G166),"0000"))</f>
        <v/>
      </c>
      <c r="C166" s="26"/>
      <c r="D166" s="26"/>
      <c r="E166" s="27"/>
      <c r="F166" s="27"/>
      <c r="G166" s="31" t="str">
        <f aca="false">IF(F166="","",IF(F166&lt;=5,"A",IF(F166&lt;=8,"B",IF(F166&lt;=10,"C","D"))))</f>
        <v/>
      </c>
      <c r="H166" s="28"/>
      <c r="I166" s="27"/>
      <c r="J166" s="26"/>
      <c r="K166" s="27"/>
      <c r="L166" s="27"/>
      <c r="M166" s="27"/>
      <c r="N166" s="27"/>
      <c r="O166" s="31" t="str">
        <f aca="false">IF(G166="","",VLOOKUP(G166,Setup!$A$14:$C$17,3,0))</f>
        <v/>
      </c>
      <c r="P166" s="27"/>
      <c r="Q166" s="33" t="str">
        <f aca="false">IF(OR(P166="",M166&lt;&gt;"Paid",O166=""),"",P166/O166)</f>
        <v/>
      </c>
      <c r="R166" s="34" t="str">
        <f aca="false">IF(Q166="","",Q166+N(H166)*0.000000001)</f>
        <v/>
      </c>
      <c r="S166" s="32" t="str">
        <f aca="false">IF(R166="","",SUMPRODUCT((I$5:I$4004=I166)*ISNUMBER(R$5:R$4004)*(R$5:R$4004&gt;R166))+1)</f>
        <v/>
      </c>
      <c r="T166" s="32" t="str">
        <f aca="false">IF(S166="","",IF(S166&lt;=Setup!$B$5,"🏆 WINNER",""))</f>
        <v/>
      </c>
      <c r="U166" s="31" t="str">
        <f aca="false">IF(S166="","",I166&amp;"|"&amp;S166)</f>
        <v/>
      </c>
    </row>
    <row r="167" customFormat="false" ht="15" hidden="false" customHeight="false" outlineLevel="0" collapsed="false">
      <c r="A167" s="24" t="n">
        <v>163</v>
      </c>
      <c r="B167" s="25" t="str">
        <f aca="false">IF(OR(C167="",I167="",G167=""),"",IFERROR(VLOOKUP(I167,Setup!$A$9:$B$11,2,0),"???")&amp;"-"&amp;G167&amp;"-"&amp;TEXT(COUNTIFS(I$5:I167,I167,G$5:G167,G167),"0000"))</f>
        <v/>
      </c>
      <c r="C167" s="26"/>
      <c r="D167" s="26"/>
      <c r="E167" s="27"/>
      <c r="F167" s="27"/>
      <c r="G167" s="24" t="str">
        <f aca="false">IF(F167="","",IF(F167&lt;=5,"A",IF(F167&lt;=8,"B",IF(F167&lt;=10,"C","D"))))</f>
        <v/>
      </c>
      <c r="H167" s="28"/>
      <c r="I167" s="27"/>
      <c r="J167" s="26"/>
      <c r="K167" s="27"/>
      <c r="L167" s="27"/>
      <c r="M167" s="27"/>
      <c r="N167" s="27"/>
      <c r="O167" s="24" t="str">
        <f aca="false">IF(G167="","",VLOOKUP(G167,Setup!$A$14:$C$17,3,0))</f>
        <v/>
      </c>
      <c r="P167" s="27"/>
      <c r="Q167" s="29" t="str">
        <f aca="false">IF(OR(P167="",M167&lt;&gt;"Paid",O167=""),"",P167/O167)</f>
        <v/>
      </c>
      <c r="R167" s="30" t="str">
        <f aca="false">IF(Q167="","",Q167+N(H167)*0.000000001)</f>
        <v/>
      </c>
      <c r="S167" s="25" t="str">
        <f aca="false">IF(R167="","",SUMPRODUCT((I$5:I$4004=I167)*ISNUMBER(R$5:R$4004)*(R$5:R$4004&gt;R167))+1)</f>
        <v/>
      </c>
      <c r="T167" s="25" t="str">
        <f aca="false">IF(S167="","",IF(S167&lt;=Setup!$B$5,"🏆 WINNER",""))</f>
        <v/>
      </c>
      <c r="U167" s="24" t="str">
        <f aca="false">IF(S167="","",I167&amp;"|"&amp;S167)</f>
        <v/>
      </c>
    </row>
    <row r="168" customFormat="false" ht="15" hidden="false" customHeight="false" outlineLevel="0" collapsed="false">
      <c r="A168" s="31" t="n">
        <v>164</v>
      </c>
      <c r="B168" s="32" t="str">
        <f aca="false">IF(OR(C168="",I168="",G168=""),"",IFERROR(VLOOKUP(I168,Setup!$A$9:$B$11,2,0),"???")&amp;"-"&amp;G168&amp;"-"&amp;TEXT(COUNTIFS(I$5:I168,I168,G$5:G168,G168),"0000"))</f>
        <v/>
      </c>
      <c r="C168" s="26"/>
      <c r="D168" s="26"/>
      <c r="E168" s="27"/>
      <c r="F168" s="27"/>
      <c r="G168" s="31" t="str">
        <f aca="false">IF(F168="","",IF(F168&lt;=5,"A",IF(F168&lt;=8,"B",IF(F168&lt;=10,"C","D"))))</f>
        <v/>
      </c>
      <c r="H168" s="28"/>
      <c r="I168" s="27"/>
      <c r="J168" s="26"/>
      <c r="K168" s="27"/>
      <c r="L168" s="27"/>
      <c r="M168" s="27"/>
      <c r="N168" s="27"/>
      <c r="O168" s="31" t="str">
        <f aca="false">IF(G168="","",VLOOKUP(G168,Setup!$A$14:$C$17,3,0))</f>
        <v/>
      </c>
      <c r="P168" s="27"/>
      <c r="Q168" s="33" t="str">
        <f aca="false">IF(OR(P168="",M168&lt;&gt;"Paid",O168=""),"",P168/O168)</f>
        <v/>
      </c>
      <c r="R168" s="34" t="str">
        <f aca="false">IF(Q168="","",Q168+N(H168)*0.000000001)</f>
        <v/>
      </c>
      <c r="S168" s="32" t="str">
        <f aca="false">IF(R168="","",SUMPRODUCT((I$5:I$4004=I168)*ISNUMBER(R$5:R$4004)*(R$5:R$4004&gt;R168))+1)</f>
        <v/>
      </c>
      <c r="T168" s="32" t="str">
        <f aca="false">IF(S168="","",IF(S168&lt;=Setup!$B$5,"🏆 WINNER",""))</f>
        <v/>
      </c>
      <c r="U168" s="31" t="str">
        <f aca="false">IF(S168="","",I168&amp;"|"&amp;S168)</f>
        <v/>
      </c>
    </row>
    <row r="169" customFormat="false" ht="15" hidden="false" customHeight="false" outlineLevel="0" collapsed="false">
      <c r="A169" s="24" t="n">
        <v>165</v>
      </c>
      <c r="B169" s="25" t="str">
        <f aca="false">IF(OR(C169="",I169="",G169=""),"",IFERROR(VLOOKUP(I169,Setup!$A$9:$B$11,2,0),"???")&amp;"-"&amp;G169&amp;"-"&amp;TEXT(COUNTIFS(I$5:I169,I169,G$5:G169,G169),"0000"))</f>
        <v/>
      </c>
      <c r="C169" s="26"/>
      <c r="D169" s="26"/>
      <c r="E169" s="27"/>
      <c r="F169" s="27"/>
      <c r="G169" s="24" t="str">
        <f aca="false">IF(F169="","",IF(F169&lt;=5,"A",IF(F169&lt;=8,"B",IF(F169&lt;=10,"C","D"))))</f>
        <v/>
      </c>
      <c r="H169" s="28"/>
      <c r="I169" s="27"/>
      <c r="J169" s="26"/>
      <c r="K169" s="27"/>
      <c r="L169" s="27"/>
      <c r="M169" s="27"/>
      <c r="N169" s="27"/>
      <c r="O169" s="24" t="str">
        <f aca="false">IF(G169="","",VLOOKUP(G169,Setup!$A$14:$C$17,3,0))</f>
        <v/>
      </c>
      <c r="P169" s="27"/>
      <c r="Q169" s="29" t="str">
        <f aca="false">IF(OR(P169="",M169&lt;&gt;"Paid",O169=""),"",P169/O169)</f>
        <v/>
      </c>
      <c r="R169" s="30" t="str">
        <f aca="false">IF(Q169="","",Q169+N(H169)*0.000000001)</f>
        <v/>
      </c>
      <c r="S169" s="25" t="str">
        <f aca="false">IF(R169="","",SUMPRODUCT((I$5:I$4004=I169)*ISNUMBER(R$5:R$4004)*(R$5:R$4004&gt;R169))+1)</f>
        <v/>
      </c>
      <c r="T169" s="25" t="str">
        <f aca="false">IF(S169="","",IF(S169&lt;=Setup!$B$5,"🏆 WINNER",""))</f>
        <v/>
      </c>
      <c r="U169" s="24" t="str">
        <f aca="false">IF(S169="","",I169&amp;"|"&amp;S169)</f>
        <v/>
      </c>
    </row>
    <row r="170" customFormat="false" ht="15" hidden="false" customHeight="false" outlineLevel="0" collapsed="false">
      <c r="A170" s="31" t="n">
        <v>166</v>
      </c>
      <c r="B170" s="32" t="str">
        <f aca="false">IF(OR(C170="",I170="",G170=""),"",IFERROR(VLOOKUP(I170,Setup!$A$9:$B$11,2,0),"???")&amp;"-"&amp;G170&amp;"-"&amp;TEXT(COUNTIFS(I$5:I170,I170,G$5:G170,G170),"0000"))</f>
        <v/>
      </c>
      <c r="C170" s="26"/>
      <c r="D170" s="26"/>
      <c r="E170" s="27"/>
      <c r="F170" s="27"/>
      <c r="G170" s="31" t="str">
        <f aca="false">IF(F170="","",IF(F170&lt;=5,"A",IF(F170&lt;=8,"B",IF(F170&lt;=10,"C","D"))))</f>
        <v/>
      </c>
      <c r="H170" s="28"/>
      <c r="I170" s="27"/>
      <c r="J170" s="26"/>
      <c r="K170" s="27"/>
      <c r="L170" s="27"/>
      <c r="M170" s="27"/>
      <c r="N170" s="27"/>
      <c r="O170" s="31" t="str">
        <f aca="false">IF(G170="","",VLOOKUP(G170,Setup!$A$14:$C$17,3,0))</f>
        <v/>
      </c>
      <c r="P170" s="27"/>
      <c r="Q170" s="33" t="str">
        <f aca="false">IF(OR(P170="",M170&lt;&gt;"Paid",O170=""),"",P170/O170)</f>
        <v/>
      </c>
      <c r="R170" s="34" t="str">
        <f aca="false">IF(Q170="","",Q170+N(H170)*0.000000001)</f>
        <v/>
      </c>
      <c r="S170" s="32" t="str">
        <f aca="false">IF(R170="","",SUMPRODUCT((I$5:I$4004=I170)*ISNUMBER(R$5:R$4004)*(R$5:R$4004&gt;R170))+1)</f>
        <v/>
      </c>
      <c r="T170" s="32" t="str">
        <f aca="false">IF(S170="","",IF(S170&lt;=Setup!$B$5,"🏆 WINNER",""))</f>
        <v/>
      </c>
      <c r="U170" s="31" t="str">
        <f aca="false">IF(S170="","",I170&amp;"|"&amp;S170)</f>
        <v/>
      </c>
    </row>
    <row r="171" customFormat="false" ht="15" hidden="false" customHeight="false" outlineLevel="0" collapsed="false">
      <c r="A171" s="24" t="n">
        <v>167</v>
      </c>
      <c r="B171" s="25" t="str">
        <f aca="false">IF(OR(C171="",I171="",G171=""),"",IFERROR(VLOOKUP(I171,Setup!$A$9:$B$11,2,0),"???")&amp;"-"&amp;G171&amp;"-"&amp;TEXT(COUNTIFS(I$5:I171,I171,G$5:G171,G171),"0000"))</f>
        <v/>
      </c>
      <c r="C171" s="26"/>
      <c r="D171" s="26"/>
      <c r="E171" s="27"/>
      <c r="F171" s="27"/>
      <c r="G171" s="24" t="str">
        <f aca="false">IF(F171="","",IF(F171&lt;=5,"A",IF(F171&lt;=8,"B",IF(F171&lt;=10,"C","D"))))</f>
        <v/>
      </c>
      <c r="H171" s="28"/>
      <c r="I171" s="27"/>
      <c r="J171" s="26"/>
      <c r="K171" s="27"/>
      <c r="L171" s="27"/>
      <c r="M171" s="27"/>
      <c r="N171" s="27"/>
      <c r="O171" s="24" t="str">
        <f aca="false">IF(G171="","",VLOOKUP(G171,Setup!$A$14:$C$17,3,0))</f>
        <v/>
      </c>
      <c r="P171" s="27"/>
      <c r="Q171" s="29" t="str">
        <f aca="false">IF(OR(P171="",M171&lt;&gt;"Paid",O171=""),"",P171/O171)</f>
        <v/>
      </c>
      <c r="R171" s="30" t="str">
        <f aca="false">IF(Q171="","",Q171+N(H171)*0.000000001)</f>
        <v/>
      </c>
      <c r="S171" s="25" t="str">
        <f aca="false">IF(R171="","",SUMPRODUCT((I$5:I$4004=I171)*ISNUMBER(R$5:R$4004)*(R$5:R$4004&gt;R171))+1)</f>
        <v/>
      </c>
      <c r="T171" s="25" t="str">
        <f aca="false">IF(S171="","",IF(S171&lt;=Setup!$B$5,"🏆 WINNER",""))</f>
        <v/>
      </c>
      <c r="U171" s="24" t="str">
        <f aca="false">IF(S171="","",I171&amp;"|"&amp;S171)</f>
        <v/>
      </c>
    </row>
    <row r="172" customFormat="false" ht="15" hidden="false" customHeight="false" outlineLevel="0" collapsed="false">
      <c r="A172" s="31" t="n">
        <v>168</v>
      </c>
      <c r="B172" s="32" t="str">
        <f aca="false">IF(OR(C172="",I172="",G172=""),"",IFERROR(VLOOKUP(I172,Setup!$A$9:$B$11,2,0),"???")&amp;"-"&amp;G172&amp;"-"&amp;TEXT(COUNTIFS(I$5:I172,I172,G$5:G172,G172),"0000"))</f>
        <v/>
      </c>
      <c r="C172" s="26"/>
      <c r="D172" s="26"/>
      <c r="E172" s="27"/>
      <c r="F172" s="27"/>
      <c r="G172" s="31" t="str">
        <f aca="false">IF(F172="","",IF(F172&lt;=5,"A",IF(F172&lt;=8,"B",IF(F172&lt;=10,"C","D"))))</f>
        <v/>
      </c>
      <c r="H172" s="28"/>
      <c r="I172" s="27"/>
      <c r="J172" s="26"/>
      <c r="K172" s="27"/>
      <c r="L172" s="27"/>
      <c r="M172" s="27"/>
      <c r="N172" s="27"/>
      <c r="O172" s="31" t="str">
        <f aca="false">IF(G172="","",VLOOKUP(G172,Setup!$A$14:$C$17,3,0))</f>
        <v/>
      </c>
      <c r="P172" s="27"/>
      <c r="Q172" s="33" t="str">
        <f aca="false">IF(OR(P172="",M172&lt;&gt;"Paid",O172=""),"",P172/O172)</f>
        <v/>
      </c>
      <c r="R172" s="34" t="str">
        <f aca="false">IF(Q172="","",Q172+N(H172)*0.000000001)</f>
        <v/>
      </c>
      <c r="S172" s="32" t="str">
        <f aca="false">IF(R172="","",SUMPRODUCT((I$5:I$4004=I172)*ISNUMBER(R$5:R$4004)*(R$5:R$4004&gt;R172))+1)</f>
        <v/>
      </c>
      <c r="T172" s="32" t="str">
        <f aca="false">IF(S172="","",IF(S172&lt;=Setup!$B$5,"🏆 WINNER",""))</f>
        <v/>
      </c>
      <c r="U172" s="31" t="str">
        <f aca="false">IF(S172="","",I172&amp;"|"&amp;S172)</f>
        <v/>
      </c>
    </row>
    <row r="173" customFormat="false" ht="15" hidden="false" customHeight="false" outlineLevel="0" collapsed="false">
      <c r="A173" s="24" t="n">
        <v>169</v>
      </c>
      <c r="B173" s="25" t="str">
        <f aca="false">IF(OR(C173="",I173="",G173=""),"",IFERROR(VLOOKUP(I173,Setup!$A$9:$B$11,2,0),"???")&amp;"-"&amp;G173&amp;"-"&amp;TEXT(COUNTIFS(I$5:I173,I173,G$5:G173,G173),"0000"))</f>
        <v/>
      </c>
      <c r="C173" s="26"/>
      <c r="D173" s="26"/>
      <c r="E173" s="27"/>
      <c r="F173" s="27"/>
      <c r="G173" s="24" t="str">
        <f aca="false">IF(F173="","",IF(F173&lt;=5,"A",IF(F173&lt;=8,"B",IF(F173&lt;=10,"C","D"))))</f>
        <v/>
      </c>
      <c r="H173" s="28"/>
      <c r="I173" s="27"/>
      <c r="J173" s="26"/>
      <c r="K173" s="27"/>
      <c r="L173" s="27"/>
      <c r="M173" s="27"/>
      <c r="N173" s="27"/>
      <c r="O173" s="24" t="str">
        <f aca="false">IF(G173="","",VLOOKUP(G173,Setup!$A$14:$C$17,3,0))</f>
        <v/>
      </c>
      <c r="P173" s="27"/>
      <c r="Q173" s="29" t="str">
        <f aca="false">IF(OR(P173="",M173&lt;&gt;"Paid",O173=""),"",P173/O173)</f>
        <v/>
      </c>
      <c r="R173" s="30" t="str">
        <f aca="false">IF(Q173="","",Q173+N(H173)*0.000000001)</f>
        <v/>
      </c>
      <c r="S173" s="25" t="str">
        <f aca="false">IF(R173="","",SUMPRODUCT((I$5:I$4004=I173)*ISNUMBER(R$5:R$4004)*(R$5:R$4004&gt;R173))+1)</f>
        <v/>
      </c>
      <c r="T173" s="25" t="str">
        <f aca="false">IF(S173="","",IF(S173&lt;=Setup!$B$5,"🏆 WINNER",""))</f>
        <v/>
      </c>
      <c r="U173" s="24" t="str">
        <f aca="false">IF(S173="","",I173&amp;"|"&amp;S173)</f>
        <v/>
      </c>
    </row>
    <row r="174" customFormat="false" ht="15" hidden="false" customHeight="false" outlineLevel="0" collapsed="false">
      <c r="A174" s="31" t="n">
        <v>170</v>
      </c>
      <c r="B174" s="32" t="str">
        <f aca="false">IF(OR(C174="",I174="",G174=""),"",IFERROR(VLOOKUP(I174,Setup!$A$9:$B$11,2,0),"???")&amp;"-"&amp;G174&amp;"-"&amp;TEXT(COUNTIFS(I$5:I174,I174,G$5:G174,G174),"0000"))</f>
        <v/>
      </c>
      <c r="C174" s="26"/>
      <c r="D174" s="26"/>
      <c r="E174" s="27"/>
      <c r="F174" s="27"/>
      <c r="G174" s="31" t="str">
        <f aca="false">IF(F174="","",IF(F174&lt;=5,"A",IF(F174&lt;=8,"B",IF(F174&lt;=10,"C","D"))))</f>
        <v/>
      </c>
      <c r="H174" s="28"/>
      <c r="I174" s="27"/>
      <c r="J174" s="26"/>
      <c r="K174" s="27"/>
      <c r="L174" s="27"/>
      <c r="M174" s="27"/>
      <c r="N174" s="27"/>
      <c r="O174" s="31" t="str">
        <f aca="false">IF(G174="","",VLOOKUP(G174,Setup!$A$14:$C$17,3,0))</f>
        <v/>
      </c>
      <c r="P174" s="27"/>
      <c r="Q174" s="33" t="str">
        <f aca="false">IF(OR(P174="",M174&lt;&gt;"Paid",O174=""),"",P174/O174)</f>
        <v/>
      </c>
      <c r="R174" s="34" t="str">
        <f aca="false">IF(Q174="","",Q174+N(H174)*0.000000001)</f>
        <v/>
      </c>
      <c r="S174" s="32" t="str">
        <f aca="false">IF(R174="","",SUMPRODUCT((I$5:I$4004=I174)*ISNUMBER(R$5:R$4004)*(R$5:R$4004&gt;R174))+1)</f>
        <v/>
      </c>
      <c r="T174" s="32" t="str">
        <f aca="false">IF(S174="","",IF(S174&lt;=Setup!$B$5,"🏆 WINNER",""))</f>
        <v/>
      </c>
      <c r="U174" s="31" t="str">
        <f aca="false">IF(S174="","",I174&amp;"|"&amp;S174)</f>
        <v/>
      </c>
    </row>
    <row r="175" customFormat="false" ht="15" hidden="false" customHeight="false" outlineLevel="0" collapsed="false">
      <c r="A175" s="24" t="n">
        <v>171</v>
      </c>
      <c r="B175" s="25" t="str">
        <f aca="false">IF(OR(C175="",I175="",G175=""),"",IFERROR(VLOOKUP(I175,Setup!$A$9:$B$11,2,0),"???")&amp;"-"&amp;G175&amp;"-"&amp;TEXT(COUNTIFS(I$5:I175,I175,G$5:G175,G175),"0000"))</f>
        <v/>
      </c>
      <c r="C175" s="26"/>
      <c r="D175" s="26"/>
      <c r="E175" s="27"/>
      <c r="F175" s="27"/>
      <c r="G175" s="24" t="str">
        <f aca="false">IF(F175="","",IF(F175&lt;=5,"A",IF(F175&lt;=8,"B",IF(F175&lt;=10,"C","D"))))</f>
        <v/>
      </c>
      <c r="H175" s="28"/>
      <c r="I175" s="27"/>
      <c r="J175" s="26"/>
      <c r="K175" s="27"/>
      <c r="L175" s="27"/>
      <c r="M175" s="27"/>
      <c r="N175" s="27"/>
      <c r="O175" s="24" t="str">
        <f aca="false">IF(G175="","",VLOOKUP(G175,Setup!$A$14:$C$17,3,0))</f>
        <v/>
      </c>
      <c r="P175" s="27"/>
      <c r="Q175" s="29" t="str">
        <f aca="false">IF(OR(P175="",M175&lt;&gt;"Paid",O175=""),"",P175/O175)</f>
        <v/>
      </c>
      <c r="R175" s="30" t="str">
        <f aca="false">IF(Q175="","",Q175+N(H175)*0.000000001)</f>
        <v/>
      </c>
      <c r="S175" s="25" t="str">
        <f aca="false">IF(R175="","",SUMPRODUCT((I$5:I$4004=I175)*ISNUMBER(R$5:R$4004)*(R$5:R$4004&gt;R175))+1)</f>
        <v/>
      </c>
      <c r="T175" s="25" t="str">
        <f aca="false">IF(S175="","",IF(S175&lt;=Setup!$B$5,"🏆 WINNER",""))</f>
        <v/>
      </c>
      <c r="U175" s="24" t="str">
        <f aca="false">IF(S175="","",I175&amp;"|"&amp;S175)</f>
        <v/>
      </c>
    </row>
    <row r="176" customFormat="false" ht="15" hidden="false" customHeight="false" outlineLevel="0" collapsed="false">
      <c r="A176" s="31" t="n">
        <v>172</v>
      </c>
      <c r="B176" s="32" t="str">
        <f aca="false">IF(OR(C176="",I176="",G176=""),"",IFERROR(VLOOKUP(I176,Setup!$A$9:$B$11,2,0),"???")&amp;"-"&amp;G176&amp;"-"&amp;TEXT(COUNTIFS(I$5:I176,I176,G$5:G176,G176),"0000"))</f>
        <v/>
      </c>
      <c r="C176" s="26"/>
      <c r="D176" s="26"/>
      <c r="E176" s="27"/>
      <c r="F176" s="27"/>
      <c r="G176" s="31" t="str">
        <f aca="false">IF(F176="","",IF(F176&lt;=5,"A",IF(F176&lt;=8,"B",IF(F176&lt;=10,"C","D"))))</f>
        <v/>
      </c>
      <c r="H176" s="28"/>
      <c r="I176" s="27"/>
      <c r="J176" s="26"/>
      <c r="K176" s="27"/>
      <c r="L176" s="27"/>
      <c r="M176" s="27"/>
      <c r="N176" s="27"/>
      <c r="O176" s="31" t="str">
        <f aca="false">IF(G176="","",VLOOKUP(G176,Setup!$A$14:$C$17,3,0))</f>
        <v/>
      </c>
      <c r="P176" s="27"/>
      <c r="Q176" s="33" t="str">
        <f aca="false">IF(OR(P176="",M176&lt;&gt;"Paid",O176=""),"",P176/O176)</f>
        <v/>
      </c>
      <c r="R176" s="34" t="str">
        <f aca="false">IF(Q176="","",Q176+N(H176)*0.000000001)</f>
        <v/>
      </c>
      <c r="S176" s="32" t="str">
        <f aca="false">IF(R176="","",SUMPRODUCT((I$5:I$4004=I176)*ISNUMBER(R$5:R$4004)*(R$5:R$4004&gt;R176))+1)</f>
        <v/>
      </c>
      <c r="T176" s="32" t="str">
        <f aca="false">IF(S176="","",IF(S176&lt;=Setup!$B$5,"🏆 WINNER",""))</f>
        <v/>
      </c>
      <c r="U176" s="31" t="str">
        <f aca="false">IF(S176="","",I176&amp;"|"&amp;S176)</f>
        <v/>
      </c>
    </row>
    <row r="177" customFormat="false" ht="15" hidden="false" customHeight="false" outlineLevel="0" collapsed="false">
      <c r="A177" s="24" t="n">
        <v>173</v>
      </c>
      <c r="B177" s="25" t="str">
        <f aca="false">IF(OR(C177="",I177="",G177=""),"",IFERROR(VLOOKUP(I177,Setup!$A$9:$B$11,2,0),"???")&amp;"-"&amp;G177&amp;"-"&amp;TEXT(COUNTIFS(I$5:I177,I177,G$5:G177,G177),"0000"))</f>
        <v/>
      </c>
      <c r="C177" s="26"/>
      <c r="D177" s="26"/>
      <c r="E177" s="27"/>
      <c r="F177" s="27"/>
      <c r="G177" s="24" t="str">
        <f aca="false">IF(F177="","",IF(F177&lt;=5,"A",IF(F177&lt;=8,"B",IF(F177&lt;=10,"C","D"))))</f>
        <v/>
      </c>
      <c r="H177" s="28"/>
      <c r="I177" s="27"/>
      <c r="J177" s="26"/>
      <c r="K177" s="27"/>
      <c r="L177" s="27"/>
      <c r="M177" s="27"/>
      <c r="N177" s="27"/>
      <c r="O177" s="24" t="str">
        <f aca="false">IF(G177="","",VLOOKUP(G177,Setup!$A$14:$C$17,3,0))</f>
        <v/>
      </c>
      <c r="P177" s="27"/>
      <c r="Q177" s="29" t="str">
        <f aca="false">IF(OR(P177="",M177&lt;&gt;"Paid",O177=""),"",P177/O177)</f>
        <v/>
      </c>
      <c r="R177" s="30" t="str">
        <f aca="false">IF(Q177="","",Q177+N(H177)*0.000000001)</f>
        <v/>
      </c>
      <c r="S177" s="25" t="str">
        <f aca="false">IF(R177="","",SUMPRODUCT((I$5:I$4004=I177)*ISNUMBER(R$5:R$4004)*(R$5:R$4004&gt;R177))+1)</f>
        <v/>
      </c>
      <c r="T177" s="25" t="str">
        <f aca="false">IF(S177="","",IF(S177&lt;=Setup!$B$5,"🏆 WINNER",""))</f>
        <v/>
      </c>
      <c r="U177" s="24" t="str">
        <f aca="false">IF(S177="","",I177&amp;"|"&amp;S177)</f>
        <v/>
      </c>
    </row>
    <row r="178" customFormat="false" ht="15" hidden="false" customHeight="false" outlineLevel="0" collapsed="false">
      <c r="A178" s="31" t="n">
        <v>174</v>
      </c>
      <c r="B178" s="32" t="str">
        <f aca="false">IF(OR(C178="",I178="",G178=""),"",IFERROR(VLOOKUP(I178,Setup!$A$9:$B$11,2,0),"???")&amp;"-"&amp;G178&amp;"-"&amp;TEXT(COUNTIFS(I$5:I178,I178,G$5:G178,G178),"0000"))</f>
        <v/>
      </c>
      <c r="C178" s="26"/>
      <c r="D178" s="26"/>
      <c r="E178" s="27"/>
      <c r="F178" s="27"/>
      <c r="G178" s="31" t="str">
        <f aca="false">IF(F178="","",IF(F178&lt;=5,"A",IF(F178&lt;=8,"B",IF(F178&lt;=10,"C","D"))))</f>
        <v/>
      </c>
      <c r="H178" s="28"/>
      <c r="I178" s="27"/>
      <c r="J178" s="26"/>
      <c r="K178" s="27"/>
      <c r="L178" s="27"/>
      <c r="M178" s="27"/>
      <c r="N178" s="27"/>
      <c r="O178" s="31" t="str">
        <f aca="false">IF(G178="","",VLOOKUP(G178,Setup!$A$14:$C$17,3,0))</f>
        <v/>
      </c>
      <c r="P178" s="27"/>
      <c r="Q178" s="33" t="str">
        <f aca="false">IF(OR(P178="",M178&lt;&gt;"Paid",O178=""),"",P178/O178)</f>
        <v/>
      </c>
      <c r="R178" s="34" t="str">
        <f aca="false">IF(Q178="","",Q178+N(H178)*0.000000001)</f>
        <v/>
      </c>
      <c r="S178" s="32" t="str">
        <f aca="false">IF(R178="","",SUMPRODUCT((I$5:I$4004=I178)*ISNUMBER(R$5:R$4004)*(R$5:R$4004&gt;R178))+1)</f>
        <v/>
      </c>
      <c r="T178" s="32" t="str">
        <f aca="false">IF(S178="","",IF(S178&lt;=Setup!$B$5,"🏆 WINNER",""))</f>
        <v/>
      </c>
      <c r="U178" s="31" t="str">
        <f aca="false">IF(S178="","",I178&amp;"|"&amp;S178)</f>
        <v/>
      </c>
    </row>
    <row r="179" customFormat="false" ht="15" hidden="false" customHeight="false" outlineLevel="0" collapsed="false">
      <c r="A179" s="24" t="n">
        <v>175</v>
      </c>
      <c r="B179" s="25" t="str">
        <f aca="false">IF(OR(C179="",I179="",G179=""),"",IFERROR(VLOOKUP(I179,Setup!$A$9:$B$11,2,0),"???")&amp;"-"&amp;G179&amp;"-"&amp;TEXT(COUNTIFS(I$5:I179,I179,G$5:G179,G179),"0000"))</f>
        <v/>
      </c>
      <c r="C179" s="26"/>
      <c r="D179" s="26"/>
      <c r="E179" s="27"/>
      <c r="F179" s="27"/>
      <c r="G179" s="24" t="str">
        <f aca="false">IF(F179="","",IF(F179&lt;=5,"A",IF(F179&lt;=8,"B",IF(F179&lt;=10,"C","D"))))</f>
        <v/>
      </c>
      <c r="H179" s="28"/>
      <c r="I179" s="27"/>
      <c r="J179" s="26"/>
      <c r="K179" s="27"/>
      <c r="L179" s="27"/>
      <c r="M179" s="27"/>
      <c r="N179" s="27"/>
      <c r="O179" s="24" t="str">
        <f aca="false">IF(G179="","",VLOOKUP(G179,Setup!$A$14:$C$17,3,0))</f>
        <v/>
      </c>
      <c r="P179" s="27"/>
      <c r="Q179" s="29" t="str">
        <f aca="false">IF(OR(P179="",M179&lt;&gt;"Paid",O179=""),"",P179/O179)</f>
        <v/>
      </c>
      <c r="R179" s="30" t="str">
        <f aca="false">IF(Q179="","",Q179+N(H179)*0.000000001)</f>
        <v/>
      </c>
      <c r="S179" s="25" t="str">
        <f aca="false">IF(R179="","",SUMPRODUCT((I$5:I$4004=I179)*ISNUMBER(R$5:R$4004)*(R$5:R$4004&gt;R179))+1)</f>
        <v/>
      </c>
      <c r="T179" s="25" t="str">
        <f aca="false">IF(S179="","",IF(S179&lt;=Setup!$B$5,"🏆 WINNER",""))</f>
        <v/>
      </c>
      <c r="U179" s="24" t="str">
        <f aca="false">IF(S179="","",I179&amp;"|"&amp;S179)</f>
        <v/>
      </c>
    </row>
    <row r="180" customFormat="false" ht="15" hidden="false" customHeight="false" outlineLevel="0" collapsed="false">
      <c r="A180" s="31" t="n">
        <v>176</v>
      </c>
      <c r="B180" s="32" t="str">
        <f aca="false">IF(OR(C180="",I180="",G180=""),"",IFERROR(VLOOKUP(I180,Setup!$A$9:$B$11,2,0),"???")&amp;"-"&amp;G180&amp;"-"&amp;TEXT(COUNTIFS(I$5:I180,I180,G$5:G180,G180),"0000"))</f>
        <v/>
      </c>
      <c r="C180" s="26"/>
      <c r="D180" s="26"/>
      <c r="E180" s="27"/>
      <c r="F180" s="27"/>
      <c r="G180" s="31" t="str">
        <f aca="false">IF(F180="","",IF(F180&lt;=5,"A",IF(F180&lt;=8,"B",IF(F180&lt;=10,"C","D"))))</f>
        <v/>
      </c>
      <c r="H180" s="28"/>
      <c r="I180" s="27"/>
      <c r="J180" s="26"/>
      <c r="K180" s="27"/>
      <c r="L180" s="27"/>
      <c r="M180" s="27"/>
      <c r="N180" s="27"/>
      <c r="O180" s="31" t="str">
        <f aca="false">IF(G180="","",VLOOKUP(G180,Setup!$A$14:$C$17,3,0))</f>
        <v/>
      </c>
      <c r="P180" s="27"/>
      <c r="Q180" s="33" t="str">
        <f aca="false">IF(OR(P180="",M180&lt;&gt;"Paid",O180=""),"",P180/O180)</f>
        <v/>
      </c>
      <c r="R180" s="34" t="str">
        <f aca="false">IF(Q180="","",Q180+N(H180)*0.000000001)</f>
        <v/>
      </c>
      <c r="S180" s="32" t="str">
        <f aca="false">IF(R180="","",SUMPRODUCT((I$5:I$4004=I180)*ISNUMBER(R$5:R$4004)*(R$5:R$4004&gt;R180))+1)</f>
        <v/>
      </c>
      <c r="T180" s="32" t="str">
        <f aca="false">IF(S180="","",IF(S180&lt;=Setup!$B$5,"🏆 WINNER",""))</f>
        <v/>
      </c>
      <c r="U180" s="31" t="str">
        <f aca="false">IF(S180="","",I180&amp;"|"&amp;S180)</f>
        <v/>
      </c>
    </row>
    <row r="181" customFormat="false" ht="15" hidden="false" customHeight="false" outlineLevel="0" collapsed="false">
      <c r="A181" s="24" t="n">
        <v>177</v>
      </c>
      <c r="B181" s="25" t="str">
        <f aca="false">IF(OR(C181="",I181="",G181=""),"",IFERROR(VLOOKUP(I181,Setup!$A$9:$B$11,2,0),"???")&amp;"-"&amp;G181&amp;"-"&amp;TEXT(COUNTIFS(I$5:I181,I181,G$5:G181,G181),"0000"))</f>
        <v/>
      </c>
      <c r="C181" s="26"/>
      <c r="D181" s="26"/>
      <c r="E181" s="27"/>
      <c r="F181" s="27"/>
      <c r="G181" s="24" t="str">
        <f aca="false">IF(F181="","",IF(F181&lt;=5,"A",IF(F181&lt;=8,"B",IF(F181&lt;=10,"C","D"))))</f>
        <v/>
      </c>
      <c r="H181" s="28"/>
      <c r="I181" s="27"/>
      <c r="J181" s="26"/>
      <c r="K181" s="27"/>
      <c r="L181" s="27"/>
      <c r="M181" s="27"/>
      <c r="N181" s="27"/>
      <c r="O181" s="24" t="str">
        <f aca="false">IF(G181="","",VLOOKUP(G181,Setup!$A$14:$C$17,3,0))</f>
        <v/>
      </c>
      <c r="P181" s="27"/>
      <c r="Q181" s="29" t="str">
        <f aca="false">IF(OR(P181="",M181&lt;&gt;"Paid",O181=""),"",P181/O181)</f>
        <v/>
      </c>
      <c r="R181" s="30" t="str">
        <f aca="false">IF(Q181="","",Q181+N(H181)*0.000000001)</f>
        <v/>
      </c>
      <c r="S181" s="25" t="str">
        <f aca="false">IF(R181="","",SUMPRODUCT((I$5:I$4004=I181)*ISNUMBER(R$5:R$4004)*(R$5:R$4004&gt;R181))+1)</f>
        <v/>
      </c>
      <c r="T181" s="25" t="str">
        <f aca="false">IF(S181="","",IF(S181&lt;=Setup!$B$5,"🏆 WINNER",""))</f>
        <v/>
      </c>
      <c r="U181" s="24" t="str">
        <f aca="false">IF(S181="","",I181&amp;"|"&amp;S181)</f>
        <v/>
      </c>
    </row>
    <row r="182" customFormat="false" ht="15" hidden="false" customHeight="false" outlineLevel="0" collapsed="false">
      <c r="A182" s="31" t="n">
        <v>178</v>
      </c>
      <c r="B182" s="32" t="str">
        <f aca="false">IF(OR(C182="",I182="",G182=""),"",IFERROR(VLOOKUP(I182,Setup!$A$9:$B$11,2,0),"???")&amp;"-"&amp;G182&amp;"-"&amp;TEXT(COUNTIFS(I$5:I182,I182,G$5:G182,G182),"0000"))</f>
        <v/>
      </c>
      <c r="C182" s="26"/>
      <c r="D182" s="26"/>
      <c r="E182" s="27"/>
      <c r="F182" s="27"/>
      <c r="G182" s="31" t="str">
        <f aca="false">IF(F182="","",IF(F182&lt;=5,"A",IF(F182&lt;=8,"B",IF(F182&lt;=10,"C","D"))))</f>
        <v/>
      </c>
      <c r="H182" s="28"/>
      <c r="I182" s="27"/>
      <c r="J182" s="26"/>
      <c r="K182" s="27"/>
      <c r="L182" s="27"/>
      <c r="M182" s="27"/>
      <c r="N182" s="27"/>
      <c r="O182" s="31" t="str">
        <f aca="false">IF(G182="","",VLOOKUP(G182,Setup!$A$14:$C$17,3,0))</f>
        <v/>
      </c>
      <c r="P182" s="27"/>
      <c r="Q182" s="33" t="str">
        <f aca="false">IF(OR(P182="",M182&lt;&gt;"Paid",O182=""),"",P182/O182)</f>
        <v/>
      </c>
      <c r="R182" s="34" t="str">
        <f aca="false">IF(Q182="","",Q182+N(H182)*0.000000001)</f>
        <v/>
      </c>
      <c r="S182" s="32" t="str">
        <f aca="false">IF(R182="","",SUMPRODUCT((I$5:I$4004=I182)*ISNUMBER(R$5:R$4004)*(R$5:R$4004&gt;R182))+1)</f>
        <v/>
      </c>
      <c r="T182" s="32" t="str">
        <f aca="false">IF(S182="","",IF(S182&lt;=Setup!$B$5,"🏆 WINNER",""))</f>
        <v/>
      </c>
      <c r="U182" s="31" t="str">
        <f aca="false">IF(S182="","",I182&amp;"|"&amp;S182)</f>
        <v/>
      </c>
    </row>
    <row r="183" customFormat="false" ht="15" hidden="false" customHeight="false" outlineLevel="0" collapsed="false">
      <c r="A183" s="24" t="n">
        <v>179</v>
      </c>
      <c r="B183" s="25" t="str">
        <f aca="false">IF(OR(C183="",I183="",G183=""),"",IFERROR(VLOOKUP(I183,Setup!$A$9:$B$11,2,0),"???")&amp;"-"&amp;G183&amp;"-"&amp;TEXT(COUNTIFS(I$5:I183,I183,G$5:G183,G183),"0000"))</f>
        <v/>
      </c>
      <c r="C183" s="26"/>
      <c r="D183" s="26"/>
      <c r="E183" s="27"/>
      <c r="F183" s="27"/>
      <c r="G183" s="24" t="str">
        <f aca="false">IF(F183="","",IF(F183&lt;=5,"A",IF(F183&lt;=8,"B",IF(F183&lt;=10,"C","D"))))</f>
        <v/>
      </c>
      <c r="H183" s="28"/>
      <c r="I183" s="27"/>
      <c r="J183" s="26"/>
      <c r="K183" s="27"/>
      <c r="L183" s="27"/>
      <c r="M183" s="27"/>
      <c r="N183" s="27"/>
      <c r="O183" s="24" t="str">
        <f aca="false">IF(G183="","",VLOOKUP(G183,Setup!$A$14:$C$17,3,0))</f>
        <v/>
      </c>
      <c r="P183" s="27"/>
      <c r="Q183" s="29" t="str">
        <f aca="false">IF(OR(P183="",M183&lt;&gt;"Paid",O183=""),"",P183/O183)</f>
        <v/>
      </c>
      <c r="R183" s="30" t="str">
        <f aca="false">IF(Q183="","",Q183+N(H183)*0.000000001)</f>
        <v/>
      </c>
      <c r="S183" s="25" t="str">
        <f aca="false">IF(R183="","",SUMPRODUCT((I$5:I$4004=I183)*ISNUMBER(R$5:R$4004)*(R$5:R$4004&gt;R183))+1)</f>
        <v/>
      </c>
      <c r="T183" s="25" t="str">
        <f aca="false">IF(S183="","",IF(S183&lt;=Setup!$B$5,"🏆 WINNER",""))</f>
        <v/>
      </c>
      <c r="U183" s="24" t="str">
        <f aca="false">IF(S183="","",I183&amp;"|"&amp;S183)</f>
        <v/>
      </c>
    </row>
    <row r="184" customFormat="false" ht="15" hidden="false" customHeight="false" outlineLevel="0" collapsed="false">
      <c r="A184" s="31" t="n">
        <v>180</v>
      </c>
      <c r="B184" s="32" t="str">
        <f aca="false">IF(OR(C184="",I184="",G184=""),"",IFERROR(VLOOKUP(I184,Setup!$A$9:$B$11,2,0),"???")&amp;"-"&amp;G184&amp;"-"&amp;TEXT(COUNTIFS(I$5:I184,I184,G$5:G184,G184),"0000"))</f>
        <v/>
      </c>
      <c r="C184" s="26"/>
      <c r="D184" s="26"/>
      <c r="E184" s="27"/>
      <c r="F184" s="27"/>
      <c r="G184" s="31" t="str">
        <f aca="false">IF(F184="","",IF(F184&lt;=5,"A",IF(F184&lt;=8,"B",IF(F184&lt;=10,"C","D"))))</f>
        <v/>
      </c>
      <c r="H184" s="28"/>
      <c r="I184" s="27"/>
      <c r="J184" s="26"/>
      <c r="K184" s="27"/>
      <c r="L184" s="27"/>
      <c r="M184" s="27"/>
      <c r="N184" s="27"/>
      <c r="O184" s="31" t="str">
        <f aca="false">IF(G184="","",VLOOKUP(G184,Setup!$A$14:$C$17,3,0))</f>
        <v/>
      </c>
      <c r="P184" s="27"/>
      <c r="Q184" s="33" t="str">
        <f aca="false">IF(OR(P184="",M184&lt;&gt;"Paid",O184=""),"",P184/O184)</f>
        <v/>
      </c>
      <c r="R184" s="34" t="str">
        <f aca="false">IF(Q184="","",Q184+N(H184)*0.000000001)</f>
        <v/>
      </c>
      <c r="S184" s="32" t="str">
        <f aca="false">IF(R184="","",SUMPRODUCT((I$5:I$4004=I184)*ISNUMBER(R$5:R$4004)*(R$5:R$4004&gt;R184))+1)</f>
        <v/>
      </c>
      <c r="T184" s="32" t="str">
        <f aca="false">IF(S184="","",IF(S184&lt;=Setup!$B$5,"🏆 WINNER",""))</f>
        <v/>
      </c>
      <c r="U184" s="31" t="str">
        <f aca="false">IF(S184="","",I184&amp;"|"&amp;S184)</f>
        <v/>
      </c>
    </row>
    <row r="185" customFormat="false" ht="15" hidden="false" customHeight="false" outlineLevel="0" collapsed="false">
      <c r="A185" s="24" t="n">
        <v>181</v>
      </c>
      <c r="B185" s="25" t="str">
        <f aca="false">IF(OR(C185="",I185="",G185=""),"",IFERROR(VLOOKUP(I185,Setup!$A$9:$B$11,2,0),"???")&amp;"-"&amp;G185&amp;"-"&amp;TEXT(COUNTIFS(I$5:I185,I185,G$5:G185,G185),"0000"))</f>
        <v/>
      </c>
      <c r="C185" s="26"/>
      <c r="D185" s="26"/>
      <c r="E185" s="27"/>
      <c r="F185" s="27"/>
      <c r="G185" s="24" t="str">
        <f aca="false">IF(F185="","",IF(F185&lt;=5,"A",IF(F185&lt;=8,"B",IF(F185&lt;=10,"C","D"))))</f>
        <v/>
      </c>
      <c r="H185" s="28"/>
      <c r="I185" s="27"/>
      <c r="J185" s="26"/>
      <c r="K185" s="27"/>
      <c r="L185" s="27"/>
      <c r="M185" s="27"/>
      <c r="N185" s="27"/>
      <c r="O185" s="24" t="str">
        <f aca="false">IF(G185="","",VLOOKUP(G185,Setup!$A$14:$C$17,3,0))</f>
        <v/>
      </c>
      <c r="P185" s="27"/>
      <c r="Q185" s="29" t="str">
        <f aca="false">IF(OR(P185="",M185&lt;&gt;"Paid",O185=""),"",P185/O185)</f>
        <v/>
      </c>
      <c r="R185" s="30" t="str">
        <f aca="false">IF(Q185="","",Q185+N(H185)*0.000000001)</f>
        <v/>
      </c>
      <c r="S185" s="25" t="str">
        <f aca="false">IF(R185="","",SUMPRODUCT((I$5:I$4004=I185)*ISNUMBER(R$5:R$4004)*(R$5:R$4004&gt;R185))+1)</f>
        <v/>
      </c>
      <c r="T185" s="25" t="str">
        <f aca="false">IF(S185="","",IF(S185&lt;=Setup!$B$5,"🏆 WINNER",""))</f>
        <v/>
      </c>
      <c r="U185" s="24" t="str">
        <f aca="false">IF(S185="","",I185&amp;"|"&amp;S185)</f>
        <v/>
      </c>
    </row>
    <row r="186" customFormat="false" ht="15" hidden="false" customHeight="false" outlineLevel="0" collapsed="false">
      <c r="A186" s="31" t="n">
        <v>182</v>
      </c>
      <c r="B186" s="32" t="str">
        <f aca="false">IF(OR(C186="",I186="",G186=""),"",IFERROR(VLOOKUP(I186,Setup!$A$9:$B$11,2,0),"???")&amp;"-"&amp;G186&amp;"-"&amp;TEXT(COUNTIFS(I$5:I186,I186,G$5:G186,G186),"0000"))</f>
        <v/>
      </c>
      <c r="C186" s="26"/>
      <c r="D186" s="26"/>
      <c r="E186" s="27"/>
      <c r="F186" s="27"/>
      <c r="G186" s="31" t="str">
        <f aca="false">IF(F186="","",IF(F186&lt;=5,"A",IF(F186&lt;=8,"B",IF(F186&lt;=10,"C","D"))))</f>
        <v/>
      </c>
      <c r="H186" s="28"/>
      <c r="I186" s="27"/>
      <c r="J186" s="26"/>
      <c r="K186" s="27"/>
      <c r="L186" s="27"/>
      <c r="M186" s="27"/>
      <c r="N186" s="27"/>
      <c r="O186" s="31" t="str">
        <f aca="false">IF(G186="","",VLOOKUP(G186,Setup!$A$14:$C$17,3,0))</f>
        <v/>
      </c>
      <c r="P186" s="27"/>
      <c r="Q186" s="33" t="str">
        <f aca="false">IF(OR(P186="",M186&lt;&gt;"Paid",O186=""),"",P186/O186)</f>
        <v/>
      </c>
      <c r="R186" s="34" t="str">
        <f aca="false">IF(Q186="","",Q186+N(H186)*0.000000001)</f>
        <v/>
      </c>
      <c r="S186" s="32" t="str">
        <f aca="false">IF(R186="","",SUMPRODUCT((I$5:I$4004=I186)*ISNUMBER(R$5:R$4004)*(R$5:R$4004&gt;R186))+1)</f>
        <v/>
      </c>
      <c r="T186" s="32" t="str">
        <f aca="false">IF(S186="","",IF(S186&lt;=Setup!$B$5,"🏆 WINNER",""))</f>
        <v/>
      </c>
      <c r="U186" s="31" t="str">
        <f aca="false">IF(S186="","",I186&amp;"|"&amp;S186)</f>
        <v/>
      </c>
    </row>
    <row r="187" customFormat="false" ht="15" hidden="false" customHeight="false" outlineLevel="0" collapsed="false">
      <c r="A187" s="24" t="n">
        <v>183</v>
      </c>
      <c r="B187" s="25" t="str">
        <f aca="false">IF(OR(C187="",I187="",G187=""),"",IFERROR(VLOOKUP(I187,Setup!$A$9:$B$11,2,0),"???")&amp;"-"&amp;G187&amp;"-"&amp;TEXT(COUNTIFS(I$5:I187,I187,G$5:G187,G187),"0000"))</f>
        <v/>
      </c>
      <c r="C187" s="26"/>
      <c r="D187" s="26"/>
      <c r="E187" s="27"/>
      <c r="F187" s="27"/>
      <c r="G187" s="24" t="str">
        <f aca="false">IF(F187="","",IF(F187&lt;=5,"A",IF(F187&lt;=8,"B",IF(F187&lt;=10,"C","D"))))</f>
        <v/>
      </c>
      <c r="H187" s="28"/>
      <c r="I187" s="27"/>
      <c r="J187" s="26"/>
      <c r="K187" s="27"/>
      <c r="L187" s="27"/>
      <c r="M187" s="27"/>
      <c r="N187" s="27"/>
      <c r="O187" s="24" t="str">
        <f aca="false">IF(G187="","",VLOOKUP(G187,Setup!$A$14:$C$17,3,0))</f>
        <v/>
      </c>
      <c r="P187" s="27"/>
      <c r="Q187" s="29" t="str">
        <f aca="false">IF(OR(P187="",M187&lt;&gt;"Paid",O187=""),"",P187/O187)</f>
        <v/>
      </c>
      <c r="R187" s="30" t="str">
        <f aca="false">IF(Q187="","",Q187+N(H187)*0.000000001)</f>
        <v/>
      </c>
      <c r="S187" s="25" t="str">
        <f aca="false">IF(R187="","",SUMPRODUCT((I$5:I$4004=I187)*ISNUMBER(R$5:R$4004)*(R$5:R$4004&gt;R187))+1)</f>
        <v/>
      </c>
      <c r="T187" s="25" t="str">
        <f aca="false">IF(S187="","",IF(S187&lt;=Setup!$B$5,"🏆 WINNER",""))</f>
        <v/>
      </c>
      <c r="U187" s="24" t="str">
        <f aca="false">IF(S187="","",I187&amp;"|"&amp;S187)</f>
        <v/>
      </c>
    </row>
    <row r="188" customFormat="false" ht="15" hidden="false" customHeight="false" outlineLevel="0" collapsed="false">
      <c r="A188" s="31" t="n">
        <v>184</v>
      </c>
      <c r="B188" s="32" t="str">
        <f aca="false">IF(OR(C188="",I188="",G188=""),"",IFERROR(VLOOKUP(I188,Setup!$A$9:$B$11,2,0),"???")&amp;"-"&amp;G188&amp;"-"&amp;TEXT(COUNTIFS(I$5:I188,I188,G$5:G188,G188),"0000"))</f>
        <v/>
      </c>
      <c r="C188" s="26"/>
      <c r="D188" s="26"/>
      <c r="E188" s="27"/>
      <c r="F188" s="27"/>
      <c r="G188" s="31" t="str">
        <f aca="false">IF(F188="","",IF(F188&lt;=5,"A",IF(F188&lt;=8,"B",IF(F188&lt;=10,"C","D"))))</f>
        <v/>
      </c>
      <c r="H188" s="28"/>
      <c r="I188" s="27"/>
      <c r="J188" s="26"/>
      <c r="K188" s="27"/>
      <c r="L188" s="27"/>
      <c r="M188" s="27"/>
      <c r="N188" s="27"/>
      <c r="O188" s="31" t="str">
        <f aca="false">IF(G188="","",VLOOKUP(G188,Setup!$A$14:$C$17,3,0))</f>
        <v/>
      </c>
      <c r="P188" s="27"/>
      <c r="Q188" s="33" t="str">
        <f aca="false">IF(OR(P188="",M188&lt;&gt;"Paid",O188=""),"",P188/O188)</f>
        <v/>
      </c>
      <c r="R188" s="34" t="str">
        <f aca="false">IF(Q188="","",Q188+N(H188)*0.000000001)</f>
        <v/>
      </c>
      <c r="S188" s="32" t="str">
        <f aca="false">IF(R188="","",SUMPRODUCT((I$5:I$4004=I188)*ISNUMBER(R$5:R$4004)*(R$5:R$4004&gt;R188))+1)</f>
        <v/>
      </c>
      <c r="T188" s="32" t="str">
        <f aca="false">IF(S188="","",IF(S188&lt;=Setup!$B$5,"🏆 WINNER",""))</f>
        <v/>
      </c>
      <c r="U188" s="31" t="str">
        <f aca="false">IF(S188="","",I188&amp;"|"&amp;S188)</f>
        <v/>
      </c>
    </row>
    <row r="189" customFormat="false" ht="15" hidden="false" customHeight="false" outlineLevel="0" collapsed="false">
      <c r="A189" s="24" t="n">
        <v>185</v>
      </c>
      <c r="B189" s="25" t="str">
        <f aca="false">IF(OR(C189="",I189="",G189=""),"",IFERROR(VLOOKUP(I189,Setup!$A$9:$B$11,2,0),"???")&amp;"-"&amp;G189&amp;"-"&amp;TEXT(COUNTIFS(I$5:I189,I189,G$5:G189,G189),"0000"))</f>
        <v/>
      </c>
      <c r="C189" s="26"/>
      <c r="D189" s="26"/>
      <c r="E189" s="27"/>
      <c r="F189" s="27"/>
      <c r="G189" s="24" t="str">
        <f aca="false">IF(F189="","",IF(F189&lt;=5,"A",IF(F189&lt;=8,"B",IF(F189&lt;=10,"C","D"))))</f>
        <v/>
      </c>
      <c r="H189" s="28"/>
      <c r="I189" s="27"/>
      <c r="J189" s="26"/>
      <c r="K189" s="27"/>
      <c r="L189" s="27"/>
      <c r="M189" s="27"/>
      <c r="N189" s="27"/>
      <c r="O189" s="24" t="str">
        <f aca="false">IF(G189="","",VLOOKUP(G189,Setup!$A$14:$C$17,3,0))</f>
        <v/>
      </c>
      <c r="P189" s="27"/>
      <c r="Q189" s="29" t="str">
        <f aca="false">IF(OR(P189="",M189&lt;&gt;"Paid",O189=""),"",P189/O189)</f>
        <v/>
      </c>
      <c r="R189" s="30" t="str">
        <f aca="false">IF(Q189="","",Q189+N(H189)*0.000000001)</f>
        <v/>
      </c>
      <c r="S189" s="25" t="str">
        <f aca="false">IF(R189="","",SUMPRODUCT((I$5:I$4004=I189)*ISNUMBER(R$5:R$4004)*(R$5:R$4004&gt;R189))+1)</f>
        <v/>
      </c>
      <c r="T189" s="25" t="str">
        <f aca="false">IF(S189="","",IF(S189&lt;=Setup!$B$5,"🏆 WINNER",""))</f>
        <v/>
      </c>
      <c r="U189" s="24" t="str">
        <f aca="false">IF(S189="","",I189&amp;"|"&amp;S189)</f>
        <v/>
      </c>
    </row>
    <row r="190" customFormat="false" ht="15" hidden="false" customHeight="false" outlineLevel="0" collapsed="false">
      <c r="A190" s="31" t="n">
        <v>186</v>
      </c>
      <c r="B190" s="32" t="str">
        <f aca="false">IF(OR(C190="",I190="",G190=""),"",IFERROR(VLOOKUP(I190,Setup!$A$9:$B$11,2,0),"???")&amp;"-"&amp;G190&amp;"-"&amp;TEXT(COUNTIFS(I$5:I190,I190,G$5:G190,G190),"0000"))</f>
        <v/>
      </c>
      <c r="C190" s="26"/>
      <c r="D190" s="26"/>
      <c r="E190" s="27"/>
      <c r="F190" s="27"/>
      <c r="G190" s="31" t="str">
        <f aca="false">IF(F190="","",IF(F190&lt;=5,"A",IF(F190&lt;=8,"B",IF(F190&lt;=10,"C","D"))))</f>
        <v/>
      </c>
      <c r="H190" s="28"/>
      <c r="I190" s="27"/>
      <c r="J190" s="26"/>
      <c r="K190" s="27"/>
      <c r="L190" s="27"/>
      <c r="M190" s="27"/>
      <c r="N190" s="27"/>
      <c r="O190" s="31" t="str">
        <f aca="false">IF(G190="","",VLOOKUP(G190,Setup!$A$14:$C$17,3,0))</f>
        <v/>
      </c>
      <c r="P190" s="27"/>
      <c r="Q190" s="33" t="str">
        <f aca="false">IF(OR(P190="",M190&lt;&gt;"Paid",O190=""),"",P190/O190)</f>
        <v/>
      </c>
      <c r="R190" s="34" t="str">
        <f aca="false">IF(Q190="","",Q190+N(H190)*0.000000001)</f>
        <v/>
      </c>
      <c r="S190" s="32" t="str">
        <f aca="false">IF(R190="","",SUMPRODUCT((I$5:I$4004=I190)*ISNUMBER(R$5:R$4004)*(R$5:R$4004&gt;R190))+1)</f>
        <v/>
      </c>
      <c r="T190" s="32" t="str">
        <f aca="false">IF(S190="","",IF(S190&lt;=Setup!$B$5,"🏆 WINNER",""))</f>
        <v/>
      </c>
      <c r="U190" s="31" t="str">
        <f aca="false">IF(S190="","",I190&amp;"|"&amp;S190)</f>
        <v/>
      </c>
    </row>
    <row r="191" customFormat="false" ht="15" hidden="false" customHeight="false" outlineLevel="0" collapsed="false">
      <c r="A191" s="24" t="n">
        <v>187</v>
      </c>
      <c r="B191" s="25" t="str">
        <f aca="false">IF(OR(C191="",I191="",G191=""),"",IFERROR(VLOOKUP(I191,Setup!$A$9:$B$11,2,0),"???")&amp;"-"&amp;G191&amp;"-"&amp;TEXT(COUNTIFS(I$5:I191,I191,G$5:G191,G191),"0000"))</f>
        <v/>
      </c>
      <c r="C191" s="26"/>
      <c r="D191" s="26"/>
      <c r="E191" s="27"/>
      <c r="F191" s="27"/>
      <c r="G191" s="24" t="str">
        <f aca="false">IF(F191="","",IF(F191&lt;=5,"A",IF(F191&lt;=8,"B",IF(F191&lt;=10,"C","D"))))</f>
        <v/>
      </c>
      <c r="H191" s="28"/>
      <c r="I191" s="27"/>
      <c r="J191" s="26"/>
      <c r="K191" s="27"/>
      <c r="L191" s="27"/>
      <c r="M191" s="27"/>
      <c r="N191" s="27"/>
      <c r="O191" s="24" t="str">
        <f aca="false">IF(G191="","",VLOOKUP(G191,Setup!$A$14:$C$17,3,0))</f>
        <v/>
      </c>
      <c r="P191" s="27"/>
      <c r="Q191" s="29" t="str">
        <f aca="false">IF(OR(P191="",M191&lt;&gt;"Paid",O191=""),"",P191/O191)</f>
        <v/>
      </c>
      <c r="R191" s="30" t="str">
        <f aca="false">IF(Q191="","",Q191+N(H191)*0.000000001)</f>
        <v/>
      </c>
      <c r="S191" s="25" t="str">
        <f aca="false">IF(R191="","",SUMPRODUCT((I$5:I$4004=I191)*ISNUMBER(R$5:R$4004)*(R$5:R$4004&gt;R191))+1)</f>
        <v/>
      </c>
      <c r="T191" s="25" t="str">
        <f aca="false">IF(S191="","",IF(S191&lt;=Setup!$B$5,"🏆 WINNER",""))</f>
        <v/>
      </c>
      <c r="U191" s="24" t="str">
        <f aca="false">IF(S191="","",I191&amp;"|"&amp;S191)</f>
        <v/>
      </c>
    </row>
    <row r="192" customFormat="false" ht="15" hidden="false" customHeight="false" outlineLevel="0" collapsed="false">
      <c r="A192" s="31" t="n">
        <v>188</v>
      </c>
      <c r="B192" s="32" t="str">
        <f aca="false">IF(OR(C192="",I192="",G192=""),"",IFERROR(VLOOKUP(I192,Setup!$A$9:$B$11,2,0),"???")&amp;"-"&amp;G192&amp;"-"&amp;TEXT(COUNTIFS(I$5:I192,I192,G$5:G192,G192),"0000"))</f>
        <v/>
      </c>
      <c r="C192" s="26"/>
      <c r="D192" s="26"/>
      <c r="E192" s="27"/>
      <c r="F192" s="27"/>
      <c r="G192" s="31" t="str">
        <f aca="false">IF(F192="","",IF(F192&lt;=5,"A",IF(F192&lt;=8,"B",IF(F192&lt;=10,"C","D"))))</f>
        <v/>
      </c>
      <c r="H192" s="28"/>
      <c r="I192" s="27"/>
      <c r="J192" s="26"/>
      <c r="K192" s="27"/>
      <c r="L192" s="27"/>
      <c r="M192" s="27"/>
      <c r="N192" s="27"/>
      <c r="O192" s="31" t="str">
        <f aca="false">IF(G192="","",VLOOKUP(G192,Setup!$A$14:$C$17,3,0))</f>
        <v/>
      </c>
      <c r="P192" s="27"/>
      <c r="Q192" s="33" t="str">
        <f aca="false">IF(OR(P192="",M192&lt;&gt;"Paid",O192=""),"",P192/O192)</f>
        <v/>
      </c>
      <c r="R192" s="34" t="str">
        <f aca="false">IF(Q192="","",Q192+N(H192)*0.000000001)</f>
        <v/>
      </c>
      <c r="S192" s="32" t="str">
        <f aca="false">IF(R192="","",SUMPRODUCT((I$5:I$4004=I192)*ISNUMBER(R$5:R$4004)*(R$5:R$4004&gt;R192))+1)</f>
        <v/>
      </c>
      <c r="T192" s="32" t="str">
        <f aca="false">IF(S192="","",IF(S192&lt;=Setup!$B$5,"🏆 WINNER",""))</f>
        <v/>
      </c>
      <c r="U192" s="31" t="str">
        <f aca="false">IF(S192="","",I192&amp;"|"&amp;S192)</f>
        <v/>
      </c>
    </row>
    <row r="193" customFormat="false" ht="15" hidden="false" customHeight="false" outlineLevel="0" collapsed="false">
      <c r="A193" s="24" t="n">
        <v>189</v>
      </c>
      <c r="B193" s="25" t="str">
        <f aca="false">IF(OR(C193="",I193="",G193=""),"",IFERROR(VLOOKUP(I193,Setup!$A$9:$B$11,2,0),"???")&amp;"-"&amp;G193&amp;"-"&amp;TEXT(COUNTIFS(I$5:I193,I193,G$5:G193,G193),"0000"))</f>
        <v/>
      </c>
      <c r="C193" s="26"/>
      <c r="D193" s="26"/>
      <c r="E193" s="27"/>
      <c r="F193" s="27"/>
      <c r="G193" s="24" t="str">
        <f aca="false">IF(F193="","",IF(F193&lt;=5,"A",IF(F193&lt;=8,"B",IF(F193&lt;=10,"C","D"))))</f>
        <v/>
      </c>
      <c r="H193" s="28"/>
      <c r="I193" s="27"/>
      <c r="J193" s="26"/>
      <c r="K193" s="27"/>
      <c r="L193" s="27"/>
      <c r="M193" s="27"/>
      <c r="N193" s="27"/>
      <c r="O193" s="24" t="str">
        <f aca="false">IF(G193="","",VLOOKUP(G193,Setup!$A$14:$C$17,3,0))</f>
        <v/>
      </c>
      <c r="P193" s="27"/>
      <c r="Q193" s="29" t="str">
        <f aca="false">IF(OR(P193="",M193&lt;&gt;"Paid",O193=""),"",P193/O193)</f>
        <v/>
      </c>
      <c r="R193" s="30" t="str">
        <f aca="false">IF(Q193="","",Q193+N(H193)*0.000000001)</f>
        <v/>
      </c>
      <c r="S193" s="25" t="str">
        <f aca="false">IF(R193="","",SUMPRODUCT((I$5:I$4004=I193)*ISNUMBER(R$5:R$4004)*(R$5:R$4004&gt;R193))+1)</f>
        <v/>
      </c>
      <c r="T193" s="25" t="str">
        <f aca="false">IF(S193="","",IF(S193&lt;=Setup!$B$5,"🏆 WINNER",""))</f>
        <v/>
      </c>
      <c r="U193" s="24" t="str">
        <f aca="false">IF(S193="","",I193&amp;"|"&amp;S193)</f>
        <v/>
      </c>
    </row>
    <row r="194" customFormat="false" ht="15" hidden="false" customHeight="false" outlineLevel="0" collapsed="false">
      <c r="A194" s="31" t="n">
        <v>190</v>
      </c>
      <c r="B194" s="32" t="str">
        <f aca="false">IF(OR(C194="",I194="",G194=""),"",IFERROR(VLOOKUP(I194,Setup!$A$9:$B$11,2,0),"???")&amp;"-"&amp;G194&amp;"-"&amp;TEXT(COUNTIFS(I$5:I194,I194,G$5:G194,G194),"0000"))</f>
        <v/>
      </c>
      <c r="C194" s="26"/>
      <c r="D194" s="26"/>
      <c r="E194" s="27"/>
      <c r="F194" s="27"/>
      <c r="G194" s="31" t="str">
        <f aca="false">IF(F194="","",IF(F194&lt;=5,"A",IF(F194&lt;=8,"B",IF(F194&lt;=10,"C","D"))))</f>
        <v/>
      </c>
      <c r="H194" s="28"/>
      <c r="I194" s="27"/>
      <c r="J194" s="26"/>
      <c r="K194" s="27"/>
      <c r="L194" s="27"/>
      <c r="M194" s="27"/>
      <c r="N194" s="27"/>
      <c r="O194" s="31" t="str">
        <f aca="false">IF(G194="","",VLOOKUP(G194,Setup!$A$14:$C$17,3,0))</f>
        <v/>
      </c>
      <c r="P194" s="27"/>
      <c r="Q194" s="33" t="str">
        <f aca="false">IF(OR(P194="",M194&lt;&gt;"Paid",O194=""),"",P194/O194)</f>
        <v/>
      </c>
      <c r="R194" s="34" t="str">
        <f aca="false">IF(Q194="","",Q194+N(H194)*0.000000001)</f>
        <v/>
      </c>
      <c r="S194" s="32" t="str">
        <f aca="false">IF(R194="","",SUMPRODUCT((I$5:I$4004=I194)*ISNUMBER(R$5:R$4004)*(R$5:R$4004&gt;R194))+1)</f>
        <v/>
      </c>
      <c r="T194" s="32" t="str">
        <f aca="false">IF(S194="","",IF(S194&lt;=Setup!$B$5,"🏆 WINNER",""))</f>
        <v/>
      </c>
      <c r="U194" s="31" t="str">
        <f aca="false">IF(S194="","",I194&amp;"|"&amp;S194)</f>
        <v/>
      </c>
    </row>
    <row r="195" customFormat="false" ht="15" hidden="false" customHeight="false" outlineLevel="0" collapsed="false">
      <c r="A195" s="24" t="n">
        <v>191</v>
      </c>
      <c r="B195" s="25" t="str">
        <f aca="false">IF(OR(C195="",I195="",G195=""),"",IFERROR(VLOOKUP(I195,Setup!$A$9:$B$11,2,0),"???")&amp;"-"&amp;G195&amp;"-"&amp;TEXT(COUNTIFS(I$5:I195,I195,G$5:G195,G195),"0000"))</f>
        <v/>
      </c>
      <c r="C195" s="26"/>
      <c r="D195" s="26"/>
      <c r="E195" s="27"/>
      <c r="F195" s="27"/>
      <c r="G195" s="24" t="str">
        <f aca="false">IF(F195="","",IF(F195&lt;=5,"A",IF(F195&lt;=8,"B",IF(F195&lt;=10,"C","D"))))</f>
        <v/>
      </c>
      <c r="H195" s="28"/>
      <c r="I195" s="27"/>
      <c r="J195" s="26"/>
      <c r="K195" s="27"/>
      <c r="L195" s="27"/>
      <c r="M195" s="27"/>
      <c r="N195" s="27"/>
      <c r="O195" s="24" t="str">
        <f aca="false">IF(G195="","",VLOOKUP(G195,Setup!$A$14:$C$17,3,0))</f>
        <v/>
      </c>
      <c r="P195" s="27"/>
      <c r="Q195" s="29" t="str">
        <f aca="false">IF(OR(P195="",M195&lt;&gt;"Paid",O195=""),"",P195/O195)</f>
        <v/>
      </c>
      <c r="R195" s="30" t="str">
        <f aca="false">IF(Q195="","",Q195+N(H195)*0.000000001)</f>
        <v/>
      </c>
      <c r="S195" s="25" t="str">
        <f aca="false">IF(R195="","",SUMPRODUCT((I$5:I$4004=I195)*ISNUMBER(R$5:R$4004)*(R$5:R$4004&gt;R195))+1)</f>
        <v/>
      </c>
      <c r="T195" s="25" t="str">
        <f aca="false">IF(S195="","",IF(S195&lt;=Setup!$B$5,"🏆 WINNER",""))</f>
        <v/>
      </c>
      <c r="U195" s="24" t="str">
        <f aca="false">IF(S195="","",I195&amp;"|"&amp;S195)</f>
        <v/>
      </c>
    </row>
    <row r="196" customFormat="false" ht="15" hidden="false" customHeight="false" outlineLevel="0" collapsed="false">
      <c r="A196" s="31" t="n">
        <v>192</v>
      </c>
      <c r="B196" s="32" t="str">
        <f aca="false">IF(OR(C196="",I196="",G196=""),"",IFERROR(VLOOKUP(I196,Setup!$A$9:$B$11,2,0),"???")&amp;"-"&amp;G196&amp;"-"&amp;TEXT(COUNTIFS(I$5:I196,I196,G$5:G196,G196),"0000"))</f>
        <v/>
      </c>
      <c r="C196" s="26"/>
      <c r="D196" s="26"/>
      <c r="E196" s="27"/>
      <c r="F196" s="27"/>
      <c r="G196" s="31" t="str">
        <f aca="false">IF(F196="","",IF(F196&lt;=5,"A",IF(F196&lt;=8,"B",IF(F196&lt;=10,"C","D"))))</f>
        <v/>
      </c>
      <c r="H196" s="28"/>
      <c r="I196" s="27"/>
      <c r="J196" s="26"/>
      <c r="K196" s="27"/>
      <c r="L196" s="27"/>
      <c r="M196" s="27"/>
      <c r="N196" s="27"/>
      <c r="O196" s="31" t="str">
        <f aca="false">IF(G196="","",VLOOKUP(G196,Setup!$A$14:$C$17,3,0))</f>
        <v/>
      </c>
      <c r="P196" s="27"/>
      <c r="Q196" s="33" t="str">
        <f aca="false">IF(OR(P196="",M196&lt;&gt;"Paid",O196=""),"",P196/O196)</f>
        <v/>
      </c>
      <c r="R196" s="34" t="str">
        <f aca="false">IF(Q196="","",Q196+N(H196)*0.000000001)</f>
        <v/>
      </c>
      <c r="S196" s="32" t="str">
        <f aca="false">IF(R196="","",SUMPRODUCT((I$5:I$4004=I196)*ISNUMBER(R$5:R$4004)*(R$5:R$4004&gt;R196))+1)</f>
        <v/>
      </c>
      <c r="T196" s="32" t="str">
        <f aca="false">IF(S196="","",IF(S196&lt;=Setup!$B$5,"🏆 WINNER",""))</f>
        <v/>
      </c>
      <c r="U196" s="31" t="str">
        <f aca="false">IF(S196="","",I196&amp;"|"&amp;S196)</f>
        <v/>
      </c>
    </row>
    <row r="197" customFormat="false" ht="15" hidden="false" customHeight="false" outlineLevel="0" collapsed="false">
      <c r="A197" s="24" t="n">
        <v>193</v>
      </c>
      <c r="B197" s="25" t="str">
        <f aca="false">IF(OR(C197="",I197="",G197=""),"",IFERROR(VLOOKUP(I197,Setup!$A$9:$B$11,2,0),"???")&amp;"-"&amp;G197&amp;"-"&amp;TEXT(COUNTIFS(I$5:I197,I197,G$5:G197,G197),"0000"))</f>
        <v/>
      </c>
      <c r="C197" s="26"/>
      <c r="D197" s="26"/>
      <c r="E197" s="27"/>
      <c r="F197" s="27"/>
      <c r="G197" s="24" t="str">
        <f aca="false">IF(F197="","",IF(F197&lt;=5,"A",IF(F197&lt;=8,"B",IF(F197&lt;=10,"C","D"))))</f>
        <v/>
      </c>
      <c r="H197" s="28"/>
      <c r="I197" s="27"/>
      <c r="J197" s="26"/>
      <c r="K197" s="27"/>
      <c r="L197" s="27"/>
      <c r="M197" s="27"/>
      <c r="N197" s="27"/>
      <c r="O197" s="24" t="str">
        <f aca="false">IF(G197="","",VLOOKUP(G197,Setup!$A$14:$C$17,3,0))</f>
        <v/>
      </c>
      <c r="P197" s="27"/>
      <c r="Q197" s="29" t="str">
        <f aca="false">IF(OR(P197="",M197&lt;&gt;"Paid",O197=""),"",P197/O197)</f>
        <v/>
      </c>
      <c r="R197" s="30" t="str">
        <f aca="false">IF(Q197="","",Q197+N(H197)*0.000000001)</f>
        <v/>
      </c>
      <c r="S197" s="25" t="str">
        <f aca="false">IF(R197="","",SUMPRODUCT((I$5:I$4004=I197)*ISNUMBER(R$5:R$4004)*(R$5:R$4004&gt;R197))+1)</f>
        <v/>
      </c>
      <c r="T197" s="25" t="str">
        <f aca="false">IF(S197="","",IF(S197&lt;=Setup!$B$5,"🏆 WINNER",""))</f>
        <v/>
      </c>
      <c r="U197" s="24" t="str">
        <f aca="false">IF(S197="","",I197&amp;"|"&amp;S197)</f>
        <v/>
      </c>
    </row>
    <row r="198" customFormat="false" ht="15" hidden="false" customHeight="false" outlineLevel="0" collapsed="false">
      <c r="A198" s="31" t="n">
        <v>194</v>
      </c>
      <c r="B198" s="32" t="str">
        <f aca="false">IF(OR(C198="",I198="",G198=""),"",IFERROR(VLOOKUP(I198,Setup!$A$9:$B$11,2,0),"???")&amp;"-"&amp;G198&amp;"-"&amp;TEXT(COUNTIFS(I$5:I198,I198,G$5:G198,G198),"0000"))</f>
        <v/>
      </c>
      <c r="C198" s="26"/>
      <c r="D198" s="26"/>
      <c r="E198" s="27"/>
      <c r="F198" s="27"/>
      <c r="G198" s="31" t="str">
        <f aca="false">IF(F198="","",IF(F198&lt;=5,"A",IF(F198&lt;=8,"B",IF(F198&lt;=10,"C","D"))))</f>
        <v/>
      </c>
      <c r="H198" s="28"/>
      <c r="I198" s="27"/>
      <c r="J198" s="26"/>
      <c r="K198" s="27"/>
      <c r="L198" s="27"/>
      <c r="M198" s="27"/>
      <c r="N198" s="27"/>
      <c r="O198" s="31" t="str">
        <f aca="false">IF(G198="","",VLOOKUP(G198,Setup!$A$14:$C$17,3,0))</f>
        <v/>
      </c>
      <c r="P198" s="27"/>
      <c r="Q198" s="33" t="str">
        <f aca="false">IF(OR(P198="",M198&lt;&gt;"Paid",O198=""),"",P198/O198)</f>
        <v/>
      </c>
      <c r="R198" s="34" t="str">
        <f aca="false">IF(Q198="","",Q198+N(H198)*0.000000001)</f>
        <v/>
      </c>
      <c r="S198" s="32" t="str">
        <f aca="false">IF(R198="","",SUMPRODUCT((I$5:I$4004=I198)*ISNUMBER(R$5:R$4004)*(R$5:R$4004&gt;R198))+1)</f>
        <v/>
      </c>
      <c r="T198" s="32" t="str">
        <f aca="false">IF(S198="","",IF(S198&lt;=Setup!$B$5,"🏆 WINNER",""))</f>
        <v/>
      </c>
      <c r="U198" s="31" t="str">
        <f aca="false">IF(S198="","",I198&amp;"|"&amp;S198)</f>
        <v/>
      </c>
    </row>
    <row r="199" customFormat="false" ht="15" hidden="false" customHeight="false" outlineLevel="0" collapsed="false">
      <c r="A199" s="24" t="n">
        <v>195</v>
      </c>
      <c r="B199" s="25" t="str">
        <f aca="false">IF(OR(C199="",I199="",G199=""),"",IFERROR(VLOOKUP(I199,Setup!$A$9:$B$11,2,0),"???")&amp;"-"&amp;G199&amp;"-"&amp;TEXT(COUNTIFS(I$5:I199,I199,G$5:G199,G199),"0000"))</f>
        <v/>
      </c>
      <c r="C199" s="26"/>
      <c r="D199" s="26"/>
      <c r="E199" s="27"/>
      <c r="F199" s="27"/>
      <c r="G199" s="24" t="str">
        <f aca="false">IF(F199="","",IF(F199&lt;=5,"A",IF(F199&lt;=8,"B",IF(F199&lt;=10,"C","D"))))</f>
        <v/>
      </c>
      <c r="H199" s="28"/>
      <c r="I199" s="27"/>
      <c r="J199" s="26"/>
      <c r="K199" s="27"/>
      <c r="L199" s="27"/>
      <c r="M199" s="27"/>
      <c r="N199" s="27"/>
      <c r="O199" s="24" t="str">
        <f aca="false">IF(G199="","",VLOOKUP(G199,Setup!$A$14:$C$17,3,0))</f>
        <v/>
      </c>
      <c r="P199" s="27"/>
      <c r="Q199" s="29" t="str">
        <f aca="false">IF(OR(P199="",M199&lt;&gt;"Paid",O199=""),"",P199/O199)</f>
        <v/>
      </c>
      <c r="R199" s="30" t="str">
        <f aca="false">IF(Q199="","",Q199+N(H199)*0.000000001)</f>
        <v/>
      </c>
      <c r="S199" s="25" t="str">
        <f aca="false">IF(R199="","",SUMPRODUCT((I$5:I$4004=I199)*ISNUMBER(R$5:R$4004)*(R$5:R$4004&gt;R199))+1)</f>
        <v/>
      </c>
      <c r="T199" s="25" t="str">
        <f aca="false">IF(S199="","",IF(S199&lt;=Setup!$B$5,"🏆 WINNER",""))</f>
        <v/>
      </c>
      <c r="U199" s="24" t="str">
        <f aca="false">IF(S199="","",I199&amp;"|"&amp;S199)</f>
        <v/>
      </c>
    </row>
    <row r="200" customFormat="false" ht="15" hidden="false" customHeight="false" outlineLevel="0" collapsed="false">
      <c r="A200" s="31" t="n">
        <v>196</v>
      </c>
      <c r="B200" s="32" t="str">
        <f aca="false">IF(OR(C200="",I200="",G200=""),"",IFERROR(VLOOKUP(I200,Setup!$A$9:$B$11,2,0),"???")&amp;"-"&amp;G200&amp;"-"&amp;TEXT(COUNTIFS(I$5:I200,I200,G$5:G200,G200),"0000"))</f>
        <v/>
      </c>
      <c r="C200" s="26"/>
      <c r="D200" s="26"/>
      <c r="E200" s="27"/>
      <c r="F200" s="27"/>
      <c r="G200" s="31" t="str">
        <f aca="false">IF(F200="","",IF(F200&lt;=5,"A",IF(F200&lt;=8,"B",IF(F200&lt;=10,"C","D"))))</f>
        <v/>
      </c>
      <c r="H200" s="28"/>
      <c r="I200" s="27"/>
      <c r="J200" s="26"/>
      <c r="K200" s="27"/>
      <c r="L200" s="27"/>
      <c r="M200" s="27"/>
      <c r="N200" s="27"/>
      <c r="O200" s="31" t="str">
        <f aca="false">IF(G200="","",VLOOKUP(G200,Setup!$A$14:$C$17,3,0))</f>
        <v/>
      </c>
      <c r="P200" s="27"/>
      <c r="Q200" s="33" t="str">
        <f aca="false">IF(OR(P200="",M200&lt;&gt;"Paid",O200=""),"",P200/O200)</f>
        <v/>
      </c>
      <c r="R200" s="34" t="str">
        <f aca="false">IF(Q200="","",Q200+N(H200)*0.000000001)</f>
        <v/>
      </c>
      <c r="S200" s="32" t="str">
        <f aca="false">IF(R200="","",SUMPRODUCT((I$5:I$4004=I200)*ISNUMBER(R$5:R$4004)*(R$5:R$4004&gt;R200))+1)</f>
        <v/>
      </c>
      <c r="T200" s="32" t="str">
        <f aca="false">IF(S200="","",IF(S200&lt;=Setup!$B$5,"🏆 WINNER",""))</f>
        <v/>
      </c>
      <c r="U200" s="31" t="str">
        <f aca="false">IF(S200="","",I200&amp;"|"&amp;S200)</f>
        <v/>
      </c>
    </row>
    <row r="201" customFormat="false" ht="15" hidden="false" customHeight="false" outlineLevel="0" collapsed="false">
      <c r="A201" s="24" t="n">
        <v>197</v>
      </c>
      <c r="B201" s="25" t="str">
        <f aca="false">IF(OR(C201="",I201="",G201=""),"",IFERROR(VLOOKUP(I201,Setup!$A$9:$B$11,2,0),"???")&amp;"-"&amp;G201&amp;"-"&amp;TEXT(COUNTIFS(I$5:I201,I201,G$5:G201,G201),"0000"))</f>
        <v/>
      </c>
      <c r="C201" s="26"/>
      <c r="D201" s="26"/>
      <c r="E201" s="27"/>
      <c r="F201" s="27"/>
      <c r="G201" s="24" t="str">
        <f aca="false">IF(F201="","",IF(F201&lt;=5,"A",IF(F201&lt;=8,"B",IF(F201&lt;=10,"C","D"))))</f>
        <v/>
      </c>
      <c r="H201" s="28"/>
      <c r="I201" s="27"/>
      <c r="J201" s="26"/>
      <c r="K201" s="27"/>
      <c r="L201" s="27"/>
      <c r="M201" s="27"/>
      <c r="N201" s="27"/>
      <c r="O201" s="24" t="str">
        <f aca="false">IF(G201="","",VLOOKUP(G201,Setup!$A$14:$C$17,3,0))</f>
        <v/>
      </c>
      <c r="P201" s="27"/>
      <c r="Q201" s="29" t="str">
        <f aca="false">IF(OR(P201="",M201&lt;&gt;"Paid",O201=""),"",P201/O201)</f>
        <v/>
      </c>
      <c r="R201" s="30" t="str">
        <f aca="false">IF(Q201="","",Q201+N(H201)*0.000000001)</f>
        <v/>
      </c>
      <c r="S201" s="25" t="str">
        <f aca="false">IF(R201="","",SUMPRODUCT((I$5:I$4004=I201)*ISNUMBER(R$5:R$4004)*(R$5:R$4004&gt;R201))+1)</f>
        <v/>
      </c>
      <c r="T201" s="25" t="str">
        <f aca="false">IF(S201="","",IF(S201&lt;=Setup!$B$5,"🏆 WINNER",""))</f>
        <v/>
      </c>
      <c r="U201" s="24" t="str">
        <f aca="false">IF(S201="","",I201&amp;"|"&amp;S201)</f>
        <v/>
      </c>
    </row>
    <row r="202" customFormat="false" ht="15" hidden="false" customHeight="false" outlineLevel="0" collapsed="false">
      <c r="A202" s="31" t="n">
        <v>198</v>
      </c>
      <c r="B202" s="32" t="str">
        <f aca="false">IF(OR(C202="",I202="",G202=""),"",IFERROR(VLOOKUP(I202,Setup!$A$9:$B$11,2,0),"???")&amp;"-"&amp;G202&amp;"-"&amp;TEXT(COUNTIFS(I$5:I202,I202,G$5:G202,G202),"0000"))</f>
        <v/>
      </c>
      <c r="C202" s="26"/>
      <c r="D202" s="26"/>
      <c r="E202" s="27"/>
      <c r="F202" s="27"/>
      <c r="G202" s="31" t="str">
        <f aca="false">IF(F202="","",IF(F202&lt;=5,"A",IF(F202&lt;=8,"B",IF(F202&lt;=10,"C","D"))))</f>
        <v/>
      </c>
      <c r="H202" s="28"/>
      <c r="I202" s="27"/>
      <c r="J202" s="26"/>
      <c r="K202" s="27"/>
      <c r="L202" s="27"/>
      <c r="M202" s="27"/>
      <c r="N202" s="27"/>
      <c r="O202" s="31" t="str">
        <f aca="false">IF(G202="","",VLOOKUP(G202,Setup!$A$14:$C$17,3,0))</f>
        <v/>
      </c>
      <c r="P202" s="27"/>
      <c r="Q202" s="33" t="str">
        <f aca="false">IF(OR(P202="",M202&lt;&gt;"Paid",O202=""),"",P202/O202)</f>
        <v/>
      </c>
      <c r="R202" s="34" t="str">
        <f aca="false">IF(Q202="","",Q202+N(H202)*0.000000001)</f>
        <v/>
      </c>
      <c r="S202" s="32" t="str">
        <f aca="false">IF(R202="","",SUMPRODUCT((I$5:I$4004=I202)*ISNUMBER(R$5:R$4004)*(R$5:R$4004&gt;R202))+1)</f>
        <v/>
      </c>
      <c r="T202" s="32" t="str">
        <f aca="false">IF(S202="","",IF(S202&lt;=Setup!$B$5,"🏆 WINNER",""))</f>
        <v/>
      </c>
      <c r="U202" s="31" t="str">
        <f aca="false">IF(S202="","",I202&amp;"|"&amp;S202)</f>
        <v/>
      </c>
    </row>
    <row r="203" customFormat="false" ht="15" hidden="false" customHeight="false" outlineLevel="0" collapsed="false">
      <c r="A203" s="24" t="n">
        <v>199</v>
      </c>
      <c r="B203" s="25" t="str">
        <f aca="false">IF(OR(C203="",I203="",G203=""),"",IFERROR(VLOOKUP(I203,Setup!$A$9:$B$11,2,0),"???")&amp;"-"&amp;G203&amp;"-"&amp;TEXT(COUNTIFS(I$5:I203,I203,G$5:G203,G203),"0000"))</f>
        <v/>
      </c>
      <c r="C203" s="26"/>
      <c r="D203" s="26"/>
      <c r="E203" s="27"/>
      <c r="F203" s="27"/>
      <c r="G203" s="24" t="str">
        <f aca="false">IF(F203="","",IF(F203&lt;=5,"A",IF(F203&lt;=8,"B",IF(F203&lt;=10,"C","D"))))</f>
        <v/>
      </c>
      <c r="H203" s="28"/>
      <c r="I203" s="27"/>
      <c r="J203" s="26"/>
      <c r="K203" s="27"/>
      <c r="L203" s="27"/>
      <c r="M203" s="27"/>
      <c r="N203" s="27"/>
      <c r="O203" s="24" t="str">
        <f aca="false">IF(G203="","",VLOOKUP(G203,Setup!$A$14:$C$17,3,0))</f>
        <v/>
      </c>
      <c r="P203" s="27"/>
      <c r="Q203" s="29" t="str">
        <f aca="false">IF(OR(P203="",M203&lt;&gt;"Paid",O203=""),"",P203/O203)</f>
        <v/>
      </c>
      <c r="R203" s="30" t="str">
        <f aca="false">IF(Q203="","",Q203+N(H203)*0.000000001)</f>
        <v/>
      </c>
      <c r="S203" s="25" t="str">
        <f aca="false">IF(R203="","",SUMPRODUCT((I$5:I$4004=I203)*ISNUMBER(R$5:R$4004)*(R$5:R$4004&gt;R203))+1)</f>
        <v/>
      </c>
      <c r="T203" s="25" t="str">
        <f aca="false">IF(S203="","",IF(S203&lt;=Setup!$B$5,"🏆 WINNER",""))</f>
        <v/>
      </c>
      <c r="U203" s="24" t="str">
        <f aca="false">IF(S203="","",I203&amp;"|"&amp;S203)</f>
        <v/>
      </c>
    </row>
    <row r="204" customFormat="false" ht="15" hidden="false" customHeight="false" outlineLevel="0" collapsed="false">
      <c r="A204" s="31" t="n">
        <v>200</v>
      </c>
      <c r="B204" s="32" t="str">
        <f aca="false">IF(OR(C204="",I204="",G204=""),"",IFERROR(VLOOKUP(I204,Setup!$A$9:$B$11,2,0),"???")&amp;"-"&amp;G204&amp;"-"&amp;TEXT(COUNTIFS(I$5:I204,I204,G$5:G204,G204),"0000"))</f>
        <v/>
      </c>
      <c r="C204" s="26"/>
      <c r="D204" s="26"/>
      <c r="E204" s="27"/>
      <c r="F204" s="27"/>
      <c r="G204" s="31" t="str">
        <f aca="false">IF(F204="","",IF(F204&lt;=5,"A",IF(F204&lt;=8,"B",IF(F204&lt;=10,"C","D"))))</f>
        <v/>
      </c>
      <c r="H204" s="28"/>
      <c r="I204" s="27"/>
      <c r="J204" s="26"/>
      <c r="K204" s="27"/>
      <c r="L204" s="27"/>
      <c r="M204" s="27"/>
      <c r="N204" s="27"/>
      <c r="O204" s="31" t="str">
        <f aca="false">IF(G204="","",VLOOKUP(G204,Setup!$A$14:$C$17,3,0))</f>
        <v/>
      </c>
      <c r="P204" s="27"/>
      <c r="Q204" s="33" t="str">
        <f aca="false">IF(OR(P204="",M204&lt;&gt;"Paid",O204=""),"",P204/O204)</f>
        <v/>
      </c>
      <c r="R204" s="34" t="str">
        <f aca="false">IF(Q204="","",Q204+N(H204)*0.000000001)</f>
        <v/>
      </c>
      <c r="S204" s="32" t="str">
        <f aca="false">IF(R204="","",SUMPRODUCT((I$5:I$4004=I204)*ISNUMBER(R$5:R$4004)*(R$5:R$4004&gt;R204))+1)</f>
        <v/>
      </c>
      <c r="T204" s="32" t="str">
        <f aca="false">IF(S204="","",IF(S204&lt;=Setup!$B$5,"🏆 WINNER",""))</f>
        <v/>
      </c>
      <c r="U204" s="31" t="str">
        <f aca="false">IF(S204="","",I204&amp;"|"&amp;S204)</f>
        <v/>
      </c>
    </row>
    <row r="205" customFormat="false" ht="15" hidden="false" customHeight="false" outlineLevel="0" collapsed="false">
      <c r="A205" s="24" t="n">
        <v>201</v>
      </c>
      <c r="B205" s="25" t="str">
        <f aca="false">IF(OR(C205="",I205="",G205=""),"",IFERROR(VLOOKUP(I205,Setup!$A$9:$B$11,2,0),"???")&amp;"-"&amp;G205&amp;"-"&amp;TEXT(COUNTIFS(I$5:I205,I205,G$5:G205,G205),"0000"))</f>
        <v/>
      </c>
      <c r="C205" s="26"/>
      <c r="D205" s="26"/>
      <c r="E205" s="27"/>
      <c r="F205" s="27"/>
      <c r="G205" s="24" t="str">
        <f aca="false">IF(F205="","",IF(F205&lt;=5,"A",IF(F205&lt;=8,"B",IF(F205&lt;=10,"C","D"))))</f>
        <v/>
      </c>
      <c r="H205" s="28"/>
      <c r="I205" s="27"/>
      <c r="J205" s="26"/>
      <c r="K205" s="27"/>
      <c r="L205" s="27"/>
      <c r="M205" s="27"/>
      <c r="N205" s="27"/>
      <c r="O205" s="24" t="str">
        <f aca="false">IF(G205="","",VLOOKUP(G205,Setup!$A$14:$C$17,3,0))</f>
        <v/>
      </c>
      <c r="P205" s="27"/>
      <c r="Q205" s="29" t="str">
        <f aca="false">IF(OR(P205="",M205&lt;&gt;"Paid",O205=""),"",P205/O205)</f>
        <v/>
      </c>
      <c r="R205" s="30" t="str">
        <f aca="false">IF(Q205="","",Q205+N(H205)*0.000000001)</f>
        <v/>
      </c>
      <c r="S205" s="25" t="str">
        <f aca="false">IF(R205="","",SUMPRODUCT((I$5:I$4004=I205)*ISNUMBER(R$5:R$4004)*(R$5:R$4004&gt;R205))+1)</f>
        <v/>
      </c>
      <c r="T205" s="25" t="str">
        <f aca="false">IF(S205="","",IF(S205&lt;=Setup!$B$5,"🏆 WINNER",""))</f>
        <v/>
      </c>
      <c r="U205" s="24" t="str">
        <f aca="false">IF(S205="","",I205&amp;"|"&amp;S205)</f>
        <v/>
      </c>
    </row>
    <row r="206" customFormat="false" ht="15" hidden="false" customHeight="false" outlineLevel="0" collapsed="false">
      <c r="A206" s="31" t="n">
        <v>202</v>
      </c>
      <c r="B206" s="32" t="str">
        <f aca="false">IF(OR(C206="",I206="",G206=""),"",IFERROR(VLOOKUP(I206,Setup!$A$9:$B$11,2,0),"???")&amp;"-"&amp;G206&amp;"-"&amp;TEXT(COUNTIFS(I$5:I206,I206,G$5:G206,G206),"0000"))</f>
        <v/>
      </c>
      <c r="C206" s="26"/>
      <c r="D206" s="26"/>
      <c r="E206" s="27"/>
      <c r="F206" s="27"/>
      <c r="G206" s="31" t="str">
        <f aca="false">IF(F206="","",IF(F206&lt;=5,"A",IF(F206&lt;=8,"B",IF(F206&lt;=10,"C","D"))))</f>
        <v/>
      </c>
      <c r="H206" s="28"/>
      <c r="I206" s="27"/>
      <c r="J206" s="26"/>
      <c r="K206" s="27"/>
      <c r="L206" s="27"/>
      <c r="M206" s="27"/>
      <c r="N206" s="27"/>
      <c r="O206" s="31" t="str">
        <f aca="false">IF(G206="","",VLOOKUP(G206,Setup!$A$14:$C$17,3,0))</f>
        <v/>
      </c>
      <c r="P206" s="27"/>
      <c r="Q206" s="33" t="str">
        <f aca="false">IF(OR(P206="",M206&lt;&gt;"Paid",O206=""),"",P206/O206)</f>
        <v/>
      </c>
      <c r="R206" s="34" t="str">
        <f aca="false">IF(Q206="","",Q206+N(H206)*0.000000001)</f>
        <v/>
      </c>
      <c r="S206" s="32" t="str">
        <f aca="false">IF(R206="","",SUMPRODUCT((I$5:I$4004=I206)*ISNUMBER(R$5:R$4004)*(R$5:R$4004&gt;R206))+1)</f>
        <v/>
      </c>
      <c r="T206" s="32" t="str">
        <f aca="false">IF(S206="","",IF(S206&lt;=Setup!$B$5,"🏆 WINNER",""))</f>
        <v/>
      </c>
      <c r="U206" s="31" t="str">
        <f aca="false">IF(S206="","",I206&amp;"|"&amp;S206)</f>
        <v/>
      </c>
    </row>
    <row r="207" customFormat="false" ht="15" hidden="false" customHeight="false" outlineLevel="0" collapsed="false">
      <c r="A207" s="24" t="n">
        <v>203</v>
      </c>
      <c r="B207" s="25" t="str">
        <f aca="false">IF(OR(C207="",I207="",G207=""),"",IFERROR(VLOOKUP(I207,Setup!$A$9:$B$11,2,0),"???")&amp;"-"&amp;G207&amp;"-"&amp;TEXT(COUNTIFS(I$5:I207,I207,G$5:G207,G207),"0000"))</f>
        <v/>
      </c>
      <c r="C207" s="26"/>
      <c r="D207" s="26"/>
      <c r="E207" s="27"/>
      <c r="F207" s="27"/>
      <c r="G207" s="24" t="str">
        <f aca="false">IF(F207="","",IF(F207&lt;=5,"A",IF(F207&lt;=8,"B",IF(F207&lt;=10,"C","D"))))</f>
        <v/>
      </c>
      <c r="H207" s="28"/>
      <c r="I207" s="27"/>
      <c r="J207" s="26"/>
      <c r="K207" s="27"/>
      <c r="L207" s="27"/>
      <c r="M207" s="27"/>
      <c r="N207" s="27"/>
      <c r="O207" s="24" t="str">
        <f aca="false">IF(G207="","",VLOOKUP(G207,Setup!$A$14:$C$17,3,0))</f>
        <v/>
      </c>
      <c r="P207" s="27"/>
      <c r="Q207" s="29" t="str">
        <f aca="false">IF(OR(P207="",M207&lt;&gt;"Paid",O207=""),"",P207/O207)</f>
        <v/>
      </c>
      <c r="R207" s="30" t="str">
        <f aca="false">IF(Q207="","",Q207+N(H207)*0.000000001)</f>
        <v/>
      </c>
      <c r="S207" s="25" t="str">
        <f aca="false">IF(R207="","",SUMPRODUCT((I$5:I$4004=I207)*ISNUMBER(R$5:R$4004)*(R$5:R$4004&gt;R207))+1)</f>
        <v/>
      </c>
      <c r="T207" s="25" t="str">
        <f aca="false">IF(S207="","",IF(S207&lt;=Setup!$B$5,"🏆 WINNER",""))</f>
        <v/>
      </c>
      <c r="U207" s="24" t="str">
        <f aca="false">IF(S207="","",I207&amp;"|"&amp;S207)</f>
        <v/>
      </c>
    </row>
    <row r="208" customFormat="false" ht="15" hidden="false" customHeight="false" outlineLevel="0" collapsed="false">
      <c r="A208" s="31" t="n">
        <v>204</v>
      </c>
      <c r="B208" s="32" t="str">
        <f aca="false">IF(OR(C208="",I208="",G208=""),"",IFERROR(VLOOKUP(I208,Setup!$A$9:$B$11,2,0),"???")&amp;"-"&amp;G208&amp;"-"&amp;TEXT(COUNTIFS(I$5:I208,I208,G$5:G208,G208),"0000"))</f>
        <v/>
      </c>
      <c r="C208" s="26"/>
      <c r="D208" s="26"/>
      <c r="E208" s="27"/>
      <c r="F208" s="27"/>
      <c r="G208" s="31" t="str">
        <f aca="false">IF(F208="","",IF(F208&lt;=5,"A",IF(F208&lt;=8,"B",IF(F208&lt;=10,"C","D"))))</f>
        <v/>
      </c>
      <c r="H208" s="28"/>
      <c r="I208" s="27"/>
      <c r="J208" s="26"/>
      <c r="K208" s="27"/>
      <c r="L208" s="27"/>
      <c r="M208" s="27"/>
      <c r="N208" s="27"/>
      <c r="O208" s="31" t="str">
        <f aca="false">IF(G208="","",VLOOKUP(G208,Setup!$A$14:$C$17,3,0))</f>
        <v/>
      </c>
      <c r="P208" s="27"/>
      <c r="Q208" s="33" t="str">
        <f aca="false">IF(OR(P208="",M208&lt;&gt;"Paid",O208=""),"",P208/O208)</f>
        <v/>
      </c>
      <c r="R208" s="34" t="str">
        <f aca="false">IF(Q208="","",Q208+N(H208)*0.000000001)</f>
        <v/>
      </c>
      <c r="S208" s="32" t="str">
        <f aca="false">IF(R208="","",SUMPRODUCT((I$5:I$4004=I208)*ISNUMBER(R$5:R$4004)*(R$5:R$4004&gt;R208))+1)</f>
        <v/>
      </c>
      <c r="T208" s="32" t="str">
        <f aca="false">IF(S208="","",IF(S208&lt;=Setup!$B$5,"🏆 WINNER",""))</f>
        <v/>
      </c>
      <c r="U208" s="31" t="str">
        <f aca="false">IF(S208="","",I208&amp;"|"&amp;S208)</f>
        <v/>
      </c>
    </row>
    <row r="209" customFormat="false" ht="15" hidden="false" customHeight="false" outlineLevel="0" collapsed="false">
      <c r="A209" s="24" t="n">
        <v>205</v>
      </c>
      <c r="B209" s="25" t="str">
        <f aca="false">IF(OR(C209="",I209="",G209=""),"",IFERROR(VLOOKUP(I209,Setup!$A$9:$B$11,2,0),"???")&amp;"-"&amp;G209&amp;"-"&amp;TEXT(COUNTIFS(I$5:I209,I209,G$5:G209,G209),"0000"))</f>
        <v/>
      </c>
      <c r="C209" s="26"/>
      <c r="D209" s="26"/>
      <c r="E209" s="27"/>
      <c r="F209" s="27"/>
      <c r="G209" s="24" t="str">
        <f aca="false">IF(F209="","",IF(F209&lt;=5,"A",IF(F209&lt;=8,"B",IF(F209&lt;=10,"C","D"))))</f>
        <v/>
      </c>
      <c r="H209" s="28"/>
      <c r="I209" s="27"/>
      <c r="J209" s="26"/>
      <c r="K209" s="27"/>
      <c r="L209" s="27"/>
      <c r="M209" s="27"/>
      <c r="N209" s="27"/>
      <c r="O209" s="24" t="str">
        <f aca="false">IF(G209="","",VLOOKUP(G209,Setup!$A$14:$C$17,3,0))</f>
        <v/>
      </c>
      <c r="P209" s="27"/>
      <c r="Q209" s="29" t="str">
        <f aca="false">IF(OR(P209="",M209&lt;&gt;"Paid",O209=""),"",P209/O209)</f>
        <v/>
      </c>
      <c r="R209" s="30" t="str">
        <f aca="false">IF(Q209="","",Q209+N(H209)*0.000000001)</f>
        <v/>
      </c>
      <c r="S209" s="25" t="str">
        <f aca="false">IF(R209="","",SUMPRODUCT((I$5:I$4004=I209)*ISNUMBER(R$5:R$4004)*(R$5:R$4004&gt;R209))+1)</f>
        <v/>
      </c>
      <c r="T209" s="25" t="str">
        <f aca="false">IF(S209="","",IF(S209&lt;=Setup!$B$5,"🏆 WINNER",""))</f>
        <v/>
      </c>
      <c r="U209" s="24" t="str">
        <f aca="false">IF(S209="","",I209&amp;"|"&amp;S209)</f>
        <v/>
      </c>
    </row>
    <row r="210" customFormat="false" ht="15" hidden="false" customHeight="false" outlineLevel="0" collapsed="false">
      <c r="A210" s="31" t="n">
        <v>206</v>
      </c>
      <c r="B210" s="32" t="str">
        <f aca="false">IF(OR(C210="",I210="",G210=""),"",IFERROR(VLOOKUP(I210,Setup!$A$9:$B$11,2,0),"???")&amp;"-"&amp;G210&amp;"-"&amp;TEXT(COUNTIFS(I$5:I210,I210,G$5:G210,G210),"0000"))</f>
        <v/>
      </c>
      <c r="C210" s="26"/>
      <c r="D210" s="26"/>
      <c r="E210" s="27"/>
      <c r="F210" s="27"/>
      <c r="G210" s="31" t="str">
        <f aca="false">IF(F210="","",IF(F210&lt;=5,"A",IF(F210&lt;=8,"B",IF(F210&lt;=10,"C","D"))))</f>
        <v/>
      </c>
      <c r="H210" s="28"/>
      <c r="I210" s="27"/>
      <c r="J210" s="26"/>
      <c r="K210" s="27"/>
      <c r="L210" s="27"/>
      <c r="M210" s="27"/>
      <c r="N210" s="27"/>
      <c r="O210" s="31" t="str">
        <f aca="false">IF(G210="","",VLOOKUP(G210,Setup!$A$14:$C$17,3,0))</f>
        <v/>
      </c>
      <c r="P210" s="27"/>
      <c r="Q210" s="33" t="str">
        <f aca="false">IF(OR(P210="",M210&lt;&gt;"Paid",O210=""),"",P210/O210)</f>
        <v/>
      </c>
      <c r="R210" s="34" t="str">
        <f aca="false">IF(Q210="","",Q210+N(H210)*0.000000001)</f>
        <v/>
      </c>
      <c r="S210" s="32" t="str">
        <f aca="false">IF(R210="","",SUMPRODUCT((I$5:I$4004=I210)*ISNUMBER(R$5:R$4004)*(R$5:R$4004&gt;R210))+1)</f>
        <v/>
      </c>
      <c r="T210" s="32" t="str">
        <f aca="false">IF(S210="","",IF(S210&lt;=Setup!$B$5,"🏆 WINNER",""))</f>
        <v/>
      </c>
      <c r="U210" s="31" t="str">
        <f aca="false">IF(S210="","",I210&amp;"|"&amp;S210)</f>
        <v/>
      </c>
    </row>
    <row r="211" customFormat="false" ht="15" hidden="false" customHeight="false" outlineLevel="0" collapsed="false">
      <c r="A211" s="24" t="n">
        <v>207</v>
      </c>
      <c r="B211" s="25" t="str">
        <f aca="false">IF(OR(C211="",I211="",G211=""),"",IFERROR(VLOOKUP(I211,Setup!$A$9:$B$11,2,0),"???")&amp;"-"&amp;G211&amp;"-"&amp;TEXT(COUNTIFS(I$5:I211,I211,G$5:G211,G211),"0000"))</f>
        <v/>
      </c>
      <c r="C211" s="26"/>
      <c r="D211" s="26"/>
      <c r="E211" s="27"/>
      <c r="F211" s="27"/>
      <c r="G211" s="24" t="str">
        <f aca="false">IF(F211="","",IF(F211&lt;=5,"A",IF(F211&lt;=8,"B",IF(F211&lt;=10,"C","D"))))</f>
        <v/>
      </c>
      <c r="H211" s="28"/>
      <c r="I211" s="27"/>
      <c r="J211" s="26"/>
      <c r="K211" s="27"/>
      <c r="L211" s="27"/>
      <c r="M211" s="27"/>
      <c r="N211" s="27"/>
      <c r="O211" s="24" t="str">
        <f aca="false">IF(G211="","",VLOOKUP(G211,Setup!$A$14:$C$17,3,0))</f>
        <v/>
      </c>
      <c r="P211" s="27"/>
      <c r="Q211" s="29" t="str">
        <f aca="false">IF(OR(P211="",M211&lt;&gt;"Paid",O211=""),"",P211/O211)</f>
        <v/>
      </c>
      <c r="R211" s="30" t="str">
        <f aca="false">IF(Q211="","",Q211+N(H211)*0.000000001)</f>
        <v/>
      </c>
      <c r="S211" s="25" t="str">
        <f aca="false">IF(R211="","",SUMPRODUCT((I$5:I$4004=I211)*ISNUMBER(R$5:R$4004)*(R$5:R$4004&gt;R211))+1)</f>
        <v/>
      </c>
      <c r="T211" s="25" t="str">
        <f aca="false">IF(S211="","",IF(S211&lt;=Setup!$B$5,"🏆 WINNER",""))</f>
        <v/>
      </c>
      <c r="U211" s="24" t="str">
        <f aca="false">IF(S211="","",I211&amp;"|"&amp;S211)</f>
        <v/>
      </c>
    </row>
    <row r="212" customFormat="false" ht="15" hidden="false" customHeight="false" outlineLevel="0" collapsed="false">
      <c r="A212" s="31" t="n">
        <v>208</v>
      </c>
      <c r="B212" s="32" t="str">
        <f aca="false">IF(OR(C212="",I212="",G212=""),"",IFERROR(VLOOKUP(I212,Setup!$A$9:$B$11,2,0),"???")&amp;"-"&amp;G212&amp;"-"&amp;TEXT(COUNTIFS(I$5:I212,I212,G$5:G212,G212),"0000"))</f>
        <v/>
      </c>
      <c r="C212" s="26"/>
      <c r="D212" s="26"/>
      <c r="E212" s="27"/>
      <c r="F212" s="27"/>
      <c r="G212" s="31" t="str">
        <f aca="false">IF(F212="","",IF(F212&lt;=5,"A",IF(F212&lt;=8,"B",IF(F212&lt;=10,"C","D"))))</f>
        <v/>
      </c>
      <c r="H212" s="28"/>
      <c r="I212" s="27"/>
      <c r="J212" s="26"/>
      <c r="K212" s="27"/>
      <c r="L212" s="27"/>
      <c r="M212" s="27"/>
      <c r="N212" s="27"/>
      <c r="O212" s="31" t="str">
        <f aca="false">IF(G212="","",VLOOKUP(G212,Setup!$A$14:$C$17,3,0))</f>
        <v/>
      </c>
      <c r="P212" s="27"/>
      <c r="Q212" s="33" t="str">
        <f aca="false">IF(OR(P212="",M212&lt;&gt;"Paid",O212=""),"",P212/O212)</f>
        <v/>
      </c>
      <c r="R212" s="34" t="str">
        <f aca="false">IF(Q212="","",Q212+N(H212)*0.000000001)</f>
        <v/>
      </c>
      <c r="S212" s="32" t="str">
        <f aca="false">IF(R212="","",SUMPRODUCT((I$5:I$4004=I212)*ISNUMBER(R$5:R$4004)*(R$5:R$4004&gt;R212))+1)</f>
        <v/>
      </c>
      <c r="T212" s="32" t="str">
        <f aca="false">IF(S212="","",IF(S212&lt;=Setup!$B$5,"🏆 WINNER",""))</f>
        <v/>
      </c>
      <c r="U212" s="31" t="str">
        <f aca="false">IF(S212="","",I212&amp;"|"&amp;S212)</f>
        <v/>
      </c>
    </row>
    <row r="213" customFormat="false" ht="15" hidden="false" customHeight="false" outlineLevel="0" collapsed="false">
      <c r="A213" s="24" t="n">
        <v>209</v>
      </c>
      <c r="B213" s="25" t="str">
        <f aca="false">IF(OR(C213="",I213="",G213=""),"",IFERROR(VLOOKUP(I213,Setup!$A$9:$B$11,2,0),"???")&amp;"-"&amp;G213&amp;"-"&amp;TEXT(COUNTIFS(I$5:I213,I213,G$5:G213,G213),"0000"))</f>
        <v/>
      </c>
      <c r="C213" s="26"/>
      <c r="D213" s="26"/>
      <c r="E213" s="27"/>
      <c r="F213" s="27"/>
      <c r="G213" s="24" t="str">
        <f aca="false">IF(F213="","",IF(F213&lt;=5,"A",IF(F213&lt;=8,"B",IF(F213&lt;=10,"C","D"))))</f>
        <v/>
      </c>
      <c r="H213" s="28"/>
      <c r="I213" s="27"/>
      <c r="J213" s="26"/>
      <c r="K213" s="27"/>
      <c r="L213" s="27"/>
      <c r="M213" s="27"/>
      <c r="N213" s="27"/>
      <c r="O213" s="24" t="str">
        <f aca="false">IF(G213="","",VLOOKUP(G213,Setup!$A$14:$C$17,3,0))</f>
        <v/>
      </c>
      <c r="P213" s="27"/>
      <c r="Q213" s="29" t="str">
        <f aca="false">IF(OR(P213="",M213&lt;&gt;"Paid",O213=""),"",P213/O213)</f>
        <v/>
      </c>
      <c r="R213" s="30" t="str">
        <f aca="false">IF(Q213="","",Q213+N(H213)*0.000000001)</f>
        <v/>
      </c>
      <c r="S213" s="25" t="str">
        <f aca="false">IF(R213="","",SUMPRODUCT((I$5:I$4004=I213)*ISNUMBER(R$5:R$4004)*(R$5:R$4004&gt;R213))+1)</f>
        <v/>
      </c>
      <c r="T213" s="25" t="str">
        <f aca="false">IF(S213="","",IF(S213&lt;=Setup!$B$5,"🏆 WINNER",""))</f>
        <v/>
      </c>
      <c r="U213" s="24" t="str">
        <f aca="false">IF(S213="","",I213&amp;"|"&amp;S213)</f>
        <v/>
      </c>
    </row>
    <row r="214" customFormat="false" ht="15" hidden="false" customHeight="false" outlineLevel="0" collapsed="false">
      <c r="A214" s="31" t="n">
        <v>210</v>
      </c>
      <c r="B214" s="32" t="str">
        <f aca="false">IF(OR(C214="",I214="",G214=""),"",IFERROR(VLOOKUP(I214,Setup!$A$9:$B$11,2,0),"???")&amp;"-"&amp;G214&amp;"-"&amp;TEXT(COUNTIFS(I$5:I214,I214,G$5:G214,G214),"0000"))</f>
        <v/>
      </c>
      <c r="C214" s="26"/>
      <c r="D214" s="26"/>
      <c r="E214" s="27"/>
      <c r="F214" s="27"/>
      <c r="G214" s="31" t="str">
        <f aca="false">IF(F214="","",IF(F214&lt;=5,"A",IF(F214&lt;=8,"B",IF(F214&lt;=10,"C","D"))))</f>
        <v/>
      </c>
      <c r="H214" s="28"/>
      <c r="I214" s="27"/>
      <c r="J214" s="26"/>
      <c r="K214" s="27"/>
      <c r="L214" s="27"/>
      <c r="M214" s="27"/>
      <c r="N214" s="27"/>
      <c r="O214" s="31" t="str">
        <f aca="false">IF(G214="","",VLOOKUP(G214,Setup!$A$14:$C$17,3,0))</f>
        <v/>
      </c>
      <c r="P214" s="27"/>
      <c r="Q214" s="33" t="str">
        <f aca="false">IF(OR(P214="",M214&lt;&gt;"Paid",O214=""),"",P214/O214)</f>
        <v/>
      </c>
      <c r="R214" s="34" t="str">
        <f aca="false">IF(Q214="","",Q214+N(H214)*0.000000001)</f>
        <v/>
      </c>
      <c r="S214" s="32" t="str">
        <f aca="false">IF(R214="","",SUMPRODUCT((I$5:I$4004=I214)*ISNUMBER(R$5:R$4004)*(R$5:R$4004&gt;R214))+1)</f>
        <v/>
      </c>
      <c r="T214" s="32" t="str">
        <f aca="false">IF(S214="","",IF(S214&lt;=Setup!$B$5,"🏆 WINNER",""))</f>
        <v/>
      </c>
      <c r="U214" s="31" t="str">
        <f aca="false">IF(S214="","",I214&amp;"|"&amp;S214)</f>
        <v/>
      </c>
    </row>
    <row r="215" customFormat="false" ht="15" hidden="false" customHeight="false" outlineLevel="0" collapsed="false">
      <c r="A215" s="24" t="n">
        <v>211</v>
      </c>
      <c r="B215" s="25" t="str">
        <f aca="false">IF(OR(C215="",I215="",G215=""),"",IFERROR(VLOOKUP(I215,Setup!$A$9:$B$11,2,0),"???")&amp;"-"&amp;G215&amp;"-"&amp;TEXT(COUNTIFS(I$5:I215,I215,G$5:G215,G215),"0000"))</f>
        <v/>
      </c>
      <c r="C215" s="26"/>
      <c r="D215" s="26"/>
      <c r="E215" s="27"/>
      <c r="F215" s="27"/>
      <c r="G215" s="24" t="str">
        <f aca="false">IF(F215="","",IF(F215&lt;=5,"A",IF(F215&lt;=8,"B",IF(F215&lt;=10,"C","D"))))</f>
        <v/>
      </c>
      <c r="H215" s="28"/>
      <c r="I215" s="27"/>
      <c r="J215" s="26"/>
      <c r="K215" s="27"/>
      <c r="L215" s="27"/>
      <c r="M215" s="27"/>
      <c r="N215" s="27"/>
      <c r="O215" s="24" t="str">
        <f aca="false">IF(G215="","",VLOOKUP(G215,Setup!$A$14:$C$17,3,0))</f>
        <v/>
      </c>
      <c r="P215" s="27"/>
      <c r="Q215" s="29" t="str">
        <f aca="false">IF(OR(P215="",M215&lt;&gt;"Paid",O215=""),"",P215/O215)</f>
        <v/>
      </c>
      <c r="R215" s="30" t="str">
        <f aca="false">IF(Q215="","",Q215+N(H215)*0.000000001)</f>
        <v/>
      </c>
      <c r="S215" s="25" t="str">
        <f aca="false">IF(R215="","",SUMPRODUCT((I$5:I$4004=I215)*ISNUMBER(R$5:R$4004)*(R$5:R$4004&gt;R215))+1)</f>
        <v/>
      </c>
      <c r="T215" s="25" t="str">
        <f aca="false">IF(S215="","",IF(S215&lt;=Setup!$B$5,"🏆 WINNER",""))</f>
        <v/>
      </c>
      <c r="U215" s="24" t="str">
        <f aca="false">IF(S215="","",I215&amp;"|"&amp;S215)</f>
        <v/>
      </c>
    </row>
    <row r="216" customFormat="false" ht="15" hidden="false" customHeight="false" outlineLevel="0" collapsed="false">
      <c r="A216" s="31" t="n">
        <v>212</v>
      </c>
      <c r="B216" s="32" t="str">
        <f aca="false">IF(OR(C216="",I216="",G216=""),"",IFERROR(VLOOKUP(I216,Setup!$A$9:$B$11,2,0),"???")&amp;"-"&amp;G216&amp;"-"&amp;TEXT(COUNTIFS(I$5:I216,I216,G$5:G216,G216),"0000"))</f>
        <v/>
      </c>
      <c r="C216" s="26"/>
      <c r="D216" s="26"/>
      <c r="E216" s="27"/>
      <c r="F216" s="27"/>
      <c r="G216" s="31" t="str">
        <f aca="false">IF(F216="","",IF(F216&lt;=5,"A",IF(F216&lt;=8,"B",IF(F216&lt;=10,"C","D"))))</f>
        <v/>
      </c>
      <c r="H216" s="28"/>
      <c r="I216" s="27"/>
      <c r="J216" s="26"/>
      <c r="K216" s="27"/>
      <c r="L216" s="27"/>
      <c r="M216" s="27"/>
      <c r="N216" s="27"/>
      <c r="O216" s="31" t="str">
        <f aca="false">IF(G216="","",VLOOKUP(G216,Setup!$A$14:$C$17,3,0))</f>
        <v/>
      </c>
      <c r="P216" s="27"/>
      <c r="Q216" s="33" t="str">
        <f aca="false">IF(OR(P216="",M216&lt;&gt;"Paid",O216=""),"",P216/O216)</f>
        <v/>
      </c>
      <c r="R216" s="34" t="str">
        <f aca="false">IF(Q216="","",Q216+N(H216)*0.000000001)</f>
        <v/>
      </c>
      <c r="S216" s="32" t="str">
        <f aca="false">IF(R216="","",SUMPRODUCT((I$5:I$4004=I216)*ISNUMBER(R$5:R$4004)*(R$5:R$4004&gt;R216))+1)</f>
        <v/>
      </c>
      <c r="T216" s="32" t="str">
        <f aca="false">IF(S216="","",IF(S216&lt;=Setup!$B$5,"🏆 WINNER",""))</f>
        <v/>
      </c>
      <c r="U216" s="31" t="str">
        <f aca="false">IF(S216="","",I216&amp;"|"&amp;S216)</f>
        <v/>
      </c>
    </row>
    <row r="217" customFormat="false" ht="15" hidden="false" customHeight="false" outlineLevel="0" collapsed="false">
      <c r="A217" s="24" t="n">
        <v>213</v>
      </c>
      <c r="B217" s="25" t="str">
        <f aca="false">IF(OR(C217="",I217="",G217=""),"",IFERROR(VLOOKUP(I217,Setup!$A$9:$B$11,2,0),"???")&amp;"-"&amp;G217&amp;"-"&amp;TEXT(COUNTIFS(I$5:I217,I217,G$5:G217,G217),"0000"))</f>
        <v/>
      </c>
      <c r="C217" s="26"/>
      <c r="D217" s="26"/>
      <c r="E217" s="27"/>
      <c r="F217" s="27"/>
      <c r="G217" s="24" t="str">
        <f aca="false">IF(F217="","",IF(F217&lt;=5,"A",IF(F217&lt;=8,"B",IF(F217&lt;=10,"C","D"))))</f>
        <v/>
      </c>
      <c r="H217" s="28"/>
      <c r="I217" s="27"/>
      <c r="J217" s="26"/>
      <c r="K217" s="27"/>
      <c r="L217" s="27"/>
      <c r="M217" s="27"/>
      <c r="N217" s="27"/>
      <c r="O217" s="24" t="str">
        <f aca="false">IF(G217="","",VLOOKUP(G217,Setup!$A$14:$C$17,3,0))</f>
        <v/>
      </c>
      <c r="P217" s="27"/>
      <c r="Q217" s="29" t="str">
        <f aca="false">IF(OR(P217="",M217&lt;&gt;"Paid",O217=""),"",P217/O217)</f>
        <v/>
      </c>
      <c r="R217" s="30" t="str">
        <f aca="false">IF(Q217="","",Q217+N(H217)*0.000000001)</f>
        <v/>
      </c>
      <c r="S217" s="25" t="str">
        <f aca="false">IF(R217="","",SUMPRODUCT((I$5:I$4004=I217)*ISNUMBER(R$5:R$4004)*(R$5:R$4004&gt;R217))+1)</f>
        <v/>
      </c>
      <c r="T217" s="25" t="str">
        <f aca="false">IF(S217="","",IF(S217&lt;=Setup!$B$5,"🏆 WINNER",""))</f>
        <v/>
      </c>
      <c r="U217" s="24" t="str">
        <f aca="false">IF(S217="","",I217&amp;"|"&amp;S217)</f>
        <v/>
      </c>
    </row>
    <row r="218" customFormat="false" ht="15" hidden="false" customHeight="false" outlineLevel="0" collapsed="false">
      <c r="A218" s="31" t="n">
        <v>214</v>
      </c>
      <c r="B218" s="32" t="str">
        <f aca="false">IF(OR(C218="",I218="",G218=""),"",IFERROR(VLOOKUP(I218,Setup!$A$9:$B$11,2,0),"???")&amp;"-"&amp;G218&amp;"-"&amp;TEXT(COUNTIFS(I$5:I218,I218,G$5:G218,G218),"0000"))</f>
        <v/>
      </c>
      <c r="C218" s="26"/>
      <c r="D218" s="26"/>
      <c r="E218" s="27"/>
      <c r="F218" s="27"/>
      <c r="G218" s="31" t="str">
        <f aca="false">IF(F218="","",IF(F218&lt;=5,"A",IF(F218&lt;=8,"B",IF(F218&lt;=10,"C","D"))))</f>
        <v/>
      </c>
      <c r="H218" s="28"/>
      <c r="I218" s="27"/>
      <c r="J218" s="26"/>
      <c r="K218" s="27"/>
      <c r="L218" s="27"/>
      <c r="M218" s="27"/>
      <c r="N218" s="27"/>
      <c r="O218" s="31" t="str">
        <f aca="false">IF(G218="","",VLOOKUP(G218,Setup!$A$14:$C$17,3,0))</f>
        <v/>
      </c>
      <c r="P218" s="27"/>
      <c r="Q218" s="33" t="str">
        <f aca="false">IF(OR(P218="",M218&lt;&gt;"Paid",O218=""),"",P218/O218)</f>
        <v/>
      </c>
      <c r="R218" s="34" t="str">
        <f aca="false">IF(Q218="","",Q218+N(H218)*0.000000001)</f>
        <v/>
      </c>
      <c r="S218" s="32" t="str">
        <f aca="false">IF(R218="","",SUMPRODUCT((I$5:I$4004=I218)*ISNUMBER(R$5:R$4004)*(R$5:R$4004&gt;R218))+1)</f>
        <v/>
      </c>
      <c r="T218" s="32" t="str">
        <f aca="false">IF(S218="","",IF(S218&lt;=Setup!$B$5,"🏆 WINNER",""))</f>
        <v/>
      </c>
      <c r="U218" s="31" t="str">
        <f aca="false">IF(S218="","",I218&amp;"|"&amp;S218)</f>
        <v/>
      </c>
    </row>
    <row r="219" customFormat="false" ht="15" hidden="false" customHeight="false" outlineLevel="0" collapsed="false">
      <c r="A219" s="24" t="n">
        <v>215</v>
      </c>
      <c r="B219" s="25" t="str">
        <f aca="false">IF(OR(C219="",I219="",G219=""),"",IFERROR(VLOOKUP(I219,Setup!$A$9:$B$11,2,0),"???")&amp;"-"&amp;G219&amp;"-"&amp;TEXT(COUNTIFS(I$5:I219,I219,G$5:G219,G219),"0000"))</f>
        <v/>
      </c>
      <c r="C219" s="26"/>
      <c r="D219" s="26"/>
      <c r="E219" s="27"/>
      <c r="F219" s="27"/>
      <c r="G219" s="24" t="str">
        <f aca="false">IF(F219="","",IF(F219&lt;=5,"A",IF(F219&lt;=8,"B",IF(F219&lt;=10,"C","D"))))</f>
        <v/>
      </c>
      <c r="H219" s="28"/>
      <c r="I219" s="27"/>
      <c r="J219" s="26"/>
      <c r="K219" s="27"/>
      <c r="L219" s="27"/>
      <c r="M219" s="27"/>
      <c r="N219" s="27"/>
      <c r="O219" s="24" t="str">
        <f aca="false">IF(G219="","",VLOOKUP(G219,Setup!$A$14:$C$17,3,0))</f>
        <v/>
      </c>
      <c r="P219" s="27"/>
      <c r="Q219" s="29" t="str">
        <f aca="false">IF(OR(P219="",M219&lt;&gt;"Paid",O219=""),"",P219/O219)</f>
        <v/>
      </c>
      <c r="R219" s="30" t="str">
        <f aca="false">IF(Q219="","",Q219+N(H219)*0.000000001)</f>
        <v/>
      </c>
      <c r="S219" s="25" t="str">
        <f aca="false">IF(R219="","",SUMPRODUCT((I$5:I$4004=I219)*ISNUMBER(R$5:R$4004)*(R$5:R$4004&gt;R219))+1)</f>
        <v/>
      </c>
      <c r="T219" s="25" t="str">
        <f aca="false">IF(S219="","",IF(S219&lt;=Setup!$B$5,"🏆 WINNER",""))</f>
        <v/>
      </c>
      <c r="U219" s="24" t="str">
        <f aca="false">IF(S219="","",I219&amp;"|"&amp;S219)</f>
        <v/>
      </c>
    </row>
    <row r="220" customFormat="false" ht="15" hidden="false" customHeight="false" outlineLevel="0" collapsed="false">
      <c r="A220" s="31" t="n">
        <v>216</v>
      </c>
      <c r="B220" s="32" t="str">
        <f aca="false">IF(OR(C220="",I220="",G220=""),"",IFERROR(VLOOKUP(I220,Setup!$A$9:$B$11,2,0),"???")&amp;"-"&amp;G220&amp;"-"&amp;TEXT(COUNTIFS(I$5:I220,I220,G$5:G220,G220),"0000"))</f>
        <v/>
      </c>
      <c r="C220" s="26"/>
      <c r="D220" s="26"/>
      <c r="E220" s="27"/>
      <c r="F220" s="27"/>
      <c r="G220" s="31" t="str">
        <f aca="false">IF(F220="","",IF(F220&lt;=5,"A",IF(F220&lt;=8,"B",IF(F220&lt;=10,"C","D"))))</f>
        <v/>
      </c>
      <c r="H220" s="28"/>
      <c r="I220" s="27"/>
      <c r="J220" s="26"/>
      <c r="K220" s="27"/>
      <c r="L220" s="27"/>
      <c r="M220" s="27"/>
      <c r="N220" s="27"/>
      <c r="O220" s="31" t="str">
        <f aca="false">IF(G220="","",VLOOKUP(G220,Setup!$A$14:$C$17,3,0))</f>
        <v/>
      </c>
      <c r="P220" s="27"/>
      <c r="Q220" s="33" t="str">
        <f aca="false">IF(OR(P220="",M220&lt;&gt;"Paid",O220=""),"",P220/O220)</f>
        <v/>
      </c>
      <c r="R220" s="34" t="str">
        <f aca="false">IF(Q220="","",Q220+N(H220)*0.000000001)</f>
        <v/>
      </c>
      <c r="S220" s="32" t="str">
        <f aca="false">IF(R220="","",SUMPRODUCT((I$5:I$4004=I220)*ISNUMBER(R$5:R$4004)*(R$5:R$4004&gt;R220))+1)</f>
        <v/>
      </c>
      <c r="T220" s="32" t="str">
        <f aca="false">IF(S220="","",IF(S220&lt;=Setup!$B$5,"🏆 WINNER",""))</f>
        <v/>
      </c>
      <c r="U220" s="31" t="str">
        <f aca="false">IF(S220="","",I220&amp;"|"&amp;S220)</f>
        <v/>
      </c>
    </row>
    <row r="221" customFormat="false" ht="15" hidden="false" customHeight="false" outlineLevel="0" collapsed="false">
      <c r="A221" s="24" t="n">
        <v>217</v>
      </c>
      <c r="B221" s="25" t="str">
        <f aca="false">IF(OR(C221="",I221="",G221=""),"",IFERROR(VLOOKUP(I221,Setup!$A$9:$B$11,2,0),"???")&amp;"-"&amp;G221&amp;"-"&amp;TEXT(COUNTIFS(I$5:I221,I221,G$5:G221,G221),"0000"))</f>
        <v/>
      </c>
      <c r="C221" s="26"/>
      <c r="D221" s="26"/>
      <c r="E221" s="27"/>
      <c r="F221" s="27"/>
      <c r="G221" s="24" t="str">
        <f aca="false">IF(F221="","",IF(F221&lt;=5,"A",IF(F221&lt;=8,"B",IF(F221&lt;=10,"C","D"))))</f>
        <v/>
      </c>
      <c r="H221" s="28"/>
      <c r="I221" s="27"/>
      <c r="J221" s="26"/>
      <c r="K221" s="27"/>
      <c r="L221" s="27"/>
      <c r="M221" s="27"/>
      <c r="N221" s="27"/>
      <c r="O221" s="24" t="str">
        <f aca="false">IF(G221="","",VLOOKUP(G221,Setup!$A$14:$C$17,3,0))</f>
        <v/>
      </c>
      <c r="P221" s="27"/>
      <c r="Q221" s="29" t="str">
        <f aca="false">IF(OR(P221="",M221&lt;&gt;"Paid",O221=""),"",P221/O221)</f>
        <v/>
      </c>
      <c r="R221" s="30" t="str">
        <f aca="false">IF(Q221="","",Q221+N(H221)*0.000000001)</f>
        <v/>
      </c>
      <c r="S221" s="25" t="str">
        <f aca="false">IF(R221="","",SUMPRODUCT((I$5:I$4004=I221)*ISNUMBER(R$5:R$4004)*(R$5:R$4004&gt;R221))+1)</f>
        <v/>
      </c>
      <c r="T221" s="25" t="str">
        <f aca="false">IF(S221="","",IF(S221&lt;=Setup!$B$5,"🏆 WINNER",""))</f>
        <v/>
      </c>
      <c r="U221" s="24" t="str">
        <f aca="false">IF(S221="","",I221&amp;"|"&amp;S221)</f>
        <v/>
      </c>
    </row>
    <row r="222" customFormat="false" ht="15" hidden="false" customHeight="false" outlineLevel="0" collapsed="false">
      <c r="A222" s="31" t="n">
        <v>218</v>
      </c>
      <c r="B222" s="32" t="str">
        <f aca="false">IF(OR(C222="",I222="",G222=""),"",IFERROR(VLOOKUP(I222,Setup!$A$9:$B$11,2,0),"???")&amp;"-"&amp;G222&amp;"-"&amp;TEXT(COUNTIFS(I$5:I222,I222,G$5:G222,G222),"0000"))</f>
        <v/>
      </c>
      <c r="C222" s="26"/>
      <c r="D222" s="26"/>
      <c r="E222" s="27"/>
      <c r="F222" s="27"/>
      <c r="G222" s="31" t="str">
        <f aca="false">IF(F222="","",IF(F222&lt;=5,"A",IF(F222&lt;=8,"B",IF(F222&lt;=10,"C","D"))))</f>
        <v/>
      </c>
      <c r="H222" s="28"/>
      <c r="I222" s="27"/>
      <c r="J222" s="26"/>
      <c r="K222" s="27"/>
      <c r="L222" s="27"/>
      <c r="M222" s="27"/>
      <c r="N222" s="27"/>
      <c r="O222" s="31" t="str">
        <f aca="false">IF(G222="","",VLOOKUP(G222,Setup!$A$14:$C$17,3,0))</f>
        <v/>
      </c>
      <c r="P222" s="27"/>
      <c r="Q222" s="33" t="str">
        <f aca="false">IF(OR(P222="",M222&lt;&gt;"Paid",O222=""),"",P222/O222)</f>
        <v/>
      </c>
      <c r="R222" s="34" t="str">
        <f aca="false">IF(Q222="","",Q222+N(H222)*0.000000001)</f>
        <v/>
      </c>
      <c r="S222" s="32" t="str">
        <f aca="false">IF(R222="","",SUMPRODUCT((I$5:I$4004=I222)*ISNUMBER(R$5:R$4004)*(R$5:R$4004&gt;R222))+1)</f>
        <v/>
      </c>
      <c r="T222" s="32" t="str">
        <f aca="false">IF(S222="","",IF(S222&lt;=Setup!$B$5,"🏆 WINNER",""))</f>
        <v/>
      </c>
      <c r="U222" s="31" t="str">
        <f aca="false">IF(S222="","",I222&amp;"|"&amp;S222)</f>
        <v/>
      </c>
    </row>
    <row r="223" customFormat="false" ht="15" hidden="false" customHeight="false" outlineLevel="0" collapsed="false">
      <c r="A223" s="24" t="n">
        <v>219</v>
      </c>
      <c r="B223" s="25" t="str">
        <f aca="false">IF(OR(C223="",I223="",G223=""),"",IFERROR(VLOOKUP(I223,Setup!$A$9:$B$11,2,0),"???")&amp;"-"&amp;G223&amp;"-"&amp;TEXT(COUNTIFS(I$5:I223,I223,G$5:G223,G223),"0000"))</f>
        <v/>
      </c>
      <c r="C223" s="26"/>
      <c r="D223" s="26"/>
      <c r="E223" s="27"/>
      <c r="F223" s="27"/>
      <c r="G223" s="24" t="str">
        <f aca="false">IF(F223="","",IF(F223&lt;=5,"A",IF(F223&lt;=8,"B",IF(F223&lt;=10,"C","D"))))</f>
        <v/>
      </c>
      <c r="H223" s="28"/>
      <c r="I223" s="27"/>
      <c r="J223" s="26"/>
      <c r="K223" s="27"/>
      <c r="L223" s="27"/>
      <c r="M223" s="27"/>
      <c r="N223" s="27"/>
      <c r="O223" s="24" t="str">
        <f aca="false">IF(G223="","",VLOOKUP(G223,Setup!$A$14:$C$17,3,0))</f>
        <v/>
      </c>
      <c r="P223" s="27"/>
      <c r="Q223" s="29" t="str">
        <f aca="false">IF(OR(P223="",M223&lt;&gt;"Paid",O223=""),"",P223/O223)</f>
        <v/>
      </c>
      <c r="R223" s="30" t="str">
        <f aca="false">IF(Q223="","",Q223+N(H223)*0.000000001)</f>
        <v/>
      </c>
      <c r="S223" s="25" t="str">
        <f aca="false">IF(R223="","",SUMPRODUCT((I$5:I$4004=I223)*ISNUMBER(R$5:R$4004)*(R$5:R$4004&gt;R223))+1)</f>
        <v/>
      </c>
      <c r="T223" s="25" t="str">
        <f aca="false">IF(S223="","",IF(S223&lt;=Setup!$B$5,"🏆 WINNER",""))</f>
        <v/>
      </c>
      <c r="U223" s="24" t="str">
        <f aca="false">IF(S223="","",I223&amp;"|"&amp;S223)</f>
        <v/>
      </c>
    </row>
    <row r="224" customFormat="false" ht="15" hidden="false" customHeight="false" outlineLevel="0" collapsed="false">
      <c r="A224" s="31" t="n">
        <v>220</v>
      </c>
      <c r="B224" s="32" t="str">
        <f aca="false">IF(OR(C224="",I224="",G224=""),"",IFERROR(VLOOKUP(I224,Setup!$A$9:$B$11,2,0),"???")&amp;"-"&amp;G224&amp;"-"&amp;TEXT(COUNTIFS(I$5:I224,I224,G$5:G224,G224),"0000"))</f>
        <v/>
      </c>
      <c r="C224" s="26"/>
      <c r="D224" s="26"/>
      <c r="E224" s="27"/>
      <c r="F224" s="27"/>
      <c r="G224" s="31" t="str">
        <f aca="false">IF(F224="","",IF(F224&lt;=5,"A",IF(F224&lt;=8,"B",IF(F224&lt;=10,"C","D"))))</f>
        <v/>
      </c>
      <c r="H224" s="28"/>
      <c r="I224" s="27"/>
      <c r="J224" s="26"/>
      <c r="K224" s="27"/>
      <c r="L224" s="27"/>
      <c r="M224" s="27"/>
      <c r="N224" s="27"/>
      <c r="O224" s="31" t="str">
        <f aca="false">IF(G224="","",VLOOKUP(G224,Setup!$A$14:$C$17,3,0))</f>
        <v/>
      </c>
      <c r="P224" s="27"/>
      <c r="Q224" s="33" t="str">
        <f aca="false">IF(OR(P224="",M224&lt;&gt;"Paid",O224=""),"",P224/O224)</f>
        <v/>
      </c>
      <c r="R224" s="34" t="str">
        <f aca="false">IF(Q224="","",Q224+N(H224)*0.000000001)</f>
        <v/>
      </c>
      <c r="S224" s="32" t="str">
        <f aca="false">IF(R224="","",SUMPRODUCT((I$5:I$4004=I224)*ISNUMBER(R$5:R$4004)*(R$5:R$4004&gt;R224))+1)</f>
        <v/>
      </c>
      <c r="T224" s="32" t="str">
        <f aca="false">IF(S224="","",IF(S224&lt;=Setup!$B$5,"🏆 WINNER",""))</f>
        <v/>
      </c>
      <c r="U224" s="31" t="str">
        <f aca="false">IF(S224="","",I224&amp;"|"&amp;S224)</f>
        <v/>
      </c>
    </row>
    <row r="225" customFormat="false" ht="15" hidden="false" customHeight="false" outlineLevel="0" collapsed="false">
      <c r="A225" s="24" t="n">
        <v>221</v>
      </c>
      <c r="B225" s="25" t="str">
        <f aca="false">IF(OR(C225="",I225="",G225=""),"",IFERROR(VLOOKUP(I225,Setup!$A$9:$B$11,2,0),"???")&amp;"-"&amp;G225&amp;"-"&amp;TEXT(COUNTIFS(I$5:I225,I225,G$5:G225,G225),"0000"))</f>
        <v/>
      </c>
      <c r="C225" s="26"/>
      <c r="D225" s="26"/>
      <c r="E225" s="27"/>
      <c r="F225" s="27"/>
      <c r="G225" s="24" t="str">
        <f aca="false">IF(F225="","",IF(F225&lt;=5,"A",IF(F225&lt;=8,"B",IF(F225&lt;=10,"C","D"))))</f>
        <v/>
      </c>
      <c r="H225" s="28"/>
      <c r="I225" s="27"/>
      <c r="J225" s="26"/>
      <c r="K225" s="27"/>
      <c r="L225" s="27"/>
      <c r="M225" s="27"/>
      <c r="N225" s="27"/>
      <c r="O225" s="24" t="str">
        <f aca="false">IF(G225="","",VLOOKUP(G225,Setup!$A$14:$C$17,3,0))</f>
        <v/>
      </c>
      <c r="P225" s="27"/>
      <c r="Q225" s="29" t="str">
        <f aca="false">IF(OR(P225="",M225&lt;&gt;"Paid",O225=""),"",P225/O225)</f>
        <v/>
      </c>
      <c r="R225" s="30" t="str">
        <f aca="false">IF(Q225="","",Q225+N(H225)*0.000000001)</f>
        <v/>
      </c>
      <c r="S225" s="25" t="str">
        <f aca="false">IF(R225="","",SUMPRODUCT((I$5:I$4004=I225)*ISNUMBER(R$5:R$4004)*(R$5:R$4004&gt;R225))+1)</f>
        <v/>
      </c>
      <c r="T225" s="25" t="str">
        <f aca="false">IF(S225="","",IF(S225&lt;=Setup!$B$5,"🏆 WINNER",""))</f>
        <v/>
      </c>
      <c r="U225" s="24" t="str">
        <f aca="false">IF(S225="","",I225&amp;"|"&amp;S225)</f>
        <v/>
      </c>
    </row>
    <row r="226" customFormat="false" ht="15" hidden="false" customHeight="false" outlineLevel="0" collapsed="false">
      <c r="A226" s="31" t="n">
        <v>222</v>
      </c>
      <c r="B226" s="32" t="str">
        <f aca="false">IF(OR(C226="",I226="",G226=""),"",IFERROR(VLOOKUP(I226,Setup!$A$9:$B$11,2,0),"???")&amp;"-"&amp;G226&amp;"-"&amp;TEXT(COUNTIFS(I$5:I226,I226,G$5:G226,G226),"0000"))</f>
        <v/>
      </c>
      <c r="C226" s="26"/>
      <c r="D226" s="26"/>
      <c r="E226" s="27"/>
      <c r="F226" s="27"/>
      <c r="G226" s="31" t="str">
        <f aca="false">IF(F226="","",IF(F226&lt;=5,"A",IF(F226&lt;=8,"B",IF(F226&lt;=10,"C","D"))))</f>
        <v/>
      </c>
      <c r="H226" s="28"/>
      <c r="I226" s="27"/>
      <c r="J226" s="26"/>
      <c r="K226" s="27"/>
      <c r="L226" s="27"/>
      <c r="M226" s="27"/>
      <c r="N226" s="27"/>
      <c r="O226" s="31" t="str">
        <f aca="false">IF(G226="","",VLOOKUP(G226,Setup!$A$14:$C$17,3,0))</f>
        <v/>
      </c>
      <c r="P226" s="27"/>
      <c r="Q226" s="33" t="str">
        <f aca="false">IF(OR(P226="",M226&lt;&gt;"Paid",O226=""),"",P226/O226)</f>
        <v/>
      </c>
      <c r="R226" s="34" t="str">
        <f aca="false">IF(Q226="","",Q226+N(H226)*0.000000001)</f>
        <v/>
      </c>
      <c r="S226" s="32" t="str">
        <f aca="false">IF(R226="","",SUMPRODUCT((I$5:I$4004=I226)*ISNUMBER(R$5:R$4004)*(R$5:R$4004&gt;R226))+1)</f>
        <v/>
      </c>
      <c r="T226" s="32" t="str">
        <f aca="false">IF(S226="","",IF(S226&lt;=Setup!$B$5,"🏆 WINNER",""))</f>
        <v/>
      </c>
      <c r="U226" s="31" t="str">
        <f aca="false">IF(S226="","",I226&amp;"|"&amp;S226)</f>
        <v/>
      </c>
    </row>
    <row r="227" customFormat="false" ht="15" hidden="false" customHeight="false" outlineLevel="0" collapsed="false">
      <c r="A227" s="24" t="n">
        <v>223</v>
      </c>
      <c r="B227" s="25" t="str">
        <f aca="false">IF(OR(C227="",I227="",G227=""),"",IFERROR(VLOOKUP(I227,Setup!$A$9:$B$11,2,0),"???")&amp;"-"&amp;G227&amp;"-"&amp;TEXT(COUNTIFS(I$5:I227,I227,G$5:G227,G227),"0000"))</f>
        <v/>
      </c>
      <c r="C227" s="26"/>
      <c r="D227" s="26"/>
      <c r="E227" s="27"/>
      <c r="F227" s="27"/>
      <c r="G227" s="24" t="str">
        <f aca="false">IF(F227="","",IF(F227&lt;=5,"A",IF(F227&lt;=8,"B",IF(F227&lt;=10,"C","D"))))</f>
        <v/>
      </c>
      <c r="H227" s="28"/>
      <c r="I227" s="27"/>
      <c r="J227" s="26"/>
      <c r="K227" s="27"/>
      <c r="L227" s="27"/>
      <c r="M227" s="27"/>
      <c r="N227" s="27"/>
      <c r="O227" s="24" t="str">
        <f aca="false">IF(G227="","",VLOOKUP(G227,Setup!$A$14:$C$17,3,0))</f>
        <v/>
      </c>
      <c r="P227" s="27"/>
      <c r="Q227" s="29" t="str">
        <f aca="false">IF(OR(P227="",M227&lt;&gt;"Paid",O227=""),"",P227/O227)</f>
        <v/>
      </c>
      <c r="R227" s="30" t="str">
        <f aca="false">IF(Q227="","",Q227+N(H227)*0.000000001)</f>
        <v/>
      </c>
      <c r="S227" s="25" t="str">
        <f aca="false">IF(R227="","",SUMPRODUCT((I$5:I$4004=I227)*ISNUMBER(R$5:R$4004)*(R$5:R$4004&gt;R227))+1)</f>
        <v/>
      </c>
      <c r="T227" s="25" t="str">
        <f aca="false">IF(S227="","",IF(S227&lt;=Setup!$B$5,"🏆 WINNER",""))</f>
        <v/>
      </c>
      <c r="U227" s="24" t="str">
        <f aca="false">IF(S227="","",I227&amp;"|"&amp;S227)</f>
        <v/>
      </c>
    </row>
    <row r="228" customFormat="false" ht="15" hidden="false" customHeight="false" outlineLevel="0" collapsed="false">
      <c r="A228" s="31" t="n">
        <v>224</v>
      </c>
      <c r="B228" s="32" t="str">
        <f aca="false">IF(OR(C228="",I228="",G228=""),"",IFERROR(VLOOKUP(I228,Setup!$A$9:$B$11,2,0),"???")&amp;"-"&amp;G228&amp;"-"&amp;TEXT(COUNTIFS(I$5:I228,I228,G$5:G228,G228),"0000"))</f>
        <v/>
      </c>
      <c r="C228" s="26"/>
      <c r="D228" s="26"/>
      <c r="E228" s="27"/>
      <c r="F228" s="27"/>
      <c r="G228" s="31" t="str">
        <f aca="false">IF(F228="","",IF(F228&lt;=5,"A",IF(F228&lt;=8,"B",IF(F228&lt;=10,"C","D"))))</f>
        <v/>
      </c>
      <c r="H228" s="28"/>
      <c r="I228" s="27"/>
      <c r="J228" s="26"/>
      <c r="K228" s="27"/>
      <c r="L228" s="27"/>
      <c r="M228" s="27"/>
      <c r="N228" s="27"/>
      <c r="O228" s="31" t="str">
        <f aca="false">IF(G228="","",VLOOKUP(G228,Setup!$A$14:$C$17,3,0))</f>
        <v/>
      </c>
      <c r="P228" s="27"/>
      <c r="Q228" s="33" t="str">
        <f aca="false">IF(OR(P228="",M228&lt;&gt;"Paid",O228=""),"",P228/O228)</f>
        <v/>
      </c>
      <c r="R228" s="34" t="str">
        <f aca="false">IF(Q228="","",Q228+N(H228)*0.000000001)</f>
        <v/>
      </c>
      <c r="S228" s="32" t="str">
        <f aca="false">IF(R228="","",SUMPRODUCT((I$5:I$4004=I228)*ISNUMBER(R$5:R$4004)*(R$5:R$4004&gt;R228))+1)</f>
        <v/>
      </c>
      <c r="T228" s="32" t="str">
        <f aca="false">IF(S228="","",IF(S228&lt;=Setup!$B$5,"🏆 WINNER",""))</f>
        <v/>
      </c>
      <c r="U228" s="31" t="str">
        <f aca="false">IF(S228="","",I228&amp;"|"&amp;S228)</f>
        <v/>
      </c>
    </row>
    <row r="229" customFormat="false" ht="15" hidden="false" customHeight="false" outlineLevel="0" collapsed="false">
      <c r="A229" s="24" t="n">
        <v>225</v>
      </c>
      <c r="B229" s="25" t="str">
        <f aca="false">IF(OR(C229="",I229="",G229=""),"",IFERROR(VLOOKUP(I229,Setup!$A$9:$B$11,2,0),"???")&amp;"-"&amp;G229&amp;"-"&amp;TEXT(COUNTIFS(I$5:I229,I229,G$5:G229,G229),"0000"))</f>
        <v/>
      </c>
      <c r="C229" s="26"/>
      <c r="D229" s="26"/>
      <c r="E229" s="27"/>
      <c r="F229" s="27"/>
      <c r="G229" s="24" t="str">
        <f aca="false">IF(F229="","",IF(F229&lt;=5,"A",IF(F229&lt;=8,"B",IF(F229&lt;=10,"C","D"))))</f>
        <v/>
      </c>
      <c r="H229" s="28"/>
      <c r="I229" s="27"/>
      <c r="J229" s="26"/>
      <c r="K229" s="27"/>
      <c r="L229" s="27"/>
      <c r="M229" s="27"/>
      <c r="N229" s="27"/>
      <c r="O229" s="24" t="str">
        <f aca="false">IF(G229="","",VLOOKUP(G229,Setup!$A$14:$C$17,3,0))</f>
        <v/>
      </c>
      <c r="P229" s="27"/>
      <c r="Q229" s="29" t="str">
        <f aca="false">IF(OR(P229="",M229&lt;&gt;"Paid",O229=""),"",P229/O229)</f>
        <v/>
      </c>
      <c r="R229" s="30" t="str">
        <f aca="false">IF(Q229="","",Q229+N(H229)*0.000000001)</f>
        <v/>
      </c>
      <c r="S229" s="25" t="str">
        <f aca="false">IF(R229="","",SUMPRODUCT((I$5:I$4004=I229)*ISNUMBER(R$5:R$4004)*(R$5:R$4004&gt;R229))+1)</f>
        <v/>
      </c>
      <c r="T229" s="25" t="str">
        <f aca="false">IF(S229="","",IF(S229&lt;=Setup!$B$5,"🏆 WINNER",""))</f>
        <v/>
      </c>
      <c r="U229" s="24" t="str">
        <f aca="false">IF(S229="","",I229&amp;"|"&amp;S229)</f>
        <v/>
      </c>
    </row>
    <row r="230" customFormat="false" ht="15" hidden="false" customHeight="false" outlineLevel="0" collapsed="false">
      <c r="A230" s="31" t="n">
        <v>226</v>
      </c>
      <c r="B230" s="32" t="str">
        <f aca="false">IF(OR(C230="",I230="",G230=""),"",IFERROR(VLOOKUP(I230,Setup!$A$9:$B$11,2,0),"???")&amp;"-"&amp;G230&amp;"-"&amp;TEXT(COUNTIFS(I$5:I230,I230,G$5:G230,G230),"0000"))</f>
        <v/>
      </c>
      <c r="C230" s="26"/>
      <c r="D230" s="26"/>
      <c r="E230" s="27"/>
      <c r="F230" s="27"/>
      <c r="G230" s="31" t="str">
        <f aca="false">IF(F230="","",IF(F230&lt;=5,"A",IF(F230&lt;=8,"B",IF(F230&lt;=10,"C","D"))))</f>
        <v/>
      </c>
      <c r="H230" s="28"/>
      <c r="I230" s="27"/>
      <c r="J230" s="26"/>
      <c r="K230" s="27"/>
      <c r="L230" s="27"/>
      <c r="M230" s="27"/>
      <c r="N230" s="27"/>
      <c r="O230" s="31" t="str">
        <f aca="false">IF(G230="","",VLOOKUP(G230,Setup!$A$14:$C$17,3,0))</f>
        <v/>
      </c>
      <c r="P230" s="27"/>
      <c r="Q230" s="33" t="str">
        <f aca="false">IF(OR(P230="",M230&lt;&gt;"Paid",O230=""),"",P230/O230)</f>
        <v/>
      </c>
      <c r="R230" s="34" t="str">
        <f aca="false">IF(Q230="","",Q230+N(H230)*0.000000001)</f>
        <v/>
      </c>
      <c r="S230" s="32" t="str">
        <f aca="false">IF(R230="","",SUMPRODUCT((I$5:I$4004=I230)*ISNUMBER(R$5:R$4004)*(R$5:R$4004&gt;R230))+1)</f>
        <v/>
      </c>
      <c r="T230" s="32" t="str">
        <f aca="false">IF(S230="","",IF(S230&lt;=Setup!$B$5,"🏆 WINNER",""))</f>
        <v/>
      </c>
      <c r="U230" s="31" t="str">
        <f aca="false">IF(S230="","",I230&amp;"|"&amp;S230)</f>
        <v/>
      </c>
    </row>
    <row r="231" customFormat="false" ht="15" hidden="false" customHeight="false" outlineLevel="0" collapsed="false">
      <c r="A231" s="24" t="n">
        <v>227</v>
      </c>
      <c r="B231" s="25" t="str">
        <f aca="false">IF(OR(C231="",I231="",G231=""),"",IFERROR(VLOOKUP(I231,Setup!$A$9:$B$11,2,0),"???")&amp;"-"&amp;G231&amp;"-"&amp;TEXT(COUNTIFS(I$5:I231,I231,G$5:G231,G231),"0000"))</f>
        <v/>
      </c>
      <c r="C231" s="26"/>
      <c r="D231" s="26"/>
      <c r="E231" s="27"/>
      <c r="F231" s="27"/>
      <c r="G231" s="24" t="str">
        <f aca="false">IF(F231="","",IF(F231&lt;=5,"A",IF(F231&lt;=8,"B",IF(F231&lt;=10,"C","D"))))</f>
        <v/>
      </c>
      <c r="H231" s="28"/>
      <c r="I231" s="27"/>
      <c r="J231" s="26"/>
      <c r="K231" s="27"/>
      <c r="L231" s="27"/>
      <c r="M231" s="27"/>
      <c r="N231" s="27"/>
      <c r="O231" s="24" t="str">
        <f aca="false">IF(G231="","",VLOOKUP(G231,Setup!$A$14:$C$17,3,0))</f>
        <v/>
      </c>
      <c r="P231" s="27"/>
      <c r="Q231" s="29" t="str">
        <f aca="false">IF(OR(P231="",M231&lt;&gt;"Paid",O231=""),"",P231/O231)</f>
        <v/>
      </c>
      <c r="R231" s="30" t="str">
        <f aca="false">IF(Q231="","",Q231+N(H231)*0.000000001)</f>
        <v/>
      </c>
      <c r="S231" s="25" t="str">
        <f aca="false">IF(R231="","",SUMPRODUCT((I$5:I$4004=I231)*ISNUMBER(R$5:R$4004)*(R$5:R$4004&gt;R231))+1)</f>
        <v/>
      </c>
      <c r="T231" s="25" t="str">
        <f aca="false">IF(S231="","",IF(S231&lt;=Setup!$B$5,"🏆 WINNER",""))</f>
        <v/>
      </c>
      <c r="U231" s="24" t="str">
        <f aca="false">IF(S231="","",I231&amp;"|"&amp;S231)</f>
        <v/>
      </c>
    </row>
    <row r="232" customFormat="false" ht="15" hidden="false" customHeight="false" outlineLevel="0" collapsed="false">
      <c r="A232" s="31" t="n">
        <v>228</v>
      </c>
      <c r="B232" s="32" t="str">
        <f aca="false">IF(OR(C232="",I232="",G232=""),"",IFERROR(VLOOKUP(I232,Setup!$A$9:$B$11,2,0),"???")&amp;"-"&amp;G232&amp;"-"&amp;TEXT(COUNTIFS(I$5:I232,I232,G$5:G232,G232),"0000"))</f>
        <v/>
      </c>
      <c r="C232" s="26"/>
      <c r="D232" s="26"/>
      <c r="E232" s="27"/>
      <c r="F232" s="27"/>
      <c r="G232" s="31" t="str">
        <f aca="false">IF(F232="","",IF(F232&lt;=5,"A",IF(F232&lt;=8,"B",IF(F232&lt;=10,"C","D"))))</f>
        <v/>
      </c>
      <c r="H232" s="28"/>
      <c r="I232" s="27"/>
      <c r="J232" s="26"/>
      <c r="K232" s="27"/>
      <c r="L232" s="27"/>
      <c r="M232" s="27"/>
      <c r="N232" s="27"/>
      <c r="O232" s="31" t="str">
        <f aca="false">IF(G232="","",VLOOKUP(G232,Setup!$A$14:$C$17,3,0))</f>
        <v/>
      </c>
      <c r="P232" s="27"/>
      <c r="Q232" s="33" t="str">
        <f aca="false">IF(OR(P232="",M232&lt;&gt;"Paid",O232=""),"",P232/O232)</f>
        <v/>
      </c>
      <c r="R232" s="34" t="str">
        <f aca="false">IF(Q232="","",Q232+N(H232)*0.000000001)</f>
        <v/>
      </c>
      <c r="S232" s="32" t="str">
        <f aca="false">IF(R232="","",SUMPRODUCT((I$5:I$4004=I232)*ISNUMBER(R$5:R$4004)*(R$5:R$4004&gt;R232))+1)</f>
        <v/>
      </c>
      <c r="T232" s="32" t="str">
        <f aca="false">IF(S232="","",IF(S232&lt;=Setup!$B$5,"🏆 WINNER",""))</f>
        <v/>
      </c>
      <c r="U232" s="31" t="str">
        <f aca="false">IF(S232="","",I232&amp;"|"&amp;S232)</f>
        <v/>
      </c>
    </row>
    <row r="233" customFormat="false" ht="15" hidden="false" customHeight="false" outlineLevel="0" collapsed="false">
      <c r="A233" s="24" t="n">
        <v>229</v>
      </c>
      <c r="B233" s="25" t="str">
        <f aca="false">IF(OR(C233="",I233="",G233=""),"",IFERROR(VLOOKUP(I233,Setup!$A$9:$B$11,2,0),"???")&amp;"-"&amp;G233&amp;"-"&amp;TEXT(COUNTIFS(I$5:I233,I233,G$5:G233,G233),"0000"))</f>
        <v/>
      </c>
      <c r="C233" s="26"/>
      <c r="D233" s="26"/>
      <c r="E233" s="27"/>
      <c r="F233" s="27"/>
      <c r="G233" s="24" t="str">
        <f aca="false">IF(F233="","",IF(F233&lt;=5,"A",IF(F233&lt;=8,"B",IF(F233&lt;=10,"C","D"))))</f>
        <v/>
      </c>
      <c r="H233" s="28"/>
      <c r="I233" s="27"/>
      <c r="J233" s="26"/>
      <c r="K233" s="27"/>
      <c r="L233" s="27"/>
      <c r="M233" s="27"/>
      <c r="N233" s="27"/>
      <c r="O233" s="24" t="str">
        <f aca="false">IF(G233="","",VLOOKUP(G233,Setup!$A$14:$C$17,3,0))</f>
        <v/>
      </c>
      <c r="P233" s="27"/>
      <c r="Q233" s="29" t="str">
        <f aca="false">IF(OR(P233="",M233&lt;&gt;"Paid",O233=""),"",P233/O233)</f>
        <v/>
      </c>
      <c r="R233" s="30" t="str">
        <f aca="false">IF(Q233="","",Q233+N(H233)*0.000000001)</f>
        <v/>
      </c>
      <c r="S233" s="25" t="str">
        <f aca="false">IF(R233="","",SUMPRODUCT((I$5:I$4004=I233)*ISNUMBER(R$5:R$4004)*(R$5:R$4004&gt;R233))+1)</f>
        <v/>
      </c>
      <c r="T233" s="25" t="str">
        <f aca="false">IF(S233="","",IF(S233&lt;=Setup!$B$5,"🏆 WINNER",""))</f>
        <v/>
      </c>
      <c r="U233" s="24" t="str">
        <f aca="false">IF(S233="","",I233&amp;"|"&amp;S233)</f>
        <v/>
      </c>
    </row>
    <row r="234" customFormat="false" ht="15" hidden="false" customHeight="false" outlineLevel="0" collapsed="false">
      <c r="A234" s="31" t="n">
        <v>230</v>
      </c>
      <c r="B234" s="32" t="str">
        <f aca="false">IF(OR(C234="",I234="",G234=""),"",IFERROR(VLOOKUP(I234,Setup!$A$9:$B$11,2,0),"???")&amp;"-"&amp;G234&amp;"-"&amp;TEXT(COUNTIFS(I$5:I234,I234,G$5:G234,G234),"0000"))</f>
        <v/>
      </c>
      <c r="C234" s="26"/>
      <c r="D234" s="26"/>
      <c r="E234" s="27"/>
      <c r="F234" s="27"/>
      <c r="G234" s="31" t="str">
        <f aca="false">IF(F234="","",IF(F234&lt;=5,"A",IF(F234&lt;=8,"B",IF(F234&lt;=10,"C","D"))))</f>
        <v/>
      </c>
      <c r="H234" s="28"/>
      <c r="I234" s="27"/>
      <c r="J234" s="26"/>
      <c r="K234" s="27"/>
      <c r="L234" s="27"/>
      <c r="M234" s="27"/>
      <c r="N234" s="27"/>
      <c r="O234" s="31" t="str">
        <f aca="false">IF(G234="","",VLOOKUP(G234,Setup!$A$14:$C$17,3,0))</f>
        <v/>
      </c>
      <c r="P234" s="27"/>
      <c r="Q234" s="33" t="str">
        <f aca="false">IF(OR(P234="",M234&lt;&gt;"Paid",O234=""),"",P234/O234)</f>
        <v/>
      </c>
      <c r="R234" s="34" t="str">
        <f aca="false">IF(Q234="","",Q234+N(H234)*0.000000001)</f>
        <v/>
      </c>
      <c r="S234" s="32" t="str">
        <f aca="false">IF(R234="","",SUMPRODUCT((I$5:I$4004=I234)*ISNUMBER(R$5:R$4004)*(R$5:R$4004&gt;R234))+1)</f>
        <v/>
      </c>
      <c r="T234" s="32" t="str">
        <f aca="false">IF(S234="","",IF(S234&lt;=Setup!$B$5,"🏆 WINNER",""))</f>
        <v/>
      </c>
      <c r="U234" s="31" t="str">
        <f aca="false">IF(S234="","",I234&amp;"|"&amp;S234)</f>
        <v/>
      </c>
    </row>
    <row r="235" customFormat="false" ht="15" hidden="false" customHeight="false" outlineLevel="0" collapsed="false">
      <c r="A235" s="24" t="n">
        <v>231</v>
      </c>
      <c r="B235" s="25" t="str">
        <f aca="false">IF(OR(C235="",I235="",G235=""),"",IFERROR(VLOOKUP(I235,Setup!$A$9:$B$11,2,0),"???")&amp;"-"&amp;G235&amp;"-"&amp;TEXT(COUNTIFS(I$5:I235,I235,G$5:G235,G235),"0000"))</f>
        <v/>
      </c>
      <c r="C235" s="26"/>
      <c r="D235" s="26"/>
      <c r="E235" s="27"/>
      <c r="F235" s="27"/>
      <c r="G235" s="24" t="str">
        <f aca="false">IF(F235="","",IF(F235&lt;=5,"A",IF(F235&lt;=8,"B",IF(F235&lt;=10,"C","D"))))</f>
        <v/>
      </c>
      <c r="H235" s="28"/>
      <c r="I235" s="27"/>
      <c r="J235" s="26"/>
      <c r="K235" s="27"/>
      <c r="L235" s="27"/>
      <c r="M235" s="27"/>
      <c r="N235" s="27"/>
      <c r="O235" s="24" t="str">
        <f aca="false">IF(G235="","",VLOOKUP(G235,Setup!$A$14:$C$17,3,0))</f>
        <v/>
      </c>
      <c r="P235" s="27"/>
      <c r="Q235" s="29" t="str">
        <f aca="false">IF(OR(P235="",M235&lt;&gt;"Paid",O235=""),"",P235/O235)</f>
        <v/>
      </c>
      <c r="R235" s="30" t="str">
        <f aca="false">IF(Q235="","",Q235+N(H235)*0.000000001)</f>
        <v/>
      </c>
      <c r="S235" s="25" t="str">
        <f aca="false">IF(R235="","",SUMPRODUCT((I$5:I$4004=I235)*ISNUMBER(R$5:R$4004)*(R$5:R$4004&gt;R235))+1)</f>
        <v/>
      </c>
      <c r="T235" s="25" t="str">
        <f aca="false">IF(S235="","",IF(S235&lt;=Setup!$B$5,"🏆 WINNER",""))</f>
        <v/>
      </c>
      <c r="U235" s="24" t="str">
        <f aca="false">IF(S235="","",I235&amp;"|"&amp;S235)</f>
        <v/>
      </c>
    </row>
    <row r="236" customFormat="false" ht="15" hidden="false" customHeight="false" outlineLevel="0" collapsed="false">
      <c r="A236" s="31" t="n">
        <v>232</v>
      </c>
      <c r="B236" s="32" t="str">
        <f aca="false">IF(OR(C236="",I236="",G236=""),"",IFERROR(VLOOKUP(I236,Setup!$A$9:$B$11,2,0),"???")&amp;"-"&amp;G236&amp;"-"&amp;TEXT(COUNTIFS(I$5:I236,I236,G$5:G236,G236),"0000"))</f>
        <v/>
      </c>
      <c r="C236" s="26"/>
      <c r="D236" s="26"/>
      <c r="E236" s="27"/>
      <c r="F236" s="27"/>
      <c r="G236" s="31" t="str">
        <f aca="false">IF(F236="","",IF(F236&lt;=5,"A",IF(F236&lt;=8,"B",IF(F236&lt;=10,"C","D"))))</f>
        <v/>
      </c>
      <c r="H236" s="28"/>
      <c r="I236" s="27"/>
      <c r="J236" s="26"/>
      <c r="K236" s="27"/>
      <c r="L236" s="27"/>
      <c r="M236" s="27"/>
      <c r="N236" s="27"/>
      <c r="O236" s="31" t="str">
        <f aca="false">IF(G236="","",VLOOKUP(G236,Setup!$A$14:$C$17,3,0))</f>
        <v/>
      </c>
      <c r="P236" s="27"/>
      <c r="Q236" s="33" t="str">
        <f aca="false">IF(OR(P236="",M236&lt;&gt;"Paid",O236=""),"",P236/O236)</f>
        <v/>
      </c>
      <c r="R236" s="34" t="str">
        <f aca="false">IF(Q236="","",Q236+N(H236)*0.000000001)</f>
        <v/>
      </c>
      <c r="S236" s="32" t="str">
        <f aca="false">IF(R236="","",SUMPRODUCT((I$5:I$4004=I236)*ISNUMBER(R$5:R$4004)*(R$5:R$4004&gt;R236))+1)</f>
        <v/>
      </c>
      <c r="T236" s="32" t="str">
        <f aca="false">IF(S236="","",IF(S236&lt;=Setup!$B$5,"🏆 WINNER",""))</f>
        <v/>
      </c>
      <c r="U236" s="31" t="str">
        <f aca="false">IF(S236="","",I236&amp;"|"&amp;S236)</f>
        <v/>
      </c>
    </row>
    <row r="237" customFormat="false" ht="15" hidden="false" customHeight="false" outlineLevel="0" collapsed="false">
      <c r="A237" s="24" t="n">
        <v>233</v>
      </c>
      <c r="B237" s="25" t="str">
        <f aca="false">IF(OR(C237="",I237="",G237=""),"",IFERROR(VLOOKUP(I237,Setup!$A$9:$B$11,2,0),"???")&amp;"-"&amp;G237&amp;"-"&amp;TEXT(COUNTIFS(I$5:I237,I237,G$5:G237,G237),"0000"))</f>
        <v/>
      </c>
      <c r="C237" s="26"/>
      <c r="D237" s="26"/>
      <c r="E237" s="27"/>
      <c r="F237" s="27"/>
      <c r="G237" s="24" t="str">
        <f aca="false">IF(F237="","",IF(F237&lt;=5,"A",IF(F237&lt;=8,"B",IF(F237&lt;=10,"C","D"))))</f>
        <v/>
      </c>
      <c r="H237" s="28"/>
      <c r="I237" s="27"/>
      <c r="J237" s="26"/>
      <c r="K237" s="27"/>
      <c r="L237" s="27"/>
      <c r="M237" s="27"/>
      <c r="N237" s="27"/>
      <c r="O237" s="24" t="str">
        <f aca="false">IF(G237="","",VLOOKUP(G237,Setup!$A$14:$C$17,3,0))</f>
        <v/>
      </c>
      <c r="P237" s="27"/>
      <c r="Q237" s="29" t="str">
        <f aca="false">IF(OR(P237="",M237&lt;&gt;"Paid",O237=""),"",P237/O237)</f>
        <v/>
      </c>
      <c r="R237" s="30" t="str">
        <f aca="false">IF(Q237="","",Q237+N(H237)*0.000000001)</f>
        <v/>
      </c>
      <c r="S237" s="25" t="str">
        <f aca="false">IF(R237="","",SUMPRODUCT((I$5:I$4004=I237)*ISNUMBER(R$5:R$4004)*(R$5:R$4004&gt;R237))+1)</f>
        <v/>
      </c>
      <c r="T237" s="25" t="str">
        <f aca="false">IF(S237="","",IF(S237&lt;=Setup!$B$5,"🏆 WINNER",""))</f>
        <v/>
      </c>
      <c r="U237" s="24" t="str">
        <f aca="false">IF(S237="","",I237&amp;"|"&amp;S237)</f>
        <v/>
      </c>
    </row>
    <row r="238" customFormat="false" ht="15" hidden="false" customHeight="false" outlineLevel="0" collapsed="false">
      <c r="A238" s="31" t="n">
        <v>234</v>
      </c>
      <c r="B238" s="32" t="str">
        <f aca="false">IF(OR(C238="",I238="",G238=""),"",IFERROR(VLOOKUP(I238,Setup!$A$9:$B$11,2,0),"???")&amp;"-"&amp;G238&amp;"-"&amp;TEXT(COUNTIFS(I$5:I238,I238,G$5:G238,G238),"0000"))</f>
        <v/>
      </c>
      <c r="C238" s="26"/>
      <c r="D238" s="26"/>
      <c r="E238" s="27"/>
      <c r="F238" s="27"/>
      <c r="G238" s="31" t="str">
        <f aca="false">IF(F238="","",IF(F238&lt;=5,"A",IF(F238&lt;=8,"B",IF(F238&lt;=10,"C","D"))))</f>
        <v/>
      </c>
      <c r="H238" s="28"/>
      <c r="I238" s="27"/>
      <c r="J238" s="26"/>
      <c r="K238" s="27"/>
      <c r="L238" s="27"/>
      <c r="M238" s="27"/>
      <c r="N238" s="27"/>
      <c r="O238" s="31" t="str">
        <f aca="false">IF(G238="","",VLOOKUP(G238,Setup!$A$14:$C$17,3,0))</f>
        <v/>
      </c>
      <c r="P238" s="27"/>
      <c r="Q238" s="33" t="str">
        <f aca="false">IF(OR(P238="",M238&lt;&gt;"Paid",O238=""),"",P238/O238)</f>
        <v/>
      </c>
      <c r="R238" s="34" t="str">
        <f aca="false">IF(Q238="","",Q238+N(H238)*0.000000001)</f>
        <v/>
      </c>
      <c r="S238" s="32" t="str">
        <f aca="false">IF(R238="","",SUMPRODUCT((I$5:I$4004=I238)*ISNUMBER(R$5:R$4004)*(R$5:R$4004&gt;R238))+1)</f>
        <v/>
      </c>
      <c r="T238" s="32" t="str">
        <f aca="false">IF(S238="","",IF(S238&lt;=Setup!$B$5,"🏆 WINNER",""))</f>
        <v/>
      </c>
      <c r="U238" s="31" t="str">
        <f aca="false">IF(S238="","",I238&amp;"|"&amp;S238)</f>
        <v/>
      </c>
    </row>
    <row r="239" customFormat="false" ht="15" hidden="false" customHeight="false" outlineLevel="0" collapsed="false">
      <c r="A239" s="24" t="n">
        <v>235</v>
      </c>
      <c r="B239" s="25" t="str">
        <f aca="false">IF(OR(C239="",I239="",G239=""),"",IFERROR(VLOOKUP(I239,Setup!$A$9:$B$11,2,0),"???")&amp;"-"&amp;G239&amp;"-"&amp;TEXT(COUNTIFS(I$5:I239,I239,G$5:G239,G239),"0000"))</f>
        <v/>
      </c>
      <c r="C239" s="26"/>
      <c r="D239" s="26"/>
      <c r="E239" s="27"/>
      <c r="F239" s="27"/>
      <c r="G239" s="24" t="str">
        <f aca="false">IF(F239="","",IF(F239&lt;=5,"A",IF(F239&lt;=8,"B",IF(F239&lt;=10,"C","D"))))</f>
        <v/>
      </c>
      <c r="H239" s="28"/>
      <c r="I239" s="27"/>
      <c r="J239" s="26"/>
      <c r="K239" s="27"/>
      <c r="L239" s="27"/>
      <c r="M239" s="27"/>
      <c r="N239" s="27"/>
      <c r="O239" s="24" t="str">
        <f aca="false">IF(G239="","",VLOOKUP(G239,Setup!$A$14:$C$17,3,0))</f>
        <v/>
      </c>
      <c r="P239" s="27"/>
      <c r="Q239" s="29" t="str">
        <f aca="false">IF(OR(P239="",M239&lt;&gt;"Paid",O239=""),"",P239/O239)</f>
        <v/>
      </c>
      <c r="R239" s="30" t="str">
        <f aca="false">IF(Q239="","",Q239+N(H239)*0.000000001)</f>
        <v/>
      </c>
      <c r="S239" s="25" t="str">
        <f aca="false">IF(R239="","",SUMPRODUCT((I$5:I$4004=I239)*ISNUMBER(R$5:R$4004)*(R$5:R$4004&gt;R239))+1)</f>
        <v/>
      </c>
      <c r="T239" s="25" t="str">
        <f aca="false">IF(S239="","",IF(S239&lt;=Setup!$B$5,"🏆 WINNER",""))</f>
        <v/>
      </c>
      <c r="U239" s="24" t="str">
        <f aca="false">IF(S239="","",I239&amp;"|"&amp;S239)</f>
        <v/>
      </c>
    </row>
    <row r="240" customFormat="false" ht="15" hidden="false" customHeight="false" outlineLevel="0" collapsed="false">
      <c r="A240" s="31" t="n">
        <v>236</v>
      </c>
      <c r="B240" s="32" t="str">
        <f aca="false">IF(OR(C240="",I240="",G240=""),"",IFERROR(VLOOKUP(I240,Setup!$A$9:$B$11,2,0),"???")&amp;"-"&amp;G240&amp;"-"&amp;TEXT(COUNTIFS(I$5:I240,I240,G$5:G240,G240),"0000"))</f>
        <v/>
      </c>
      <c r="C240" s="26"/>
      <c r="D240" s="26"/>
      <c r="E240" s="27"/>
      <c r="F240" s="27"/>
      <c r="G240" s="31" t="str">
        <f aca="false">IF(F240="","",IF(F240&lt;=5,"A",IF(F240&lt;=8,"B",IF(F240&lt;=10,"C","D"))))</f>
        <v/>
      </c>
      <c r="H240" s="28"/>
      <c r="I240" s="27"/>
      <c r="J240" s="26"/>
      <c r="K240" s="27"/>
      <c r="L240" s="27"/>
      <c r="M240" s="27"/>
      <c r="N240" s="27"/>
      <c r="O240" s="31" t="str">
        <f aca="false">IF(G240="","",VLOOKUP(G240,Setup!$A$14:$C$17,3,0))</f>
        <v/>
      </c>
      <c r="P240" s="27"/>
      <c r="Q240" s="33" t="str">
        <f aca="false">IF(OR(P240="",M240&lt;&gt;"Paid",O240=""),"",P240/O240)</f>
        <v/>
      </c>
      <c r="R240" s="34" t="str">
        <f aca="false">IF(Q240="","",Q240+N(H240)*0.000000001)</f>
        <v/>
      </c>
      <c r="S240" s="32" t="str">
        <f aca="false">IF(R240="","",SUMPRODUCT((I$5:I$4004=I240)*ISNUMBER(R$5:R$4004)*(R$5:R$4004&gt;R240))+1)</f>
        <v/>
      </c>
      <c r="T240" s="32" t="str">
        <f aca="false">IF(S240="","",IF(S240&lt;=Setup!$B$5,"🏆 WINNER",""))</f>
        <v/>
      </c>
      <c r="U240" s="31" t="str">
        <f aca="false">IF(S240="","",I240&amp;"|"&amp;S240)</f>
        <v/>
      </c>
    </row>
    <row r="241" customFormat="false" ht="15" hidden="false" customHeight="false" outlineLevel="0" collapsed="false">
      <c r="A241" s="24" t="n">
        <v>237</v>
      </c>
      <c r="B241" s="25" t="str">
        <f aca="false">IF(OR(C241="",I241="",G241=""),"",IFERROR(VLOOKUP(I241,Setup!$A$9:$B$11,2,0),"???")&amp;"-"&amp;G241&amp;"-"&amp;TEXT(COUNTIFS(I$5:I241,I241,G$5:G241,G241),"0000"))</f>
        <v/>
      </c>
      <c r="C241" s="26"/>
      <c r="D241" s="26"/>
      <c r="E241" s="27"/>
      <c r="F241" s="27"/>
      <c r="G241" s="24" t="str">
        <f aca="false">IF(F241="","",IF(F241&lt;=5,"A",IF(F241&lt;=8,"B",IF(F241&lt;=10,"C","D"))))</f>
        <v/>
      </c>
      <c r="H241" s="28"/>
      <c r="I241" s="27"/>
      <c r="J241" s="26"/>
      <c r="K241" s="27"/>
      <c r="L241" s="27"/>
      <c r="M241" s="27"/>
      <c r="N241" s="27"/>
      <c r="O241" s="24" t="str">
        <f aca="false">IF(G241="","",VLOOKUP(G241,Setup!$A$14:$C$17,3,0))</f>
        <v/>
      </c>
      <c r="P241" s="27"/>
      <c r="Q241" s="29" t="str">
        <f aca="false">IF(OR(P241="",M241&lt;&gt;"Paid",O241=""),"",P241/O241)</f>
        <v/>
      </c>
      <c r="R241" s="30" t="str">
        <f aca="false">IF(Q241="","",Q241+N(H241)*0.000000001)</f>
        <v/>
      </c>
      <c r="S241" s="25" t="str">
        <f aca="false">IF(R241="","",SUMPRODUCT((I$5:I$4004=I241)*ISNUMBER(R$5:R$4004)*(R$5:R$4004&gt;R241))+1)</f>
        <v/>
      </c>
      <c r="T241" s="25" t="str">
        <f aca="false">IF(S241="","",IF(S241&lt;=Setup!$B$5,"🏆 WINNER",""))</f>
        <v/>
      </c>
      <c r="U241" s="24" t="str">
        <f aca="false">IF(S241="","",I241&amp;"|"&amp;S241)</f>
        <v/>
      </c>
    </row>
    <row r="242" customFormat="false" ht="15" hidden="false" customHeight="false" outlineLevel="0" collapsed="false">
      <c r="A242" s="31" t="n">
        <v>238</v>
      </c>
      <c r="B242" s="32" t="str">
        <f aca="false">IF(OR(C242="",I242="",G242=""),"",IFERROR(VLOOKUP(I242,Setup!$A$9:$B$11,2,0),"???")&amp;"-"&amp;G242&amp;"-"&amp;TEXT(COUNTIFS(I$5:I242,I242,G$5:G242,G242),"0000"))</f>
        <v/>
      </c>
      <c r="C242" s="26"/>
      <c r="D242" s="26"/>
      <c r="E242" s="27"/>
      <c r="F242" s="27"/>
      <c r="G242" s="31" t="str">
        <f aca="false">IF(F242="","",IF(F242&lt;=5,"A",IF(F242&lt;=8,"B",IF(F242&lt;=10,"C","D"))))</f>
        <v/>
      </c>
      <c r="H242" s="28"/>
      <c r="I242" s="27"/>
      <c r="J242" s="26"/>
      <c r="K242" s="27"/>
      <c r="L242" s="27"/>
      <c r="M242" s="27"/>
      <c r="N242" s="27"/>
      <c r="O242" s="31" t="str">
        <f aca="false">IF(G242="","",VLOOKUP(G242,Setup!$A$14:$C$17,3,0))</f>
        <v/>
      </c>
      <c r="P242" s="27"/>
      <c r="Q242" s="33" t="str">
        <f aca="false">IF(OR(P242="",M242&lt;&gt;"Paid",O242=""),"",P242/O242)</f>
        <v/>
      </c>
      <c r="R242" s="34" t="str">
        <f aca="false">IF(Q242="","",Q242+N(H242)*0.000000001)</f>
        <v/>
      </c>
      <c r="S242" s="32" t="str">
        <f aca="false">IF(R242="","",SUMPRODUCT((I$5:I$4004=I242)*ISNUMBER(R$5:R$4004)*(R$5:R$4004&gt;R242))+1)</f>
        <v/>
      </c>
      <c r="T242" s="32" t="str">
        <f aca="false">IF(S242="","",IF(S242&lt;=Setup!$B$5,"🏆 WINNER",""))</f>
        <v/>
      </c>
      <c r="U242" s="31" t="str">
        <f aca="false">IF(S242="","",I242&amp;"|"&amp;S242)</f>
        <v/>
      </c>
    </row>
    <row r="243" customFormat="false" ht="15" hidden="false" customHeight="false" outlineLevel="0" collapsed="false">
      <c r="A243" s="24" t="n">
        <v>239</v>
      </c>
      <c r="B243" s="25" t="str">
        <f aca="false">IF(OR(C243="",I243="",G243=""),"",IFERROR(VLOOKUP(I243,Setup!$A$9:$B$11,2,0),"???")&amp;"-"&amp;G243&amp;"-"&amp;TEXT(COUNTIFS(I$5:I243,I243,G$5:G243,G243),"0000"))</f>
        <v/>
      </c>
      <c r="C243" s="26"/>
      <c r="D243" s="26"/>
      <c r="E243" s="27"/>
      <c r="F243" s="27"/>
      <c r="G243" s="24" t="str">
        <f aca="false">IF(F243="","",IF(F243&lt;=5,"A",IF(F243&lt;=8,"B",IF(F243&lt;=10,"C","D"))))</f>
        <v/>
      </c>
      <c r="H243" s="28"/>
      <c r="I243" s="27"/>
      <c r="J243" s="26"/>
      <c r="K243" s="27"/>
      <c r="L243" s="27"/>
      <c r="M243" s="27"/>
      <c r="N243" s="27"/>
      <c r="O243" s="24" t="str">
        <f aca="false">IF(G243="","",VLOOKUP(G243,Setup!$A$14:$C$17,3,0))</f>
        <v/>
      </c>
      <c r="P243" s="27"/>
      <c r="Q243" s="29" t="str">
        <f aca="false">IF(OR(P243="",M243&lt;&gt;"Paid",O243=""),"",P243/O243)</f>
        <v/>
      </c>
      <c r="R243" s="30" t="str">
        <f aca="false">IF(Q243="","",Q243+N(H243)*0.000000001)</f>
        <v/>
      </c>
      <c r="S243" s="25" t="str">
        <f aca="false">IF(R243="","",SUMPRODUCT((I$5:I$4004=I243)*ISNUMBER(R$5:R$4004)*(R$5:R$4004&gt;R243))+1)</f>
        <v/>
      </c>
      <c r="T243" s="25" t="str">
        <f aca="false">IF(S243="","",IF(S243&lt;=Setup!$B$5,"🏆 WINNER",""))</f>
        <v/>
      </c>
      <c r="U243" s="24" t="str">
        <f aca="false">IF(S243="","",I243&amp;"|"&amp;S243)</f>
        <v/>
      </c>
    </row>
    <row r="244" customFormat="false" ht="15" hidden="false" customHeight="false" outlineLevel="0" collapsed="false">
      <c r="A244" s="31" t="n">
        <v>240</v>
      </c>
      <c r="B244" s="32" t="str">
        <f aca="false">IF(OR(C244="",I244="",G244=""),"",IFERROR(VLOOKUP(I244,Setup!$A$9:$B$11,2,0),"???")&amp;"-"&amp;G244&amp;"-"&amp;TEXT(COUNTIFS(I$5:I244,I244,G$5:G244,G244),"0000"))</f>
        <v/>
      </c>
      <c r="C244" s="26"/>
      <c r="D244" s="26"/>
      <c r="E244" s="27"/>
      <c r="F244" s="27"/>
      <c r="G244" s="31" t="str">
        <f aca="false">IF(F244="","",IF(F244&lt;=5,"A",IF(F244&lt;=8,"B",IF(F244&lt;=10,"C","D"))))</f>
        <v/>
      </c>
      <c r="H244" s="28"/>
      <c r="I244" s="27"/>
      <c r="J244" s="26"/>
      <c r="K244" s="27"/>
      <c r="L244" s="27"/>
      <c r="M244" s="27"/>
      <c r="N244" s="27"/>
      <c r="O244" s="31" t="str">
        <f aca="false">IF(G244="","",VLOOKUP(G244,Setup!$A$14:$C$17,3,0))</f>
        <v/>
      </c>
      <c r="P244" s="27"/>
      <c r="Q244" s="33" t="str">
        <f aca="false">IF(OR(P244="",M244&lt;&gt;"Paid",O244=""),"",P244/O244)</f>
        <v/>
      </c>
      <c r="R244" s="34" t="str">
        <f aca="false">IF(Q244="","",Q244+N(H244)*0.000000001)</f>
        <v/>
      </c>
      <c r="S244" s="32" t="str">
        <f aca="false">IF(R244="","",SUMPRODUCT((I$5:I$4004=I244)*ISNUMBER(R$5:R$4004)*(R$5:R$4004&gt;R244))+1)</f>
        <v/>
      </c>
      <c r="T244" s="32" t="str">
        <f aca="false">IF(S244="","",IF(S244&lt;=Setup!$B$5,"🏆 WINNER",""))</f>
        <v/>
      </c>
      <c r="U244" s="31" t="str">
        <f aca="false">IF(S244="","",I244&amp;"|"&amp;S244)</f>
        <v/>
      </c>
    </row>
    <row r="245" customFormat="false" ht="15" hidden="false" customHeight="false" outlineLevel="0" collapsed="false">
      <c r="A245" s="24" t="n">
        <v>241</v>
      </c>
      <c r="B245" s="25" t="str">
        <f aca="false">IF(OR(C245="",I245="",G245=""),"",IFERROR(VLOOKUP(I245,Setup!$A$9:$B$11,2,0),"???")&amp;"-"&amp;G245&amp;"-"&amp;TEXT(COUNTIFS(I$5:I245,I245,G$5:G245,G245),"0000"))</f>
        <v/>
      </c>
      <c r="C245" s="26"/>
      <c r="D245" s="26"/>
      <c r="E245" s="27"/>
      <c r="F245" s="27"/>
      <c r="G245" s="24" t="str">
        <f aca="false">IF(F245="","",IF(F245&lt;=5,"A",IF(F245&lt;=8,"B",IF(F245&lt;=10,"C","D"))))</f>
        <v/>
      </c>
      <c r="H245" s="28"/>
      <c r="I245" s="27"/>
      <c r="J245" s="26"/>
      <c r="K245" s="27"/>
      <c r="L245" s="27"/>
      <c r="M245" s="27"/>
      <c r="N245" s="27"/>
      <c r="O245" s="24" t="str">
        <f aca="false">IF(G245="","",VLOOKUP(G245,Setup!$A$14:$C$17,3,0))</f>
        <v/>
      </c>
      <c r="P245" s="27"/>
      <c r="Q245" s="29" t="str">
        <f aca="false">IF(OR(P245="",M245&lt;&gt;"Paid",O245=""),"",P245/O245)</f>
        <v/>
      </c>
      <c r="R245" s="30" t="str">
        <f aca="false">IF(Q245="","",Q245+N(H245)*0.000000001)</f>
        <v/>
      </c>
      <c r="S245" s="25" t="str">
        <f aca="false">IF(R245="","",SUMPRODUCT((I$5:I$4004=I245)*ISNUMBER(R$5:R$4004)*(R$5:R$4004&gt;R245))+1)</f>
        <v/>
      </c>
      <c r="T245" s="25" t="str">
        <f aca="false">IF(S245="","",IF(S245&lt;=Setup!$B$5,"🏆 WINNER",""))</f>
        <v/>
      </c>
      <c r="U245" s="24" t="str">
        <f aca="false">IF(S245="","",I245&amp;"|"&amp;S245)</f>
        <v/>
      </c>
    </row>
    <row r="246" customFormat="false" ht="15" hidden="false" customHeight="false" outlineLevel="0" collapsed="false">
      <c r="A246" s="31" t="n">
        <v>242</v>
      </c>
      <c r="B246" s="32" t="str">
        <f aca="false">IF(OR(C246="",I246="",G246=""),"",IFERROR(VLOOKUP(I246,Setup!$A$9:$B$11,2,0),"???")&amp;"-"&amp;G246&amp;"-"&amp;TEXT(COUNTIFS(I$5:I246,I246,G$5:G246,G246),"0000"))</f>
        <v/>
      </c>
      <c r="C246" s="26"/>
      <c r="D246" s="26"/>
      <c r="E246" s="27"/>
      <c r="F246" s="27"/>
      <c r="G246" s="31" t="str">
        <f aca="false">IF(F246="","",IF(F246&lt;=5,"A",IF(F246&lt;=8,"B",IF(F246&lt;=10,"C","D"))))</f>
        <v/>
      </c>
      <c r="H246" s="28"/>
      <c r="I246" s="27"/>
      <c r="J246" s="26"/>
      <c r="K246" s="27"/>
      <c r="L246" s="27"/>
      <c r="M246" s="27"/>
      <c r="N246" s="27"/>
      <c r="O246" s="31" t="str">
        <f aca="false">IF(G246="","",VLOOKUP(G246,Setup!$A$14:$C$17,3,0))</f>
        <v/>
      </c>
      <c r="P246" s="27"/>
      <c r="Q246" s="33" t="str">
        <f aca="false">IF(OR(P246="",M246&lt;&gt;"Paid",O246=""),"",P246/O246)</f>
        <v/>
      </c>
      <c r="R246" s="34" t="str">
        <f aca="false">IF(Q246="","",Q246+N(H246)*0.000000001)</f>
        <v/>
      </c>
      <c r="S246" s="32" t="str">
        <f aca="false">IF(R246="","",SUMPRODUCT((I$5:I$4004=I246)*ISNUMBER(R$5:R$4004)*(R$5:R$4004&gt;R246))+1)</f>
        <v/>
      </c>
      <c r="T246" s="32" t="str">
        <f aca="false">IF(S246="","",IF(S246&lt;=Setup!$B$5,"🏆 WINNER",""))</f>
        <v/>
      </c>
      <c r="U246" s="31" t="str">
        <f aca="false">IF(S246="","",I246&amp;"|"&amp;S246)</f>
        <v/>
      </c>
    </row>
    <row r="247" customFormat="false" ht="15" hidden="false" customHeight="false" outlineLevel="0" collapsed="false">
      <c r="A247" s="24" t="n">
        <v>243</v>
      </c>
      <c r="B247" s="25" t="str">
        <f aca="false">IF(OR(C247="",I247="",G247=""),"",IFERROR(VLOOKUP(I247,Setup!$A$9:$B$11,2,0),"???")&amp;"-"&amp;G247&amp;"-"&amp;TEXT(COUNTIFS(I$5:I247,I247,G$5:G247,G247),"0000"))</f>
        <v/>
      </c>
      <c r="C247" s="26"/>
      <c r="D247" s="26"/>
      <c r="E247" s="27"/>
      <c r="F247" s="27"/>
      <c r="G247" s="24" t="str">
        <f aca="false">IF(F247="","",IF(F247&lt;=5,"A",IF(F247&lt;=8,"B",IF(F247&lt;=10,"C","D"))))</f>
        <v/>
      </c>
      <c r="H247" s="28"/>
      <c r="I247" s="27"/>
      <c r="J247" s="26"/>
      <c r="K247" s="27"/>
      <c r="L247" s="27"/>
      <c r="M247" s="27"/>
      <c r="N247" s="27"/>
      <c r="O247" s="24" t="str">
        <f aca="false">IF(G247="","",VLOOKUP(G247,Setup!$A$14:$C$17,3,0))</f>
        <v/>
      </c>
      <c r="P247" s="27"/>
      <c r="Q247" s="29" t="str">
        <f aca="false">IF(OR(P247="",M247&lt;&gt;"Paid",O247=""),"",P247/O247)</f>
        <v/>
      </c>
      <c r="R247" s="30" t="str">
        <f aca="false">IF(Q247="","",Q247+N(H247)*0.000000001)</f>
        <v/>
      </c>
      <c r="S247" s="25" t="str">
        <f aca="false">IF(R247="","",SUMPRODUCT((I$5:I$4004=I247)*ISNUMBER(R$5:R$4004)*(R$5:R$4004&gt;R247))+1)</f>
        <v/>
      </c>
      <c r="T247" s="25" t="str">
        <f aca="false">IF(S247="","",IF(S247&lt;=Setup!$B$5,"🏆 WINNER",""))</f>
        <v/>
      </c>
      <c r="U247" s="24" t="str">
        <f aca="false">IF(S247="","",I247&amp;"|"&amp;S247)</f>
        <v/>
      </c>
    </row>
    <row r="248" customFormat="false" ht="15" hidden="false" customHeight="false" outlineLevel="0" collapsed="false">
      <c r="A248" s="31" t="n">
        <v>244</v>
      </c>
      <c r="B248" s="32" t="str">
        <f aca="false">IF(OR(C248="",I248="",G248=""),"",IFERROR(VLOOKUP(I248,Setup!$A$9:$B$11,2,0),"???")&amp;"-"&amp;G248&amp;"-"&amp;TEXT(COUNTIFS(I$5:I248,I248,G$5:G248,G248),"0000"))</f>
        <v/>
      </c>
      <c r="C248" s="26"/>
      <c r="D248" s="26"/>
      <c r="E248" s="27"/>
      <c r="F248" s="27"/>
      <c r="G248" s="31" t="str">
        <f aca="false">IF(F248="","",IF(F248&lt;=5,"A",IF(F248&lt;=8,"B",IF(F248&lt;=10,"C","D"))))</f>
        <v/>
      </c>
      <c r="H248" s="28"/>
      <c r="I248" s="27"/>
      <c r="J248" s="26"/>
      <c r="K248" s="27"/>
      <c r="L248" s="27"/>
      <c r="M248" s="27"/>
      <c r="N248" s="27"/>
      <c r="O248" s="31" t="str">
        <f aca="false">IF(G248="","",VLOOKUP(G248,Setup!$A$14:$C$17,3,0))</f>
        <v/>
      </c>
      <c r="P248" s="27"/>
      <c r="Q248" s="33" t="str">
        <f aca="false">IF(OR(P248="",M248&lt;&gt;"Paid",O248=""),"",P248/O248)</f>
        <v/>
      </c>
      <c r="R248" s="34" t="str">
        <f aca="false">IF(Q248="","",Q248+N(H248)*0.000000001)</f>
        <v/>
      </c>
      <c r="S248" s="32" t="str">
        <f aca="false">IF(R248="","",SUMPRODUCT((I$5:I$4004=I248)*ISNUMBER(R$5:R$4004)*(R$5:R$4004&gt;R248))+1)</f>
        <v/>
      </c>
      <c r="T248" s="32" t="str">
        <f aca="false">IF(S248="","",IF(S248&lt;=Setup!$B$5,"🏆 WINNER",""))</f>
        <v/>
      </c>
      <c r="U248" s="31" t="str">
        <f aca="false">IF(S248="","",I248&amp;"|"&amp;S248)</f>
        <v/>
      </c>
    </row>
    <row r="249" customFormat="false" ht="15" hidden="false" customHeight="false" outlineLevel="0" collapsed="false">
      <c r="A249" s="24" t="n">
        <v>245</v>
      </c>
      <c r="B249" s="25" t="str">
        <f aca="false">IF(OR(C249="",I249="",G249=""),"",IFERROR(VLOOKUP(I249,Setup!$A$9:$B$11,2,0),"???")&amp;"-"&amp;G249&amp;"-"&amp;TEXT(COUNTIFS(I$5:I249,I249,G$5:G249,G249),"0000"))</f>
        <v/>
      </c>
      <c r="C249" s="26"/>
      <c r="D249" s="26"/>
      <c r="E249" s="27"/>
      <c r="F249" s="27"/>
      <c r="G249" s="24" t="str">
        <f aca="false">IF(F249="","",IF(F249&lt;=5,"A",IF(F249&lt;=8,"B",IF(F249&lt;=10,"C","D"))))</f>
        <v/>
      </c>
      <c r="H249" s="28"/>
      <c r="I249" s="27"/>
      <c r="J249" s="26"/>
      <c r="K249" s="27"/>
      <c r="L249" s="27"/>
      <c r="M249" s="27"/>
      <c r="N249" s="27"/>
      <c r="O249" s="24" t="str">
        <f aca="false">IF(G249="","",VLOOKUP(G249,Setup!$A$14:$C$17,3,0))</f>
        <v/>
      </c>
      <c r="P249" s="27"/>
      <c r="Q249" s="29" t="str">
        <f aca="false">IF(OR(P249="",M249&lt;&gt;"Paid",O249=""),"",P249/O249)</f>
        <v/>
      </c>
      <c r="R249" s="30" t="str">
        <f aca="false">IF(Q249="","",Q249+N(H249)*0.000000001)</f>
        <v/>
      </c>
      <c r="S249" s="25" t="str">
        <f aca="false">IF(R249="","",SUMPRODUCT((I$5:I$4004=I249)*ISNUMBER(R$5:R$4004)*(R$5:R$4004&gt;R249))+1)</f>
        <v/>
      </c>
      <c r="T249" s="25" t="str">
        <f aca="false">IF(S249="","",IF(S249&lt;=Setup!$B$5,"🏆 WINNER",""))</f>
        <v/>
      </c>
      <c r="U249" s="24" t="str">
        <f aca="false">IF(S249="","",I249&amp;"|"&amp;S249)</f>
        <v/>
      </c>
    </row>
    <row r="250" customFormat="false" ht="15" hidden="false" customHeight="false" outlineLevel="0" collapsed="false">
      <c r="A250" s="31" t="n">
        <v>246</v>
      </c>
      <c r="B250" s="32" t="str">
        <f aca="false">IF(OR(C250="",I250="",G250=""),"",IFERROR(VLOOKUP(I250,Setup!$A$9:$B$11,2,0),"???")&amp;"-"&amp;G250&amp;"-"&amp;TEXT(COUNTIFS(I$5:I250,I250,G$5:G250,G250),"0000"))</f>
        <v/>
      </c>
      <c r="C250" s="26"/>
      <c r="D250" s="26"/>
      <c r="E250" s="27"/>
      <c r="F250" s="27"/>
      <c r="G250" s="31" t="str">
        <f aca="false">IF(F250="","",IF(F250&lt;=5,"A",IF(F250&lt;=8,"B",IF(F250&lt;=10,"C","D"))))</f>
        <v/>
      </c>
      <c r="H250" s="28"/>
      <c r="I250" s="27"/>
      <c r="J250" s="26"/>
      <c r="K250" s="27"/>
      <c r="L250" s="27"/>
      <c r="M250" s="27"/>
      <c r="N250" s="27"/>
      <c r="O250" s="31" t="str">
        <f aca="false">IF(G250="","",VLOOKUP(G250,Setup!$A$14:$C$17,3,0))</f>
        <v/>
      </c>
      <c r="P250" s="27"/>
      <c r="Q250" s="33" t="str">
        <f aca="false">IF(OR(P250="",M250&lt;&gt;"Paid",O250=""),"",P250/O250)</f>
        <v/>
      </c>
      <c r="R250" s="34" t="str">
        <f aca="false">IF(Q250="","",Q250+N(H250)*0.000000001)</f>
        <v/>
      </c>
      <c r="S250" s="32" t="str">
        <f aca="false">IF(R250="","",SUMPRODUCT((I$5:I$4004=I250)*ISNUMBER(R$5:R$4004)*(R$5:R$4004&gt;R250))+1)</f>
        <v/>
      </c>
      <c r="T250" s="32" t="str">
        <f aca="false">IF(S250="","",IF(S250&lt;=Setup!$B$5,"🏆 WINNER",""))</f>
        <v/>
      </c>
      <c r="U250" s="31" t="str">
        <f aca="false">IF(S250="","",I250&amp;"|"&amp;S250)</f>
        <v/>
      </c>
    </row>
    <row r="251" customFormat="false" ht="15" hidden="false" customHeight="false" outlineLevel="0" collapsed="false">
      <c r="A251" s="24" t="n">
        <v>247</v>
      </c>
      <c r="B251" s="25" t="str">
        <f aca="false">IF(OR(C251="",I251="",G251=""),"",IFERROR(VLOOKUP(I251,Setup!$A$9:$B$11,2,0),"???")&amp;"-"&amp;G251&amp;"-"&amp;TEXT(COUNTIFS(I$5:I251,I251,G$5:G251,G251),"0000"))</f>
        <v/>
      </c>
      <c r="C251" s="26"/>
      <c r="D251" s="26"/>
      <c r="E251" s="27"/>
      <c r="F251" s="27"/>
      <c r="G251" s="24" t="str">
        <f aca="false">IF(F251="","",IF(F251&lt;=5,"A",IF(F251&lt;=8,"B",IF(F251&lt;=10,"C","D"))))</f>
        <v/>
      </c>
      <c r="H251" s="28"/>
      <c r="I251" s="27"/>
      <c r="J251" s="26"/>
      <c r="K251" s="27"/>
      <c r="L251" s="27"/>
      <c r="M251" s="27"/>
      <c r="N251" s="27"/>
      <c r="O251" s="24" t="str">
        <f aca="false">IF(G251="","",VLOOKUP(G251,Setup!$A$14:$C$17,3,0))</f>
        <v/>
      </c>
      <c r="P251" s="27"/>
      <c r="Q251" s="29" t="str">
        <f aca="false">IF(OR(P251="",M251&lt;&gt;"Paid",O251=""),"",P251/O251)</f>
        <v/>
      </c>
      <c r="R251" s="30" t="str">
        <f aca="false">IF(Q251="","",Q251+N(H251)*0.000000001)</f>
        <v/>
      </c>
      <c r="S251" s="25" t="str">
        <f aca="false">IF(R251="","",SUMPRODUCT((I$5:I$4004=I251)*ISNUMBER(R$5:R$4004)*(R$5:R$4004&gt;R251))+1)</f>
        <v/>
      </c>
      <c r="T251" s="25" t="str">
        <f aca="false">IF(S251="","",IF(S251&lt;=Setup!$B$5,"🏆 WINNER",""))</f>
        <v/>
      </c>
      <c r="U251" s="24" t="str">
        <f aca="false">IF(S251="","",I251&amp;"|"&amp;S251)</f>
        <v/>
      </c>
    </row>
    <row r="252" customFormat="false" ht="15" hidden="false" customHeight="false" outlineLevel="0" collapsed="false">
      <c r="A252" s="31" t="n">
        <v>248</v>
      </c>
      <c r="B252" s="32" t="str">
        <f aca="false">IF(OR(C252="",I252="",G252=""),"",IFERROR(VLOOKUP(I252,Setup!$A$9:$B$11,2,0),"???")&amp;"-"&amp;G252&amp;"-"&amp;TEXT(COUNTIFS(I$5:I252,I252,G$5:G252,G252),"0000"))</f>
        <v/>
      </c>
      <c r="C252" s="26"/>
      <c r="D252" s="26"/>
      <c r="E252" s="27"/>
      <c r="F252" s="27"/>
      <c r="G252" s="31" t="str">
        <f aca="false">IF(F252="","",IF(F252&lt;=5,"A",IF(F252&lt;=8,"B",IF(F252&lt;=10,"C","D"))))</f>
        <v/>
      </c>
      <c r="H252" s="28"/>
      <c r="I252" s="27"/>
      <c r="J252" s="26"/>
      <c r="K252" s="27"/>
      <c r="L252" s="27"/>
      <c r="M252" s="27"/>
      <c r="N252" s="27"/>
      <c r="O252" s="31" t="str">
        <f aca="false">IF(G252="","",VLOOKUP(G252,Setup!$A$14:$C$17,3,0))</f>
        <v/>
      </c>
      <c r="P252" s="27"/>
      <c r="Q252" s="33" t="str">
        <f aca="false">IF(OR(P252="",M252&lt;&gt;"Paid",O252=""),"",P252/O252)</f>
        <v/>
      </c>
      <c r="R252" s="34" t="str">
        <f aca="false">IF(Q252="","",Q252+N(H252)*0.000000001)</f>
        <v/>
      </c>
      <c r="S252" s="32" t="str">
        <f aca="false">IF(R252="","",SUMPRODUCT((I$5:I$4004=I252)*ISNUMBER(R$5:R$4004)*(R$5:R$4004&gt;R252))+1)</f>
        <v/>
      </c>
      <c r="T252" s="32" t="str">
        <f aca="false">IF(S252="","",IF(S252&lt;=Setup!$B$5,"🏆 WINNER",""))</f>
        <v/>
      </c>
      <c r="U252" s="31" t="str">
        <f aca="false">IF(S252="","",I252&amp;"|"&amp;S252)</f>
        <v/>
      </c>
    </row>
    <row r="253" customFormat="false" ht="15" hidden="false" customHeight="false" outlineLevel="0" collapsed="false">
      <c r="A253" s="24" t="n">
        <v>249</v>
      </c>
      <c r="B253" s="25" t="str">
        <f aca="false">IF(OR(C253="",I253="",G253=""),"",IFERROR(VLOOKUP(I253,Setup!$A$9:$B$11,2,0),"???")&amp;"-"&amp;G253&amp;"-"&amp;TEXT(COUNTIFS(I$5:I253,I253,G$5:G253,G253),"0000"))</f>
        <v/>
      </c>
      <c r="C253" s="26"/>
      <c r="D253" s="26"/>
      <c r="E253" s="27"/>
      <c r="F253" s="27"/>
      <c r="G253" s="24" t="str">
        <f aca="false">IF(F253="","",IF(F253&lt;=5,"A",IF(F253&lt;=8,"B",IF(F253&lt;=10,"C","D"))))</f>
        <v/>
      </c>
      <c r="H253" s="28"/>
      <c r="I253" s="27"/>
      <c r="J253" s="26"/>
      <c r="K253" s="27"/>
      <c r="L253" s="27"/>
      <c r="M253" s="27"/>
      <c r="N253" s="27"/>
      <c r="O253" s="24" t="str">
        <f aca="false">IF(G253="","",VLOOKUP(G253,Setup!$A$14:$C$17,3,0))</f>
        <v/>
      </c>
      <c r="P253" s="27"/>
      <c r="Q253" s="29" t="str">
        <f aca="false">IF(OR(P253="",M253&lt;&gt;"Paid",O253=""),"",P253/O253)</f>
        <v/>
      </c>
      <c r="R253" s="30" t="str">
        <f aca="false">IF(Q253="","",Q253+N(H253)*0.000000001)</f>
        <v/>
      </c>
      <c r="S253" s="25" t="str">
        <f aca="false">IF(R253="","",SUMPRODUCT((I$5:I$4004=I253)*ISNUMBER(R$5:R$4004)*(R$5:R$4004&gt;R253))+1)</f>
        <v/>
      </c>
      <c r="T253" s="25" t="str">
        <f aca="false">IF(S253="","",IF(S253&lt;=Setup!$B$5,"🏆 WINNER",""))</f>
        <v/>
      </c>
      <c r="U253" s="24" t="str">
        <f aca="false">IF(S253="","",I253&amp;"|"&amp;S253)</f>
        <v/>
      </c>
    </row>
    <row r="254" customFormat="false" ht="15" hidden="false" customHeight="false" outlineLevel="0" collapsed="false">
      <c r="A254" s="31" t="n">
        <v>250</v>
      </c>
      <c r="B254" s="32" t="str">
        <f aca="false">IF(OR(C254="",I254="",G254=""),"",IFERROR(VLOOKUP(I254,Setup!$A$9:$B$11,2,0),"???")&amp;"-"&amp;G254&amp;"-"&amp;TEXT(COUNTIFS(I$5:I254,I254,G$5:G254,G254),"0000"))</f>
        <v/>
      </c>
      <c r="C254" s="26"/>
      <c r="D254" s="26"/>
      <c r="E254" s="27"/>
      <c r="F254" s="27"/>
      <c r="G254" s="31" t="str">
        <f aca="false">IF(F254="","",IF(F254&lt;=5,"A",IF(F254&lt;=8,"B",IF(F254&lt;=10,"C","D"))))</f>
        <v/>
      </c>
      <c r="H254" s="28"/>
      <c r="I254" s="27"/>
      <c r="J254" s="26"/>
      <c r="K254" s="27"/>
      <c r="L254" s="27"/>
      <c r="M254" s="27"/>
      <c r="N254" s="27"/>
      <c r="O254" s="31" t="str">
        <f aca="false">IF(G254="","",VLOOKUP(G254,Setup!$A$14:$C$17,3,0))</f>
        <v/>
      </c>
      <c r="P254" s="27"/>
      <c r="Q254" s="33" t="str">
        <f aca="false">IF(OR(P254="",M254&lt;&gt;"Paid",O254=""),"",P254/O254)</f>
        <v/>
      </c>
      <c r="R254" s="34" t="str">
        <f aca="false">IF(Q254="","",Q254+N(H254)*0.000000001)</f>
        <v/>
      </c>
      <c r="S254" s="32" t="str">
        <f aca="false">IF(R254="","",SUMPRODUCT((I$5:I$4004=I254)*ISNUMBER(R$5:R$4004)*(R$5:R$4004&gt;R254))+1)</f>
        <v/>
      </c>
      <c r="T254" s="32" t="str">
        <f aca="false">IF(S254="","",IF(S254&lt;=Setup!$B$5,"🏆 WINNER",""))</f>
        <v/>
      </c>
      <c r="U254" s="31" t="str">
        <f aca="false">IF(S254="","",I254&amp;"|"&amp;S254)</f>
        <v/>
      </c>
    </row>
    <row r="255" customFormat="false" ht="15" hidden="false" customHeight="false" outlineLevel="0" collapsed="false">
      <c r="A255" s="24" t="n">
        <v>251</v>
      </c>
      <c r="B255" s="25" t="str">
        <f aca="false">IF(OR(C255="",I255="",G255=""),"",IFERROR(VLOOKUP(I255,Setup!$A$9:$B$11,2,0),"???")&amp;"-"&amp;G255&amp;"-"&amp;TEXT(COUNTIFS(I$5:I255,I255,G$5:G255,G255),"0000"))</f>
        <v/>
      </c>
      <c r="C255" s="26"/>
      <c r="D255" s="26"/>
      <c r="E255" s="27"/>
      <c r="F255" s="27"/>
      <c r="G255" s="24" t="str">
        <f aca="false">IF(F255="","",IF(F255&lt;=5,"A",IF(F255&lt;=8,"B",IF(F255&lt;=10,"C","D"))))</f>
        <v/>
      </c>
      <c r="H255" s="28"/>
      <c r="I255" s="27"/>
      <c r="J255" s="26"/>
      <c r="K255" s="27"/>
      <c r="L255" s="27"/>
      <c r="M255" s="27"/>
      <c r="N255" s="27"/>
      <c r="O255" s="24" t="str">
        <f aca="false">IF(G255="","",VLOOKUP(G255,Setup!$A$14:$C$17,3,0))</f>
        <v/>
      </c>
      <c r="P255" s="27"/>
      <c r="Q255" s="29" t="str">
        <f aca="false">IF(OR(P255="",M255&lt;&gt;"Paid",O255=""),"",P255/O255)</f>
        <v/>
      </c>
      <c r="R255" s="30" t="str">
        <f aca="false">IF(Q255="","",Q255+N(H255)*0.000000001)</f>
        <v/>
      </c>
      <c r="S255" s="25" t="str">
        <f aca="false">IF(R255="","",SUMPRODUCT((I$5:I$4004=I255)*ISNUMBER(R$5:R$4004)*(R$5:R$4004&gt;R255))+1)</f>
        <v/>
      </c>
      <c r="T255" s="25" t="str">
        <f aca="false">IF(S255="","",IF(S255&lt;=Setup!$B$5,"🏆 WINNER",""))</f>
        <v/>
      </c>
      <c r="U255" s="24" t="str">
        <f aca="false">IF(S255="","",I255&amp;"|"&amp;S255)</f>
        <v/>
      </c>
    </row>
    <row r="256" customFormat="false" ht="15" hidden="false" customHeight="false" outlineLevel="0" collapsed="false">
      <c r="A256" s="31" t="n">
        <v>252</v>
      </c>
      <c r="B256" s="32" t="str">
        <f aca="false">IF(OR(C256="",I256="",G256=""),"",IFERROR(VLOOKUP(I256,Setup!$A$9:$B$11,2,0),"???")&amp;"-"&amp;G256&amp;"-"&amp;TEXT(COUNTIFS(I$5:I256,I256,G$5:G256,G256),"0000"))</f>
        <v/>
      </c>
      <c r="C256" s="26"/>
      <c r="D256" s="26"/>
      <c r="E256" s="27"/>
      <c r="F256" s="27"/>
      <c r="G256" s="31" t="str">
        <f aca="false">IF(F256="","",IF(F256&lt;=5,"A",IF(F256&lt;=8,"B",IF(F256&lt;=10,"C","D"))))</f>
        <v/>
      </c>
      <c r="H256" s="28"/>
      <c r="I256" s="27"/>
      <c r="J256" s="26"/>
      <c r="K256" s="27"/>
      <c r="L256" s="27"/>
      <c r="M256" s="27"/>
      <c r="N256" s="27"/>
      <c r="O256" s="31" t="str">
        <f aca="false">IF(G256="","",VLOOKUP(G256,Setup!$A$14:$C$17,3,0))</f>
        <v/>
      </c>
      <c r="P256" s="27"/>
      <c r="Q256" s="33" t="str">
        <f aca="false">IF(OR(P256="",M256&lt;&gt;"Paid",O256=""),"",P256/O256)</f>
        <v/>
      </c>
      <c r="R256" s="34" t="str">
        <f aca="false">IF(Q256="","",Q256+N(H256)*0.000000001)</f>
        <v/>
      </c>
      <c r="S256" s="32" t="str">
        <f aca="false">IF(R256="","",SUMPRODUCT((I$5:I$4004=I256)*ISNUMBER(R$5:R$4004)*(R$5:R$4004&gt;R256))+1)</f>
        <v/>
      </c>
      <c r="T256" s="32" t="str">
        <f aca="false">IF(S256="","",IF(S256&lt;=Setup!$B$5,"🏆 WINNER",""))</f>
        <v/>
      </c>
      <c r="U256" s="31" t="str">
        <f aca="false">IF(S256="","",I256&amp;"|"&amp;S256)</f>
        <v/>
      </c>
    </row>
    <row r="257" customFormat="false" ht="15" hidden="false" customHeight="false" outlineLevel="0" collapsed="false">
      <c r="A257" s="24" t="n">
        <v>253</v>
      </c>
      <c r="B257" s="25" t="str">
        <f aca="false">IF(OR(C257="",I257="",G257=""),"",IFERROR(VLOOKUP(I257,Setup!$A$9:$B$11,2,0),"???")&amp;"-"&amp;G257&amp;"-"&amp;TEXT(COUNTIFS(I$5:I257,I257,G$5:G257,G257),"0000"))</f>
        <v/>
      </c>
      <c r="C257" s="26"/>
      <c r="D257" s="26"/>
      <c r="E257" s="27"/>
      <c r="F257" s="27"/>
      <c r="G257" s="24" t="str">
        <f aca="false">IF(F257="","",IF(F257&lt;=5,"A",IF(F257&lt;=8,"B",IF(F257&lt;=10,"C","D"))))</f>
        <v/>
      </c>
      <c r="H257" s="28"/>
      <c r="I257" s="27"/>
      <c r="J257" s="26"/>
      <c r="K257" s="27"/>
      <c r="L257" s="27"/>
      <c r="M257" s="27"/>
      <c r="N257" s="27"/>
      <c r="O257" s="24" t="str">
        <f aca="false">IF(G257="","",VLOOKUP(G257,Setup!$A$14:$C$17,3,0))</f>
        <v/>
      </c>
      <c r="P257" s="27"/>
      <c r="Q257" s="29" t="str">
        <f aca="false">IF(OR(P257="",M257&lt;&gt;"Paid",O257=""),"",P257/O257)</f>
        <v/>
      </c>
      <c r="R257" s="30" t="str">
        <f aca="false">IF(Q257="","",Q257+N(H257)*0.000000001)</f>
        <v/>
      </c>
      <c r="S257" s="25" t="str">
        <f aca="false">IF(R257="","",SUMPRODUCT((I$5:I$4004=I257)*ISNUMBER(R$5:R$4004)*(R$5:R$4004&gt;R257))+1)</f>
        <v/>
      </c>
      <c r="T257" s="25" t="str">
        <f aca="false">IF(S257="","",IF(S257&lt;=Setup!$B$5,"🏆 WINNER",""))</f>
        <v/>
      </c>
      <c r="U257" s="24" t="str">
        <f aca="false">IF(S257="","",I257&amp;"|"&amp;S257)</f>
        <v/>
      </c>
    </row>
    <row r="258" customFormat="false" ht="15" hidden="false" customHeight="false" outlineLevel="0" collapsed="false">
      <c r="A258" s="31" t="n">
        <v>254</v>
      </c>
      <c r="B258" s="32" t="str">
        <f aca="false">IF(OR(C258="",I258="",G258=""),"",IFERROR(VLOOKUP(I258,Setup!$A$9:$B$11,2,0),"???")&amp;"-"&amp;G258&amp;"-"&amp;TEXT(COUNTIFS(I$5:I258,I258,G$5:G258,G258),"0000"))</f>
        <v/>
      </c>
      <c r="C258" s="26"/>
      <c r="D258" s="26"/>
      <c r="E258" s="27"/>
      <c r="F258" s="27"/>
      <c r="G258" s="31" t="str">
        <f aca="false">IF(F258="","",IF(F258&lt;=5,"A",IF(F258&lt;=8,"B",IF(F258&lt;=10,"C","D"))))</f>
        <v/>
      </c>
      <c r="H258" s="28"/>
      <c r="I258" s="27"/>
      <c r="J258" s="26"/>
      <c r="K258" s="27"/>
      <c r="L258" s="27"/>
      <c r="M258" s="27"/>
      <c r="N258" s="27"/>
      <c r="O258" s="31" t="str">
        <f aca="false">IF(G258="","",VLOOKUP(G258,Setup!$A$14:$C$17,3,0))</f>
        <v/>
      </c>
      <c r="P258" s="27"/>
      <c r="Q258" s="33" t="str">
        <f aca="false">IF(OR(P258="",M258&lt;&gt;"Paid",O258=""),"",P258/O258)</f>
        <v/>
      </c>
      <c r="R258" s="34" t="str">
        <f aca="false">IF(Q258="","",Q258+N(H258)*0.000000001)</f>
        <v/>
      </c>
      <c r="S258" s="32" t="str">
        <f aca="false">IF(R258="","",SUMPRODUCT((I$5:I$4004=I258)*ISNUMBER(R$5:R$4004)*(R$5:R$4004&gt;R258))+1)</f>
        <v/>
      </c>
      <c r="T258" s="32" t="str">
        <f aca="false">IF(S258="","",IF(S258&lt;=Setup!$B$5,"🏆 WINNER",""))</f>
        <v/>
      </c>
      <c r="U258" s="31" t="str">
        <f aca="false">IF(S258="","",I258&amp;"|"&amp;S258)</f>
        <v/>
      </c>
    </row>
    <row r="259" customFormat="false" ht="15" hidden="false" customHeight="false" outlineLevel="0" collapsed="false">
      <c r="A259" s="24" t="n">
        <v>255</v>
      </c>
      <c r="B259" s="25" t="str">
        <f aca="false">IF(OR(C259="",I259="",G259=""),"",IFERROR(VLOOKUP(I259,Setup!$A$9:$B$11,2,0),"???")&amp;"-"&amp;G259&amp;"-"&amp;TEXT(COUNTIFS(I$5:I259,I259,G$5:G259,G259),"0000"))</f>
        <v/>
      </c>
      <c r="C259" s="26"/>
      <c r="D259" s="26"/>
      <c r="E259" s="27"/>
      <c r="F259" s="27"/>
      <c r="G259" s="24" t="str">
        <f aca="false">IF(F259="","",IF(F259&lt;=5,"A",IF(F259&lt;=8,"B",IF(F259&lt;=10,"C","D"))))</f>
        <v/>
      </c>
      <c r="H259" s="28"/>
      <c r="I259" s="27"/>
      <c r="J259" s="26"/>
      <c r="K259" s="27"/>
      <c r="L259" s="27"/>
      <c r="M259" s="27"/>
      <c r="N259" s="27"/>
      <c r="O259" s="24" t="str">
        <f aca="false">IF(G259="","",VLOOKUP(G259,Setup!$A$14:$C$17,3,0))</f>
        <v/>
      </c>
      <c r="P259" s="27"/>
      <c r="Q259" s="29" t="str">
        <f aca="false">IF(OR(P259="",M259&lt;&gt;"Paid",O259=""),"",P259/O259)</f>
        <v/>
      </c>
      <c r="R259" s="30" t="str">
        <f aca="false">IF(Q259="","",Q259+N(H259)*0.000000001)</f>
        <v/>
      </c>
      <c r="S259" s="25" t="str">
        <f aca="false">IF(R259="","",SUMPRODUCT((I$5:I$4004=I259)*ISNUMBER(R$5:R$4004)*(R$5:R$4004&gt;R259))+1)</f>
        <v/>
      </c>
      <c r="T259" s="25" t="str">
        <f aca="false">IF(S259="","",IF(S259&lt;=Setup!$B$5,"🏆 WINNER",""))</f>
        <v/>
      </c>
      <c r="U259" s="24" t="str">
        <f aca="false">IF(S259="","",I259&amp;"|"&amp;S259)</f>
        <v/>
      </c>
    </row>
    <row r="260" customFormat="false" ht="15" hidden="false" customHeight="false" outlineLevel="0" collapsed="false">
      <c r="A260" s="31" t="n">
        <v>256</v>
      </c>
      <c r="B260" s="32" t="str">
        <f aca="false">IF(OR(C260="",I260="",G260=""),"",IFERROR(VLOOKUP(I260,Setup!$A$9:$B$11,2,0),"???")&amp;"-"&amp;G260&amp;"-"&amp;TEXT(COUNTIFS(I$5:I260,I260,G$5:G260,G260),"0000"))</f>
        <v/>
      </c>
      <c r="C260" s="26"/>
      <c r="D260" s="26"/>
      <c r="E260" s="27"/>
      <c r="F260" s="27"/>
      <c r="G260" s="31" t="str">
        <f aca="false">IF(F260="","",IF(F260&lt;=5,"A",IF(F260&lt;=8,"B",IF(F260&lt;=10,"C","D"))))</f>
        <v/>
      </c>
      <c r="H260" s="28"/>
      <c r="I260" s="27"/>
      <c r="J260" s="26"/>
      <c r="K260" s="27"/>
      <c r="L260" s="27"/>
      <c r="M260" s="27"/>
      <c r="N260" s="27"/>
      <c r="O260" s="31" t="str">
        <f aca="false">IF(G260="","",VLOOKUP(G260,Setup!$A$14:$C$17,3,0))</f>
        <v/>
      </c>
      <c r="P260" s="27"/>
      <c r="Q260" s="33" t="str">
        <f aca="false">IF(OR(P260="",M260&lt;&gt;"Paid",O260=""),"",P260/O260)</f>
        <v/>
      </c>
      <c r="R260" s="34" t="str">
        <f aca="false">IF(Q260="","",Q260+N(H260)*0.000000001)</f>
        <v/>
      </c>
      <c r="S260" s="32" t="str">
        <f aca="false">IF(R260="","",SUMPRODUCT((I$5:I$4004=I260)*ISNUMBER(R$5:R$4004)*(R$5:R$4004&gt;R260))+1)</f>
        <v/>
      </c>
      <c r="T260" s="32" t="str">
        <f aca="false">IF(S260="","",IF(S260&lt;=Setup!$B$5,"🏆 WINNER",""))</f>
        <v/>
      </c>
      <c r="U260" s="31" t="str">
        <f aca="false">IF(S260="","",I260&amp;"|"&amp;S260)</f>
        <v/>
      </c>
    </row>
    <row r="261" customFormat="false" ht="15" hidden="false" customHeight="false" outlineLevel="0" collapsed="false">
      <c r="A261" s="24" t="n">
        <v>257</v>
      </c>
      <c r="B261" s="25" t="str">
        <f aca="false">IF(OR(C261="",I261="",G261=""),"",IFERROR(VLOOKUP(I261,Setup!$A$9:$B$11,2,0),"???")&amp;"-"&amp;G261&amp;"-"&amp;TEXT(COUNTIFS(I$5:I261,I261,G$5:G261,G261),"0000"))</f>
        <v/>
      </c>
      <c r="C261" s="26"/>
      <c r="D261" s="26"/>
      <c r="E261" s="27"/>
      <c r="F261" s="27"/>
      <c r="G261" s="24" t="str">
        <f aca="false">IF(F261="","",IF(F261&lt;=5,"A",IF(F261&lt;=8,"B",IF(F261&lt;=10,"C","D"))))</f>
        <v/>
      </c>
      <c r="H261" s="28"/>
      <c r="I261" s="27"/>
      <c r="J261" s="26"/>
      <c r="K261" s="27"/>
      <c r="L261" s="27"/>
      <c r="M261" s="27"/>
      <c r="N261" s="27"/>
      <c r="O261" s="24" t="str">
        <f aca="false">IF(G261="","",VLOOKUP(G261,Setup!$A$14:$C$17,3,0))</f>
        <v/>
      </c>
      <c r="P261" s="27"/>
      <c r="Q261" s="29" t="str">
        <f aca="false">IF(OR(P261="",M261&lt;&gt;"Paid",O261=""),"",P261/O261)</f>
        <v/>
      </c>
      <c r="R261" s="30" t="str">
        <f aca="false">IF(Q261="","",Q261+N(H261)*0.000000001)</f>
        <v/>
      </c>
      <c r="S261" s="25" t="str">
        <f aca="false">IF(R261="","",SUMPRODUCT((I$5:I$4004=I261)*ISNUMBER(R$5:R$4004)*(R$5:R$4004&gt;R261))+1)</f>
        <v/>
      </c>
      <c r="T261" s="25" t="str">
        <f aca="false">IF(S261="","",IF(S261&lt;=Setup!$B$5,"🏆 WINNER",""))</f>
        <v/>
      </c>
      <c r="U261" s="24" t="str">
        <f aca="false">IF(S261="","",I261&amp;"|"&amp;S261)</f>
        <v/>
      </c>
    </row>
    <row r="262" customFormat="false" ht="15" hidden="false" customHeight="false" outlineLevel="0" collapsed="false">
      <c r="A262" s="31" t="n">
        <v>258</v>
      </c>
      <c r="B262" s="32" t="str">
        <f aca="false">IF(OR(C262="",I262="",G262=""),"",IFERROR(VLOOKUP(I262,Setup!$A$9:$B$11,2,0),"???")&amp;"-"&amp;G262&amp;"-"&amp;TEXT(COUNTIFS(I$5:I262,I262,G$5:G262,G262),"0000"))</f>
        <v/>
      </c>
      <c r="C262" s="26"/>
      <c r="D262" s="26"/>
      <c r="E262" s="27"/>
      <c r="F262" s="27"/>
      <c r="G262" s="31" t="str">
        <f aca="false">IF(F262="","",IF(F262&lt;=5,"A",IF(F262&lt;=8,"B",IF(F262&lt;=10,"C","D"))))</f>
        <v/>
      </c>
      <c r="H262" s="28"/>
      <c r="I262" s="27"/>
      <c r="J262" s="26"/>
      <c r="K262" s="27"/>
      <c r="L262" s="27"/>
      <c r="M262" s="27"/>
      <c r="N262" s="27"/>
      <c r="O262" s="31" t="str">
        <f aca="false">IF(G262="","",VLOOKUP(G262,Setup!$A$14:$C$17,3,0))</f>
        <v/>
      </c>
      <c r="P262" s="27"/>
      <c r="Q262" s="33" t="str">
        <f aca="false">IF(OR(P262="",M262&lt;&gt;"Paid",O262=""),"",P262/O262)</f>
        <v/>
      </c>
      <c r="R262" s="34" t="str">
        <f aca="false">IF(Q262="","",Q262+N(H262)*0.000000001)</f>
        <v/>
      </c>
      <c r="S262" s="32" t="str">
        <f aca="false">IF(R262="","",SUMPRODUCT((I$5:I$4004=I262)*ISNUMBER(R$5:R$4004)*(R$5:R$4004&gt;R262))+1)</f>
        <v/>
      </c>
      <c r="T262" s="32" t="str">
        <f aca="false">IF(S262="","",IF(S262&lt;=Setup!$B$5,"🏆 WINNER",""))</f>
        <v/>
      </c>
      <c r="U262" s="31" t="str">
        <f aca="false">IF(S262="","",I262&amp;"|"&amp;S262)</f>
        <v/>
      </c>
    </row>
    <row r="263" customFormat="false" ht="15" hidden="false" customHeight="false" outlineLevel="0" collapsed="false">
      <c r="A263" s="24" t="n">
        <v>259</v>
      </c>
      <c r="B263" s="25" t="str">
        <f aca="false">IF(OR(C263="",I263="",G263=""),"",IFERROR(VLOOKUP(I263,Setup!$A$9:$B$11,2,0),"???")&amp;"-"&amp;G263&amp;"-"&amp;TEXT(COUNTIFS(I$5:I263,I263,G$5:G263,G263),"0000"))</f>
        <v/>
      </c>
      <c r="C263" s="26"/>
      <c r="D263" s="26"/>
      <c r="E263" s="27"/>
      <c r="F263" s="27"/>
      <c r="G263" s="24" t="str">
        <f aca="false">IF(F263="","",IF(F263&lt;=5,"A",IF(F263&lt;=8,"B",IF(F263&lt;=10,"C","D"))))</f>
        <v/>
      </c>
      <c r="H263" s="28"/>
      <c r="I263" s="27"/>
      <c r="J263" s="26"/>
      <c r="K263" s="27"/>
      <c r="L263" s="27"/>
      <c r="M263" s="27"/>
      <c r="N263" s="27"/>
      <c r="O263" s="24" t="str">
        <f aca="false">IF(G263="","",VLOOKUP(G263,Setup!$A$14:$C$17,3,0))</f>
        <v/>
      </c>
      <c r="P263" s="27"/>
      <c r="Q263" s="29" t="str">
        <f aca="false">IF(OR(P263="",M263&lt;&gt;"Paid",O263=""),"",P263/O263)</f>
        <v/>
      </c>
      <c r="R263" s="30" t="str">
        <f aca="false">IF(Q263="","",Q263+N(H263)*0.000000001)</f>
        <v/>
      </c>
      <c r="S263" s="25" t="str">
        <f aca="false">IF(R263="","",SUMPRODUCT((I$5:I$4004=I263)*ISNUMBER(R$5:R$4004)*(R$5:R$4004&gt;R263))+1)</f>
        <v/>
      </c>
      <c r="T263" s="25" t="str">
        <f aca="false">IF(S263="","",IF(S263&lt;=Setup!$B$5,"🏆 WINNER",""))</f>
        <v/>
      </c>
      <c r="U263" s="24" t="str">
        <f aca="false">IF(S263="","",I263&amp;"|"&amp;S263)</f>
        <v/>
      </c>
    </row>
    <row r="264" customFormat="false" ht="15" hidden="false" customHeight="false" outlineLevel="0" collapsed="false">
      <c r="A264" s="31" t="n">
        <v>260</v>
      </c>
      <c r="B264" s="32" t="str">
        <f aca="false">IF(OR(C264="",I264="",G264=""),"",IFERROR(VLOOKUP(I264,Setup!$A$9:$B$11,2,0),"???")&amp;"-"&amp;G264&amp;"-"&amp;TEXT(COUNTIFS(I$5:I264,I264,G$5:G264,G264),"0000"))</f>
        <v/>
      </c>
      <c r="C264" s="26"/>
      <c r="D264" s="26"/>
      <c r="E264" s="27"/>
      <c r="F264" s="27"/>
      <c r="G264" s="31" t="str">
        <f aca="false">IF(F264="","",IF(F264&lt;=5,"A",IF(F264&lt;=8,"B",IF(F264&lt;=10,"C","D"))))</f>
        <v/>
      </c>
      <c r="H264" s="28"/>
      <c r="I264" s="27"/>
      <c r="J264" s="26"/>
      <c r="K264" s="27"/>
      <c r="L264" s="27"/>
      <c r="M264" s="27"/>
      <c r="N264" s="27"/>
      <c r="O264" s="31" t="str">
        <f aca="false">IF(G264="","",VLOOKUP(G264,Setup!$A$14:$C$17,3,0))</f>
        <v/>
      </c>
      <c r="P264" s="27"/>
      <c r="Q264" s="33" t="str">
        <f aca="false">IF(OR(P264="",M264&lt;&gt;"Paid",O264=""),"",P264/O264)</f>
        <v/>
      </c>
      <c r="R264" s="34" t="str">
        <f aca="false">IF(Q264="","",Q264+N(H264)*0.000000001)</f>
        <v/>
      </c>
      <c r="S264" s="32" t="str">
        <f aca="false">IF(R264="","",SUMPRODUCT((I$5:I$4004=I264)*ISNUMBER(R$5:R$4004)*(R$5:R$4004&gt;R264))+1)</f>
        <v/>
      </c>
      <c r="T264" s="32" t="str">
        <f aca="false">IF(S264="","",IF(S264&lt;=Setup!$B$5,"🏆 WINNER",""))</f>
        <v/>
      </c>
      <c r="U264" s="31" t="str">
        <f aca="false">IF(S264="","",I264&amp;"|"&amp;S264)</f>
        <v/>
      </c>
    </row>
    <row r="265" customFormat="false" ht="15" hidden="false" customHeight="false" outlineLevel="0" collapsed="false">
      <c r="A265" s="24" t="n">
        <v>261</v>
      </c>
      <c r="B265" s="25" t="str">
        <f aca="false">IF(OR(C265="",I265="",G265=""),"",IFERROR(VLOOKUP(I265,Setup!$A$9:$B$11,2,0),"???")&amp;"-"&amp;G265&amp;"-"&amp;TEXT(COUNTIFS(I$5:I265,I265,G$5:G265,G265),"0000"))</f>
        <v/>
      </c>
      <c r="C265" s="26"/>
      <c r="D265" s="26"/>
      <c r="E265" s="27"/>
      <c r="F265" s="27"/>
      <c r="G265" s="24" t="str">
        <f aca="false">IF(F265="","",IF(F265&lt;=5,"A",IF(F265&lt;=8,"B",IF(F265&lt;=10,"C","D"))))</f>
        <v/>
      </c>
      <c r="H265" s="28"/>
      <c r="I265" s="27"/>
      <c r="J265" s="26"/>
      <c r="K265" s="27"/>
      <c r="L265" s="27"/>
      <c r="M265" s="27"/>
      <c r="N265" s="27"/>
      <c r="O265" s="24" t="str">
        <f aca="false">IF(G265="","",VLOOKUP(G265,Setup!$A$14:$C$17,3,0))</f>
        <v/>
      </c>
      <c r="P265" s="27"/>
      <c r="Q265" s="29" t="str">
        <f aca="false">IF(OR(P265="",M265&lt;&gt;"Paid",O265=""),"",P265/O265)</f>
        <v/>
      </c>
      <c r="R265" s="30" t="str">
        <f aca="false">IF(Q265="","",Q265+N(H265)*0.000000001)</f>
        <v/>
      </c>
      <c r="S265" s="25" t="str">
        <f aca="false">IF(R265="","",SUMPRODUCT((I$5:I$4004=I265)*ISNUMBER(R$5:R$4004)*(R$5:R$4004&gt;R265))+1)</f>
        <v/>
      </c>
      <c r="T265" s="25" t="str">
        <f aca="false">IF(S265="","",IF(S265&lt;=Setup!$B$5,"🏆 WINNER",""))</f>
        <v/>
      </c>
      <c r="U265" s="24" t="str">
        <f aca="false">IF(S265="","",I265&amp;"|"&amp;S265)</f>
        <v/>
      </c>
    </row>
    <row r="266" customFormat="false" ht="15" hidden="false" customHeight="false" outlineLevel="0" collapsed="false">
      <c r="A266" s="31" t="n">
        <v>262</v>
      </c>
      <c r="B266" s="32" t="str">
        <f aca="false">IF(OR(C266="",I266="",G266=""),"",IFERROR(VLOOKUP(I266,Setup!$A$9:$B$11,2,0),"???")&amp;"-"&amp;G266&amp;"-"&amp;TEXT(COUNTIFS(I$5:I266,I266,G$5:G266,G266),"0000"))</f>
        <v/>
      </c>
      <c r="C266" s="26"/>
      <c r="D266" s="26"/>
      <c r="E266" s="27"/>
      <c r="F266" s="27"/>
      <c r="G266" s="31" t="str">
        <f aca="false">IF(F266="","",IF(F266&lt;=5,"A",IF(F266&lt;=8,"B",IF(F266&lt;=10,"C","D"))))</f>
        <v/>
      </c>
      <c r="H266" s="28"/>
      <c r="I266" s="27"/>
      <c r="J266" s="26"/>
      <c r="K266" s="27"/>
      <c r="L266" s="27"/>
      <c r="M266" s="27"/>
      <c r="N266" s="27"/>
      <c r="O266" s="31" t="str">
        <f aca="false">IF(G266="","",VLOOKUP(G266,Setup!$A$14:$C$17,3,0))</f>
        <v/>
      </c>
      <c r="P266" s="27"/>
      <c r="Q266" s="33" t="str">
        <f aca="false">IF(OR(P266="",M266&lt;&gt;"Paid",O266=""),"",P266/O266)</f>
        <v/>
      </c>
      <c r="R266" s="34" t="str">
        <f aca="false">IF(Q266="","",Q266+N(H266)*0.000000001)</f>
        <v/>
      </c>
      <c r="S266" s="32" t="str">
        <f aca="false">IF(R266="","",SUMPRODUCT((I$5:I$4004=I266)*ISNUMBER(R$5:R$4004)*(R$5:R$4004&gt;R266))+1)</f>
        <v/>
      </c>
      <c r="T266" s="32" t="str">
        <f aca="false">IF(S266="","",IF(S266&lt;=Setup!$B$5,"🏆 WINNER",""))</f>
        <v/>
      </c>
      <c r="U266" s="31" t="str">
        <f aca="false">IF(S266="","",I266&amp;"|"&amp;S266)</f>
        <v/>
      </c>
    </row>
    <row r="267" customFormat="false" ht="15" hidden="false" customHeight="false" outlineLevel="0" collapsed="false">
      <c r="A267" s="24" t="n">
        <v>263</v>
      </c>
      <c r="B267" s="25" t="str">
        <f aca="false">IF(OR(C267="",I267="",G267=""),"",IFERROR(VLOOKUP(I267,Setup!$A$9:$B$11,2,0),"???")&amp;"-"&amp;G267&amp;"-"&amp;TEXT(COUNTIFS(I$5:I267,I267,G$5:G267,G267),"0000"))</f>
        <v/>
      </c>
      <c r="C267" s="26"/>
      <c r="D267" s="26"/>
      <c r="E267" s="27"/>
      <c r="F267" s="27"/>
      <c r="G267" s="24" t="str">
        <f aca="false">IF(F267="","",IF(F267&lt;=5,"A",IF(F267&lt;=8,"B",IF(F267&lt;=10,"C","D"))))</f>
        <v/>
      </c>
      <c r="H267" s="28"/>
      <c r="I267" s="27"/>
      <c r="J267" s="26"/>
      <c r="K267" s="27"/>
      <c r="L267" s="27"/>
      <c r="M267" s="27"/>
      <c r="N267" s="27"/>
      <c r="O267" s="24" t="str">
        <f aca="false">IF(G267="","",VLOOKUP(G267,Setup!$A$14:$C$17,3,0))</f>
        <v/>
      </c>
      <c r="P267" s="27"/>
      <c r="Q267" s="29" t="str">
        <f aca="false">IF(OR(P267="",M267&lt;&gt;"Paid",O267=""),"",P267/O267)</f>
        <v/>
      </c>
      <c r="R267" s="30" t="str">
        <f aca="false">IF(Q267="","",Q267+N(H267)*0.000000001)</f>
        <v/>
      </c>
      <c r="S267" s="25" t="str">
        <f aca="false">IF(R267="","",SUMPRODUCT((I$5:I$4004=I267)*ISNUMBER(R$5:R$4004)*(R$5:R$4004&gt;R267))+1)</f>
        <v/>
      </c>
      <c r="T267" s="25" t="str">
        <f aca="false">IF(S267="","",IF(S267&lt;=Setup!$B$5,"🏆 WINNER",""))</f>
        <v/>
      </c>
      <c r="U267" s="24" t="str">
        <f aca="false">IF(S267="","",I267&amp;"|"&amp;S267)</f>
        <v/>
      </c>
    </row>
    <row r="268" customFormat="false" ht="15" hidden="false" customHeight="false" outlineLevel="0" collapsed="false">
      <c r="A268" s="31" t="n">
        <v>264</v>
      </c>
      <c r="B268" s="32" t="str">
        <f aca="false">IF(OR(C268="",I268="",G268=""),"",IFERROR(VLOOKUP(I268,Setup!$A$9:$B$11,2,0),"???")&amp;"-"&amp;G268&amp;"-"&amp;TEXT(COUNTIFS(I$5:I268,I268,G$5:G268,G268),"0000"))</f>
        <v/>
      </c>
      <c r="C268" s="26"/>
      <c r="D268" s="26"/>
      <c r="E268" s="27"/>
      <c r="F268" s="27"/>
      <c r="G268" s="31" t="str">
        <f aca="false">IF(F268="","",IF(F268&lt;=5,"A",IF(F268&lt;=8,"B",IF(F268&lt;=10,"C","D"))))</f>
        <v/>
      </c>
      <c r="H268" s="28"/>
      <c r="I268" s="27"/>
      <c r="J268" s="26"/>
      <c r="K268" s="27"/>
      <c r="L268" s="27"/>
      <c r="M268" s="27"/>
      <c r="N268" s="27"/>
      <c r="O268" s="31" t="str">
        <f aca="false">IF(G268="","",VLOOKUP(G268,Setup!$A$14:$C$17,3,0))</f>
        <v/>
      </c>
      <c r="P268" s="27"/>
      <c r="Q268" s="33" t="str">
        <f aca="false">IF(OR(P268="",M268&lt;&gt;"Paid",O268=""),"",P268/O268)</f>
        <v/>
      </c>
      <c r="R268" s="34" t="str">
        <f aca="false">IF(Q268="","",Q268+N(H268)*0.000000001)</f>
        <v/>
      </c>
      <c r="S268" s="32" t="str">
        <f aca="false">IF(R268="","",SUMPRODUCT((I$5:I$4004=I268)*ISNUMBER(R$5:R$4004)*(R$5:R$4004&gt;R268))+1)</f>
        <v/>
      </c>
      <c r="T268" s="32" t="str">
        <f aca="false">IF(S268="","",IF(S268&lt;=Setup!$B$5,"🏆 WINNER",""))</f>
        <v/>
      </c>
      <c r="U268" s="31" t="str">
        <f aca="false">IF(S268="","",I268&amp;"|"&amp;S268)</f>
        <v/>
      </c>
    </row>
    <row r="269" customFormat="false" ht="15" hidden="false" customHeight="false" outlineLevel="0" collapsed="false">
      <c r="A269" s="24" t="n">
        <v>265</v>
      </c>
      <c r="B269" s="25" t="str">
        <f aca="false">IF(OR(C269="",I269="",G269=""),"",IFERROR(VLOOKUP(I269,Setup!$A$9:$B$11,2,0),"???")&amp;"-"&amp;G269&amp;"-"&amp;TEXT(COUNTIFS(I$5:I269,I269,G$5:G269,G269),"0000"))</f>
        <v/>
      </c>
      <c r="C269" s="26"/>
      <c r="D269" s="26"/>
      <c r="E269" s="27"/>
      <c r="F269" s="27"/>
      <c r="G269" s="24" t="str">
        <f aca="false">IF(F269="","",IF(F269&lt;=5,"A",IF(F269&lt;=8,"B",IF(F269&lt;=10,"C","D"))))</f>
        <v/>
      </c>
      <c r="H269" s="28"/>
      <c r="I269" s="27"/>
      <c r="J269" s="26"/>
      <c r="K269" s="27"/>
      <c r="L269" s="27"/>
      <c r="M269" s="27"/>
      <c r="N269" s="27"/>
      <c r="O269" s="24" t="str">
        <f aca="false">IF(G269="","",VLOOKUP(G269,Setup!$A$14:$C$17,3,0))</f>
        <v/>
      </c>
      <c r="P269" s="27"/>
      <c r="Q269" s="29" t="str">
        <f aca="false">IF(OR(P269="",M269&lt;&gt;"Paid",O269=""),"",P269/O269)</f>
        <v/>
      </c>
      <c r="R269" s="30" t="str">
        <f aca="false">IF(Q269="","",Q269+N(H269)*0.000000001)</f>
        <v/>
      </c>
      <c r="S269" s="25" t="str">
        <f aca="false">IF(R269="","",SUMPRODUCT((I$5:I$4004=I269)*ISNUMBER(R$5:R$4004)*(R$5:R$4004&gt;R269))+1)</f>
        <v/>
      </c>
      <c r="T269" s="25" t="str">
        <f aca="false">IF(S269="","",IF(S269&lt;=Setup!$B$5,"🏆 WINNER",""))</f>
        <v/>
      </c>
      <c r="U269" s="24" t="str">
        <f aca="false">IF(S269="","",I269&amp;"|"&amp;S269)</f>
        <v/>
      </c>
    </row>
    <row r="270" customFormat="false" ht="15" hidden="false" customHeight="false" outlineLevel="0" collapsed="false">
      <c r="A270" s="31" t="n">
        <v>266</v>
      </c>
      <c r="B270" s="32" t="str">
        <f aca="false">IF(OR(C270="",I270="",G270=""),"",IFERROR(VLOOKUP(I270,Setup!$A$9:$B$11,2,0),"???")&amp;"-"&amp;G270&amp;"-"&amp;TEXT(COUNTIFS(I$5:I270,I270,G$5:G270,G270),"0000"))</f>
        <v/>
      </c>
      <c r="C270" s="26"/>
      <c r="D270" s="26"/>
      <c r="E270" s="27"/>
      <c r="F270" s="27"/>
      <c r="G270" s="31" t="str">
        <f aca="false">IF(F270="","",IF(F270&lt;=5,"A",IF(F270&lt;=8,"B",IF(F270&lt;=10,"C","D"))))</f>
        <v/>
      </c>
      <c r="H270" s="28"/>
      <c r="I270" s="27"/>
      <c r="J270" s="26"/>
      <c r="K270" s="27"/>
      <c r="L270" s="27"/>
      <c r="M270" s="27"/>
      <c r="N270" s="27"/>
      <c r="O270" s="31" t="str">
        <f aca="false">IF(G270="","",VLOOKUP(G270,Setup!$A$14:$C$17,3,0))</f>
        <v/>
      </c>
      <c r="P270" s="27"/>
      <c r="Q270" s="33" t="str">
        <f aca="false">IF(OR(P270="",M270&lt;&gt;"Paid",O270=""),"",P270/O270)</f>
        <v/>
      </c>
      <c r="R270" s="34" t="str">
        <f aca="false">IF(Q270="","",Q270+N(H270)*0.000000001)</f>
        <v/>
      </c>
      <c r="S270" s="32" t="str">
        <f aca="false">IF(R270="","",SUMPRODUCT((I$5:I$4004=I270)*ISNUMBER(R$5:R$4004)*(R$5:R$4004&gt;R270))+1)</f>
        <v/>
      </c>
      <c r="T270" s="32" t="str">
        <f aca="false">IF(S270="","",IF(S270&lt;=Setup!$B$5,"🏆 WINNER",""))</f>
        <v/>
      </c>
      <c r="U270" s="31" t="str">
        <f aca="false">IF(S270="","",I270&amp;"|"&amp;S270)</f>
        <v/>
      </c>
    </row>
    <row r="271" customFormat="false" ht="15" hidden="false" customHeight="false" outlineLevel="0" collapsed="false">
      <c r="A271" s="24" t="n">
        <v>267</v>
      </c>
      <c r="B271" s="25" t="str">
        <f aca="false">IF(OR(C271="",I271="",G271=""),"",IFERROR(VLOOKUP(I271,Setup!$A$9:$B$11,2,0),"???")&amp;"-"&amp;G271&amp;"-"&amp;TEXT(COUNTIFS(I$5:I271,I271,G$5:G271,G271),"0000"))</f>
        <v/>
      </c>
      <c r="C271" s="26"/>
      <c r="D271" s="26"/>
      <c r="E271" s="27"/>
      <c r="F271" s="27"/>
      <c r="G271" s="24" t="str">
        <f aca="false">IF(F271="","",IF(F271&lt;=5,"A",IF(F271&lt;=8,"B",IF(F271&lt;=10,"C","D"))))</f>
        <v/>
      </c>
      <c r="H271" s="28"/>
      <c r="I271" s="27"/>
      <c r="J271" s="26"/>
      <c r="K271" s="27"/>
      <c r="L271" s="27"/>
      <c r="M271" s="27"/>
      <c r="N271" s="27"/>
      <c r="O271" s="24" t="str">
        <f aca="false">IF(G271="","",VLOOKUP(G271,Setup!$A$14:$C$17,3,0))</f>
        <v/>
      </c>
      <c r="P271" s="27"/>
      <c r="Q271" s="29" t="str">
        <f aca="false">IF(OR(P271="",M271&lt;&gt;"Paid",O271=""),"",P271/O271)</f>
        <v/>
      </c>
      <c r="R271" s="30" t="str">
        <f aca="false">IF(Q271="","",Q271+N(H271)*0.000000001)</f>
        <v/>
      </c>
      <c r="S271" s="25" t="str">
        <f aca="false">IF(R271="","",SUMPRODUCT((I$5:I$4004=I271)*ISNUMBER(R$5:R$4004)*(R$5:R$4004&gt;R271))+1)</f>
        <v/>
      </c>
      <c r="T271" s="25" t="str">
        <f aca="false">IF(S271="","",IF(S271&lt;=Setup!$B$5,"🏆 WINNER",""))</f>
        <v/>
      </c>
      <c r="U271" s="24" t="str">
        <f aca="false">IF(S271="","",I271&amp;"|"&amp;S271)</f>
        <v/>
      </c>
    </row>
    <row r="272" customFormat="false" ht="15" hidden="false" customHeight="false" outlineLevel="0" collapsed="false">
      <c r="A272" s="31" t="n">
        <v>268</v>
      </c>
      <c r="B272" s="32" t="str">
        <f aca="false">IF(OR(C272="",I272="",G272=""),"",IFERROR(VLOOKUP(I272,Setup!$A$9:$B$11,2,0),"???")&amp;"-"&amp;G272&amp;"-"&amp;TEXT(COUNTIFS(I$5:I272,I272,G$5:G272,G272),"0000"))</f>
        <v/>
      </c>
      <c r="C272" s="26"/>
      <c r="D272" s="26"/>
      <c r="E272" s="27"/>
      <c r="F272" s="27"/>
      <c r="G272" s="31" t="str">
        <f aca="false">IF(F272="","",IF(F272&lt;=5,"A",IF(F272&lt;=8,"B",IF(F272&lt;=10,"C","D"))))</f>
        <v/>
      </c>
      <c r="H272" s="28"/>
      <c r="I272" s="27"/>
      <c r="J272" s="26"/>
      <c r="K272" s="27"/>
      <c r="L272" s="27"/>
      <c r="M272" s="27"/>
      <c r="N272" s="27"/>
      <c r="O272" s="31" t="str">
        <f aca="false">IF(G272="","",VLOOKUP(G272,Setup!$A$14:$C$17,3,0))</f>
        <v/>
      </c>
      <c r="P272" s="27"/>
      <c r="Q272" s="33" t="str">
        <f aca="false">IF(OR(P272="",M272&lt;&gt;"Paid",O272=""),"",P272/O272)</f>
        <v/>
      </c>
      <c r="R272" s="34" t="str">
        <f aca="false">IF(Q272="","",Q272+N(H272)*0.000000001)</f>
        <v/>
      </c>
      <c r="S272" s="32" t="str">
        <f aca="false">IF(R272="","",SUMPRODUCT((I$5:I$4004=I272)*ISNUMBER(R$5:R$4004)*(R$5:R$4004&gt;R272))+1)</f>
        <v/>
      </c>
      <c r="T272" s="32" t="str">
        <f aca="false">IF(S272="","",IF(S272&lt;=Setup!$B$5,"🏆 WINNER",""))</f>
        <v/>
      </c>
      <c r="U272" s="31" t="str">
        <f aca="false">IF(S272="","",I272&amp;"|"&amp;S272)</f>
        <v/>
      </c>
    </row>
    <row r="273" customFormat="false" ht="15" hidden="false" customHeight="false" outlineLevel="0" collapsed="false">
      <c r="A273" s="24" t="n">
        <v>269</v>
      </c>
      <c r="B273" s="25" t="str">
        <f aca="false">IF(OR(C273="",I273="",G273=""),"",IFERROR(VLOOKUP(I273,Setup!$A$9:$B$11,2,0),"???")&amp;"-"&amp;G273&amp;"-"&amp;TEXT(COUNTIFS(I$5:I273,I273,G$5:G273,G273),"0000"))</f>
        <v/>
      </c>
      <c r="C273" s="26"/>
      <c r="D273" s="26"/>
      <c r="E273" s="27"/>
      <c r="F273" s="27"/>
      <c r="G273" s="24" t="str">
        <f aca="false">IF(F273="","",IF(F273&lt;=5,"A",IF(F273&lt;=8,"B",IF(F273&lt;=10,"C","D"))))</f>
        <v/>
      </c>
      <c r="H273" s="28"/>
      <c r="I273" s="27"/>
      <c r="J273" s="26"/>
      <c r="K273" s="27"/>
      <c r="L273" s="27"/>
      <c r="M273" s="27"/>
      <c r="N273" s="27"/>
      <c r="O273" s="24" t="str">
        <f aca="false">IF(G273="","",VLOOKUP(G273,Setup!$A$14:$C$17,3,0))</f>
        <v/>
      </c>
      <c r="P273" s="27"/>
      <c r="Q273" s="29" t="str">
        <f aca="false">IF(OR(P273="",M273&lt;&gt;"Paid",O273=""),"",P273/O273)</f>
        <v/>
      </c>
      <c r="R273" s="30" t="str">
        <f aca="false">IF(Q273="","",Q273+N(H273)*0.000000001)</f>
        <v/>
      </c>
      <c r="S273" s="25" t="str">
        <f aca="false">IF(R273="","",SUMPRODUCT((I$5:I$4004=I273)*ISNUMBER(R$5:R$4004)*(R$5:R$4004&gt;R273))+1)</f>
        <v/>
      </c>
      <c r="T273" s="25" t="str">
        <f aca="false">IF(S273="","",IF(S273&lt;=Setup!$B$5,"🏆 WINNER",""))</f>
        <v/>
      </c>
      <c r="U273" s="24" t="str">
        <f aca="false">IF(S273="","",I273&amp;"|"&amp;S273)</f>
        <v/>
      </c>
    </row>
    <row r="274" customFormat="false" ht="15" hidden="false" customHeight="false" outlineLevel="0" collapsed="false">
      <c r="A274" s="31" t="n">
        <v>270</v>
      </c>
      <c r="B274" s="32" t="str">
        <f aca="false">IF(OR(C274="",I274="",G274=""),"",IFERROR(VLOOKUP(I274,Setup!$A$9:$B$11,2,0),"???")&amp;"-"&amp;G274&amp;"-"&amp;TEXT(COUNTIFS(I$5:I274,I274,G$5:G274,G274),"0000"))</f>
        <v/>
      </c>
      <c r="C274" s="26"/>
      <c r="D274" s="26"/>
      <c r="E274" s="27"/>
      <c r="F274" s="27"/>
      <c r="G274" s="31" t="str">
        <f aca="false">IF(F274="","",IF(F274&lt;=5,"A",IF(F274&lt;=8,"B",IF(F274&lt;=10,"C","D"))))</f>
        <v/>
      </c>
      <c r="H274" s="28"/>
      <c r="I274" s="27"/>
      <c r="J274" s="26"/>
      <c r="K274" s="27"/>
      <c r="L274" s="27"/>
      <c r="M274" s="27"/>
      <c r="N274" s="27"/>
      <c r="O274" s="31" t="str">
        <f aca="false">IF(G274="","",VLOOKUP(G274,Setup!$A$14:$C$17,3,0))</f>
        <v/>
      </c>
      <c r="P274" s="27"/>
      <c r="Q274" s="33" t="str">
        <f aca="false">IF(OR(P274="",M274&lt;&gt;"Paid",O274=""),"",P274/O274)</f>
        <v/>
      </c>
      <c r="R274" s="34" t="str">
        <f aca="false">IF(Q274="","",Q274+N(H274)*0.000000001)</f>
        <v/>
      </c>
      <c r="S274" s="32" t="str">
        <f aca="false">IF(R274="","",SUMPRODUCT((I$5:I$4004=I274)*ISNUMBER(R$5:R$4004)*(R$5:R$4004&gt;R274))+1)</f>
        <v/>
      </c>
      <c r="T274" s="32" t="str">
        <f aca="false">IF(S274="","",IF(S274&lt;=Setup!$B$5,"🏆 WINNER",""))</f>
        <v/>
      </c>
      <c r="U274" s="31" t="str">
        <f aca="false">IF(S274="","",I274&amp;"|"&amp;S274)</f>
        <v/>
      </c>
    </row>
    <row r="275" customFormat="false" ht="15" hidden="false" customHeight="false" outlineLevel="0" collapsed="false">
      <c r="A275" s="24" t="n">
        <v>271</v>
      </c>
      <c r="B275" s="25" t="str">
        <f aca="false">IF(OR(C275="",I275="",G275=""),"",IFERROR(VLOOKUP(I275,Setup!$A$9:$B$11,2,0),"???")&amp;"-"&amp;G275&amp;"-"&amp;TEXT(COUNTIFS(I$5:I275,I275,G$5:G275,G275),"0000"))</f>
        <v/>
      </c>
      <c r="C275" s="26"/>
      <c r="D275" s="26"/>
      <c r="E275" s="27"/>
      <c r="F275" s="27"/>
      <c r="G275" s="24" t="str">
        <f aca="false">IF(F275="","",IF(F275&lt;=5,"A",IF(F275&lt;=8,"B",IF(F275&lt;=10,"C","D"))))</f>
        <v/>
      </c>
      <c r="H275" s="28"/>
      <c r="I275" s="27"/>
      <c r="J275" s="26"/>
      <c r="K275" s="27"/>
      <c r="L275" s="27"/>
      <c r="M275" s="27"/>
      <c r="N275" s="27"/>
      <c r="O275" s="24" t="str">
        <f aca="false">IF(G275="","",VLOOKUP(G275,Setup!$A$14:$C$17,3,0))</f>
        <v/>
      </c>
      <c r="P275" s="27"/>
      <c r="Q275" s="29" t="str">
        <f aca="false">IF(OR(P275="",M275&lt;&gt;"Paid",O275=""),"",P275/O275)</f>
        <v/>
      </c>
      <c r="R275" s="30" t="str">
        <f aca="false">IF(Q275="","",Q275+N(H275)*0.000000001)</f>
        <v/>
      </c>
      <c r="S275" s="25" t="str">
        <f aca="false">IF(R275="","",SUMPRODUCT((I$5:I$4004=I275)*ISNUMBER(R$5:R$4004)*(R$5:R$4004&gt;R275))+1)</f>
        <v/>
      </c>
      <c r="T275" s="25" t="str">
        <f aca="false">IF(S275="","",IF(S275&lt;=Setup!$B$5,"🏆 WINNER",""))</f>
        <v/>
      </c>
      <c r="U275" s="24" t="str">
        <f aca="false">IF(S275="","",I275&amp;"|"&amp;S275)</f>
        <v/>
      </c>
    </row>
    <row r="276" customFormat="false" ht="15" hidden="false" customHeight="false" outlineLevel="0" collapsed="false">
      <c r="A276" s="31" t="n">
        <v>272</v>
      </c>
      <c r="B276" s="32" t="str">
        <f aca="false">IF(OR(C276="",I276="",G276=""),"",IFERROR(VLOOKUP(I276,Setup!$A$9:$B$11,2,0),"???")&amp;"-"&amp;G276&amp;"-"&amp;TEXT(COUNTIFS(I$5:I276,I276,G$5:G276,G276),"0000"))</f>
        <v/>
      </c>
      <c r="C276" s="26"/>
      <c r="D276" s="26"/>
      <c r="E276" s="27"/>
      <c r="F276" s="27"/>
      <c r="G276" s="31" t="str">
        <f aca="false">IF(F276="","",IF(F276&lt;=5,"A",IF(F276&lt;=8,"B",IF(F276&lt;=10,"C","D"))))</f>
        <v/>
      </c>
      <c r="H276" s="28"/>
      <c r="I276" s="27"/>
      <c r="J276" s="26"/>
      <c r="K276" s="27"/>
      <c r="L276" s="27"/>
      <c r="M276" s="27"/>
      <c r="N276" s="27"/>
      <c r="O276" s="31" t="str">
        <f aca="false">IF(G276="","",VLOOKUP(G276,Setup!$A$14:$C$17,3,0))</f>
        <v/>
      </c>
      <c r="P276" s="27"/>
      <c r="Q276" s="33" t="str">
        <f aca="false">IF(OR(P276="",M276&lt;&gt;"Paid",O276=""),"",P276/O276)</f>
        <v/>
      </c>
      <c r="R276" s="34" t="str">
        <f aca="false">IF(Q276="","",Q276+N(H276)*0.000000001)</f>
        <v/>
      </c>
      <c r="S276" s="32" t="str">
        <f aca="false">IF(R276="","",SUMPRODUCT((I$5:I$4004=I276)*ISNUMBER(R$5:R$4004)*(R$5:R$4004&gt;R276))+1)</f>
        <v/>
      </c>
      <c r="T276" s="32" t="str">
        <f aca="false">IF(S276="","",IF(S276&lt;=Setup!$B$5,"🏆 WINNER",""))</f>
        <v/>
      </c>
      <c r="U276" s="31" t="str">
        <f aca="false">IF(S276="","",I276&amp;"|"&amp;S276)</f>
        <v/>
      </c>
    </row>
    <row r="277" customFormat="false" ht="15" hidden="false" customHeight="false" outlineLevel="0" collapsed="false">
      <c r="A277" s="24" t="n">
        <v>273</v>
      </c>
      <c r="B277" s="25" t="str">
        <f aca="false">IF(OR(C277="",I277="",G277=""),"",IFERROR(VLOOKUP(I277,Setup!$A$9:$B$11,2,0),"???")&amp;"-"&amp;G277&amp;"-"&amp;TEXT(COUNTIFS(I$5:I277,I277,G$5:G277,G277),"0000"))</f>
        <v/>
      </c>
      <c r="C277" s="26"/>
      <c r="D277" s="26"/>
      <c r="E277" s="27"/>
      <c r="F277" s="27"/>
      <c r="G277" s="24" t="str">
        <f aca="false">IF(F277="","",IF(F277&lt;=5,"A",IF(F277&lt;=8,"B",IF(F277&lt;=10,"C","D"))))</f>
        <v/>
      </c>
      <c r="H277" s="28"/>
      <c r="I277" s="27"/>
      <c r="J277" s="26"/>
      <c r="K277" s="27"/>
      <c r="L277" s="27"/>
      <c r="M277" s="27"/>
      <c r="N277" s="27"/>
      <c r="O277" s="24" t="str">
        <f aca="false">IF(G277="","",VLOOKUP(G277,Setup!$A$14:$C$17,3,0))</f>
        <v/>
      </c>
      <c r="P277" s="27"/>
      <c r="Q277" s="29" t="str">
        <f aca="false">IF(OR(P277="",M277&lt;&gt;"Paid",O277=""),"",P277/O277)</f>
        <v/>
      </c>
      <c r="R277" s="30" t="str">
        <f aca="false">IF(Q277="","",Q277+N(H277)*0.000000001)</f>
        <v/>
      </c>
      <c r="S277" s="25" t="str">
        <f aca="false">IF(R277="","",SUMPRODUCT((I$5:I$4004=I277)*ISNUMBER(R$5:R$4004)*(R$5:R$4004&gt;R277))+1)</f>
        <v/>
      </c>
      <c r="T277" s="25" t="str">
        <f aca="false">IF(S277="","",IF(S277&lt;=Setup!$B$5,"🏆 WINNER",""))</f>
        <v/>
      </c>
      <c r="U277" s="24" t="str">
        <f aca="false">IF(S277="","",I277&amp;"|"&amp;S277)</f>
        <v/>
      </c>
    </row>
    <row r="278" customFormat="false" ht="15" hidden="false" customHeight="false" outlineLevel="0" collapsed="false">
      <c r="A278" s="31" t="n">
        <v>274</v>
      </c>
      <c r="B278" s="32" t="str">
        <f aca="false">IF(OR(C278="",I278="",G278=""),"",IFERROR(VLOOKUP(I278,Setup!$A$9:$B$11,2,0),"???")&amp;"-"&amp;G278&amp;"-"&amp;TEXT(COUNTIFS(I$5:I278,I278,G$5:G278,G278),"0000"))</f>
        <v/>
      </c>
      <c r="C278" s="26"/>
      <c r="D278" s="26"/>
      <c r="E278" s="27"/>
      <c r="F278" s="27"/>
      <c r="G278" s="31" t="str">
        <f aca="false">IF(F278="","",IF(F278&lt;=5,"A",IF(F278&lt;=8,"B",IF(F278&lt;=10,"C","D"))))</f>
        <v/>
      </c>
      <c r="H278" s="28"/>
      <c r="I278" s="27"/>
      <c r="J278" s="26"/>
      <c r="K278" s="27"/>
      <c r="L278" s="27"/>
      <c r="M278" s="27"/>
      <c r="N278" s="27"/>
      <c r="O278" s="31" t="str">
        <f aca="false">IF(G278="","",VLOOKUP(G278,Setup!$A$14:$C$17,3,0))</f>
        <v/>
      </c>
      <c r="P278" s="27"/>
      <c r="Q278" s="33" t="str">
        <f aca="false">IF(OR(P278="",M278&lt;&gt;"Paid",O278=""),"",P278/O278)</f>
        <v/>
      </c>
      <c r="R278" s="34" t="str">
        <f aca="false">IF(Q278="","",Q278+N(H278)*0.000000001)</f>
        <v/>
      </c>
      <c r="S278" s="32" t="str">
        <f aca="false">IF(R278="","",SUMPRODUCT((I$5:I$4004=I278)*ISNUMBER(R$5:R$4004)*(R$5:R$4004&gt;R278))+1)</f>
        <v/>
      </c>
      <c r="T278" s="32" t="str">
        <f aca="false">IF(S278="","",IF(S278&lt;=Setup!$B$5,"🏆 WINNER",""))</f>
        <v/>
      </c>
      <c r="U278" s="31" t="str">
        <f aca="false">IF(S278="","",I278&amp;"|"&amp;S278)</f>
        <v/>
      </c>
    </row>
    <row r="279" customFormat="false" ht="15" hidden="false" customHeight="false" outlineLevel="0" collapsed="false">
      <c r="A279" s="24" t="n">
        <v>275</v>
      </c>
      <c r="B279" s="25" t="str">
        <f aca="false">IF(OR(C279="",I279="",G279=""),"",IFERROR(VLOOKUP(I279,Setup!$A$9:$B$11,2,0),"???")&amp;"-"&amp;G279&amp;"-"&amp;TEXT(COUNTIFS(I$5:I279,I279,G$5:G279,G279),"0000"))</f>
        <v/>
      </c>
      <c r="C279" s="26"/>
      <c r="D279" s="26"/>
      <c r="E279" s="27"/>
      <c r="F279" s="27"/>
      <c r="G279" s="24" t="str">
        <f aca="false">IF(F279="","",IF(F279&lt;=5,"A",IF(F279&lt;=8,"B",IF(F279&lt;=10,"C","D"))))</f>
        <v/>
      </c>
      <c r="H279" s="28"/>
      <c r="I279" s="27"/>
      <c r="J279" s="26"/>
      <c r="K279" s="27"/>
      <c r="L279" s="27"/>
      <c r="M279" s="27"/>
      <c r="N279" s="27"/>
      <c r="O279" s="24" t="str">
        <f aca="false">IF(G279="","",VLOOKUP(G279,Setup!$A$14:$C$17,3,0))</f>
        <v/>
      </c>
      <c r="P279" s="27"/>
      <c r="Q279" s="29" t="str">
        <f aca="false">IF(OR(P279="",M279&lt;&gt;"Paid",O279=""),"",P279/O279)</f>
        <v/>
      </c>
      <c r="R279" s="30" t="str">
        <f aca="false">IF(Q279="","",Q279+N(H279)*0.000000001)</f>
        <v/>
      </c>
      <c r="S279" s="25" t="str">
        <f aca="false">IF(R279="","",SUMPRODUCT((I$5:I$4004=I279)*ISNUMBER(R$5:R$4004)*(R$5:R$4004&gt;R279))+1)</f>
        <v/>
      </c>
      <c r="T279" s="25" t="str">
        <f aca="false">IF(S279="","",IF(S279&lt;=Setup!$B$5,"🏆 WINNER",""))</f>
        <v/>
      </c>
      <c r="U279" s="24" t="str">
        <f aca="false">IF(S279="","",I279&amp;"|"&amp;S279)</f>
        <v/>
      </c>
    </row>
    <row r="280" customFormat="false" ht="15" hidden="false" customHeight="false" outlineLevel="0" collapsed="false">
      <c r="A280" s="31" t="n">
        <v>276</v>
      </c>
      <c r="B280" s="32" t="str">
        <f aca="false">IF(OR(C280="",I280="",G280=""),"",IFERROR(VLOOKUP(I280,Setup!$A$9:$B$11,2,0),"???")&amp;"-"&amp;G280&amp;"-"&amp;TEXT(COUNTIFS(I$5:I280,I280,G$5:G280,G280),"0000"))</f>
        <v/>
      </c>
      <c r="C280" s="26"/>
      <c r="D280" s="26"/>
      <c r="E280" s="27"/>
      <c r="F280" s="27"/>
      <c r="G280" s="31" t="str">
        <f aca="false">IF(F280="","",IF(F280&lt;=5,"A",IF(F280&lt;=8,"B",IF(F280&lt;=10,"C","D"))))</f>
        <v/>
      </c>
      <c r="H280" s="28"/>
      <c r="I280" s="27"/>
      <c r="J280" s="26"/>
      <c r="K280" s="27"/>
      <c r="L280" s="27"/>
      <c r="M280" s="27"/>
      <c r="N280" s="27"/>
      <c r="O280" s="31" t="str">
        <f aca="false">IF(G280="","",VLOOKUP(G280,Setup!$A$14:$C$17,3,0))</f>
        <v/>
      </c>
      <c r="P280" s="27"/>
      <c r="Q280" s="33" t="str">
        <f aca="false">IF(OR(P280="",M280&lt;&gt;"Paid",O280=""),"",P280/O280)</f>
        <v/>
      </c>
      <c r="R280" s="34" t="str">
        <f aca="false">IF(Q280="","",Q280+N(H280)*0.000000001)</f>
        <v/>
      </c>
      <c r="S280" s="32" t="str">
        <f aca="false">IF(R280="","",SUMPRODUCT((I$5:I$4004=I280)*ISNUMBER(R$5:R$4004)*(R$5:R$4004&gt;R280))+1)</f>
        <v/>
      </c>
      <c r="T280" s="32" t="str">
        <f aca="false">IF(S280="","",IF(S280&lt;=Setup!$B$5,"🏆 WINNER",""))</f>
        <v/>
      </c>
      <c r="U280" s="31" t="str">
        <f aca="false">IF(S280="","",I280&amp;"|"&amp;S280)</f>
        <v/>
      </c>
    </row>
    <row r="281" customFormat="false" ht="15" hidden="false" customHeight="false" outlineLevel="0" collapsed="false">
      <c r="A281" s="24" t="n">
        <v>277</v>
      </c>
      <c r="B281" s="25" t="str">
        <f aca="false">IF(OR(C281="",I281="",G281=""),"",IFERROR(VLOOKUP(I281,Setup!$A$9:$B$11,2,0),"???")&amp;"-"&amp;G281&amp;"-"&amp;TEXT(COUNTIFS(I$5:I281,I281,G$5:G281,G281),"0000"))</f>
        <v/>
      </c>
      <c r="C281" s="26"/>
      <c r="D281" s="26"/>
      <c r="E281" s="27"/>
      <c r="F281" s="27"/>
      <c r="G281" s="24" t="str">
        <f aca="false">IF(F281="","",IF(F281&lt;=5,"A",IF(F281&lt;=8,"B",IF(F281&lt;=10,"C","D"))))</f>
        <v/>
      </c>
      <c r="H281" s="28"/>
      <c r="I281" s="27"/>
      <c r="J281" s="26"/>
      <c r="K281" s="27"/>
      <c r="L281" s="27"/>
      <c r="M281" s="27"/>
      <c r="N281" s="27"/>
      <c r="O281" s="24" t="str">
        <f aca="false">IF(G281="","",VLOOKUP(G281,Setup!$A$14:$C$17,3,0))</f>
        <v/>
      </c>
      <c r="P281" s="27"/>
      <c r="Q281" s="29" t="str">
        <f aca="false">IF(OR(P281="",M281&lt;&gt;"Paid",O281=""),"",P281/O281)</f>
        <v/>
      </c>
      <c r="R281" s="30" t="str">
        <f aca="false">IF(Q281="","",Q281+N(H281)*0.000000001)</f>
        <v/>
      </c>
      <c r="S281" s="25" t="str">
        <f aca="false">IF(R281="","",SUMPRODUCT((I$5:I$4004=I281)*ISNUMBER(R$5:R$4004)*(R$5:R$4004&gt;R281))+1)</f>
        <v/>
      </c>
      <c r="T281" s="25" t="str">
        <f aca="false">IF(S281="","",IF(S281&lt;=Setup!$B$5,"🏆 WINNER",""))</f>
        <v/>
      </c>
      <c r="U281" s="24" t="str">
        <f aca="false">IF(S281="","",I281&amp;"|"&amp;S281)</f>
        <v/>
      </c>
    </row>
    <row r="282" customFormat="false" ht="15" hidden="false" customHeight="false" outlineLevel="0" collapsed="false">
      <c r="A282" s="31" t="n">
        <v>278</v>
      </c>
      <c r="B282" s="32" t="str">
        <f aca="false">IF(OR(C282="",I282="",G282=""),"",IFERROR(VLOOKUP(I282,Setup!$A$9:$B$11,2,0),"???")&amp;"-"&amp;G282&amp;"-"&amp;TEXT(COUNTIFS(I$5:I282,I282,G$5:G282,G282),"0000"))</f>
        <v/>
      </c>
      <c r="C282" s="26"/>
      <c r="D282" s="26"/>
      <c r="E282" s="27"/>
      <c r="F282" s="27"/>
      <c r="G282" s="31" t="str">
        <f aca="false">IF(F282="","",IF(F282&lt;=5,"A",IF(F282&lt;=8,"B",IF(F282&lt;=10,"C","D"))))</f>
        <v/>
      </c>
      <c r="H282" s="28"/>
      <c r="I282" s="27"/>
      <c r="J282" s="26"/>
      <c r="K282" s="27"/>
      <c r="L282" s="27"/>
      <c r="M282" s="27"/>
      <c r="N282" s="27"/>
      <c r="O282" s="31" t="str">
        <f aca="false">IF(G282="","",VLOOKUP(G282,Setup!$A$14:$C$17,3,0))</f>
        <v/>
      </c>
      <c r="P282" s="27"/>
      <c r="Q282" s="33" t="str">
        <f aca="false">IF(OR(P282="",M282&lt;&gt;"Paid",O282=""),"",P282/O282)</f>
        <v/>
      </c>
      <c r="R282" s="34" t="str">
        <f aca="false">IF(Q282="","",Q282+N(H282)*0.000000001)</f>
        <v/>
      </c>
      <c r="S282" s="32" t="str">
        <f aca="false">IF(R282="","",SUMPRODUCT((I$5:I$4004=I282)*ISNUMBER(R$5:R$4004)*(R$5:R$4004&gt;R282))+1)</f>
        <v/>
      </c>
      <c r="T282" s="32" t="str">
        <f aca="false">IF(S282="","",IF(S282&lt;=Setup!$B$5,"🏆 WINNER",""))</f>
        <v/>
      </c>
      <c r="U282" s="31" t="str">
        <f aca="false">IF(S282="","",I282&amp;"|"&amp;S282)</f>
        <v/>
      </c>
    </row>
    <row r="283" customFormat="false" ht="15" hidden="false" customHeight="false" outlineLevel="0" collapsed="false">
      <c r="A283" s="24" t="n">
        <v>279</v>
      </c>
      <c r="B283" s="25" t="str">
        <f aca="false">IF(OR(C283="",I283="",G283=""),"",IFERROR(VLOOKUP(I283,Setup!$A$9:$B$11,2,0),"???")&amp;"-"&amp;G283&amp;"-"&amp;TEXT(COUNTIFS(I$5:I283,I283,G$5:G283,G283),"0000"))</f>
        <v/>
      </c>
      <c r="C283" s="26"/>
      <c r="D283" s="26"/>
      <c r="E283" s="27"/>
      <c r="F283" s="27"/>
      <c r="G283" s="24" t="str">
        <f aca="false">IF(F283="","",IF(F283&lt;=5,"A",IF(F283&lt;=8,"B",IF(F283&lt;=10,"C","D"))))</f>
        <v/>
      </c>
      <c r="H283" s="28"/>
      <c r="I283" s="27"/>
      <c r="J283" s="26"/>
      <c r="K283" s="27"/>
      <c r="L283" s="27"/>
      <c r="M283" s="27"/>
      <c r="N283" s="27"/>
      <c r="O283" s="24" t="str">
        <f aca="false">IF(G283="","",VLOOKUP(G283,Setup!$A$14:$C$17,3,0))</f>
        <v/>
      </c>
      <c r="P283" s="27"/>
      <c r="Q283" s="29" t="str">
        <f aca="false">IF(OR(P283="",M283&lt;&gt;"Paid",O283=""),"",P283/O283)</f>
        <v/>
      </c>
      <c r="R283" s="30" t="str">
        <f aca="false">IF(Q283="","",Q283+N(H283)*0.000000001)</f>
        <v/>
      </c>
      <c r="S283" s="25" t="str">
        <f aca="false">IF(R283="","",SUMPRODUCT((I$5:I$4004=I283)*ISNUMBER(R$5:R$4004)*(R$5:R$4004&gt;R283))+1)</f>
        <v/>
      </c>
      <c r="T283" s="25" t="str">
        <f aca="false">IF(S283="","",IF(S283&lt;=Setup!$B$5,"🏆 WINNER",""))</f>
        <v/>
      </c>
      <c r="U283" s="24" t="str">
        <f aca="false">IF(S283="","",I283&amp;"|"&amp;S283)</f>
        <v/>
      </c>
    </row>
    <row r="284" customFormat="false" ht="15" hidden="false" customHeight="false" outlineLevel="0" collapsed="false">
      <c r="A284" s="31" t="n">
        <v>280</v>
      </c>
      <c r="B284" s="32" t="str">
        <f aca="false">IF(OR(C284="",I284="",G284=""),"",IFERROR(VLOOKUP(I284,Setup!$A$9:$B$11,2,0),"???")&amp;"-"&amp;G284&amp;"-"&amp;TEXT(COUNTIFS(I$5:I284,I284,G$5:G284,G284),"0000"))</f>
        <v/>
      </c>
      <c r="C284" s="26"/>
      <c r="D284" s="26"/>
      <c r="E284" s="27"/>
      <c r="F284" s="27"/>
      <c r="G284" s="31" t="str">
        <f aca="false">IF(F284="","",IF(F284&lt;=5,"A",IF(F284&lt;=8,"B",IF(F284&lt;=10,"C","D"))))</f>
        <v/>
      </c>
      <c r="H284" s="28"/>
      <c r="I284" s="27"/>
      <c r="J284" s="26"/>
      <c r="K284" s="27"/>
      <c r="L284" s="27"/>
      <c r="M284" s="27"/>
      <c r="N284" s="27"/>
      <c r="O284" s="31" t="str">
        <f aca="false">IF(G284="","",VLOOKUP(G284,Setup!$A$14:$C$17,3,0))</f>
        <v/>
      </c>
      <c r="P284" s="27"/>
      <c r="Q284" s="33" t="str">
        <f aca="false">IF(OR(P284="",M284&lt;&gt;"Paid",O284=""),"",P284/O284)</f>
        <v/>
      </c>
      <c r="R284" s="34" t="str">
        <f aca="false">IF(Q284="","",Q284+N(H284)*0.000000001)</f>
        <v/>
      </c>
      <c r="S284" s="32" t="str">
        <f aca="false">IF(R284="","",SUMPRODUCT((I$5:I$4004=I284)*ISNUMBER(R$5:R$4004)*(R$5:R$4004&gt;R284))+1)</f>
        <v/>
      </c>
      <c r="T284" s="32" t="str">
        <f aca="false">IF(S284="","",IF(S284&lt;=Setup!$B$5,"🏆 WINNER",""))</f>
        <v/>
      </c>
      <c r="U284" s="31" t="str">
        <f aca="false">IF(S284="","",I284&amp;"|"&amp;S284)</f>
        <v/>
      </c>
    </row>
    <row r="285" customFormat="false" ht="15" hidden="false" customHeight="false" outlineLevel="0" collapsed="false">
      <c r="A285" s="24" t="n">
        <v>281</v>
      </c>
      <c r="B285" s="25" t="str">
        <f aca="false">IF(OR(C285="",I285="",G285=""),"",IFERROR(VLOOKUP(I285,Setup!$A$9:$B$11,2,0),"???")&amp;"-"&amp;G285&amp;"-"&amp;TEXT(COUNTIFS(I$5:I285,I285,G$5:G285,G285),"0000"))</f>
        <v/>
      </c>
      <c r="C285" s="26"/>
      <c r="D285" s="26"/>
      <c r="E285" s="27"/>
      <c r="F285" s="27"/>
      <c r="G285" s="24" t="str">
        <f aca="false">IF(F285="","",IF(F285&lt;=5,"A",IF(F285&lt;=8,"B",IF(F285&lt;=10,"C","D"))))</f>
        <v/>
      </c>
      <c r="H285" s="28"/>
      <c r="I285" s="27"/>
      <c r="J285" s="26"/>
      <c r="K285" s="27"/>
      <c r="L285" s="27"/>
      <c r="M285" s="27"/>
      <c r="N285" s="27"/>
      <c r="O285" s="24" t="str">
        <f aca="false">IF(G285="","",VLOOKUP(G285,Setup!$A$14:$C$17,3,0))</f>
        <v/>
      </c>
      <c r="P285" s="27"/>
      <c r="Q285" s="29" t="str">
        <f aca="false">IF(OR(P285="",M285&lt;&gt;"Paid",O285=""),"",P285/O285)</f>
        <v/>
      </c>
      <c r="R285" s="30" t="str">
        <f aca="false">IF(Q285="","",Q285+N(H285)*0.000000001)</f>
        <v/>
      </c>
      <c r="S285" s="25" t="str">
        <f aca="false">IF(R285="","",SUMPRODUCT((I$5:I$4004=I285)*ISNUMBER(R$5:R$4004)*(R$5:R$4004&gt;R285))+1)</f>
        <v/>
      </c>
      <c r="T285" s="25" t="str">
        <f aca="false">IF(S285="","",IF(S285&lt;=Setup!$B$5,"🏆 WINNER",""))</f>
        <v/>
      </c>
      <c r="U285" s="24" t="str">
        <f aca="false">IF(S285="","",I285&amp;"|"&amp;S285)</f>
        <v/>
      </c>
    </row>
    <row r="286" customFormat="false" ht="15" hidden="false" customHeight="false" outlineLevel="0" collapsed="false">
      <c r="A286" s="31" t="n">
        <v>282</v>
      </c>
      <c r="B286" s="32" t="str">
        <f aca="false">IF(OR(C286="",I286="",G286=""),"",IFERROR(VLOOKUP(I286,Setup!$A$9:$B$11,2,0),"???")&amp;"-"&amp;G286&amp;"-"&amp;TEXT(COUNTIFS(I$5:I286,I286,G$5:G286,G286),"0000"))</f>
        <v/>
      </c>
      <c r="C286" s="26"/>
      <c r="D286" s="26"/>
      <c r="E286" s="27"/>
      <c r="F286" s="27"/>
      <c r="G286" s="31" t="str">
        <f aca="false">IF(F286="","",IF(F286&lt;=5,"A",IF(F286&lt;=8,"B",IF(F286&lt;=10,"C","D"))))</f>
        <v/>
      </c>
      <c r="H286" s="28"/>
      <c r="I286" s="27"/>
      <c r="J286" s="26"/>
      <c r="K286" s="27"/>
      <c r="L286" s="27"/>
      <c r="M286" s="27"/>
      <c r="N286" s="27"/>
      <c r="O286" s="31" t="str">
        <f aca="false">IF(G286="","",VLOOKUP(G286,Setup!$A$14:$C$17,3,0))</f>
        <v/>
      </c>
      <c r="P286" s="27"/>
      <c r="Q286" s="33" t="str">
        <f aca="false">IF(OR(P286="",M286&lt;&gt;"Paid",O286=""),"",P286/O286)</f>
        <v/>
      </c>
      <c r="R286" s="34" t="str">
        <f aca="false">IF(Q286="","",Q286+N(H286)*0.000000001)</f>
        <v/>
      </c>
      <c r="S286" s="32" t="str">
        <f aca="false">IF(R286="","",SUMPRODUCT((I$5:I$4004=I286)*ISNUMBER(R$5:R$4004)*(R$5:R$4004&gt;R286))+1)</f>
        <v/>
      </c>
      <c r="T286" s="32" t="str">
        <f aca="false">IF(S286="","",IF(S286&lt;=Setup!$B$5,"🏆 WINNER",""))</f>
        <v/>
      </c>
      <c r="U286" s="31" t="str">
        <f aca="false">IF(S286="","",I286&amp;"|"&amp;S286)</f>
        <v/>
      </c>
    </row>
    <row r="287" customFormat="false" ht="15" hidden="false" customHeight="false" outlineLevel="0" collapsed="false">
      <c r="A287" s="24" t="n">
        <v>283</v>
      </c>
      <c r="B287" s="25" t="str">
        <f aca="false">IF(OR(C287="",I287="",G287=""),"",IFERROR(VLOOKUP(I287,Setup!$A$9:$B$11,2,0),"???")&amp;"-"&amp;G287&amp;"-"&amp;TEXT(COUNTIFS(I$5:I287,I287,G$5:G287,G287),"0000"))</f>
        <v/>
      </c>
      <c r="C287" s="26"/>
      <c r="D287" s="26"/>
      <c r="E287" s="27"/>
      <c r="F287" s="27"/>
      <c r="G287" s="24" t="str">
        <f aca="false">IF(F287="","",IF(F287&lt;=5,"A",IF(F287&lt;=8,"B",IF(F287&lt;=10,"C","D"))))</f>
        <v/>
      </c>
      <c r="H287" s="28"/>
      <c r="I287" s="27"/>
      <c r="J287" s="26"/>
      <c r="K287" s="27"/>
      <c r="L287" s="27"/>
      <c r="M287" s="27"/>
      <c r="N287" s="27"/>
      <c r="O287" s="24" t="str">
        <f aca="false">IF(G287="","",VLOOKUP(G287,Setup!$A$14:$C$17,3,0))</f>
        <v/>
      </c>
      <c r="P287" s="27"/>
      <c r="Q287" s="29" t="str">
        <f aca="false">IF(OR(P287="",M287&lt;&gt;"Paid",O287=""),"",P287/O287)</f>
        <v/>
      </c>
      <c r="R287" s="30" t="str">
        <f aca="false">IF(Q287="","",Q287+N(H287)*0.000000001)</f>
        <v/>
      </c>
      <c r="S287" s="25" t="str">
        <f aca="false">IF(R287="","",SUMPRODUCT((I$5:I$4004=I287)*ISNUMBER(R$5:R$4004)*(R$5:R$4004&gt;R287))+1)</f>
        <v/>
      </c>
      <c r="T287" s="25" t="str">
        <f aca="false">IF(S287="","",IF(S287&lt;=Setup!$B$5,"🏆 WINNER",""))</f>
        <v/>
      </c>
      <c r="U287" s="24" t="str">
        <f aca="false">IF(S287="","",I287&amp;"|"&amp;S287)</f>
        <v/>
      </c>
    </row>
    <row r="288" customFormat="false" ht="15" hidden="false" customHeight="false" outlineLevel="0" collapsed="false">
      <c r="A288" s="31" t="n">
        <v>284</v>
      </c>
      <c r="B288" s="32" t="str">
        <f aca="false">IF(OR(C288="",I288="",G288=""),"",IFERROR(VLOOKUP(I288,Setup!$A$9:$B$11,2,0),"???")&amp;"-"&amp;G288&amp;"-"&amp;TEXT(COUNTIFS(I$5:I288,I288,G$5:G288,G288),"0000"))</f>
        <v/>
      </c>
      <c r="C288" s="26"/>
      <c r="D288" s="26"/>
      <c r="E288" s="27"/>
      <c r="F288" s="27"/>
      <c r="G288" s="31" t="str">
        <f aca="false">IF(F288="","",IF(F288&lt;=5,"A",IF(F288&lt;=8,"B",IF(F288&lt;=10,"C","D"))))</f>
        <v/>
      </c>
      <c r="H288" s="28"/>
      <c r="I288" s="27"/>
      <c r="J288" s="26"/>
      <c r="K288" s="27"/>
      <c r="L288" s="27"/>
      <c r="M288" s="27"/>
      <c r="N288" s="27"/>
      <c r="O288" s="31" t="str">
        <f aca="false">IF(G288="","",VLOOKUP(G288,Setup!$A$14:$C$17,3,0))</f>
        <v/>
      </c>
      <c r="P288" s="27"/>
      <c r="Q288" s="33" t="str">
        <f aca="false">IF(OR(P288="",M288&lt;&gt;"Paid",O288=""),"",P288/O288)</f>
        <v/>
      </c>
      <c r="R288" s="34" t="str">
        <f aca="false">IF(Q288="","",Q288+N(H288)*0.000000001)</f>
        <v/>
      </c>
      <c r="S288" s="32" t="str">
        <f aca="false">IF(R288="","",SUMPRODUCT((I$5:I$4004=I288)*ISNUMBER(R$5:R$4004)*(R$5:R$4004&gt;R288))+1)</f>
        <v/>
      </c>
      <c r="T288" s="32" t="str">
        <f aca="false">IF(S288="","",IF(S288&lt;=Setup!$B$5,"🏆 WINNER",""))</f>
        <v/>
      </c>
      <c r="U288" s="31" t="str">
        <f aca="false">IF(S288="","",I288&amp;"|"&amp;S288)</f>
        <v/>
      </c>
    </row>
    <row r="289" customFormat="false" ht="15" hidden="false" customHeight="false" outlineLevel="0" collapsed="false">
      <c r="A289" s="24" t="n">
        <v>285</v>
      </c>
      <c r="B289" s="25" t="str">
        <f aca="false">IF(OR(C289="",I289="",G289=""),"",IFERROR(VLOOKUP(I289,Setup!$A$9:$B$11,2,0),"???")&amp;"-"&amp;G289&amp;"-"&amp;TEXT(COUNTIFS(I$5:I289,I289,G$5:G289,G289),"0000"))</f>
        <v/>
      </c>
      <c r="C289" s="26"/>
      <c r="D289" s="26"/>
      <c r="E289" s="27"/>
      <c r="F289" s="27"/>
      <c r="G289" s="24" t="str">
        <f aca="false">IF(F289="","",IF(F289&lt;=5,"A",IF(F289&lt;=8,"B",IF(F289&lt;=10,"C","D"))))</f>
        <v/>
      </c>
      <c r="H289" s="28"/>
      <c r="I289" s="27"/>
      <c r="J289" s="26"/>
      <c r="K289" s="27"/>
      <c r="L289" s="27"/>
      <c r="M289" s="27"/>
      <c r="N289" s="27"/>
      <c r="O289" s="24" t="str">
        <f aca="false">IF(G289="","",VLOOKUP(G289,Setup!$A$14:$C$17,3,0))</f>
        <v/>
      </c>
      <c r="P289" s="27"/>
      <c r="Q289" s="29" t="str">
        <f aca="false">IF(OR(P289="",M289&lt;&gt;"Paid",O289=""),"",P289/O289)</f>
        <v/>
      </c>
      <c r="R289" s="30" t="str">
        <f aca="false">IF(Q289="","",Q289+N(H289)*0.000000001)</f>
        <v/>
      </c>
      <c r="S289" s="25" t="str">
        <f aca="false">IF(R289="","",SUMPRODUCT((I$5:I$4004=I289)*ISNUMBER(R$5:R$4004)*(R$5:R$4004&gt;R289))+1)</f>
        <v/>
      </c>
      <c r="T289" s="25" t="str">
        <f aca="false">IF(S289="","",IF(S289&lt;=Setup!$B$5,"🏆 WINNER",""))</f>
        <v/>
      </c>
      <c r="U289" s="24" t="str">
        <f aca="false">IF(S289="","",I289&amp;"|"&amp;S289)</f>
        <v/>
      </c>
    </row>
    <row r="290" customFormat="false" ht="15" hidden="false" customHeight="false" outlineLevel="0" collapsed="false">
      <c r="A290" s="31" t="n">
        <v>286</v>
      </c>
      <c r="B290" s="32" t="str">
        <f aca="false">IF(OR(C290="",I290="",G290=""),"",IFERROR(VLOOKUP(I290,Setup!$A$9:$B$11,2,0),"???")&amp;"-"&amp;G290&amp;"-"&amp;TEXT(COUNTIFS(I$5:I290,I290,G$5:G290,G290),"0000"))</f>
        <v/>
      </c>
      <c r="C290" s="26"/>
      <c r="D290" s="26"/>
      <c r="E290" s="27"/>
      <c r="F290" s="27"/>
      <c r="G290" s="31" t="str">
        <f aca="false">IF(F290="","",IF(F290&lt;=5,"A",IF(F290&lt;=8,"B",IF(F290&lt;=10,"C","D"))))</f>
        <v/>
      </c>
      <c r="H290" s="28"/>
      <c r="I290" s="27"/>
      <c r="J290" s="26"/>
      <c r="K290" s="27"/>
      <c r="L290" s="27"/>
      <c r="M290" s="27"/>
      <c r="N290" s="27"/>
      <c r="O290" s="31" t="str">
        <f aca="false">IF(G290="","",VLOOKUP(G290,Setup!$A$14:$C$17,3,0))</f>
        <v/>
      </c>
      <c r="P290" s="27"/>
      <c r="Q290" s="33" t="str">
        <f aca="false">IF(OR(P290="",M290&lt;&gt;"Paid",O290=""),"",P290/O290)</f>
        <v/>
      </c>
      <c r="R290" s="34" t="str">
        <f aca="false">IF(Q290="","",Q290+N(H290)*0.000000001)</f>
        <v/>
      </c>
      <c r="S290" s="32" t="str">
        <f aca="false">IF(R290="","",SUMPRODUCT((I$5:I$4004=I290)*ISNUMBER(R$5:R$4004)*(R$5:R$4004&gt;R290))+1)</f>
        <v/>
      </c>
      <c r="T290" s="32" t="str">
        <f aca="false">IF(S290="","",IF(S290&lt;=Setup!$B$5,"🏆 WINNER",""))</f>
        <v/>
      </c>
      <c r="U290" s="31" t="str">
        <f aca="false">IF(S290="","",I290&amp;"|"&amp;S290)</f>
        <v/>
      </c>
    </row>
    <row r="291" customFormat="false" ht="15" hidden="false" customHeight="false" outlineLevel="0" collapsed="false">
      <c r="A291" s="24" t="n">
        <v>287</v>
      </c>
      <c r="B291" s="25" t="str">
        <f aca="false">IF(OR(C291="",I291="",G291=""),"",IFERROR(VLOOKUP(I291,Setup!$A$9:$B$11,2,0),"???")&amp;"-"&amp;G291&amp;"-"&amp;TEXT(COUNTIFS(I$5:I291,I291,G$5:G291,G291),"0000"))</f>
        <v/>
      </c>
      <c r="C291" s="26"/>
      <c r="D291" s="26"/>
      <c r="E291" s="27"/>
      <c r="F291" s="27"/>
      <c r="G291" s="24" t="str">
        <f aca="false">IF(F291="","",IF(F291&lt;=5,"A",IF(F291&lt;=8,"B",IF(F291&lt;=10,"C","D"))))</f>
        <v/>
      </c>
      <c r="H291" s="28"/>
      <c r="I291" s="27"/>
      <c r="J291" s="26"/>
      <c r="K291" s="27"/>
      <c r="L291" s="27"/>
      <c r="M291" s="27"/>
      <c r="N291" s="27"/>
      <c r="O291" s="24" t="str">
        <f aca="false">IF(G291="","",VLOOKUP(G291,Setup!$A$14:$C$17,3,0))</f>
        <v/>
      </c>
      <c r="P291" s="27"/>
      <c r="Q291" s="29" t="str">
        <f aca="false">IF(OR(P291="",M291&lt;&gt;"Paid",O291=""),"",P291/O291)</f>
        <v/>
      </c>
      <c r="R291" s="30" t="str">
        <f aca="false">IF(Q291="","",Q291+N(H291)*0.000000001)</f>
        <v/>
      </c>
      <c r="S291" s="25" t="str">
        <f aca="false">IF(R291="","",SUMPRODUCT((I$5:I$4004=I291)*ISNUMBER(R$5:R$4004)*(R$5:R$4004&gt;R291))+1)</f>
        <v/>
      </c>
      <c r="T291" s="25" t="str">
        <f aca="false">IF(S291="","",IF(S291&lt;=Setup!$B$5,"🏆 WINNER",""))</f>
        <v/>
      </c>
      <c r="U291" s="24" t="str">
        <f aca="false">IF(S291="","",I291&amp;"|"&amp;S291)</f>
        <v/>
      </c>
    </row>
    <row r="292" customFormat="false" ht="15" hidden="false" customHeight="false" outlineLevel="0" collapsed="false">
      <c r="A292" s="31" t="n">
        <v>288</v>
      </c>
      <c r="B292" s="32" t="str">
        <f aca="false">IF(OR(C292="",I292="",G292=""),"",IFERROR(VLOOKUP(I292,Setup!$A$9:$B$11,2,0),"???")&amp;"-"&amp;G292&amp;"-"&amp;TEXT(COUNTIFS(I$5:I292,I292,G$5:G292,G292),"0000"))</f>
        <v/>
      </c>
      <c r="C292" s="26"/>
      <c r="D292" s="26"/>
      <c r="E292" s="27"/>
      <c r="F292" s="27"/>
      <c r="G292" s="31" t="str">
        <f aca="false">IF(F292="","",IF(F292&lt;=5,"A",IF(F292&lt;=8,"B",IF(F292&lt;=10,"C","D"))))</f>
        <v/>
      </c>
      <c r="H292" s="28"/>
      <c r="I292" s="27"/>
      <c r="J292" s="26"/>
      <c r="K292" s="27"/>
      <c r="L292" s="27"/>
      <c r="M292" s="27"/>
      <c r="N292" s="27"/>
      <c r="O292" s="31" t="str">
        <f aca="false">IF(G292="","",VLOOKUP(G292,Setup!$A$14:$C$17,3,0))</f>
        <v/>
      </c>
      <c r="P292" s="27"/>
      <c r="Q292" s="33" t="str">
        <f aca="false">IF(OR(P292="",M292&lt;&gt;"Paid",O292=""),"",P292/O292)</f>
        <v/>
      </c>
      <c r="R292" s="34" t="str">
        <f aca="false">IF(Q292="","",Q292+N(H292)*0.000000001)</f>
        <v/>
      </c>
      <c r="S292" s="32" t="str">
        <f aca="false">IF(R292="","",SUMPRODUCT((I$5:I$4004=I292)*ISNUMBER(R$5:R$4004)*(R$5:R$4004&gt;R292))+1)</f>
        <v/>
      </c>
      <c r="T292" s="32" t="str">
        <f aca="false">IF(S292="","",IF(S292&lt;=Setup!$B$5,"🏆 WINNER",""))</f>
        <v/>
      </c>
      <c r="U292" s="31" t="str">
        <f aca="false">IF(S292="","",I292&amp;"|"&amp;S292)</f>
        <v/>
      </c>
    </row>
    <row r="293" customFormat="false" ht="15" hidden="false" customHeight="false" outlineLevel="0" collapsed="false">
      <c r="A293" s="24" t="n">
        <v>289</v>
      </c>
      <c r="B293" s="25" t="str">
        <f aca="false">IF(OR(C293="",I293="",G293=""),"",IFERROR(VLOOKUP(I293,Setup!$A$9:$B$11,2,0),"???")&amp;"-"&amp;G293&amp;"-"&amp;TEXT(COUNTIFS(I$5:I293,I293,G$5:G293,G293),"0000"))</f>
        <v/>
      </c>
      <c r="C293" s="26"/>
      <c r="D293" s="26"/>
      <c r="E293" s="27"/>
      <c r="F293" s="27"/>
      <c r="G293" s="24" t="str">
        <f aca="false">IF(F293="","",IF(F293&lt;=5,"A",IF(F293&lt;=8,"B",IF(F293&lt;=10,"C","D"))))</f>
        <v/>
      </c>
      <c r="H293" s="28"/>
      <c r="I293" s="27"/>
      <c r="J293" s="26"/>
      <c r="K293" s="27"/>
      <c r="L293" s="27"/>
      <c r="M293" s="27"/>
      <c r="N293" s="27"/>
      <c r="O293" s="24" t="str">
        <f aca="false">IF(G293="","",VLOOKUP(G293,Setup!$A$14:$C$17,3,0))</f>
        <v/>
      </c>
      <c r="P293" s="27"/>
      <c r="Q293" s="29" t="str">
        <f aca="false">IF(OR(P293="",M293&lt;&gt;"Paid",O293=""),"",P293/O293)</f>
        <v/>
      </c>
      <c r="R293" s="30" t="str">
        <f aca="false">IF(Q293="","",Q293+N(H293)*0.000000001)</f>
        <v/>
      </c>
      <c r="S293" s="25" t="str">
        <f aca="false">IF(R293="","",SUMPRODUCT((I$5:I$4004=I293)*ISNUMBER(R$5:R$4004)*(R$5:R$4004&gt;R293))+1)</f>
        <v/>
      </c>
      <c r="T293" s="25" t="str">
        <f aca="false">IF(S293="","",IF(S293&lt;=Setup!$B$5,"🏆 WINNER",""))</f>
        <v/>
      </c>
      <c r="U293" s="24" t="str">
        <f aca="false">IF(S293="","",I293&amp;"|"&amp;S293)</f>
        <v/>
      </c>
    </row>
    <row r="294" customFormat="false" ht="15" hidden="false" customHeight="false" outlineLevel="0" collapsed="false">
      <c r="A294" s="31" t="n">
        <v>290</v>
      </c>
      <c r="B294" s="32" t="str">
        <f aca="false">IF(OR(C294="",I294="",G294=""),"",IFERROR(VLOOKUP(I294,Setup!$A$9:$B$11,2,0),"???")&amp;"-"&amp;G294&amp;"-"&amp;TEXT(COUNTIFS(I$5:I294,I294,G$5:G294,G294),"0000"))</f>
        <v/>
      </c>
      <c r="C294" s="26"/>
      <c r="D294" s="26"/>
      <c r="E294" s="27"/>
      <c r="F294" s="27"/>
      <c r="G294" s="31" t="str">
        <f aca="false">IF(F294="","",IF(F294&lt;=5,"A",IF(F294&lt;=8,"B",IF(F294&lt;=10,"C","D"))))</f>
        <v/>
      </c>
      <c r="H294" s="28"/>
      <c r="I294" s="27"/>
      <c r="J294" s="26"/>
      <c r="K294" s="27"/>
      <c r="L294" s="27"/>
      <c r="M294" s="27"/>
      <c r="N294" s="27"/>
      <c r="O294" s="31" t="str">
        <f aca="false">IF(G294="","",VLOOKUP(G294,Setup!$A$14:$C$17,3,0))</f>
        <v/>
      </c>
      <c r="P294" s="27"/>
      <c r="Q294" s="33" t="str">
        <f aca="false">IF(OR(P294="",M294&lt;&gt;"Paid",O294=""),"",P294/O294)</f>
        <v/>
      </c>
      <c r="R294" s="34" t="str">
        <f aca="false">IF(Q294="","",Q294+N(H294)*0.000000001)</f>
        <v/>
      </c>
      <c r="S294" s="32" t="str">
        <f aca="false">IF(R294="","",SUMPRODUCT((I$5:I$4004=I294)*ISNUMBER(R$5:R$4004)*(R$5:R$4004&gt;R294))+1)</f>
        <v/>
      </c>
      <c r="T294" s="32" t="str">
        <f aca="false">IF(S294="","",IF(S294&lt;=Setup!$B$5,"🏆 WINNER",""))</f>
        <v/>
      </c>
      <c r="U294" s="31" t="str">
        <f aca="false">IF(S294="","",I294&amp;"|"&amp;S294)</f>
        <v/>
      </c>
    </row>
    <row r="295" customFormat="false" ht="15" hidden="false" customHeight="false" outlineLevel="0" collapsed="false">
      <c r="A295" s="24" t="n">
        <v>291</v>
      </c>
      <c r="B295" s="25" t="str">
        <f aca="false">IF(OR(C295="",I295="",G295=""),"",IFERROR(VLOOKUP(I295,Setup!$A$9:$B$11,2,0),"???")&amp;"-"&amp;G295&amp;"-"&amp;TEXT(COUNTIFS(I$5:I295,I295,G$5:G295,G295),"0000"))</f>
        <v/>
      </c>
      <c r="C295" s="26"/>
      <c r="D295" s="26"/>
      <c r="E295" s="27"/>
      <c r="F295" s="27"/>
      <c r="G295" s="24" t="str">
        <f aca="false">IF(F295="","",IF(F295&lt;=5,"A",IF(F295&lt;=8,"B",IF(F295&lt;=10,"C","D"))))</f>
        <v/>
      </c>
      <c r="H295" s="28"/>
      <c r="I295" s="27"/>
      <c r="J295" s="26"/>
      <c r="K295" s="27"/>
      <c r="L295" s="27"/>
      <c r="M295" s="27"/>
      <c r="N295" s="27"/>
      <c r="O295" s="24" t="str">
        <f aca="false">IF(G295="","",VLOOKUP(G295,Setup!$A$14:$C$17,3,0))</f>
        <v/>
      </c>
      <c r="P295" s="27"/>
      <c r="Q295" s="29" t="str">
        <f aca="false">IF(OR(P295="",M295&lt;&gt;"Paid",O295=""),"",P295/O295)</f>
        <v/>
      </c>
      <c r="R295" s="30" t="str">
        <f aca="false">IF(Q295="","",Q295+N(H295)*0.000000001)</f>
        <v/>
      </c>
      <c r="S295" s="25" t="str">
        <f aca="false">IF(R295="","",SUMPRODUCT((I$5:I$4004=I295)*ISNUMBER(R$5:R$4004)*(R$5:R$4004&gt;R295))+1)</f>
        <v/>
      </c>
      <c r="T295" s="25" t="str">
        <f aca="false">IF(S295="","",IF(S295&lt;=Setup!$B$5,"🏆 WINNER",""))</f>
        <v/>
      </c>
      <c r="U295" s="24" t="str">
        <f aca="false">IF(S295="","",I295&amp;"|"&amp;S295)</f>
        <v/>
      </c>
    </row>
    <row r="296" customFormat="false" ht="15" hidden="false" customHeight="false" outlineLevel="0" collapsed="false">
      <c r="A296" s="31" t="n">
        <v>292</v>
      </c>
      <c r="B296" s="32" t="str">
        <f aca="false">IF(OR(C296="",I296="",G296=""),"",IFERROR(VLOOKUP(I296,Setup!$A$9:$B$11,2,0),"???")&amp;"-"&amp;G296&amp;"-"&amp;TEXT(COUNTIFS(I$5:I296,I296,G$5:G296,G296),"0000"))</f>
        <v/>
      </c>
      <c r="C296" s="26"/>
      <c r="D296" s="26"/>
      <c r="E296" s="27"/>
      <c r="F296" s="27"/>
      <c r="G296" s="31" t="str">
        <f aca="false">IF(F296="","",IF(F296&lt;=5,"A",IF(F296&lt;=8,"B",IF(F296&lt;=10,"C","D"))))</f>
        <v/>
      </c>
      <c r="H296" s="28"/>
      <c r="I296" s="27"/>
      <c r="J296" s="26"/>
      <c r="K296" s="27"/>
      <c r="L296" s="27"/>
      <c r="M296" s="27"/>
      <c r="N296" s="27"/>
      <c r="O296" s="31" t="str">
        <f aca="false">IF(G296="","",VLOOKUP(G296,Setup!$A$14:$C$17,3,0))</f>
        <v/>
      </c>
      <c r="P296" s="27"/>
      <c r="Q296" s="33" t="str">
        <f aca="false">IF(OR(P296="",M296&lt;&gt;"Paid",O296=""),"",P296/O296)</f>
        <v/>
      </c>
      <c r="R296" s="34" t="str">
        <f aca="false">IF(Q296="","",Q296+N(H296)*0.000000001)</f>
        <v/>
      </c>
      <c r="S296" s="32" t="str">
        <f aca="false">IF(R296="","",SUMPRODUCT((I$5:I$4004=I296)*ISNUMBER(R$5:R$4004)*(R$5:R$4004&gt;R296))+1)</f>
        <v/>
      </c>
      <c r="T296" s="32" t="str">
        <f aca="false">IF(S296="","",IF(S296&lt;=Setup!$B$5,"🏆 WINNER",""))</f>
        <v/>
      </c>
      <c r="U296" s="31" t="str">
        <f aca="false">IF(S296="","",I296&amp;"|"&amp;S296)</f>
        <v/>
      </c>
    </row>
    <row r="297" customFormat="false" ht="15" hidden="false" customHeight="false" outlineLevel="0" collapsed="false">
      <c r="A297" s="24" t="n">
        <v>293</v>
      </c>
      <c r="B297" s="25" t="str">
        <f aca="false">IF(OR(C297="",I297="",G297=""),"",IFERROR(VLOOKUP(I297,Setup!$A$9:$B$11,2,0),"???")&amp;"-"&amp;G297&amp;"-"&amp;TEXT(COUNTIFS(I$5:I297,I297,G$5:G297,G297),"0000"))</f>
        <v/>
      </c>
      <c r="C297" s="26"/>
      <c r="D297" s="26"/>
      <c r="E297" s="27"/>
      <c r="F297" s="27"/>
      <c r="G297" s="24" t="str">
        <f aca="false">IF(F297="","",IF(F297&lt;=5,"A",IF(F297&lt;=8,"B",IF(F297&lt;=10,"C","D"))))</f>
        <v/>
      </c>
      <c r="H297" s="28"/>
      <c r="I297" s="27"/>
      <c r="J297" s="26"/>
      <c r="K297" s="27"/>
      <c r="L297" s="27"/>
      <c r="M297" s="27"/>
      <c r="N297" s="27"/>
      <c r="O297" s="24" t="str">
        <f aca="false">IF(G297="","",VLOOKUP(G297,Setup!$A$14:$C$17,3,0))</f>
        <v/>
      </c>
      <c r="P297" s="27"/>
      <c r="Q297" s="29" t="str">
        <f aca="false">IF(OR(P297="",M297&lt;&gt;"Paid",O297=""),"",P297/O297)</f>
        <v/>
      </c>
      <c r="R297" s="30" t="str">
        <f aca="false">IF(Q297="","",Q297+N(H297)*0.000000001)</f>
        <v/>
      </c>
      <c r="S297" s="25" t="str">
        <f aca="false">IF(R297="","",SUMPRODUCT((I$5:I$4004=I297)*ISNUMBER(R$5:R$4004)*(R$5:R$4004&gt;R297))+1)</f>
        <v/>
      </c>
      <c r="T297" s="25" t="str">
        <f aca="false">IF(S297="","",IF(S297&lt;=Setup!$B$5,"🏆 WINNER",""))</f>
        <v/>
      </c>
      <c r="U297" s="24" t="str">
        <f aca="false">IF(S297="","",I297&amp;"|"&amp;S297)</f>
        <v/>
      </c>
    </row>
    <row r="298" customFormat="false" ht="15" hidden="false" customHeight="false" outlineLevel="0" collapsed="false">
      <c r="A298" s="31" t="n">
        <v>294</v>
      </c>
      <c r="B298" s="32" t="str">
        <f aca="false">IF(OR(C298="",I298="",G298=""),"",IFERROR(VLOOKUP(I298,Setup!$A$9:$B$11,2,0),"???")&amp;"-"&amp;G298&amp;"-"&amp;TEXT(COUNTIFS(I$5:I298,I298,G$5:G298,G298),"0000"))</f>
        <v/>
      </c>
      <c r="C298" s="26"/>
      <c r="D298" s="26"/>
      <c r="E298" s="27"/>
      <c r="F298" s="27"/>
      <c r="G298" s="31" t="str">
        <f aca="false">IF(F298="","",IF(F298&lt;=5,"A",IF(F298&lt;=8,"B",IF(F298&lt;=10,"C","D"))))</f>
        <v/>
      </c>
      <c r="H298" s="28"/>
      <c r="I298" s="27"/>
      <c r="J298" s="26"/>
      <c r="K298" s="27"/>
      <c r="L298" s="27"/>
      <c r="M298" s="27"/>
      <c r="N298" s="27"/>
      <c r="O298" s="31" t="str">
        <f aca="false">IF(G298="","",VLOOKUP(G298,Setup!$A$14:$C$17,3,0))</f>
        <v/>
      </c>
      <c r="P298" s="27"/>
      <c r="Q298" s="33" t="str">
        <f aca="false">IF(OR(P298="",M298&lt;&gt;"Paid",O298=""),"",P298/O298)</f>
        <v/>
      </c>
      <c r="R298" s="34" t="str">
        <f aca="false">IF(Q298="","",Q298+N(H298)*0.000000001)</f>
        <v/>
      </c>
      <c r="S298" s="32" t="str">
        <f aca="false">IF(R298="","",SUMPRODUCT((I$5:I$4004=I298)*ISNUMBER(R$5:R$4004)*(R$5:R$4004&gt;R298))+1)</f>
        <v/>
      </c>
      <c r="T298" s="32" t="str">
        <f aca="false">IF(S298="","",IF(S298&lt;=Setup!$B$5,"🏆 WINNER",""))</f>
        <v/>
      </c>
      <c r="U298" s="31" t="str">
        <f aca="false">IF(S298="","",I298&amp;"|"&amp;S298)</f>
        <v/>
      </c>
    </row>
    <row r="299" customFormat="false" ht="15" hidden="false" customHeight="false" outlineLevel="0" collapsed="false">
      <c r="A299" s="24" t="n">
        <v>295</v>
      </c>
      <c r="B299" s="25" t="str">
        <f aca="false">IF(OR(C299="",I299="",G299=""),"",IFERROR(VLOOKUP(I299,Setup!$A$9:$B$11,2,0),"???")&amp;"-"&amp;G299&amp;"-"&amp;TEXT(COUNTIFS(I$5:I299,I299,G$5:G299,G299),"0000"))</f>
        <v/>
      </c>
      <c r="C299" s="26"/>
      <c r="D299" s="26"/>
      <c r="E299" s="27"/>
      <c r="F299" s="27"/>
      <c r="G299" s="24" t="str">
        <f aca="false">IF(F299="","",IF(F299&lt;=5,"A",IF(F299&lt;=8,"B",IF(F299&lt;=10,"C","D"))))</f>
        <v/>
      </c>
      <c r="H299" s="28"/>
      <c r="I299" s="27"/>
      <c r="J299" s="26"/>
      <c r="K299" s="27"/>
      <c r="L299" s="27"/>
      <c r="M299" s="27"/>
      <c r="N299" s="27"/>
      <c r="O299" s="24" t="str">
        <f aca="false">IF(G299="","",VLOOKUP(G299,Setup!$A$14:$C$17,3,0))</f>
        <v/>
      </c>
      <c r="P299" s="27"/>
      <c r="Q299" s="29" t="str">
        <f aca="false">IF(OR(P299="",M299&lt;&gt;"Paid",O299=""),"",P299/O299)</f>
        <v/>
      </c>
      <c r="R299" s="30" t="str">
        <f aca="false">IF(Q299="","",Q299+N(H299)*0.000000001)</f>
        <v/>
      </c>
      <c r="S299" s="25" t="str">
        <f aca="false">IF(R299="","",SUMPRODUCT((I$5:I$4004=I299)*ISNUMBER(R$5:R$4004)*(R$5:R$4004&gt;R299))+1)</f>
        <v/>
      </c>
      <c r="T299" s="25" t="str">
        <f aca="false">IF(S299="","",IF(S299&lt;=Setup!$B$5,"🏆 WINNER",""))</f>
        <v/>
      </c>
      <c r="U299" s="24" t="str">
        <f aca="false">IF(S299="","",I299&amp;"|"&amp;S299)</f>
        <v/>
      </c>
    </row>
    <row r="300" customFormat="false" ht="15" hidden="false" customHeight="false" outlineLevel="0" collapsed="false">
      <c r="A300" s="31" t="n">
        <v>296</v>
      </c>
      <c r="B300" s="32" t="str">
        <f aca="false">IF(OR(C300="",I300="",G300=""),"",IFERROR(VLOOKUP(I300,Setup!$A$9:$B$11,2,0),"???")&amp;"-"&amp;G300&amp;"-"&amp;TEXT(COUNTIFS(I$5:I300,I300,G$5:G300,G300),"0000"))</f>
        <v/>
      </c>
      <c r="C300" s="26"/>
      <c r="D300" s="26"/>
      <c r="E300" s="27"/>
      <c r="F300" s="27"/>
      <c r="G300" s="31" t="str">
        <f aca="false">IF(F300="","",IF(F300&lt;=5,"A",IF(F300&lt;=8,"B",IF(F300&lt;=10,"C","D"))))</f>
        <v/>
      </c>
      <c r="H300" s="28"/>
      <c r="I300" s="27"/>
      <c r="J300" s="26"/>
      <c r="K300" s="27"/>
      <c r="L300" s="27"/>
      <c r="M300" s="27"/>
      <c r="N300" s="27"/>
      <c r="O300" s="31" t="str">
        <f aca="false">IF(G300="","",VLOOKUP(G300,Setup!$A$14:$C$17,3,0))</f>
        <v/>
      </c>
      <c r="P300" s="27"/>
      <c r="Q300" s="33" t="str">
        <f aca="false">IF(OR(P300="",M300&lt;&gt;"Paid",O300=""),"",P300/O300)</f>
        <v/>
      </c>
      <c r="R300" s="34" t="str">
        <f aca="false">IF(Q300="","",Q300+N(H300)*0.000000001)</f>
        <v/>
      </c>
      <c r="S300" s="32" t="str">
        <f aca="false">IF(R300="","",SUMPRODUCT((I$5:I$4004=I300)*ISNUMBER(R$5:R$4004)*(R$5:R$4004&gt;R300))+1)</f>
        <v/>
      </c>
      <c r="T300" s="32" t="str">
        <f aca="false">IF(S300="","",IF(S300&lt;=Setup!$B$5,"🏆 WINNER",""))</f>
        <v/>
      </c>
      <c r="U300" s="31" t="str">
        <f aca="false">IF(S300="","",I300&amp;"|"&amp;S300)</f>
        <v/>
      </c>
    </row>
    <row r="301" customFormat="false" ht="15" hidden="false" customHeight="false" outlineLevel="0" collapsed="false">
      <c r="A301" s="24" t="n">
        <v>297</v>
      </c>
      <c r="B301" s="25" t="str">
        <f aca="false">IF(OR(C301="",I301="",G301=""),"",IFERROR(VLOOKUP(I301,Setup!$A$9:$B$11,2,0),"???")&amp;"-"&amp;G301&amp;"-"&amp;TEXT(COUNTIFS(I$5:I301,I301,G$5:G301,G301),"0000"))</f>
        <v/>
      </c>
      <c r="C301" s="26"/>
      <c r="D301" s="26"/>
      <c r="E301" s="27"/>
      <c r="F301" s="27"/>
      <c r="G301" s="24" t="str">
        <f aca="false">IF(F301="","",IF(F301&lt;=5,"A",IF(F301&lt;=8,"B",IF(F301&lt;=10,"C","D"))))</f>
        <v/>
      </c>
      <c r="H301" s="28"/>
      <c r="I301" s="27"/>
      <c r="J301" s="26"/>
      <c r="K301" s="27"/>
      <c r="L301" s="27"/>
      <c r="M301" s="27"/>
      <c r="N301" s="27"/>
      <c r="O301" s="24" t="str">
        <f aca="false">IF(G301="","",VLOOKUP(G301,Setup!$A$14:$C$17,3,0))</f>
        <v/>
      </c>
      <c r="P301" s="27"/>
      <c r="Q301" s="29" t="str">
        <f aca="false">IF(OR(P301="",M301&lt;&gt;"Paid",O301=""),"",P301/O301)</f>
        <v/>
      </c>
      <c r="R301" s="30" t="str">
        <f aca="false">IF(Q301="","",Q301+N(H301)*0.000000001)</f>
        <v/>
      </c>
      <c r="S301" s="25" t="str">
        <f aca="false">IF(R301="","",SUMPRODUCT((I$5:I$4004=I301)*ISNUMBER(R$5:R$4004)*(R$5:R$4004&gt;R301))+1)</f>
        <v/>
      </c>
      <c r="T301" s="25" t="str">
        <f aca="false">IF(S301="","",IF(S301&lt;=Setup!$B$5,"🏆 WINNER",""))</f>
        <v/>
      </c>
      <c r="U301" s="24" t="str">
        <f aca="false">IF(S301="","",I301&amp;"|"&amp;S301)</f>
        <v/>
      </c>
    </row>
    <row r="302" customFormat="false" ht="15" hidden="false" customHeight="false" outlineLevel="0" collapsed="false">
      <c r="A302" s="31" t="n">
        <v>298</v>
      </c>
      <c r="B302" s="32" t="str">
        <f aca="false">IF(OR(C302="",I302="",G302=""),"",IFERROR(VLOOKUP(I302,Setup!$A$9:$B$11,2,0),"???")&amp;"-"&amp;G302&amp;"-"&amp;TEXT(COUNTIFS(I$5:I302,I302,G$5:G302,G302),"0000"))</f>
        <v/>
      </c>
      <c r="C302" s="26"/>
      <c r="D302" s="26"/>
      <c r="E302" s="27"/>
      <c r="F302" s="27"/>
      <c r="G302" s="31" t="str">
        <f aca="false">IF(F302="","",IF(F302&lt;=5,"A",IF(F302&lt;=8,"B",IF(F302&lt;=10,"C","D"))))</f>
        <v/>
      </c>
      <c r="H302" s="28"/>
      <c r="I302" s="27"/>
      <c r="J302" s="26"/>
      <c r="K302" s="27"/>
      <c r="L302" s="27"/>
      <c r="M302" s="27"/>
      <c r="N302" s="27"/>
      <c r="O302" s="31" t="str">
        <f aca="false">IF(G302="","",VLOOKUP(G302,Setup!$A$14:$C$17,3,0))</f>
        <v/>
      </c>
      <c r="P302" s="27"/>
      <c r="Q302" s="33" t="str">
        <f aca="false">IF(OR(P302="",M302&lt;&gt;"Paid",O302=""),"",P302/O302)</f>
        <v/>
      </c>
      <c r="R302" s="34" t="str">
        <f aca="false">IF(Q302="","",Q302+N(H302)*0.000000001)</f>
        <v/>
      </c>
      <c r="S302" s="32" t="str">
        <f aca="false">IF(R302="","",SUMPRODUCT((I$5:I$4004=I302)*ISNUMBER(R$5:R$4004)*(R$5:R$4004&gt;R302))+1)</f>
        <v/>
      </c>
      <c r="T302" s="32" t="str">
        <f aca="false">IF(S302="","",IF(S302&lt;=Setup!$B$5,"🏆 WINNER",""))</f>
        <v/>
      </c>
      <c r="U302" s="31" t="str">
        <f aca="false">IF(S302="","",I302&amp;"|"&amp;S302)</f>
        <v/>
      </c>
    </row>
    <row r="303" customFormat="false" ht="15" hidden="false" customHeight="false" outlineLevel="0" collapsed="false">
      <c r="A303" s="24" t="n">
        <v>299</v>
      </c>
      <c r="B303" s="25" t="str">
        <f aca="false">IF(OR(C303="",I303="",G303=""),"",IFERROR(VLOOKUP(I303,Setup!$A$9:$B$11,2,0),"???")&amp;"-"&amp;G303&amp;"-"&amp;TEXT(COUNTIFS(I$5:I303,I303,G$5:G303,G303),"0000"))</f>
        <v/>
      </c>
      <c r="C303" s="26"/>
      <c r="D303" s="26"/>
      <c r="E303" s="27"/>
      <c r="F303" s="27"/>
      <c r="G303" s="24" t="str">
        <f aca="false">IF(F303="","",IF(F303&lt;=5,"A",IF(F303&lt;=8,"B",IF(F303&lt;=10,"C","D"))))</f>
        <v/>
      </c>
      <c r="H303" s="28"/>
      <c r="I303" s="27"/>
      <c r="J303" s="26"/>
      <c r="K303" s="27"/>
      <c r="L303" s="27"/>
      <c r="M303" s="27"/>
      <c r="N303" s="27"/>
      <c r="O303" s="24" t="str">
        <f aca="false">IF(G303="","",VLOOKUP(G303,Setup!$A$14:$C$17,3,0))</f>
        <v/>
      </c>
      <c r="P303" s="27"/>
      <c r="Q303" s="29" t="str">
        <f aca="false">IF(OR(P303="",M303&lt;&gt;"Paid",O303=""),"",P303/O303)</f>
        <v/>
      </c>
      <c r="R303" s="30" t="str">
        <f aca="false">IF(Q303="","",Q303+N(H303)*0.000000001)</f>
        <v/>
      </c>
      <c r="S303" s="25" t="str">
        <f aca="false">IF(R303="","",SUMPRODUCT((I$5:I$4004=I303)*ISNUMBER(R$5:R$4004)*(R$5:R$4004&gt;R303))+1)</f>
        <v/>
      </c>
      <c r="T303" s="25" t="str">
        <f aca="false">IF(S303="","",IF(S303&lt;=Setup!$B$5,"🏆 WINNER",""))</f>
        <v/>
      </c>
      <c r="U303" s="24" t="str">
        <f aca="false">IF(S303="","",I303&amp;"|"&amp;S303)</f>
        <v/>
      </c>
    </row>
    <row r="304" customFormat="false" ht="15" hidden="false" customHeight="false" outlineLevel="0" collapsed="false">
      <c r="A304" s="31" t="n">
        <v>300</v>
      </c>
      <c r="B304" s="32" t="str">
        <f aca="false">IF(OR(C304="",I304="",G304=""),"",IFERROR(VLOOKUP(I304,Setup!$A$9:$B$11,2,0),"???")&amp;"-"&amp;G304&amp;"-"&amp;TEXT(COUNTIFS(I$5:I304,I304,G$5:G304,G304),"0000"))</f>
        <v/>
      </c>
      <c r="C304" s="26"/>
      <c r="D304" s="26"/>
      <c r="E304" s="27"/>
      <c r="F304" s="27"/>
      <c r="G304" s="31" t="str">
        <f aca="false">IF(F304="","",IF(F304&lt;=5,"A",IF(F304&lt;=8,"B",IF(F304&lt;=10,"C","D"))))</f>
        <v/>
      </c>
      <c r="H304" s="28"/>
      <c r="I304" s="27"/>
      <c r="J304" s="26"/>
      <c r="K304" s="27"/>
      <c r="L304" s="27"/>
      <c r="M304" s="27"/>
      <c r="N304" s="27"/>
      <c r="O304" s="31" t="str">
        <f aca="false">IF(G304="","",VLOOKUP(G304,Setup!$A$14:$C$17,3,0))</f>
        <v/>
      </c>
      <c r="P304" s="27"/>
      <c r="Q304" s="33" t="str">
        <f aca="false">IF(OR(P304="",M304&lt;&gt;"Paid",O304=""),"",P304/O304)</f>
        <v/>
      </c>
      <c r="R304" s="34" t="str">
        <f aca="false">IF(Q304="","",Q304+N(H304)*0.000000001)</f>
        <v/>
      </c>
      <c r="S304" s="32" t="str">
        <f aca="false">IF(R304="","",SUMPRODUCT((I$5:I$4004=I304)*ISNUMBER(R$5:R$4004)*(R$5:R$4004&gt;R304))+1)</f>
        <v/>
      </c>
      <c r="T304" s="32" t="str">
        <f aca="false">IF(S304="","",IF(S304&lt;=Setup!$B$5,"🏆 WINNER",""))</f>
        <v/>
      </c>
      <c r="U304" s="31" t="str">
        <f aca="false">IF(S304="","",I304&amp;"|"&amp;S304)</f>
        <v/>
      </c>
    </row>
    <row r="305" customFormat="false" ht="15" hidden="false" customHeight="false" outlineLevel="0" collapsed="false">
      <c r="A305" s="24" t="n">
        <v>301</v>
      </c>
      <c r="B305" s="25" t="str">
        <f aca="false">IF(OR(C305="",I305="",G305=""),"",IFERROR(VLOOKUP(I305,Setup!$A$9:$B$11,2,0),"???")&amp;"-"&amp;G305&amp;"-"&amp;TEXT(COUNTIFS(I$5:I305,I305,G$5:G305,G305),"0000"))</f>
        <v/>
      </c>
      <c r="C305" s="26"/>
      <c r="D305" s="26"/>
      <c r="E305" s="27"/>
      <c r="F305" s="27"/>
      <c r="G305" s="24" t="str">
        <f aca="false">IF(F305="","",IF(F305&lt;=5,"A",IF(F305&lt;=8,"B",IF(F305&lt;=10,"C","D"))))</f>
        <v/>
      </c>
      <c r="H305" s="28"/>
      <c r="I305" s="27"/>
      <c r="J305" s="26"/>
      <c r="K305" s="27"/>
      <c r="L305" s="27"/>
      <c r="M305" s="27"/>
      <c r="N305" s="27"/>
      <c r="O305" s="24" t="str">
        <f aca="false">IF(G305="","",VLOOKUP(G305,Setup!$A$14:$C$17,3,0))</f>
        <v/>
      </c>
      <c r="P305" s="27"/>
      <c r="Q305" s="29" t="str">
        <f aca="false">IF(OR(P305="",M305&lt;&gt;"Paid",O305=""),"",P305/O305)</f>
        <v/>
      </c>
      <c r="R305" s="30" t="str">
        <f aca="false">IF(Q305="","",Q305+N(H305)*0.000000001)</f>
        <v/>
      </c>
      <c r="S305" s="25" t="str">
        <f aca="false">IF(R305="","",SUMPRODUCT((I$5:I$4004=I305)*ISNUMBER(R$5:R$4004)*(R$5:R$4004&gt;R305))+1)</f>
        <v/>
      </c>
      <c r="T305" s="25" t="str">
        <f aca="false">IF(S305="","",IF(S305&lt;=Setup!$B$5,"🏆 WINNER",""))</f>
        <v/>
      </c>
      <c r="U305" s="24" t="str">
        <f aca="false">IF(S305="","",I305&amp;"|"&amp;S305)</f>
        <v/>
      </c>
    </row>
    <row r="306" customFormat="false" ht="15" hidden="false" customHeight="false" outlineLevel="0" collapsed="false">
      <c r="A306" s="31" t="n">
        <v>302</v>
      </c>
      <c r="B306" s="32" t="str">
        <f aca="false">IF(OR(C306="",I306="",G306=""),"",IFERROR(VLOOKUP(I306,Setup!$A$9:$B$11,2,0),"???")&amp;"-"&amp;G306&amp;"-"&amp;TEXT(COUNTIFS(I$5:I306,I306,G$5:G306,G306),"0000"))</f>
        <v/>
      </c>
      <c r="C306" s="26"/>
      <c r="D306" s="26"/>
      <c r="E306" s="27"/>
      <c r="F306" s="27"/>
      <c r="G306" s="31" t="str">
        <f aca="false">IF(F306="","",IF(F306&lt;=5,"A",IF(F306&lt;=8,"B",IF(F306&lt;=10,"C","D"))))</f>
        <v/>
      </c>
      <c r="H306" s="28"/>
      <c r="I306" s="27"/>
      <c r="J306" s="26"/>
      <c r="K306" s="27"/>
      <c r="L306" s="27"/>
      <c r="M306" s="27"/>
      <c r="N306" s="27"/>
      <c r="O306" s="31" t="str">
        <f aca="false">IF(G306="","",VLOOKUP(G306,Setup!$A$14:$C$17,3,0))</f>
        <v/>
      </c>
      <c r="P306" s="27"/>
      <c r="Q306" s="33" t="str">
        <f aca="false">IF(OR(P306="",M306&lt;&gt;"Paid",O306=""),"",P306/O306)</f>
        <v/>
      </c>
      <c r="R306" s="34" t="str">
        <f aca="false">IF(Q306="","",Q306+N(H306)*0.000000001)</f>
        <v/>
      </c>
      <c r="S306" s="32" t="str">
        <f aca="false">IF(R306="","",SUMPRODUCT((I$5:I$4004=I306)*ISNUMBER(R$5:R$4004)*(R$5:R$4004&gt;R306))+1)</f>
        <v/>
      </c>
      <c r="T306" s="32" t="str">
        <f aca="false">IF(S306="","",IF(S306&lt;=Setup!$B$5,"🏆 WINNER",""))</f>
        <v/>
      </c>
      <c r="U306" s="31" t="str">
        <f aca="false">IF(S306="","",I306&amp;"|"&amp;S306)</f>
        <v/>
      </c>
    </row>
    <row r="307" customFormat="false" ht="15" hidden="false" customHeight="false" outlineLevel="0" collapsed="false">
      <c r="A307" s="24" t="n">
        <v>303</v>
      </c>
      <c r="B307" s="25" t="str">
        <f aca="false">IF(OR(C307="",I307="",G307=""),"",IFERROR(VLOOKUP(I307,Setup!$A$9:$B$11,2,0),"???")&amp;"-"&amp;G307&amp;"-"&amp;TEXT(COUNTIFS(I$5:I307,I307,G$5:G307,G307),"0000"))</f>
        <v/>
      </c>
      <c r="C307" s="26"/>
      <c r="D307" s="26"/>
      <c r="E307" s="27"/>
      <c r="F307" s="27"/>
      <c r="G307" s="24" t="str">
        <f aca="false">IF(F307="","",IF(F307&lt;=5,"A",IF(F307&lt;=8,"B",IF(F307&lt;=10,"C","D"))))</f>
        <v/>
      </c>
      <c r="H307" s="28"/>
      <c r="I307" s="27"/>
      <c r="J307" s="26"/>
      <c r="K307" s="27"/>
      <c r="L307" s="27"/>
      <c r="M307" s="27"/>
      <c r="N307" s="27"/>
      <c r="O307" s="24" t="str">
        <f aca="false">IF(G307="","",VLOOKUP(G307,Setup!$A$14:$C$17,3,0))</f>
        <v/>
      </c>
      <c r="P307" s="27"/>
      <c r="Q307" s="29" t="str">
        <f aca="false">IF(OR(P307="",M307&lt;&gt;"Paid",O307=""),"",P307/O307)</f>
        <v/>
      </c>
      <c r="R307" s="30" t="str">
        <f aca="false">IF(Q307="","",Q307+N(H307)*0.000000001)</f>
        <v/>
      </c>
      <c r="S307" s="25" t="str">
        <f aca="false">IF(R307="","",SUMPRODUCT((I$5:I$4004=I307)*ISNUMBER(R$5:R$4004)*(R$5:R$4004&gt;R307))+1)</f>
        <v/>
      </c>
      <c r="T307" s="25" t="str">
        <f aca="false">IF(S307="","",IF(S307&lt;=Setup!$B$5,"🏆 WINNER",""))</f>
        <v/>
      </c>
      <c r="U307" s="24" t="str">
        <f aca="false">IF(S307="","",I307&amp;"|"&amp;S307)</f>
        <v/>
      </c>
    </row>
    <row r="308" customFormat="false" ht="15" hidden="false" customHeight="false" outlineLevel="0" collapsed="false">
      <c r="A308" s="31" t="n">
        <v>304</v>
      </c>
      <c r="B308" s="32" t="str">
        <f aca="false">IF(OR(C308="",I308="",G308=""),"",IFERROR(VLOOKUP(I308,Setup!$A$9:$B$11,2,0),"???")&amp;"-"&amp;G308&amp;"-"&amp;TEXT(COUNTIFS(I$5:I308,I308,G$5:G308,G308),"0000"))</f>
        <v/>
      </c>
      <c r="C308" s="26"/>
      <c r="D308" s="26"/>
      <c r="E308" s="27"/>
      <c r="F308" s="27"/>
      <c r="G308" s="31" t="str">
        <f aca="false">IF(F308="","",IF(F308&lt;=5,"A",IF(F308&lt;=8,"B",IF(F308&lt;=10,"C","D"))))</f>
        <v/>
      </c>
      <c r="H308" s="28"/>
      <c r="I308" s="27"/>
      <c r="J308" s="26"/>
      <c r="K308" s="27"/>
      <c r="L308" s="27"/>
      <c r="M308" s="27"/>
      <c r="N308" s="27"/>
      <c r="O308" s="31" t="str">
        <f aca="false">IF(G308="","",VLOOKUP(G308,Setup!$A$14:$C$17,3,0))</f>
        <v/>
      </c>
      <c r="P308" s="27"/>
      <c r="Q308" s="33" t="str">
        <f aca="false">IF(OR(P308="",M308&lt;&gt;"Paid",O308=""),"",P308/O308)</f>
        <v/>
      </c>
      <c r="R308" s="34" t="str">
        <f aca="false">IF(Q308="","",Q308+N(H308)*0.000000001)</f>
        <v/>
      </c>
      <c r="S308" s="32" t="str">
        <f aca="false">IF(R308="","",SUMPRODUCT((I$5:I$4004=I308)*ISNUMBER(R$5:R$4004)*(R$5:R$4004&gt;R308))+1)</f>
        <v/>
      </c>
      <c r="T308" s="32" t="str">
        <f aca="false">IF(S308="","",IF(S308&lt;=Setup!$B$5,"🏆 WINNER",""))</f>
        <v/>
      </c>
      <c r="U308" s="31" t="str">
        <f aca="false">IF(S308="","",I308&amp;"|"&amp;S308)</f>
        <v/>
      </c>
    </row>
    <row r="309" customFormat="false" ht="15" hidden="false" customHeight="false" outlineLevel="0" collapsed="false">
      <c r="A309" s="24" t="n">
        <v>305</v>
      </c>
      <c r="B309" s="25" t="str">
        <f aca="false">IF(OR(C309="",I309="",G309=""),"",IFERROR(VLOOKUP(I309,Setup!$A$9:$B$11,2,0),"???")&amp;"-"&amp;G309&amp;"-"&amp;TEXT(COUNTIFS(I$5:I309,I309,G$5:G309,G309),"0000"))</f>
        <v/>
      </c>
      <c r="C309" s="26"/>
      <c r="D309" s="26"/>
      <c r="E309" s="27"/>
      <c r="F309" s="27"/>
      <c r="G309" s="24" t="str">
        <f aca="false">IF(F309="","",IF(F309&lt;=5,"A",IF(F309&lt;=8,"B",IF(F309&lt;=10,"C","D"))))</f>
        <v/>
      </c>
      <c r="H309" s="28"/>
      <c r="I309" s="27"/>
      <c r="J309" s="26"/>
      <c r="K309" s="27"/>
      <c r="L309" s="27"/>
      <c r="M309" s="27"/>
      <c r="N309" s="27"/>
      <c r="O309" s="24" t="str">
        <f aca="false">IF(G309="","",VLOOKUP(G309,Setup!$A$14:$C$17,3,0))</f>
        <v/>
      </c>
      <c r="P309" s="27"/>
      <c r="Q309" s="29" t="str">
        <f aca="false">IF(OR(P309="",M309&lt;&gt;"Paid",O309=""),"",P309/O309)</f>
        <v/>
      </c>
      <c r="R309" s="30" t="str">
        <f aca="false">IF(Q309="","",Q309+N(H309)*0.000000001)</f>
        <v/>
      </c>
      <c r="S309" s="25" t="str">
        <f aca="false">IF(R309="","",SUMPRODUCT((I$5:I$4004=I309)*ISNUMBER(R$5:R$4004)*(R$5:R$4004&gt;R309))+1)</f>
        <v/>
      </c>
      <c r="T309" s="25" t="str">
        <f aca="false">IF(S309="","",IF(S309&lt;=Setup!$B$5,"🏆 WINNER",""))</f>
        <v/>
      </c>
      <c r="U309" s="24" t="str">
        <f aca="false">IF(S309="","",I309&amp;"|"&amp;S309)</f>
        <v/>
      </c>
    </row>
    <row r="310" customFormat="false" ht="15" hidden="false" customHeight="false" outlineLevel="0" collapsed="false">
      <c r="A310" s="31" t="n">
        <v>306</v>
      </c>
      <c r="B310" s="32" t="str">
        <f aca="false">IF(OR(C310="",I310="",G310=""),"",IFERROR(VLOOKUP(I310,Setup!$A$9:$B$11,2,0),"???")&amp;"-"&amp;G310&amp;"-"&amp;TEXT(COUNTIFS(I$5:I310,I310,G$5:G310,G310),"0000"))</f>
        <v/>
      </c>
      <c r="C310" s="26"/>
      <c r="D310" s="26"/>
      <c r="E310" s="27"/>
      <c r="F310" s="27"/>
      <c r="G310" s="31" t="str">
        <f aca="false">IF(F310="","",IF(F310&lt;=5,"A",IF(F310&lt;=8,"B",IF(F310&lt;=10,"C","D"))))</f>
        <v/>
      </c>
      <c r="H310" s="28"/>
      <c r="I310" s="27"/>
      <c r="J310" s="26"/>
      <c r="K310" s="27"/>
      <c r="L310" s="27"/>
      <c r="M310" s="27"/>
      <c r="N310" s="27"/>
      <c r="O310" s="31" t="str">
        <f aca="false">IF(G310="","",VLOOKUP(G310,Setup!$A$14:$C$17,3,0))</f>
        <v/>
      </c>
      <c r="P310" s="27"/>
      <c r="Q310" s="33" t="str">
        <f aca="false">IF(OR(P310="",M310&lt;&gt;"Paid",O310=""),"",P310/O310)</f>
        <v/>
      </c>
      <c r="R310" s="34" t="str">
        <f aca="false">IF(Q310="","",Q310+N(H310)*0.000000001)</f>
        <v/>
      </c>
      <c r="S310" s="32" t="str">
        <f aca="false">IF(R310="","",SUMPRODUCT((I$5:I$4004=I310)*ISNUMBER(R$5:R$4004)*(R$5:R$4004&gt;R310))+1)</f>
        <v/>
      </c>
      <c r="T310" s="32" t="str">
        <f aca="false">IF(S310="","",IF(S310&lt;=Setup!$B$5,"🏆 WINNER",""))</f>
        <v/>
      </c>
      <c r="U310" s="31" t="str">
        <f aca="false">IF(S310="","",I310&amp;"|"&amp;S310)</f>
        <v/>
      </c>
    </row>
    <row r="311" customFormat="false" ht="15" hidden="false" customHeight="false" outlineLevel="0" collapsed="false">
      <c r="A311" s="24" t="n">
        <v>307</v>
      </c>
      <c r="B311" s="25" t="str">
        <f aca="false">IF(OR(C311="",I311="",G311=""),"",IFERROR(VLOOKUP(I311,Setup!$A$9:$B$11,2,0),"???")&amp;"-"&amp;G311&amp;"-"&amp;TEXT(COUNTIFS(I$5:I311,I311,G$5:G311,G311),"0000"))</f>
        <v/>
      </c>
      <c r="C311" s="26"/>
      <c r="D311" s="26"/>
      <c r="E311" s="27"/>
      <c r="F311" s="27"/>
      <c r="G311" s="24" t="str">
        <f aca="false">IF(F311="","",IF(F311&lt;=5,"A",IF(F311&lt;=8,"B",IF(F311&lt;=10,"C","D"))))</f>
        <v/>
      </c>
      <c r="H311" s="28"/>
      <c r="I311" s="27"/>
      <c r="J311" s="26"/>
      <c r="K311" s="27"/>
      <c r="L311" s="27"/>
      <c r="M311" s="27"/>
      <c r="N311" s="27"/>
      <c r="O311" s="24" t="str">
        <f aca="false">IF(G311="","",VLOOKUP(G311,Setup!$A$14:$C$17,3,0))</f>
        <v/>
      </c>
      <c r="P311" s="27"/>
      <c r="Q311" s="29" t="str">
        <f aca="false">IF(OR(P311="",M311&lt;&gt;"Paid",O311=""),"",P311/O311)</f>
        <v/>
      </c>
      <c r="R311" s="30" t="str">
        <f aca="false">IF(Q311="","",Q311+N(H311)*0.000000001)</f>
        <v/>
      </c>
      <c r="S311" s="25" t="str">
        <f aca="false">IF(R311="","",SUMPRODUCT((I$5:I$4004=I311)*ISNUMBER(R$5:R$4004)*(R$5:R$4004&gt;R311))+1)</f>
        <v/>
      </c>
      <c r="T311" s="25" t="str">
        <f aca="false">IF(S311="","",IF(S311&lt;=Setup!$B$5,"🏆 WINNER",""))</f>
        <v/>
      </c>
      <c r="U311" s="24" t="str">
        <f aca="false">IF(S311="","",I311&amp;"|"&amp;S311)</f>
        <v/>
      </c>
    </row>
    <row r="312" customFormat="false" ht="15" hidden="false" customHeight="false" outlineLevel="0" collapsed="false">
      <c r="A312" s="31" t="n">
        <v>308</v>
      </c>
      <c r="B312" s="32" t="str">
        <f aca="false">IF(OR(C312="",I312="",G312=""),"",IFERROR(VLOOKUP(I312,Setup!$A$9:$B$11,2,0),"???")&amp;"-"&amp;G312&amp;"-"&amp;TEXT(COUNTIFS(I$5:I312,I312,G$5:G312,G312),"0000"))</f>
        <v/>
      </c>
      <c r="C312" s="26"/>
      <c r="D312" s="26"/>
      <c r="E312" s="27"/>
      <c r="F312" s="27"/>
      <c r="G312" s="31" t="str">
        <f aca="false">IF(F312="","",IF(F312&lt;=5,"A",IF(F312&lt;=8,"B",IF(F312&lt;=10,"C","D"))))</f>
        <v/>
      </c>
      <c r="H312" s="28"/>
      <c r="I312" s="27"/>
      <c r="J312" s="26"/>
      <c r="K312" s="27"/>
      <c r="L312" s="27"/>
      <c r="M312" s="27"/>
      <c r="N312" s="27"/>
      <c r="O312" s="31" t="str">
        <f aca="false">IF(G312="","",VLOOKUP(G312,Setup!$A$14:$C$17,3,0))</f>
        <v/>
      </c>
      <c r="P312" s="27"/>
      <c r="Q312" s="33" t="str">
        <f aca="false">IF(OR(P312="",M312&lt;&gt;"Paid",O312=""),"",P312/O312)</f>
        <v/>
      </c>
      <c r="R312" s="34" t="str">
        <f aca="false">IF(Q312="","",Q312+N(H312)*0.000000001)</f>
        <v/>
      </c>
      <c r="S312" s="32" t="str">
        <f aca="false">IF(R312="","",SUMPRODUCT((I$5:I$4004=I312)*ISNUMBER(R$5:R$4004)*(R$5:R$4004&gt;R312))+1)</f>
        <v/>
      </c>
      <c r="T312" s="32" t="str">
        <f aca="false">IF(S312="","",IF(S312&lt;=Setup!$B$5,"🏆 WINNER",""))</f>
        <v/>
      </c>
      <c r="U312" s="31" t="str">
        <f aca="false">IF(S312="","",I312&amp;"|"&amp;S312)</f>
        <v/>
      </c>
    </row>
    <row r="313" customFormat="false" ht="15" hidden="false" customHeight="false" outlineLevel="0" collapsed="false">
      <c r="A313" s="24" t="n">
        <v>309</v>
      </c>
      <c r="B313" s="25" t="str">
        <f aca="false">IF(OR(C313="",I313="",G313=""),"",IFERROR(VLOOKUP(I313,Setup!$A$9:$B$11,2,0),"???")&amp;"-"&amp;G313&amp;"-"&amp;TEXT(COUNTIFS(I$5:I313,I313,G$5:G313,G313),"0000"))</f>
        <v/>
      </c>
      <c r="C313" s="26"/>
      <c r="D313" s="26"/>
      <c r="E313" s="27"/>
      <c r="F313" s="27"/>
      <c r="G313" s="24" t="str">
        <f aca="false">IF(F313="","",IF(F313&lt;=5,"A",IF(F313&lt;=8,"B",IF(F313&lt;=10,"C","D"))))</f>
        <v/>
      </c>
      <c r="H313" s="28"/>
      <c r="I313" s="27"/>
      <c r="J313" s="26"/>
      <c r="K313" s="27"/>
      <c r="L313" s="27"/>
      <c r="M313" s="27"/>
      <c r="N313" s="27"/>
      <c r="O313" s="24" t="str">
        <f aca="false">IF(G313="","",VLOOKUP(G313,Setup!$A$14:$C$17,3,0))</f>
        <v/>
      </c>
      <c r="P313" s="27"/>
      <c r="Q313" s="29" t="str">
        <f aca="false">IF(OR(P313="",M313&lt;&gt;"Paid",O313=""),"",P313/O313)</f>
        <v/>
      </c>
      <c r="R313" s="30" t="str">
        <f aca="false">IF(Q313="","",Q313+N(H313)*0.000000001)</f>
        <v/>
      </c>
      <c r="S313" s="25" t="str">
        <f aca="false">IF(R313="","",SUMPRODUCT((I$5:I$4004=I313)*ISNUMBER(R$5:R$4004)*(R$5:R$4004&gt;R313))+1)</f>
        <v/>
      </c>
      <c r="T313" s="25" t="str">
        <f aca="false">IF(S313="","",IF(S313&lt;=Setup!$B$5,"🏆 WINNER",""))</f>
        <v/>
      </c>
      <c r="U313" s="24" t="str">
        <f aca="false">IF(S313="","",I313&amp;"|"&amp;S313)</f>
        <v/>
      </c>
    </row>
    <row r="314" customFormat="false" ht="15" hidden="false" customHeight="false" outlineLevel="0" collapsed="false">
      <c r="A314" s="31" t="n">
        <v>310</v>
      </c>
      <c r="B314" s="32" t="str">
        <f aca="false">IF(OR(C314="",I314="",G314=""),"",IFERROR(VLOOKUP(I314,Setup!$A$9:$B$11,2,0),"???")&amp;"-"&amp;G314&amp;"-"&amp;TEXT(COUNTIFS(I$5:I314,I314,G$5:G314,G314),"0000"))</f>
        <v/>
      </c>
      <c r="C314" s="26"/>
      <c r="D314" s="26"/>
      <c r="E314" s="27"/>
      <c r="F314" s="27"/>
      <c r="G314" s="31" t="str">
        <f aca="false">IF(F314="","",IF(F314&lt;=5,"A",IF(F314&lt;=8,"B",IF(F314&lt;=10,"C","D"))))</f>
        <v/>
      </c>
      <c r="H314" s="28"/>
      <c r="I314" s="27"/>
      <c r="J314" s="26"/>
      <c r="K314" s="27"/>
      <c r="L314" s="27"/>
      <c r="M314" s="27"/>
      <c r="N314" s="27"/>
      <c r="O314" s="31" t="str">
        <f aca="false">IF(G314="","",VLOOKUP(G314,Setup!$A$14:$C$17,3,0))</f>
        <v/>
      </c>
      <c r="P314" s="27"/>
      <c r="Q314" s="33" t="str">
        <f aca="false">IF(OR(P314="",M314&lt;&gt;"Paid",O314=""),"",P314/O314)</f>
        <v/>
      </c>
      <c r="R314" s="34" t="str">
        <f aca="false">IF(Q314="","",Q314+N(H314)*0.000000001)</f>
        <v/>
      </c>
      <c r="S314" s="32" t="str">
        <f aca="false">IF(R314="","",SUMPRODUCT((I$5:I$4004=I314)*ISNUMBER(R$5:R$4004)*(R$5:R$4004&gt;R314))+1)</f>
        <v/>
      </c>
      <c r="T314" s="32" t="str">
        <f aca="false">IF(S314="","",IF(S314&lt;=Setup!$B$5,"🏆 WINNER",""))</f>
        <v/>
      </c>
      <c r="U314" s="31" t="str">
        <f aca="false">IF(S314="","",I314&amp;"|"&amp;S314)</f>
        <v/>
      </c>
    </row>
    <row r="315" customFormat="false" ht="15" hidden="false" customHeight="false" outlineLevel="0" collapsed="false">
      <c r="A315" s="24" t="n">
        <v>311</v>
      </c>
      <c r="B315" s="25" t="str">
        <f aca="false">IF(OR(C315="",I315="",G315=""),"",IFERROR(VLOOKUP(I315,Setup!$A$9:$B$11,2,0),"???")&amp;"-"&amp;G315&amp;"-"&amp;TEXT(COUNTIFS(I$5:I315,I315,G$5:G315,G315),"0000"))</f>
        <v/>
      </c>
      <c r="C315" s="26"/>
      <c r="D315" s="26"/>
      <c r="E315" s="27"/>
      <c r="F315" s="27"/>
      <c r="G315" s="24" t="str">
        <f aca="false">IF(F315="","",IF(F315&lt;=5,"A",IF(F315&lt;=8,"B",IF(F315&lt;=10,"C","D"))))</f>
        <v/>
      </c>
      <c r="H315" s="28"/>
      <c r="I315" s="27"/>
      <c r="J315" s="26"/>
      <c r="K315" s="27"/>
      <c r="L315" s="27"/>
      <c r="M315" s="27"/>
      <c r="N315" s="27"/>
      <c r="O315" s="24" t="str">
        <f aca="false">IF(G315="","",VLOOKUP(G315,Setup!$A$14:$C$17,3,0))</f>
        <v/>
      </c>
      <c r="P315" s="27"/>
      <c r="Q315" s="29" t="str">
        <f aca="false">IF(OR(P315="",M315&lt;&gt;"Paid",O315=""),"",P315/O315)</f>
        <v/>
      </c>
      <c r="R315" s="30" t="str">
        <f aca="false">IF(Q315="","",Q315+N(H315)*0.000000001)</f>
        <v/>
      </c>
      <c r="S315" s="25" t="str">
        <f aca="false">IF(R315="","",SUMPRODUCT((I$5:I$4004=I315)*ISNUMBER(R$5:R$4004)*(R$5:R$4004&gt;R315))+1)</f>
        <v/>
      </c>
      <c r="T315" s="25" t="str">
        <f aca="false">IF(S315="","",IF(S315&lt;=Setup!$B$5,"🏆 WINNER",""))</f>
        <v/>
      </c>
      <c r="U315" s="24" t="str">
        <f aca="false">IF(S315="","",I315&amp;"|"&amp;S315)</f>
        <v/>
      </c>
    </row>
    <row r="316" customFormat="false" ht="15" hidden="false" customHeight="false" outlineLevel="0" collapsed="false">
      <c r="A316" s="31" t="n">
        <v>312</v>
      </c>
      <c r="B316" s="32" t="str">
        <f aca="false">IF(OR(C316="",I316="",G316=""),"",IFERROR(VLOOKUP(I316,Setup!$A$9:$B$11,2,0),"???")&amp;"-"&amp;G316&amp;"-"&amp;TEXT(COUNTIFS(I$5:I316,I316,G$5:G316,G316),"0000"))</f>
        <v/>
      </c>
      <c r="C316" s="26"/>
      <c r="D316" s="26"/>
      <c r="E316" s="27"/>
      <c r="F316" s="27"/>
      <c r="G316" s="31" t="str">
        <f aca="false">IF(F316="","",IF(F316&lt;=5,"A",IF(F316&lt;=8,"B",IF(F316&lt;=10,"C","D"))))</f>
        <v/>
      </c>
      <c r="H316" s="28"/>
      <c r="I316" s="27"/>
      <c r="J316" s="26"/>
      <c r="K316" s="27"/>
      <c r="L316" s="27"/>
      <c r="M316" s="27"/>
      <c r="N316" s="27"/>
      <c r="O316" s="31" t="str">
        <f aca="false">IF(G316="","",VLOOKUP(G316,Setup!$A$14:$C$17,3,0))</f>
        <v/>
      </c>
      <c r="P316" s="27"/>
      <c r="Q316" s="33" t="str">
        <f aca="false">IF(OR(P316="",M316&lt;&gt;"Paid",O316=""),"",P316/O316)</f>
        <v/>
      </c>
      <c r="R316" s="34" t="str">
        <f aca="false">IF(Q316="","",Q316+N(H316)*0.000000001)</f>
        <v/>
      </c>
      <c r="S316" s="32" t="str">
        <f aca="false">IF(R316="","",SUMPRODUCT((I$5:I$4004=I316)*ISNUMBER(R$5:R$4004)*(R$5:R$4004&gt;R316))+1)</f>
        <v/>
      </c>
      <c r="T316" s="32" t="str">
        <f aca="false">IF(S316="","",IF(S316&lt;=Setup!$B$5,"🏆 WINNER",""))</f>
        <v/>
      </c>
      <c r="U316" s="31" t="str">
        <f aca="false">IF(S316="","",I316&amp;"|"&amp;S316)</f>
        <v/>
      </c>
    </row>
    <row r="317" customFormat="false" ht="15" hidden="false" customHeight="false" outlineLevel="0" collapsed="false">
      <c r="A317" s="24" t="n">
        <v>313</v>
      </c>
      <c r="B317" s="25" t="str">
        <f aca="false">IF(OR(C317="",I317="",G317=""),"",IFERROR(VLOOKUP(I317,Setup!$A$9:$B$11,2,0),"???")&amp;"-"&amp;G317&amp;"-"&amp;TEXT(COUNTIFS(I$5:I317,I317,G$5:G317,G317),"0000"))</f>
        <v/>
      </c>
      <c r="C317" s="26"/>
      <c r="D317" s="26"/>
      <c r="E317" s="27"/>
      <c r="F317" s="27"/>
      <c r="G317" s="24" t="str">
        <f aca="false">IF(F317="","",IF(F317&lt;=5,"A",IF(F317&lt;=8,"B",IF(F317&lt;=10,"C","D"))))</f>
        <v/>
      </c>
      <c r="H317" s="28"/>
      <c r="I317" s="27"/>
      <c r="J317" s="26"/>
      <c r="K317" s="27"/>
      <c r="L317" s="27"/>
      <c r="M317" s="27"/>
      <c r="N317" s="27"/>
      <c r="O317" s="24" t="str">
        <f aca="false">IF(G317="","",VLOOKUP(G317,Setup!$A$14:$C$17,3,0))</f>
        <v/>
      </c>
      <c r="P317" s="27"/>
      <c r="Q317" s="29" t="str">
        <f aca="false">IF(OR(P317="",M317&lt;&gt;"Paid",O317=""),"",P317/O317)</f>
        <v/>
      </c>
      <c r="R317" s="30" t="str">
        <f aca="false">IF(Q317="","",Q317+N(H317)*0.000000001)</f>
        <v/>
      </c>
      <c r="S317" s="25" t="str">
        <f aca="false">IF(R317="","",SUMPRODUCT((I$5:I$4004=I317)*ISNUMBER(R$5:R$4004)*(R$5:R$4004&gt;R317))+1)</f>
        <v/>
      </c>
      <c r="T317" s="25" t="str">
        <f aca="false">IF(S317="","",IF(S317&lt;=Setup!$B$5,"🏆 WINNER",""))</f>
        <v/>
      </c>
      <c r="U317" s="24" t="str">
        <f aca="false">IF(S317="","",I317&amp;"|"&amp;S317)</f>
        <v/>
      </c>
    </row>
    <row r="318" customFormat="false" ht="15" hidden="false" customHeight="false" outlineLevel="0" collapsed="false">
      <c r="A318" s="31" t="n">
        <v>314</v>
      </c>
      <c r="B318" s="32" t="str">
        <f aca="false">IF(OR(C318="",I318="",G318=""),"",IFERROR(VLOOKUP(I318,Setup!$A$9:$B$11,2,0),"???")&amp;"-"&amp;G318&amp;"-"&amp;TEXT(COUNTIFS(I$5:I318,I318,G$5:G318,G318),"0000"))</f>
        <v/>
      </c>
      <c r="C318" s="26"/>
      <c r="D318" s="26"/>
      <c r="E318" s="27"/>
      <c r="F318" s="27"/>
      <c r="G318" s="31" t="str">
        <f aca="false">IF(F318="","",IF(F318&lt;=5,"A",IF(F318&lt;=8,"B",IF(F318&lt;=10,"C","D"))))</f>
        <v/>
      </c>
      <c r="H318" s="28"/>
      <c r="I318" s="27"/>
      <c r="J318" s="26"/>
      <c r="K318" s="27"/>
      <c r="L318" s="27"/>
      <c r="M318" s="27"/>
      <c r="N318" s="27"/>
      <c r="O318" s="31" t="str">
        <f aca="false">IF(G318="","",VLOOKUP(G318,Setup!$A$14:$C$17,3,0))</f>
        <v/>
      </c>
      <c r="P318" s="27"/>
      <c r="Q318" s="33" t="str">
        <f aca="false">IF(OR(P318="",M318&lt;&gt;"Paid",O318=""),"",P318/O318)</f>
        <v/>
      </c>
      <c r="R318" s="34" t="str">
        <f aca="false">IF(Q318="","",Q318+N(H318)*0.000000001)</f>
        <v/>
      </c>
      <c r="S318" s="32" t="str">
        <f aca="false">IF(R318="","",SUMPRODUCT((I$5:I$4004=I318)*ISNUMBER(R$5:R$4004)*(R$5:R$4004&gt;R318))+1)</f>
        <v/>
      </c>
      <c r="T318" s="32" t="str">
        <f aca="false">IF(S318="","",IF(S318&lt;=Setup!$B$5,"🏆 WINNER",""))</f>
        <v/>
      </c>
      <c r="U318" s="31" t="str">
        <f aca="false">IF(S318="","",I318&amp;"|"&amp;S318)</f>
        <v/>
      </c>
    </row>
    <row r="319" customFormat="false" ht="15" hidden="false" customHeight="false" outlineLevel="0" collapsed="false">
      <c r="A319" s="24" t="n">
        <v>315</v>
      </c>
      <c r="B319" s="25" t="str">
        <f aca="false">IF(OR(C319="",I319="",G319=""),"",IFERROR(VLOOKUP(I319,Setup!$A$9:$B$11,2,0),"???")&amp;"-"&amp;G319&amp;"-"&amp;TEXT(COUNTIFS(I$5:I319,I319,G$5:G319,G319),"0000"))</f>
        <v/>
      </c>
      <c r="C319" s="26"/>
      <c r="D319" s="26"/>
      <c r="E319" s="27"/>
      <c r="F319" s="27"/>
      <c r="G319" s="24" t="str">
        <f aca="false">IF(F319="","",IF(F319&lt;=5,"A",IF(F319&lt;=8,"B",IF(F319&lt;=10,"C","D"))))</f>
        <v/>
      </c>
      <c r="H319" s="28"/>
      <c r="I319" s="27"/>
      <c r="J319" s="26"/>
      <c r="K319" s="27"/>
      <c r="L319" s="27"/>
      <c r="M319" s="27"/>
      <c r="N319" s="27"/>
      <c r="O319" s="24" t="str">
        <f aca="false">IF(G319="","",VLOOKUP(G319,Setup!$A$14:$C$17,3,0))</f>
        <v/>
      </c>
      <c r="P319" s="27"/>
      <c r="Q319" s="29" t="str">
        <f aca="false">IF(OR(P319="",M319&lt;&gt;"Paid",O319=""),"",P319/O319)</f>
        <v/>
      </c>
      <c r="R319" s="30" t="str">
        <f aca="false">IF(Q319="","",Q319+N(H319)*0.000000001)</f>
        <v/>
      </c>
      <c r="S319" s="25" t="str">
        <f aca="false">IF(R319="","",SUMPRODUCT((I$5:I$4004=I319)*ISNUMBER(R$5:R$4004)*(R$5:R$4004&gt;R319))+1)</f>
        <v/>
      </c>
      <c r="T319" s="25" t="str">
        <f aca="false">IF(S319="","",IF(S319&lt;=Setup!$B$5,"🏆 WINNER",""))</f>
        <v/>
      </c>
      <c r="U319" s="24" t="str">
        <f aca="false">IF(S319="","",I319&amp;"|"&amp;S319)</f>
        <v/>
      </c>
    </row>
    <row r="320" customFormat="false" ht="15" hidden="false" customHeight="false" outlineLevel="0" collapsed="false">
      <c r="A320" s="31" t="n">
        <v>316</v>
      </c>
      <c r="B320" s="32" t="str">
        <f aca="false">IF(OR(C320="",I320="",G320=""),"",IFERROR(VLOOKUP(I320,Setup!$A$9:$B$11,2,0),"???")&amp;"-"&amp;G320&amp;"-"&amp;TEXT(COUNTIFS(I$5:I320,I320,G$5:G320,G320),"0000"))</f>
        <v/>
      </c>
      <c r="C320" s="26"/>
      <c r="D320" s="26"/>
      <c r="E320" s="27"/>
      <c r="F320" s="27"/>
      <c r="G320" s="31" t="str">
        <f aca="false">IF(F320="","",IF(F320&lt;=5,"A",IF(F320&lt;=8,"B",IF(F320&lt;=10,"C","D"))))</f>
        <v/>
      </c>
      <c r="H320" s="28"/>
      <c r="I320" s="27"/>
      <c r="J320" s="26"/>
      <c r="K320" s="27"/>
      <c r="L320" s="27"/>
      <c r="M320" s="27"/>
      <c r="N320" s="27"/>
      <c r="O320" s="31" t="str">
        <f aca="false">IF(G320="","",VLOOKUP(G320,Setup!$A$14:$C$17,3,0))</f>
        <v/>
      </c>
      <c r="P320" s="27"/>
      <c r="Q320" s="33" t="str">
        <f aca="false">IF(OR(P320="",M320&lt;&gt;"Paid",O320=""),"",P320/O320)</f>
        <v/>
      </c>
      <c r="R320" s="34" t="str">
        <f aca="false">IF(Q320="","",Q320+N(H320)*0.000000001)</f>
        <v/>
      </c>
      <c r="S320" s="32" t="str">
        <f aca="false">IF(R320="","",SUMPRODUCT((I$5:I$4004=I320)*ISNUMBER(R$5:R$4004)*(R$5:R$4004&gt;R320))+1)</f>
        <v/>
      </c>
      <c r="T320" s="32" t="str">
        <f aca="false">IF(S320="","",IF(S320&lt;=Setup!$B$5,"🏆 WINNER",""))</f>
        <v/>
      </c>
      <c r="U320" s="31" t="str">
        <f aca="false">IF(S320="","",I320&amp;"|"&amp;S320)</f>
        <v/>
      </c>
    </row>
    <row r="321" customFormat="false" ht="15" hidden="false" customHeight="false" outlineLevel="0" collapsed="false">
      <c r="A321" s="24" t="n">
        <v>317</v>
      </c>
      <c r="B321" s="25" t="str">
        <f aca="false">IF(OR(C321="",I321="",G321=""),"",IFERROR(VLOOKUP(I321,Setup!$A$9:$B$11,2,0),"???")&amp;"-"&amp;G321&amp;"-"&amp;TEXT(COUNTIFS(I$5:I321,I321,G$5:G321,G321),"0000"))</f>
        <v/>
      </c>
      <c r="C321" s="26"/>
      <c r="D321" s="26"/>
      <c r="E321" s="27"/>
      <c r="F321" s="27"/>
      <c r="G321" s="24" t="str">
        <f aca="false">IF(F321="","",IF(F321&lt;=5,"A",IF(F321&lt;=8,"B",IF(F321&lt;=10,"C","D"))))</f>
        <v/>
      </c>
      <c r="H321" s="28"/>
      <c r="I321" s="27"/>
      <c r="J321" s="26"/>
      <c r="K321" s="27"/>
      <c r="L321" s="27"/>
      <c r="M321" s="27"/>
      <c r="N321" s="27"/>
      <c r="O321" s="24" t="str">
        <f aca="false">IF(G321="","",VLOOKUP(G321,Setup!$A$14:$C$17,3,0))</f>
        <v/>
      </c>
      <c r="P321" s="27"/>
      <c r="Q321" s="29" t="str">
        <f aca="false">IF(OR(P321="",M321&lt;&gt;"Paid",O321=""),"",P321/O321)</f>
        <v/>
      </c>
      <c r="R321" s="30" t="str">
        <f aca="false">IF(Q321="","",Q321+N(H321)*0.000000001)</f>
        <v/>
      </c>
      <c r="S321" s="25" t="str">
        <f aca="false">IF(R321="","",SUMPRODUCT((I$5:I$4004=I321)*ISNUMBER(R$5:R$4004)*(R$5:R$4004&gt;R321))+1)</f>
        <v/>
      </c>
      <c r="T321" s="25" t="str">
        <f aca="false">IF(S321="","",IF(S321&lt;=Setup!$B$5,"🏆 WINNER",""))</f>
        <v/>
      </c>
      <c r="U321" s="24" t="str">
        <f aca="false">IF(S321="","",I321&amp;"|"&amp;S321)</f>
        <v/>
      </c>
    </row>
    <row r="322" customFormat="false" ht="15" hidden="false" customHeight="false" outlineLevel="0" collapsed="false">
      <c r="A322" s="31" t="n">
        <v>318</v>
      </c>
      <c r="B322" s="32" t="str">
        <f aca="false">IF(OR(C322="",I322="",G322=""),"",IFERROR(VLOOKUP(I322,Setup!$A$9:$B$11,2,0),"???")&amp;"-"&amp;G322&amp;"-"&amp;TEXT(COUNTIFS(I$5:I322,I322,G$5:G322,G322),"0000"))</f>
        <v/>
      </c>
      <c r="C322" s="26"/>
      <c r="D322" s="26"/>
      <c r="E322" s="27"/>
      <c r="F322" s="27"/>
      <c r="G322" s="31" t="str">
        <f aca="false">IF(F322="","",IF(F322&lt;=5,"A",IF(F322&lt;=8,"B",IF(F322&lt;=10,"C","D"))))</f>
        <v/>
      </c>
      <c r="H322" s="28"/>
      <c r="I322" s="27"/>
      <c r="J322" s="26"/>
      <c r="K322" s="27"/>
      <c r="L322" s="27"/>
      <c r="M322" s="27"/>
      <c r="N322" s="27"/>
      <c r="O322" s="31" t="str">
        <f aca="false">IF(G322="","",VLOOKUP(G322,Setup!$A$14:$C$17,3,0))</f>
        <v/>
      </c>
      <c r="P322" s="27"/>
      <c r="Q322" s="33" t="str">
        <f aca="false">IF(OR(P322="",M322&lt;&gt;"Paid",O322=""),"",P322/O322)</f>
        <v/>
      </c>
      <c r="R322" s="34" t="str">
        <f aca="false">IF(Q322="","",Q322+N(H322)*0.000000001)</f>
        <v/>
      </c>
      <c r="S322" s="32" t="str">
        <f aca="false">IF(R322="","",SUMPRODUCT((I$5:I$4004=I322)*ISNUMBER(R$5:R$4004)*(R$5:R$4004&gt;R322))+1)</f>
        <v/>
      </c>
      <c r="T322" s="32" t="str">
        <f aca="false">IF(S322="","",IF(S322&lt;=Setup!$B$5,"🏆 WINNER",""))</f>
        <v/>
      </c>
      <c r="U322" s="31" t="str">
        <f aca="false">IF(S322="","",I322&amp;"|"&amp;S322)</f>
        <v/>
      </c>
    </row>
    <row r="323" customFormat="false" ht="15" hidden="false" customHeight="false" outlineLevel="0" collapsed="false">
      <c r="A323" s="24" t="n">
        <v>319</v>
      </c>
      <c r="B323" s="25" t="str">
        <f aca="false">IF(OR(C323="",I323="",G323=""),"",IFERROR(VLOOKUP(I323,Setup!$A$9:$B$11,2,0),"???")&amp;"-"&amp;G323&amp;"-"&amp;TEXT(COUNTIFS(I$5:I323,I323,G$5:G323,G323),"0000"))</f>
        <v/>
      </c>
      <c r="C323" s="26"/>
      <c r="D323" s="26"/>
      <c r="E323" s="27"/>
      <c r="F323" s="27"/>
      <c r="G323" s="24" t="str">
        <f aca="false">IF(F323="","",IF(F323&lt;=5,"A",IF(F323&lt;=8,"B",IF(F323&lt;=10,"C","D"))))</f>
        <v/>
      </c>
      <c r="H323" s="28"/>
      <c r="I323" s="27"/>
      <c r="J323" s="26"/>
      <c r="K323" s="27"/>
      <c r="L323" s="27"/>
      <c r="M323" s="27"/>
      <c r="N323" s="27"/>
      <c r="O323" s="24" t="str">
        <f aca="false">IF(G323="","",VLOOKUP(G323,Setup!$A$14:$C$17,3,0))</f>
        <v/>
      </c>
      <c r="P323" s="27"/>
      <c r="Q323" s="29" t="str">
        <f aca="false">IF(OR(P323="",M323&lt;&gt;"Paid",O323=""),"",P323/O323)</f>
        <v/>
      </c>
      <c r="R323" s="30" t="str">
        <f aca="false">IF(Q323="","",Q323+N(H323)*0.000000001)</f>
        <v/>
      </c>
      <c r="S323" s="25" t="str">
        <f aca="false">IF(R323="","",SUMPRODUCT((I$5:I$4004=I323)*ISNUMBER(R$5:R$4004)*(R$5:R$4004&gt;R323))+1)</f>
        <v/>
      </c>
      <c r="T323" s="25" t="str">
        <f aca="false">IF(S323="","",IF(S323&lt;=Setup!$B$5,"🏆 WINNER",""))</f>
        <v/>
      </c>
      <c r="U323" s="24" t="str">
        <f aca="false">IF(S323="","",I323&amp;"|"&amp;S323)</f>
        <v/>
      </c>
    </row>
    <row r="324" customFormat="false" ht="15" hidden="false" customHeight="false" outlineLevel="0" collapsed="false">
      <c r="A324" s="31" t="n">
        <v>320</v>
      </c>
      <c r="B324" s="32" t="str">
        <f aca="false">IF(OR(C324="",I324="",G324=""),"",IFERROR(VLOOKUP(I324,Setup!$A$9:$B$11,2,0),"???")&amp;"-"&amp;G324&amp;"-"&amp;TEXT(COUNTIFS(I$5:I324,I324,G$5:G324,G324),"0000"))</f>
        <v/>
      </c>
      <c r="C324" s="26"/>
      <c r="D324" s="26"/>
      <c r="E324" s="27"/>
      <c r="F324" s="27"/>
      <c r="G324" s="31" t="str">
        <f aca="false">IF(F324="","",IF(F324&lt;=5,"A",IF(F324&lt;=8,"B",IF(F324&lt;=10,"C","D"))))</f>
        <v/>
      </c>
      <c r="H324" s="28"/>
      <c r="I324" s="27"/>
      <c r="J324" s="26"/>
      <c r="K324" s="27"/>
      <c r="L324" s="27"/>
      <c r="M324" s="27"/>
      <c r="N324" s="27"/>
      <c r="O324" s="31" t="str">
        <f aca="false">IF(G324="","",VLOOKUP(G324,Setup!$A$14:$C$17,3,0))</f>
        <v/>
      </c>
      <c r="P324" s="27"/>
      <c r="Q324" s="33" t="str">
        <f aca="false">IF(OR(P324="",M324&lt;&gt;"Paid",O324=""),"",P324/O324)</f>
        <v/>
      </c>
      <c r="R324" s="34" t="str">
        <f aca="false">IF(Q324="","",Q324+N(H324)*0.000000001)</f>
        <v/>
      </c>
      <c r="S324" s="32" t="str">
        <f aca="false">IF(R324="","",SUMPRODUCT((I$5:I$4004=I324)*ISNUMBER(R$5:R$4004)*(R$5:R$4004&gt;R324))+1)</f>
        <v/>
      </c>
      <c r="T324" s="32" t="str">
        <f aca="false">IF(S324="","",IF(S324&lt;=Setup!$B$5,"🏆 WINNER",""))</f>
        <v/>
      </c>
      <c r="U324" s="31" t="str">
        <f aca="false">IF(S324="","",I324&amp;"|"&amp;S324)</f>
        <v/>
      </c>
    </row>
    <row r="325" customFormat="false" ht="15" hidden="false" customHeight="false" outlineLevel="0" collapsed="false">
      <c r="A325" s="24" t="n">
        <v>321</v>
      </c>
      <c r="B325" s="25" t="str">
        <f aca="false">IF(OR(C325="",I325="",G325=""),"",IFERROR(VLOOKUP(I325,Setup!$A$9:$B$11,2,0),"???")&amp;"-"&amp;G325&amp;"-"&amp;TEXT(COUNTIFS(I$5:I325,I325,G$5:G325,G325),"0000"))</f>
        <v/>
      </c>
      <c r="C325" s="26"/>
      <c r="D325" s="26"/>
      <c r="E325" s="27"/>
      <c r="F325" s="27"/>
      <c r="G325" s="24" t="str">
        <f aca="false">IF(F325="","",IF(F325&lt;=5,"A",IF(F325&lt;=8,"B",IF(F325&lt;=10,"C","D"))))</f>
        <v/>
      </c>
      <c r="H325" s="28"/>
      <c r="I325" s="27"/>
      <c r="J325" s="26"/>
      <c r="K325" s="27"/>
      <c r="L325" s="27"/>
      <c r="M325" s="27"/>
      <c r="N325" s="27"/>
      <c r="O325" s="24" t="str">
        <f aca="false">IF(G325="","",VLOOKUP(G325,Setup!$A$14:$C$17,3,0))</f>
        <v/>
      </c>
      <c r="P325" s="27"/>
      <c r="Q325" s="29" t="str">
        <f aca="false">IF(OR(P325="",M325&lt;&gt;"Paid",O325=""),"",P325/O325)</f>
        <v/>
      </c>
      <c r="R325" s="30" t="str">
        <f aca="false">IF(Q325="","",Q325+N(H325)*0.000000001)</f>
        <v/>
      </c>
      <c r="S325" s="25" t="str">
        <f aca="false">IF(R325="","",SUMPRODUCT((I$5:I$4004=I325)*ISNUMBER(R$5:R$4004)*(R$5:R$4004&gt;R325))+1)</f>
        <v/>
      </c>
      <c r="T325" s="25" t="str">
        <f aca="false">IF(S325="","",IF(S325&lt;=Setup!$B$5,"🏆 WINNER",""))</f>
        <v/>
      </c>
      <c r="U325" s="24" t="str">
        <f aca="false">IF(S325="","",I325&amp;"|"&amp;S325)</f>
        <v/>
      </c>
    </row>
    <row r="326" customFormat="false" ht="15" hidden="false" customHeight="false" outlineLevel="0" collapsed="false">
      <c r="A326" s="31" t="n">
        <v>322</v>
      </c>
      <c r="B326" s="32" t="str">
        <f aca="false">IF(OR(C326="",I326="",G326=""),"",IFERROR(VLOOKUP(I326,Setup!$A$9:$B$11,2,0),"???")&amp;"-"&amp;G326&amp;"-"&amp;TEXT(COUNTIFS(I$5:I326,I326,G$5:G326,G326),"0000"))</f>
        <v/>
      </c>
      <c r="C326" s="26"/>
      <c r="D326" s="26"/>
      <c r="E326" s="27"/>
      <c r="F326" s="27"/>
      <c r="G326" s="31" t="str">
        <f aca="false">IF(F326="","",IF(F326&lt;=5,"A",IF(F326&lt;=8,"B",IF(F326&lt;=10,"C","D"))))</f>
        <v/>
      </c>
      <c r="H326" s="28"/>
      <c r="I326" s="27"/>
      <c r="J326" s="26"/>
      <c r="K326" s="27"/>
      <c r="L326" s="27"/>
      <c r="M326" s="27"/>
      <c r="N326" s="27"/>
      <c r="O326" s="31" t="str">
        <f aca="false">IF(G326="","",VLOOKUP(G326,Setup!$A$14:$C$17,3,0))</f>
        <v/>
      </c>
      <c r="P326" s="27"/>
      <c r="Q326" s="33" t="str">
        <f aca="false">IF(OR(P326="",M326&lt;&gt;"Paid",O326=""),"",P326/O326)</f>
        <v/>
      </c>
      <c r="R326" s="34" t="str">
        <f aca="false">IF(Q326="","",Q326+N(H326)*0.000000001)</f>
        <v/>
      </c>
      <c r="S326" s="32" t="str">
        <f aca="false">IF(R326="","",SUMPRODUCT((I$5:I$4004=I326)*ISNUMBER(R$5:R$4004)*(R$5:R$4004&gt;R326))+1)</f>
        <v/>
      </c>
      <c r="T326" s="32" t="str">
        <f aca="false">IF(S326="","",IF(S326&lt;=Setup!$B$5,"🏆 WINNER",""))</f>
        <v/>
      </c>
      <c r="U326" s="31" t="str">
        <f aca="false">IF(S326="","",I326&amp;"|"&amp;S326)</f>
        <v/>
      </c>
    </row>
    <row r="327" customFormat="false" ht="15" hidden="false" customHeight="false" outlineLevel="0" collapsed="false">
      <c r="A327" s="24" t="n">
        <v>323</v>
      </c>
      <c r="B327" s="25" t="str">
        <f aca="false">IF(OR(C327="",I327="",G327=""),"",IFERROR(VLOOKUP(I327,Setup!$A$9:$B$11,2,0),"???")&amp;"-"&amp;G327&amp;"-"&amp;TEXT(COUNTIFS(I$5:I327,I327,G$5:G327,G327),"0000"))</f>
        <v/>
      </c>
      <c r="C327" s="26"/>
      <c r="D327" s="26"/>
      <c r="E327" s="27"/>
      <c r="F327" s="27"/>
      <c r="G327" s="24" t="str">
        <f aca="false">IF(F327="","",IF(F327&lt;=5,"A",IF(F327&lt;=8,"B",IF(F327&lt;=10,"C","D"))))</f>
        <v/>
      </c>
      <c r="H327" s="28"/>
      <c r="I327" s="27"/>
      <c r="J327" s="26"/>
      <c r="K327" s="27"/>
      <c r="L327" s="27"/>
      <c r="M327" s="27"/>
      <c r="N327" s="27"/>
      <c r="O327" s="24" t="str">
        <f aca="false">IF(G327="","",VLOOKUP(G327,Setup!$A$14:$C$17,3,0))</f>
        <v/>
      </c>
      <c r="P327" s="27"/>
      <c r="Q327" s="29" t="str">
        <f aca="false">IF(OR(P327="",M327&lt;&gt;"Paid",O327=""),"",P327/O327)</f>
        <v/>
      </c>
      <c r="R327" s="30" t="str">
        <f aca="false">IF(Q327="","",Q327+N(H327)*0.000000001)</f>
        <v/>
      </c>
      <c r="S327" s="25" t="str">
        <f aca="false">IF(R327="","",SUMPRODUCT((I$5:I$4004=I327)*ISNUMBER(R$5:R$4004)*(R$5:R$4004&gt;R327))+1)</f>
        <v/>
      </c>
      <c r="T327" s="25" t="str">
        <f aca="false">IF(S327="","",IF(S327&lt;=Setup!$B$5,"🏆 WINNER",""))</f>
        <v/>
      </c>
      <c r="U327" s="24" t="str">
        <f aca="false">IF(S327="","",I327&amp;"|"&amp;S327)</f>
        <v/>
      </c>
    </row>
    <row r="328" customFormat="false" ht="15" hidden="false" customHeight="false" outlineLevel="0" collapsed="false">
      <c r="A328" s="31" t="n">
        <v>324</v>
      </c>
      <c r="B328" s="32" t="str">
        <f aca="false">IF(OR(C328="",I328="",G328=""),"",IFERROR(VLOOKUP(I328,Setup!$A$9:$B$11,2,0),"???")&amp;"-"&amp;G328&amp;"-"&amp;TEXT(COUNTIFS(I$5:I328,I328,G$5:G328,G328),"0000"))</f>
        <v/>
      </c>
      <c r="C328" s="26"/>
      <c r="D328" s="26"/>
      <c r="E328" s="27"/>
      <c r="F328" s="27"/>
      <c r="G328" s="31" t="str">
        <f aca="false">IF(F328="","",IF(F328&lt;=5,"A",IF(F328&lt;=8,"B",IF(F328&lt;=10,"C","D"))))</f>
        <v/>
      </c>
      <c r="H328" s="28"/>
      <c r="I328" s="27"/>
      <c r="J328" s="26"/>
      <c r="K328" s="27"/>
      <c r="L328" s="27"/>
      <c r="M328" s="27"/>
      <c r="N328" s="27"/>
      <c r="O328" s="31" t="str">
        <f aca="false">IF(G328="","",VLOOKUP(G328,Setup!$A$14:$C$17,3,0))</f>
        <v/>
      </c>
      <c r="P328" s="27"/>
      <c r="Q328" s="33" t="str">
        <f aca="false">IF(OR(P328="",M328&lt;&gt;"Paid",O328=""),"",P328/O328)</f>
        <v/>
      </c>
      <c r="R328" s="34" t="str">
        <f aca="false">IF(Q328="","",Q328+N(H328)*0.000000001)</f>
        <v/>
      </c>
      <c r="S328" s="32" t="str">
        <f aca="false">IF(R328="","",SUMPRODUCT((I$5:I$4004=I328)*ISNUMBER(R$5:R$4004)*(R$5:R$4004&gt;R328))+1)</f>
        <v/>
      </c>
      <c r="T328" s="32" t="str">
        <f aca="false">IF(S328="","",IF(S328&lt;=Setup!$B$5,"🏆 WINNER",""))</f>
        <v/>
      </c>
      <c r="U328" s="31" t="str">
        <f aca="false">IF(S328="","",I328&amp;"|"&amp;S328)</f>
        <v/>
      </c>
    </row>
    <row r="329" customFormat="false" ht="15" hidden="false" customHeight="false" outlineLevel="0" collapsed="false">
      <c r="A329" s="24" t="n">
        <v>325</v>
      </c>
      <c r="B329" s="25" t="str">
        <f aca="false">IF(OR(C329="",I329="",G329=""),"",IFERROR(VLOOKUP(I329,Setup!$A$9:$B$11,2,0),"???")&amp;"-"&amp;G329&amp;"-"&amp;TEXT(COUNTIFS(I$5:I329,I329,G$5:G329,G329),"0000"))</f>
        <v/>
      </c>
      <c r="C329" s="26"/>
      <c r="D329" s="26"/>
      <c r="E329" s="27"/>
      <c r="F329" s="27"/>
      <c r="G329" s="24" t="str">
        <f aca="false">IF(F329="","",IF(F329&lt;=5,"A",IF(F329&lt;=8,"B",IF(F329&lt;=10,"C","D"))))</f>
        <v/>
      </c>
      <c r="H329" s="28"/>
      <c r="I329" s="27"/>
      <c r="J329" s="26"/>
      <c r="K329" s="27"/>
      <c r="L329" s="27"/>
      <c r="M329" s="27"/>
      <c r="N329" s="27"/>
      <c r="O329" s="24" t="str">
        <f aca="false">IF(G329="","",VLOOKUP(G329,Setup!$A$14:$C$17,3,0))</f>
        <v/>
      </c>
      <c r="P329" s="27"/>
      <c r="Q329" s="29" t="str">
        <f aca="false">IF(OR(P329="",M329&lt;&gt;"Paid",O329=""),"",P329/O329)</f>
        <v/>
      </c>
      <c r="R329" s="30" t="str">
        <f aca="false">IF(Q329="","",Q329+N(H329)*0.000000001)</f>
        <v/>
      </c>
      <c r="S329" s="25" t="str">
        <f aca="false">IF(R329="","",SUMPRODUCT((I$5:I$4004=I329)*ISNUMBER(R$5:R$4004)*(R$5:R$4004&gt;R329))+1)</f>
        <v/>
      </c>
      <c r="T329" s="25" t="str">
        <f aca="false">IF(S329="","",IF(S329&lt;=Setup!$B$5,"🏆 WINNER",""))</f>
        <v/>
      </c>
      <c r="U329" s="24" t="str">
        <f aca="false">IF(S329="","",I329&amp;"|"&amp;S329)</f>
        <v/>
      </c>
    </row>
    <row r="330" customFormat="false" ht="15" hidden="false" customHeight="false" outlineLevel="0" collapsed="false">
      <c r="A330" s="31" t="n">
        <v>326</v>
      </c>
      <c r="B330" s="32" t="str">
        <f aca="false">IF(OR(C330="",I330="",G330=""),"",IFERROR(VLOOKUP(I330,Setup!$A$9:$B$11,2,0),"???")&amp;"-"&amp;G330&amp;"-"&amp;TEXT(COUNTIFS(I$5:I330,I330,G$5:G330,G330),"0000"))</f>
        <v/>
      </c>
      <c r="C330" s="26"/>
      <c r="D330" s="26"/>
      <c r="E330" s="27"/>
      <c r="F330" s="27"/>
      <c r="G330" s="31" t="str">
        <f aca="false">IF(F330="","",IF(F330&lt;=5,"A",IF(F330&lt;=8,"B",IF(F330&lt;=10,"C","D"))))</f>
        <v/>
      </c>
      <c r="H330" s="28"/>
      <c r="I330" s="27"/>
      <c r="J330" s="26"/>
      <c r="K330" s="27"/>
      <c r="L330" s="27"/>
      <c r="M330" s="27"/>
      <c r="N330" s="27"/>
      <c r="O330" s="31" t="str">
        <f aca="false">IF(G330="","",VLOOKUP(G330,Setup!$A$14:$C$17,3,0))</f>
        <v/>
      </c>
      <c r="P330" s="27"/>
      <c r="Q330" s="33" t="str">
        <f aca="false">IF(OR(P330="",M330&lt;&gt;"Paid",O330=""),"",P330/O330)</f>
        <v/>
      </c>
      <c r="R330" s="34" t="str">
        <f aca="false">IF(Q330="","",Q330+N(H330)*0.000000001)</f>
        <v/>
      </c>
      <c r="S330" s="32" t="str">
        <f aca="false">IF(R330="","",SUMPRODUCT((I$5:I$4004=I330)*ISNUMBER(R$5:R$4004)*(R$5:R$4004&gt;R330))+1)</f>
        <v/>
      </c>
      <c r="T330" s="32" t="str">
        <f aca="false">IF(S330="","",IF(S330&lt;=Setup!$B$5,"🏆 WINNER",""))</f>
        <v/>
      </c>
      <c r="U330" s="31" t="str">
        <f aca="false">IF(S330="","",I330&amp;"|"&amp;S330)</f>
        <v/>
      </c>
    </row>
    <row r="331" customFormat="false" ht="15" hidden="false" customHeight="false" outlineLevel="0" collapsed="false">
      <c r="A331" s="24" t="n">
        <v>327</v>
      </c>
      <c r="B331" s="25" t="str">
        <f aca="false">IF(OR(C331="",I331="",G331=""),"",IFERROR(VLOOKUP(I331,Setup!$A$9:$B$11,2,0),"???")&amp;"-"&amp;G331&amp;"-"&amp;TEXT(COUNTIFS(I$5:I331,I331,G$5:G331,G331),"0000"))</f>
        <v/>
      </c>
      <c r="C331" s="26"/>
      <c r="D331" s="26"/>
      <c r="E331" s="27"/>
      <c r="F331" s="27"/>
      <c r="G331" s="24" t="str">
        <f aca="false">IF(F331="","",IF(F331&lt;=5,"A",IF(F331&lt;=8,"B",IF(F331&lt;=10,"C","D"))))</f>
        <v/>
      </c>
      <c r="H331" s="28"/>
      <c r="I331" s="27"/>
      <c r="J331" s="26"/>
      <c r="K331" s="27"/>
      <c r="L331" s="27"/>
      <c r="M331" s="27"/>
      <c r="N331" s="27"/>
      <c r="O331" s="24" t="str">
        <f aca="false">IF(G331="","",VLOOKUP(G331,Setup!$A$14:$C$17,3,0))</f>
        <v/>
      </c>
      <c r="P331" s="27"/>
      <c r="Q331" s="29" t="str">
        <f aca="false">IF(OR(P331="",M331&lt;&gt;"Paid",O331=""),"",P331/O331)</f>
        <v/>
      </c>
      <c r="R331" s="30" t="str">
        <f aca="false">IF(Q331="","",Q331+N(H331)*0.000000001)</f>
        <v/>
      </c>
      <c r="S331" s="25" t="str">
        <f aca="false">IF(R331="","",SUMPRODUCT((I$5:I$4004=I331)*ISNUMBER(R$5:R$4004)*(R$5:R$4004&gt;R331))+1)</f>
        <v/>
      </c>
      <c r="T331" s="25" t="str">
        <f aca="false">IF(S331="","",IF(S331&lt;=Setup!$B$5,"🏆 WINNER",""))</f>
        <v/>
      </c>
      <c r="U331" s="24" t="str">
        <f aca="false">IF(S331="","",I331&amp;"|"&amp;S331)</f>
        <v/>
      </c>
    </row>
    <row r="332" customFormat="false" ht="15" hidden="false" customHeight="false" outlineLevel="0" collapsed="false">
      <c r="A332" s="31" t="n">
        <v>328</v>
      </c>
      <c r="B332" s="32" t="str">
        <f aca="false">IF(OR(C332="",I332="",G332=""),"",IFERROR(VLOOKUP(I332,Setup!$A$9:$B$11,2,0),"???")&amp;"-"&amp;G332&amp;"-"&amp;TEXT(COUNTIFS(I$5:I332,I332,G$5:G332,G332),"0000"))</f>
        <v/>
      </c>
      <c r="C332" s="26"/>
      <c r="D332" s="26"/>
      <c r="E332" s="27"/>
      <c r="F332" s="27"/>
      <c r="G332" s="31" t="str">
        <f aca="false">IF(F332="","",IF(F332&lt;=5,"A",IF(F332&lt;=8,"B",IF(F332&lt;=10,"C","D"))))</f>
        <v/>
      </c>
      <c r="H332" s="28"/>
      <c r="I332" s="27"/>
      <c r="J332" s="26"/>
      <c r="K332" s="27"/>
      <c r="L332" s="27"/>
      <c r="M332" s="27"/>
      <c r="N332" s="27"/>
      <c r="O332" s="31" t="str">
        <f aca="false">IF(G332="","",VLOOKUP(G332,Setup!$A$14:$C$17,3,0))</f>
        <v/>
      </c>
      <c r="P332" s="27"/>
      <c r="Q332" s="33" t="str">
        <f aca="false">IF(OR(P332="",M332&lt;&gt;"Paid",O332=""),"",P332/O332)</f>
        <v/>
      </c>
      <c r="R332" s="34" t="str">
        <f aca="false">IF(Q332="","",Q332+N(H332)*0.000000001)</f>
        <v/>
      </c>
      <c r="S332" s="32" t="str">
        <f aca="false">IF(R332="","",SUMPRODUCT((I$5:I$4004=I332)*ISNUMBER(R$5:R$4004)*(R$5:R$4004&gt;R332))+1)</f>
        <v/>
      </c>
      <c r="T332" s="32" t="str">
        <f aca="false">IF(S332="","",IF(S332&lt;=Setup!$B$5,"🏆 WINNER",""))</f>
        <v/>
      </c>
      <c r="U332" s="31" t="str">
        <f aca="false">IF(S332="","",I332&amp;"|"&amp;S332)</f>
        <v/>
      </c>
    </row>
    <row r="333" customFormat="false" ht="15" hidden="false" customHeight="false" outlineLevel="0" collapsed="false">
      <c r="A333" s="24" t="n">
        <v>329</v>
      </c>
      <c r="B333" s="25" t="str">
        <f aca="false">IF(OR(C333="",I333="",G333=""),"",IFERROR(VLOOKUP(I333,Setup!$A$9:$B$11,2,0),"???")&amp;"-"&amp;G333&amp;"-"&amp;TEXT(COUNTIFS(I$5:I333,I333,G$5:G333,G333),"0000"))</f>
        <v/>
      </c>
      <c r="C333" s="26"/>
      <c r="D333" s="26"/>
      <c r="E333" s="27"/>
      <c r="F333" s="27"/>
      <c r="G333" s="24" t="str">
        <f aca="false">IF(F333="","",IF(F333&lt;=5,"A",IF(F333&lt;=8,"B",IF(F333&lt;=10,"C","D"))))</f>
        <v/>
      </c>
      <c r="H333" s="28"/>
      <c r="I333" s="27"/>
      <c r="J333" s="26"/>
      <c r="K333" s="27"/>
      <c r="L333" s="27"/>
      <c r="M333" s="27"/>
      <c r="N333" s="27"/>
      <c r="O333" s="24" t="str">
        <f aca="false">IF(G333="","",VLOOKUP(G333,Setup!$A$14:$C$17,3,0))</f>
        <v/>
      </c>
      <c r="P333" s="27"/>
      <c r="Q333" s="29" t="str">
        <f aca="false">IF(OR(P333="",M333&lt;&gt;"Paid",O333=""),"",P333/O333)</f>
        <v/>
      </c>
      <c r="R333" s="30" t="str">
        <f aca="false">IF(Q333="","",Q333+N(H333)*0.000000001)</f>
        <v/>
      </c>
      <c r="S333" s="25" t="str">
        <f aca="false">IF(R333="","",SUMPRODUCT((I$5:I$4004=I333)*ISNUMBER(R$5:R$4004)*(R$5:R$4004&gt;R333))+1)</f>
        <v/>
      </c>
      <c r="T333" s="25" t="str">
        <f aca="false">IF(S333="","",IF(S333&lt;=Setup!$B$5,"🏆 WINNER",""))</f>
        <v/>
      </c>
      <c r="U333" s="24" t="str">
        <f aca="false">IF(S333="","",I333&amp;"|"&amp;S333)</f>
        <v/>
      </c>
    </row>
    <row r="334" customFormat="false" ht="15" hidden="false" customHeight="false" outlineLevel="0" collapsed="false">
      <c r="A334" s="31" t="n">
        <v>330</v>
      </c>
      <c r="B334" s="32" t="str">
        <f aca="false">IF(OR(C334="",I334="",G334=""),"",IFERROR(VLOOKUP(I334,Setup!$A$9:$B$11,2,0),"???")&amp;"-"&amp;G334&amp;"-"&amp;TEXT(COUNTIFS(I$5:I334,I334,G$5:G334,G334),"0000"))</f>
        <v/>
      </c>
      <c r="C334" s="26"/>
      <c r="D334" s="26"/>
      <c r="E334" s="27"/>
      <c r="F334" s="27"/>
      <c r="G334" s="31" t="str">
        <f aca="false">IF(F334="","",IF(F334&lt;=5,"A",IF(F334&lt;=8,"B",IF(F334&lt;=10,"C","D"))))</f>
        <v/>
      </c>
      <c r="H334" s="28"/>
      <c r="I334" s="27"/>
      <c r="J334" s="26"/>
      <c r="K334" s="27"/>
      <c r="L334" s="27"/>
      <c r="M334" s="27"/>
      <c r="N334" s="27"/>
      <c r="O334" s="31" t="str">
        <f aca="false">IF(G334="","",VLOOKUP(G334,Setup!$A$14:$C$17,3,0))</f>
        <v/>
      </c>
      <c r="P334" s="27"/>
      <c r="Q334" s="33" t="str">
        <f aca="false">IF(OR(P334="",M334&lt;&gt;"Paid",O334=""),"",P334/O334)</f>
        <v/>
      </c>
      <c r="R334" s="34" t="str">
        <f aca="false">IF(Q334="","",Q334+N(H334)*0.000000001)</f>
        <v/>
      </c>
      <c r="S334" s="32" t="str">
        <f aca="false">IF(R334="","",SUMPRODUCT((I$5:I$4004=I334)*ISNUMBER(R$5:R$4004)*(R$5:R$4004&gt;R334))+1)</f>
        <v/>
      </c>
      <c r="T334" s="32" t="str">
        <f aca="false">IF(S334="","",IF(S334&lt;=Setup!$B$5,"🏆 WINNER",""))</f>
        <v/>
      </c>
      <c r="U334" s="31" t="str">
        <f aca="false">IF(S334="","",I334&amp;"|"&amp;S334)</f>
        <v/>
      </c>
    </row>
    <row r="335" customFormat="false" ht="15" hidden="false" customHeight="false" outlineLevel="0" collapsed="false">
      <c r="A335" s="24" t="n">
        <v>331</v>
      </c>
      <c r="B335" s="25" t="str">
        <f aca="false">IF(OR(C335="",I335="",G335=""),"",IFERROR(VLOOKUP(I335,Setup!$A$9:$B$11,2,0),"???")&amp;"-"&amp;G335&amp;"-"&amp;TEXT(COUNTIFS(I$5:I335,I335,G$5:G335,G335),"0000"))</f>
        <v/>
      </c>
      <c r="C335" s="26"/>
      <c r="D335" s="26"/>
      <c r="E335" s="27"/>
      <c r="F335" s="27"/>
      <c r="G335" s="24" t="str">
        <f aca="false">IF(F335="","",IF(F335&lt;=5,"A",IF(F335&lt;=8,"B",IF(F335&lt;=10,"C","D"))))</f>
        <v/>
      </c>
      <c r="H335" s="28"/>
      <c r="I335" s="27"/>
      <c r="J335" s="26"/>
      <c r="K335" s="27"/>
      <c r="L335" s="27"/>
      <c r="M335" s="27"/>
      <c r="N335" s="27"/>
      <c r="O335" s="24" t="str">
        <f aca="false">IF(G335="","",VLOOKUP(G335,Setup!$A$14:$C$17,3,0))</f>
        <v/>
      </c>
      <c r="P335" s="27"/>
      <c r="Q335" s="29" t="str">
        <f aca="false">IF(OR(P335="",M335&lt;&gt;"Paid",O335=""),"",P335/O335)</f>
        <v/>
      </c>
      <c r="R335" s="30" t="str">
        <f aca="false">IF(Q335="","",Q335+N(H335)*0.000000001)</f>
        <v/>
      </c>
      <c r="S335" s="25" t="str">
        <f aca="false">IF(R335="","",SUMPRODUCT((I$5:I$4004=I335)*ISNUMBER(R$5:R$4004)*(R$5:R$4004&gt;R335))+1)</f>
        <v/>
      </c>
      <c r="T335" s="25" t="str">
        <f aca="false">IF(S335="","",IF(S335&lt;=Setup!$B$5,"🏆 WINNER",""))</f>
        <v/>
      </c>
      <c r="U335" s="24" t="str">
        <f aca="false">IF(S335="","",I335&amp;"|"&amp;S335)</f>
        <v/>
      </c>
    </row>
    <row r="336" customFormat="false" ht="15" hidden="false" customHeight="false" outlineLevel="0" collapsed="false">
      <c r="A336" s="31" t="n">
        <v>332</v>
      </c>
      <c r="B336" s="32" t="str">
        <f aca="false">IF(OR(C336="",I336="",G336=""),"",IFERROR(VLOOKUP(I336,Setup!$A$9:$B$11,2,0),"???")&amp;"-"&amp;G336&amp;"-"&amp;TEXT(COUNTIFS(I$5:I336,I336,G$5:G336,G336),"0000"))</f>
        <v/>
      </c>
      <c r="C336" s="26"/>
      <c r="D336" s="26"/>
      <c r="E336" s="27"/>
      <c r="F336" s="27"/>
      <c r="G336" s="31" t="str">
        <f aca="false">IF(F336="","",IF(F336&lt;=5,"A",IF(F336&lt;=8,"B",IF(F336&lt;=10,"C","D"))))</f>
        <v/>
      </c>
      <c r="H336" s="28"/>
      <c r="I336" s="27"/>
      <c r="J336" s="26"/>
      <c r="K336" s="27"/>
      <c r="L336" s="27"/>
      <c r="M336" s="27"/>
      <c r="N336" s="27"/>
      <c r="O336" s="31" t="str">
        <f aca="false">IF(G336="","",VLOOKUP(G336,Setup!$A$14:$C$17,3,0))</f>
        <v/>
      </c>
      <c r="P336" s="27"/>
      <c r="Q336" s="33" t="str">
        <f aca="false">IF(OR(P336="",M336&lt;&gt;"Paid",O336=""),"",P336/O336)</f>
        <v/>
      </c>
      <c r="R336" s="34" t="str">
        <f aca="false">IF(Q336="","",Q336+N(H336)*0.000000001)</f>
        <v/>
      </c>
      <c r="S336" s="32" t="str">
        <f aca="false">IF(R336="","",SUMPRODUCT((I$5:I$4004=I336)*ISNUMBER(R$5:R$4004)*(R$5:R$4004&gt;R336))+1)</f>
        <v/>
      </c>
      <c r="T336" s="32" t="str">
        <f aca="false">IF(S336="","",IF(S336&lt;=Setup!$B$5,"🏆 WINNER",""))</f>
        <v/>
      </c>
      <c r="U336" s="31" t="str">
        <f aca="false">IF(S336="","",I336&amp;"|"&amp;S336)</f>
        <v/>
      </c>
    </row>
    <row r="337" customFormat="false" ht="15" hidden="false" customHeight="false" outlineLevel="0" collapsed="false">
      <c r="A337" s="24" t="n">
        <v>333</v>
      </c>
      <c r="B337" s="25" t="str">
        <f aca="false">IF(OR(C337="",I337="",G337=""),"",IFERROR(VLOOKUP(I337,Setup!$A$9:$B$11,2,0),"???")&amp;"-"&amp;G337&amp;"-"&amp;TEXT(COUNTIFS(I$5:I337,I337,G$5:G337,G337),"0000"))</f>
        <v/>
      </c>
      <c r="C337" s="26"/>
      <c r="D337" s="26"/>
      <c r="E337" s="27"/>
      <c r="F337" s="27"/>
      <c r="G337" s="24" t="str">
        <f aca="false">IF(F337="","",IF(F337&lt;=5,"A",IF(F337&lt;=8,"B",IF(F337&lt;=10,"C","D"))))</f>
        <v/>
      </c>
      <c r="H337" s="28"/>
      <c r="I337" s="27"/>
      <c r="J337" s="26"/>
      <c r="K337" s="27"/>
      <c r="L337" s="27"/>
      <c r="M337" s="27"/>
      <c r="N337" s="27"/>
      <c r="O337" s="24" t="str">
        <f aca="false">IF(G337="","",VLOOKUP(G337,Setup!$A$14:$C$17,3,0))</f>
        <v/>
      </c>
      <c r="P337" s="27"/>
      <c r="Q337" s="29" t="str">
        <f aca="false">IF(OR(P337="",M337&lt;&gt;"Paid",O337=""),"",P337/O337)</f>
        <v/>
      </c>
      <c r="R337" s="30" t="str">
        <f aca="false">IF(Q337="","",Q337+N(H337)*0.000000001)</f>
        <v/>
      </c>
      <c r="S337" s="25" t="str">
        <f aca="false">IF(R337="","",SUMPRODUCT((I$5:I$4004=I337)*ISNUMBER(R$5:R$4004)*(R$5:R$4004&gt;R337))+1)</f>
        <v/>
      </c>
      <c r="T337" s="25" t="str">
        <f aca="false">IF(S337="","",IF(S337&lt;=Setup!$B$5,"🏆 WINNER",""))</f>
        <v/>
      </c>
      <c r="U337" s="24" t="str">
        <f aca="false">IF(S337="","",I337&amp;"|"&amp;S337)</f>
        <v/>
      </c>
    </row>
    <row r="338" customFormat="false" ht="15" hidden="false" customHeight="false" outlineLevel="0" collapsed="false">
      <c r="A338" s="31" t="n">
        <v>334</v>
      </c>
      <c r="B338" s="32" t="str">
        <f aca="false">IF(OR(C338="",I338="",G338=""),"",IFERROR(VLOOKUP(I338,Setup!$A$9:$B$11,2,0),"???")&amp;"-"&amp;G338&amp;"-"&amp;TEXT(COUNTIFS(I$5:I338,I338,G$5:G338,G338),"0000"))</f>
        <v/>
      </c>
      <c r="C338" s="26"/>
      <c r="D338" s="26"/>
      <c r="E338" s="27"/>
      <c r="F338" s="27"/>
      <c r="G338" s="31" t="str">
        <f aca="false">IF(F338="","",IF(F338&lt;=5,"A",IF(F338&lt;=8,"B",IF(F338&lt;=10,"C","D"))))</f>
        <v/>
      </c>
      <c r="H338" s="28"/>
      <c r="I338" s="27"/>
      <c r="J338" s="26"/>
      <c r="K338" s="27"/>
      <c r="L338" s="27"/>
      <c r="M338" s="27"/>
      <c r="N338" s="27"/>
      <c r="O338" s="31" t="str">
        <f aca="false">IF(G338="","",VLOOKUP(G338,Setup!$A$14:$C$17,3,0))</f>
        <v/>
      </c>
      <c r="P338" s="27"/>
      <c r="Q338" s="33" t="str">
        <f aca="false">IF(OR(P338="",M338&lt;&gt;"Paid",O338=""),"",P338/O338)</f>
        <v/>
      </c>
      <c r="R338" s="34" t="str">
        <f aca="false">IF(Q338="","",Q338+N(H338)*0.000000001)</f>
        <v/>
      </c>
      <c r="S338" s="32" t="str">
        <f aca="false">IF(R338="","",SUMPRODUCT((I$5:I$4004=I338)*ISNUMBER(R$5:R$4004)*(R$5:R$4004&gt;R338))+1)</f>
        <v/>
      </c>
      <c r="T338" s="32" t="str">
        <f aca="false">IF(S338="","",IF(S338&lt;=Setup!$B$5,"🏆 WINNER",""))</f>
        <v/>
      </c>
      <c r="U338" s="31" t="str">
        <f aca="false">IF(S338="","",I338&amp;"|"&amp;S338)</f>
        <v/>
      </c>
    </row>
    <row r="339" customFormat="false" ht="15" hidden="false" customHeight="false" outlineLevel="0" collapsed="false">
      <c r="A339" s="24" t="n">
        <v>335</v>
      </c>
      <c r="B339" s="25" t="str">
        <f aca="false">IF(OR(C339="",I339="",G339=""),"",IFERROR(VLOOKUP(I339,Setup!$A$9:$B$11,2,0),"???")&amp;"-"&amp;G339&amp;"-"&amp;TEXT(COUNTIFS(I$5:I339,I339,G$5:G339,G339),"0000"))</f>
        <v/>
      </c>
      <c r="C339" s="26"/>
      <c r="D339" s="26"/>
      <c r="E339" s="27"/>
      <c r="F339" s="27"/>
      <c r="G339" s="24" t="str">
        <f aca="false">IF(F339="","",IF(F339&lt;=5,"A",IF(F339&lt;=8,"B",IF(F339&lt;=10,"C","D"))))</f>
        <v/>
      </c>
      <c r="H339" s="28"/>
      <c r="I339" s="27"/>
      <c r="J339" s="26"/>
      <c r="K339" s="27"/>
      <c r="L339" s="27"/>
      <c r="M339" s="27"/>
      <c r="N339" s="27"/>
      <c r="O339" s="24" t="str">
        <f aca="false">IF(G339="","",VLOOKUP(G339,Setup!$A$14:$C$17,3,0))</f>
        <v/>
      </c>
      <c r="P339" s="27"/>
      <c r="Q339" s="29" t="str">
        <f aca="false">IF(OR(P339="",M339&lt;&gt;"Paid",O339=""),"",P339/O339)</f>
        <v/>
      </c>
      <c r="R339" s="30" t="str">
        <f aca="false">IF(Q339="","",Q339+N(H339)*0.000000001)</f>
        <v/>
      </c>
      <c r="S339" s="25" t="str">
        <f aca="false">IF(R339="","",SUMPRODUCT((I$5:I$4004=I339)*ISNUMBER(R$5:R$4004)*(R$5:R$4004&gt;R339))+1)</f>
        <v/>
      </c>
      <c r="T339" s="25" t="str">
        <f aca="false">IF(S339="","",IF(S339&lt;=Setup!$B$5,"🏆 WINNER",""))</f>
        <v/>
      </c>
      <c r="U339" s="24" t="str">
        <f aca="false">IF(S339="","",I339&amp;"|"&amp;S339)</f>
        <v/>
      </c>
    </row>
    <row r="340" customFormat="false" ht="15" hidden="false" customHeight="false" outlineLevel="0" collapsed="false">
      <c r="A340" s="31" t="n">
        <v>336</v>
      </c>
      <c r="B340" s="32" t="str">
        <f aca="false">IF(OR(C340="",I340="",G340=""),"",IFERROR(VLOOKUP(I340,Setup!$A$9:$B$11,2,0),"???")&amp;"-"&amp;G340&amp;"-"&amp;TEXT(COUNTIFS(I$5:I340,I340,G$5:G340,G340),"0000"))</f>
        <v/>
      </c>
      <c r="C340" s="26"/>
      <c r="D340" s="26"/>
      <c r="E340" s="27"/>
      <c r="F340" s="27"/>
      <c r="G340" s="31" t="str">
        <f aca="false">IF(F340="","",IF(F340&lt;=5,"A",IF(F340&lt;=8,"B",IF(F340&lt;=10,"C","D"))))</f>
        <v/>
      </c>
      <c r="H340" s="28"/>
      <c r="I340" s="27"/>
      <c r="J340" s="26"/>
      <c r="K340" s="27"/>
      <c r="L340" s="27"/>
      <c r="M340" s="27"/>
      <c r="N340" s="27"/>
      <c r="O340" s="31" t="str">
        <f aca="false">IF(G340="","",VLOOKUP(G340,Setup!$A$14:$C$17,3,0))</f>
        <v/>
      </c>
      <c r="P340" s="27"/>
      <c r="Q340" s="33" t="str">
        <f aca="false">IF(OR(P340="",M340&lt;&gt;"Paid",O340=""),"",P340/O340)</f>
        <v/>
      </c>
      <c r="R340" s="34" t="str">
        <f aca="false">IF(Q340="","",Q340+N(H340)*0.000000001)</f>
        <v/>
      </c>
      <c r="S340" s="32" t="str">
        <f aca="false">IF(R340="","",SUMPRODUCT((I$5:I$4004=I340)*ISNUMBER(R$5:R$4004)*(R$5:R$4004&gt;R340))+1)</f>
        <v/>
      </c>
      <c r="T340" s="32" t="str">
        <f aca="false">IF(S340="","",IF(S340&lt;=Setup!$B$5,"🏆 WINNER",""))</f>
        <v/>
      </c>
      <c r="U340" s="31" t="str">
        <f aca="false">IF(S340="","",I340&amp;"|"&amp;S340)</f>
        <v/>
      </c>
    </row>
    <row r="341" customFormat="false" ht="15" hidden="false" customHeight="false" outlineLevel="0" collapsed="false">
      <c r="A341" s="24" t="n">
        <v>337</v>
      </c>
      <c r="B341" s="25" t="str">
        <f aca="false">IF(OR(C341="",I341="",G341=""),"",IFERROR(VLOOKUP(I341,Setup!$A$9:$B$11,2,0),"???")&amp;"-"&amp;G341&amp;"-"&amp;TEXT(COUNTIFS(I$5:I341,I341,G$5:G341,G341),"0000"))</f>
        <v/>
      </c>
      <c r="C341" s="26"/>
      <c r="D341" s="26"/>
      <c r="E341" s="27"/>
      <c r="F341" s="27"/>
      <c r="G341" s="24" t="str">
        <f aca="false">IF(F341="","",IF(F341&lt;=5,"A",IF(F341&lt;=8,"B",IF(F341&lt;=10,"C","D"))))</f>
        <v/>
      </c>
      <c r="H341" s="28"/>
      <c r="I341" s="27"/>
      <c r="J341" s="26"/>
      <c r="K341" s="27"/>
      <c r="L341" s="27"/>
      <c r="M341" s="27"/>
      <c r="N341" s="27"/>
      <c r="O341" s="24" t="str">
        <f aca="false">IF(G341="","",VLOOKUP(G341,Setup!$A$14:$C$17,3,0))</f>
        <v/>
      </c>
      <c r="P341" s="27"/>
      <c r="Q341" s="29" t="str">
        <f aca="false">IF(OR(P341="",M341&lt;&gt;"Paid",O341=""),"",P341/O341)</f>
        <v/>
      </c>
      <c r="R341" s="30" t="str">
        <f aca="false">IF(Q341="","",Q341+N(H341)*0.000000001)</f>
        <v/>
      </c>
      <c r="S341" s="25" t="str">
        <f aca="false">IF(R341="","",SUMPRODUCT((I$5:I$4004=I341)*ISNUMBER(R$5:R$4004)*(R$5:R$4004&gt;R341))+1)</f>
        <v/>
      </c>
      <c r="T341" s="25" t="str">
        <f aca="false">IF(S341="","",IF(S341&lt;=Setup!$B$5,"🏆 WINNER",""))</f>
        <v/>
      </c>
      <c r="U341" s="24" t="str">
        <f aca="false">IF(S341="","",I341&amp;"|"&amp;S341)</f>
        <v/>
      </c>
    </row>
    <row r="342" customFormat="false" ht="15" hidden="false" customHeight="false" outlineLevel="0" collapsed="false">
      <c r="A342" s="31" t="n">
        <v>338</v>
      </c>
      <c r="B342" s="32" t="str">
        <f aca="false">IF(OR(C342="",I342="",G342=""),"",IFERROR(VLOOKUP(I342,Setup!$A$9:$B$11,2,0),"???")&amp;"-"&amp;G342&amp;"-"&amp;TEXT(COUNTIFS(I$5:I342,I342,G$5:G342,G342),"0000"))</f>
        <v/>
      </c>
      <c r="C342" s="26"/>
      <c r="D342" s="26"/>
      <c r="E342" s="27"/>
      <c r="F342" s="27"/>
      <c r="G342" s="31" t="str">
        <f aca="false">IF(F342="","",IF(F342&lt;=5,"A",IF(F342&lt;=8,"B",IF(F342&lt;=10,"C","D"))))</f>
        <v/>
      </c>
      <c r="H342" s="28"/>
      <c r="I342" s="27"/>
      <c r="J342" s="26"/>
      <c r="K342" s="27"/>
      <c r="L342" s="27"/>
      <c r="M342" s="27"/>
      <c r="N342" s="27"/>
      <c r="O342" s="31" t="str">
        <f aca="false">IF(G342="","",VLOOKUP(G342,Setup!$A$14:$C$17,3,0))</f>
        <v/>
      </c>
      <c r="P342" s="27"/>
      <c r="Q342" s="33" t="str">
        <f aca="false">IF(OR(P342="",M342&lt;&gt;"Paid",O342=""),"",P342/O342)</f>
        <v/>
      </c>
      <c r="R342" s="34" t="str">
        <f aca="false">IF(Q342="","",Q342+N(H342)*0.000000001)</f>
        <v/>
      </c>
      <c r="S342" s="32" t="str">
        <f aca="false">IF(R342="","",SUMPRODUCT((I$5:I$4004=I342)*ISNUMBER(R$5:R$4004)*(R$5:R$4004&gt;R342))+1)</f>
        <v/>
      </c>
      <c r="T342" s="32" t="str">
        <f aca="false">IF(S342="","",IF(S342&lt;=Setup!$B$5,"🏆 WINNER",""))</f>
        <v/>
      </c>
      <c r="U342" s="31" t="str">
        <f aca="false">IF(S342="","",I342&amp;"|"&amp;S342)</f>
        <v/>
      </c>
    </row>
    <row r="343" customFormat="false" ht="15" hidden="false" customHeight="false" outlineLevel="0" collapsed="false">
      <c r="A343" s="24" t="n">
        <v>339</v>
      </c>
      <c r="B343" s="25" t="str">
        <f aca="false">IF(OR(C343="",I343="",G343=""),"",IFERROR(VLOOKUP(I343,Setup!$A$9:$B$11,2,0),"???")&amp;"-"&amp;G343&amp;"-"&amp;TEXT(COUNTIFS(I$5:I343,I343,G$5:G343,G343),"0000"))</f>
        <v/>
      </c>
      <c r="C343" s="26"/>
      <c r="D343" s="26"/>
      <c r="E343" s="27"/>
      <c r="F343" s="27"/>
      <c r="G343" s="24" t="str">
        <f aca="false">IF(F343="","",IF(F343&lt;=5,"A",IF(F343&lt;=8,"B",IF(F343&lt;=10,"C","D"))))</f>
        <v/>
      </c>
      <c r="H343" s="28"/>
      <c r="I343" s="27"/>
      <c r="J343" s="26"/>
      <c r="K343" s="27"/>
      <c r="L343" s="27"/>
      <c r="M343" s="27"/>
      <c r="N343" s="27"/>
      <c r="O343" s="24" t="str">
        <f aca="false">IF(G343="","",VLOOKUP(G343,Setup!$A$14:$C$17,3,0))</f>
        <v/>
      </c>
      <c r="P343" s="27"/>
      <c r="Q343" s="29" t="str">
        <f aca="false">IF(OR(P343="",M343&lt;&gt;"Paid",O343=""),"",P343/O343)</f>
        <v/>
      </c>
      <c r="R343" s="30" t="str">
        <f aca="false">IF(Q343="","",Q343+N(H343)*0.000000001)</f>
        <v/>
      </c>
      <c r="S343" s="25" t="str">
        <f aca="false">IF(R343="","",SUMPRODUCT((I$5:I$4004=I343)*ISNUMBER(R$5:R$4004)*(R$5:R$4004&gt;R343))+1)</f>
        <v/>
      </c>
      <c r="T343" s="25" t="str">
        <f aca="false">IF(S343="","",IF(S343&lt;=Setup!$B$5,"🏆 WINNER",""))</f>
        <v/>
      </c>
      <c r="U343" s="24" t="str">
        <f aca="false">IF(S343="","",I343&amp;"|"&amp;S343)</f>
        <v/>
      </c>
    </row>
    <row r="344" customFormat="false" ht="15" hidden="false" customHeight="false" outlineLevel="0" collapsed="false">
      <c r="A344" s="31" t="n">
        <v>340</v>
      </c>
      <c r="B344" s="32" t="str">
        <f aca="false">IF(OR(C344="",I344="",G344=""),"",IFERROR(VLOOKUP(I344,Setup!$A$9:$B$11,2,0),"???")&amp;"-"&amp;G344&amp;"-"&amp;TEXT(COUNTIFS(I$5:I344,I344,G$5:G344,G344),"0000"))</f>
        <v/>
      </c>
      <c r="C344" s="26"/>
      <c r="D344" s="26"/>
      <c r="E344" s="27"/>
      <c r="F344" s="27"/>
      <c r="G344" s="31" t="str">
        <f aca="false">IF(F344="","",IF(F344&lt;=5,"A",IF(F344&lt;=8,"B",IF(F344&lt;=10,"C","D"))))</f>
        <v/>
      </c>
      <c r="H344" s="28"/>
      <c r="I344" s="27"/>
      <c r="J344" s="26"/>
      <c r="K344" s="27"/>
      <c r="L344" s="27"/>
      <c r="M344" s="27"/>
      <c r="N344" s="27"/>
      <c r="O344" s="31" t="str">
        <f aca="false">IF(G344="","",VLOOKUP(G344,Setup!$A$14:$C$17,3,0))</f>
        <v/>
      </c>
      <c r="P344" s="27"/>
      <c r="Q344" s="33" t="str">
        <f aca="false">IF(OR(P344="",M344&lt;&gt;"Paid",O344=""),"",P344/O344)</f>
        <v/>
      </c>
      <c r="R344" s="34" t="str">
        <f aca="false">IF(Q344="","",Q344+N(H344)*0.000000001)</f>
        <v/>
      </c>
      <c r="S344" s="32" t="str">
        <f aca="false">IF(R344="","",SUMPRODUCT((I$5:I$4004=I344)*ISNUMBER(R$5:R$4004)*(R$5:R$4004&gt;R344))+1)</f>
        <v/>
      </c>
      <c r="T344" s="32" t="str">
        <f aca="false">IF(S344="","",IF(S344&lt;=Setup!$B$5,"🏆 WINNER",""))</f>
        <v/>
      </c>
      <c r="U344" s="31" t="str">
        <f aca="false">IF(S344="","",I344&amp;"|"&amp;S344)</f>
        <v/>
      </c>
    </row>
    <row r="345" customFormat="false" ht="15" hidden="false" customHeight="false" outlineLevel="0" collapsed="false">
      <c r="A345" s="24" t="n">
        <v>341</v>
      </c>
      <c r="B345" s="25" t="str">
        <f aca="false">IF(OR(C345="",I345="",G345=""),"",IFERROR(VLOOKUP(I345,Setup!$A$9:$B$11,2,0),"???")&amp;"-"&amp;G345&amp;"-"&amp;TEXT(COUNTIFS(I$5:I345,I345,G$5:G345,G345),"0000"))</f>
        <v/>
      </c>
      <c r="C345" s="26"/>
      <c r="D345" s="26"/>
      <c r="E345" s="27"/>
      <c r="F345" s="27"/>
      <c r="G345" s="24" t="str">
        <f aca="false">IF(F345="","",IF(F345&lt;=5,"A",IF(F345&lt;=8,"B",IF(F345&lt;=10,"C","D"))))</f>
        <v/>
      </c>
      <c r="H345" s="28"/>
      <c r="I345" s="27"/>
      <c r="J345" s="26"/>
      <c r="K345" s="27"/>
      <c r="L345" s="27"/>
      <c r="M345" s="27"/>
      <c r="N345" s="27"/>
      <c r="O345" s="24" t="str">
        <f aca="false">IF(G345="","",VLOOKUP(G345,Setup!$A$14:$C$17,3,0))</f>
        <v/>
      </c>
      <c r="P345" s="27"/>
      <c r="Q345" s="29" t="str">
        <f aca="false">IF(OR(P345="",M345&lt;&gt;"Paid",O345=""),"",P345/O345)</f>
        <v/>
      </c>
      <c r="R345" s="30" t="str">
        <f aca="false">IF(Q345="","",Q345+N(H345)*0.000000001)</f>
        <v/>
      </c>
      <c r="S345" s="25" t="str">
        <f aca="false">IF(R345="","",SUMPRODUCT((I$5:I$4004=I345)*ISNUMBER(R$5:R$4004)*(R$5:R$4004&gt;R345))+1)</f>
        <v/>
      </c>
      <c r="T345" s="25" t="str">
        <f aca="false">IF(S345="","",IF(S345&lt;=Setup!$B$5,"🏆 WINNER",""))</f>
        <v/>
      </c>
      <c r="U345" s="24" t="str">
        <f aca="false">IF(S345="","",I345&amp;"|"&amp;S345)</f>
        <v/>
      </c>
    </row>
    <row r="346" customFormat="false" ht="15" hidden="false" customHeight="false" outlineLevel="0" collapsed="false">
      <c r="A346" s="31" t="n">
        <v>342</v>
      </c>
      <c r="B346" s="32" t="str">
        <f aca="false">IF(OR(C346="",I346="",G346=""),"",IFERROR(VLOOKUP(I346,Setup!$A$9:$B$11,2,0),"???")&amp;"-"&amp;G346&amp;"-"&amp;TEXT(COUNTIFS(I$5:I346,I346,G$5:G346,G346),"0000"))</f>
        <v/>
      </c>
      <c r="C346" s="26"/>
      <c r="D346" s="26"/>
      <c r="E346" s="27"/>
      <c r="F346" s="27"/>
      <c r="G346" s="31" t="str">
        <f aca="false">IF(F346="","",IF(F346&lt;=5,"A",IF(F346&lt;=8,"B",IF(F346&lt;=10,"C","D"))))</f>
        <v/>
      </c>
      <c r="H346" s="28"/>
      <c r="I346" s="27"/>
      <c r="J346" s="26"/>
      <c r="K346" s="27"/>
      <c r="L346" s="27"/>
      <c r="M346" s="27"/>
      <c r="N346" s="27"/>
      <c r="O346" s="31" t="str">
        <f aca="false">IF(G346="","",VLOOKUP(G346,Setup!$A$14:$C$17,3,0))</f>
        <v/>
      </c>
      <c r="P346" s="27"/>
      <c r="Q346" s="33" t="str">
        <f aca="false">IF(OR(P346="",M346&lt;&gt;"Paid",O346=""),"",P346/O346)</f>
        <v/>
      </c>
      <c r="R346" s="34" t="str">
        <f aca="false">IF(Q346="","",Q346+N(H346)*0.000000001)</f>
        <v/>
      </c>
      <c r="S346" s="32" t="str">
        <f aca="false">IF(R346="","",SUMPRODUCT((I$5:I$4004=I346)*ISNUMBER(R$5:R$4004)*(R$5:R$4004&gt;R346))+1)</f>
        <v/>
      </c>
      <c r="T346" s="32" t="str">
        <f aca="false">IF(S346="","",IF(S346&lt;=Setup!$B$5,"🏆 WINNER",""))</f>
        <v/>
      </c>
      <c r="U346" s="31" t="str">
        <f aca="false">IF(S346="","",I346&amp;"|"&amp;S346)</f>
        <v/>
      </c>
    </row>
    <row r="347" customFormat="false" ht="15" hidden="false" customHeight="false" outlineLevel="0" collapsed="false">
      <c r="A347" s="24" t="n">
        <v>343</v>
      </c>
      <c r="B347" s="25" t="str">
        <f aca="false">IF(OR(C347="",I347="",G347=""),"",IFERROR(VLOOKUP(I347,Setup!$A$9:$B$11,2,0),"???")&amp;"-"&amp;G347&amp;"-"&amp;TEXT(COUNTIFS(I$5:I347,I347,G$5:G347,G347),"0000"))</f>
        <v/>
      </c>
      <c r="C347" s="26"/>
      <c r="D347" s="26"/>
      <c r="E347" s="27"/>
      <c r="F347" s="27"/>
      <c r="G347" s="24" t="str">
        <f aca="false">IF(F347="","",IF(F347&lt;=5,"A",IF(F347&lt;=8,"B",IF(F347&lt;=10,"C","D"))))</f>
        <v/>
      </c>
      <c r="H347" s="28"/>
      <c r="I347" s="27"/>
      <c r="J347" s="26"/>
      <c r="K347" s="27"/>
      <c r="L347" s="27"/>
      <c r="M347" s="27"/>
      <c r="N347" s="27"/>
      <c r="O347" s="24" t="str">
        <f aca="false">IF(G347="","",VLOOKUP(G347,Setup!$A$14:$C$17,3,0))</f>
        <v/>
      </c>
      <c r="P347" s="27"/>
      <c r="Q347" s="29" t="str">
        <f aca="false">IF(OR(P347="",M347&lt;&gt;"Paid",O347=""),"",P347/O347)</f>
        <v/>
      </c>
      <c r="R347" s="30" t="str">
        <f aca="false">IF(Q347="","",Q347+N(H347)*0.000000001)</f>
        <v/>
      </c>
      <c r="S347" s="25" t="str">
        <f aca="false">IF(R347="","",SUMPRODUCT((I$5:I$4004=I347)*ISNUMBER(R$5:R$4004)*(R$5:R$4004&gt;R347))+1)</f>
        <v/>
      </c>
      <c r="T347" s="25" t="str">
        <f aca="false">IF(S347="","",IF(S347&lt;=Setup!$B$5,"🏆 WINNER",""))</f>
        <v/>
      </c>
      <c r="U347" s="24" t="str">
        <f aca="false">IF(S347="","",I347&amp;"|"&amp;S347)</f>
        <v/>
      </c>
    </row>
    <row r="348" customFormat="false" ht="15" hidden="false" customHeight="false" outlineLevel="0" collapsed="false">
      <c r="A348" s="31" t="n">
        <v>344</v>
      </c>
      <c r="B348" s="32" t="str">
        <f aca="false">IF(OR(C348="",I348="",G348=""),"",IFERROR(VLOOKUP(I348,Setup!$A$9:$B$11,2,0),"???")&amp;"-"&amp;G348&amp;"-"&amp;TEXT(COUNTIFS(I$5:I348,I348,G$5:G348,G348),"0000"))</f>
        <v/>
      </c>
      <c r="C348" s="26"/>
      <c r="D348" s="26"/>
      <c r="E348" s="27"/>
      <c r="F348" s="27"/>
      <c r="G348" s="31" t="str">
        <f aca="false">IF(F348="","",IF(F348&lt;=5,"A",IF(F348&lt;=8,"B",IF(F348&lt;=10,"C","D"))))</f>
        <v/>
      </c>
      <c r="H348" s="28"/>
      <c r="I348" s="27"/>
      <c r="J348" s="26"/>
      <c r="K348" s="27"/>
      <c r="L348" s="27"/>
      <c r="M348" s="27"/>
      <c r="N348" s="27"/>
      <c r="O348" s="31" t="str">
        <f aca="false">IF(G348="","",VLOOKUP(G348,Setup!$A$14:$C$17,3,0))</f>
        <v/>
      </c>
      <c r="P348" s="27"/>
      <c r="Q348" s="33" t="str">
        <f aca="false">IF(OR(P348="",M348&lt;&gt;"Paid",O348=""),"",P348/O348)</f>
        <v/>
      </c>
      <c r="R348" s="34" t="str">
        <f aca="false">IF(Q348="","",Q348+N(H348)*0.000000001)</f>
        <v/>
      </c>
      <c r="S348" s="32" t="str">
        <f aca="false">IF(R348="","",SUMPRODUCT((I$5:I$4004=I348)*ISNUMBER(R$5:R$4004)*(R$5:R$4004&gt;R348))+1)</f>
        <v/>
      </c>
      <c r="T348" s="32" t="str">
        <f aca="false">IF(S348="","",IF(S348&lt;=Setup!$B$5,"🏆 WINNER",""))</f>
        <v/>
      </c>
      <c r="U348" s="31" t="str">
        <f aca="false">IF(S348="","",I348&amp;"|"&amp;S348)</f>
        <v/>
      </c>
    </row>
    <row r="349" customFormat="false" ht="15" hidden="false" customHeight="false" outlineLevel="0" collapsed="false">
      <c r="A349" s="24" t="n">
        <v>345</v>
      </c>
      <c r="B349" s="25" t="str">
        <f aca="false">IF(OR(C349="",I349="",G349=""),"",IFERROR(VLOOKUP(I349,Setup!$A$9:$B$11,2,0),"???")&amp;"-"&amp;G349&amp;"-"&amp;TEXT(COUNTIFS(I$5:I349,I349,G$5:G349,G349),"0000"))</f>
        <v/>
      </c>
      <c r="C349" s="26"/>
      <c r="D349" s="26"/>
      <c r="E349" s="27"/>
      <c r="F349" s="27"/>
      <c r="G349" s="24" t="str">
        <f aca="false">IF(F349="","",IF(F349&lt;=5,"A",IF(F349&lt;=8,"B",IF(F349&lt;=10,"C","D"))))</f>
        <v/>
      </c>
      <c r="H349" s="28"/>
      <c r="I349" s="27"/>
      <c r="J349" s="26"/>
      <c r="K349" s="27"/>
      <c r="L349" s="27"/>
      <c r="M349" s="27"/>
      <c r="N349" s="27"/>
      <c r="O349" s="24" t="str">
        <f aca="false">IF(G349="","",VLOOKUP(G349,Setup!$A$14:$C$17,3,0))</f>
        <v/>
      </c>
      <c r="P349" s="27"/>
      <c r="Q349" s="29" t="str">
        <f aca="false">IF(OR(P349="",M349&lt;&gt;"Paid",O349=""),"",P349/O349)</f>
        <v/>
      </c>
      <c r="R349" s="30" t="str">
        <f aca="false">IF(Q349="","",Q349+N(H349)*0.000000001)</f>
        <v/>
      </c>
      <c r="S349" s="25" t="str">
        <f aca="false">IF(R349="","",SUMPRODUCT((I$5:I$4004=I349)*ISNUMBER(R$5:R$4004)*(R$5:R$4004&gt;R349))+1)</f>
        <v/>
      </c>
      <c r="T349" s="25" t="str">
        <f aca="false">IF(S349="","",IF(S349&lt;=Setup!$B$5,"🏆 WINNER",""))</f>
        <v/>
      </c>
      <c r="U349" s="24" t="str">
        <f aca="false">IF(S349="","",I349&amp;"|"&amp;S349)</f>
        <v/>
      </c>
    </row>
    <row r="350" customFormat="false" ht="15" hidden="false" customHeight="false" outlineLevel="0" collapsed="false">
      <c r="A350" s="31" t="n">
        <v>346</v>
      </c>
      <c r="B350" s="32" t="str">
        <f aca="false">IF(OR(C350="",I350="",G350=""),"",IFERROR(VLOOKUP(I350,Setup!$A$9:$B$11,2,0),"???")&amp;"-"&amp;G350&amp;"-"&amp;TEXT(COUNTIFS(I$5:I350,I350,G$5:G350,G350),"0000"))</f>
        <v/>
      </c>
      <c r="C350" s="26"/>
      <c r="D350" s="26"/>
      <c r="E350" s="27"/>
      <c r="F350" s="27"/>
      <c r="G350" s="31" t="str">
        <f aca="false">IF(F350="","",IF(F350&lt;=5,"A",IF(F350&lt;=8,"B",IF(F350&lt;=10,"C","D"))))</f>
        <v/>
      </c>
      <c r="H350" s="28"/>
      <c r="I350" s="27"/>
      <c r="J350" s="26"/>
      <c r="K350" s="27"/>
      <c r="L350" s="27"/>
      <c r="M350" s="27"/>
      <c r="N350" s="27"/>
      <c r="O350" s="31" t="str">
        <f aca="false">IF(G350="","",VLOOKUP(G350,Setup!$A$14:$C$17,3,0))</f>
        <v/>
      </c>
      <c r="P350" s="27"/>
      <c r="Q350" s="33" t="str">
        <f aca="false">IF(OR(P350="",M350&lt;&gt;"Paid",O350=""),"",P350/O350)</f>
        <v/>
      </c>
      <c r="R350" s="34" t="str">
        <f aca="false">IF(Q350="","",Q350+N(H350)*0.000000001)</f>
        <v/>
      </c>
      <c r="S350" s="32" t="str">
        <f aca="false">IF(R350="","",SUMPRODUCT((I$5:I$4004=I350)*ISNUMBER(R$5:R$4004)*(R$5:R$4004&gt;R350))+1)</f>
        <v/>
      </c>
      <c r="T350" s="32" t="str">
        <f aca="false">IF(S350="","",IF(S350&lt;=Setup!$B$5,"🏆 WINNER",""))</f>
        <v/>
      </c>
      <c r="U350" s="31" t="str">
        <f aca="false">IF(S350="","",I350&amp;"|"&amp;S350)</f>
        <v/>
      </c>
    </row>
    <row r="351" customFormat="false" ht="15" hidden="false" customHeight="false" outlineLevel="0" collapsed="false">
      <c r="A351" s="24" t="n">
        <v>347</v>
      </c>
      <c r="B351" s="25" t="str">
        <f aca="false">IF(OR(C351="",I351="",G351=""),"",IFERROR(VLOOKUP(I351,Setup!$A$9:$B$11,2,0),"???")&amp;"-"&amp;G351&amp;"-"&amp;TEXT(COUNTIFS(I$5:I351,I351,G$5:G351,G351),"0000"))</f>
        <v/>
      </c>
      <c r="C351" s="26"/>
      <c r="D351" s="26"/>
      <c r="E351" s="27"/>
      <c r="F351" s="27"/>
      <c r="G351" s="24" t="str">
        <f aca="false">IF(F351="","",IF(F351&lt;=5,"A",IF(F351&lt;=8,"B",IF(F351&lt;=10,"C","D"))))</f>
        <v/>
      </c>
      <c r="H351" s="28"/>
      <c r="I351" s="27"/>
      <c r="J351" s="26"/>
      <c r="K351" s="27"/>
      <c r="L351" s="27"/>
      <c r="M351" s="27"/>
      <c r="N351" s="27"/>
      <c r="O351" s="24" t="str">
        <f aca="false">IF(G351="","",VLOOKUP(G351,Setup!$A$14:$C$17,3,0))</f>
        <v/>
      </c>
      <c r="P351" s="27"/>
      <c r="Q351" s="29" t="str">
        <f aca="false">IF(OR(P351="",M351&lt;&gt;"Paid",O351=""),"",P351/O351)</f>
        <v/>
      </c>
      <c r="R351" s="30" t="str">
        <f aca="false">IF(Q351="","",Q351+N(H351)*0.000000001)</f>
        <v/>
      </c>
      <c r="S351" s="25" t="str">
        <f aca="false">IF(R351="","",SUMPRODUCT((I$5:I$4004=I351)*ISNUMBER(R$5:R$4004)*(R$5:R$4004&gt;R351))+1)</f>
        <v/>
      </c>
      <c r="T351" s="25" t="str">
        <f aca="false">IF(S351="","",IF(S351&lt;=Setup!$B$5,"🏆 WINNER",""))</f>
        <v/>
      </c>
      <c r="U351" s="24" t="str">
        <f aca="false">IF(S351="","",I351&amp;"|"&amp;S351)</f>
        <v/>
      </c>
    </row>
    <row r="352" customFormat="false" ht="15" hidden="false" customHeight="false" outlineLevel="0" collapsed="false">
      <c r="A352" s="31" t="n">
        <v>348</v>
      </c>
      <c r="B352" s="32" t="str">
        <f aca="false">IF(OR(C352="",I352="",G352=""),"",IFERROR(VLOOKUP(I352,Setup!$A$9:$B$11,2,0),"???")&amp;"-"&amp;G352&amp;"-"&amp;TEXT(COUNTIFS(I$5:I352,I352,G$5:G352,G352),"0000"))</f>
        <v/>
      </c>
      <c r="C352" s="26"/>
      <c r="D352" s="26"/>
      <c r="E352" s="27"/>
      <c r="F352" s="27"/>
      <c r="G352" s="31" t="str">
        <f aca="false">IF(F352="","",IF(F352&lt;=5,"A",IF(F352&lt;=8,"B",IF(F352&lt;=10,"C","D"))))</f>
        <v/>
      </c>
      <c r="H352" s="28"/>
      <c r="I352" s="27"/>
      <c r="J352" s="26"/>
      <c r="K352" s="27"/>
      <c r="L352" s="27"/>
      <c r="M352" s="27"/>
      <c r="N352" s="27"/>
      <c r="O352" s="31" t="str">
        <f aca="false">IF(G352="","",VLOOKUP(G352,Setup!$A$14:$C$17,3,0))</f>
        <v/>
      </c>
      <c r="P352" s="27"/>
      <c r="Q352" s="33" t="str">
        <f aca="false">IF(OR(P352="",M352&lt;&gt;"Paid",O352=""),"",P352/O352)</f>
        <v/>
      </c>
      <c r="R352" s="34" t="str">
        <f aca="false">IF(Q352="","",Q352+N(H352)*0.000000001)</f>
        <v/>
      </c>
      <c r="S352" s="32" t="str">
        <f aca="false">IF(R352="","",SUMPRODUCT((I$5:I$4004=I352)*ISNUMBER(R$5:R$4004)*(R$5:R$4004&gt;R352))+1)</f>
        <v/>
      </c>
      <c r="T352" s="32" t="str">
        <f aca="false">IF(S352="","",IF(S352&lt;=Setup!$B$5,"🏆 WINNER",""))</f>
        <v/>
      </c>
      <c r="U352" s="31" t="str">
        <f aca="false">IF(S352="","",I352&amp;"|"&amp;S352)</f>
        <v/>
      </c>
    </row>
    <row r="353" customFormat="false" ht="15" hidden="false" customHeight="false" outlineLevel="0" collapsed="false">
      <c r="A353" s="24" t="n">
        <v>349</v>
      </c>
      <c r="B353" s="25" t="str">
        <f aca="false">IF(OR(C353="",I353="",G353=""),"",IFERROR(VLOOKUP(I353,Setup!$A$9:$B$11,2,0),"???")&amp;"-"&amp;G353&amp;"-"&amp;TEXT(COUNTIFS(I$5:I353,I353,G$5:G353,G353),"0000"))</f>
        <v/>
      </c>
      <c r="C353" s="26"/>
      <c r="D353" s="26"/>
      <c r="E353" s="27"/>
      <c r="F353" s="27"/>
      <c r="G353" s="24" t="str">
        <f aca="false">IF(F353="","",IF(F353&lt;=5,"A",IF(F353&lt;=8,"B",IF(F353&lt;=10,"C","D"))))</f>
        <v/>
      </c>
      <c r="H353" s="28"/>
      <c r="I353" s="27"/>
      <c r="J353" s="26"/>
      <c r="K353" s="27"/>
      <c r="L353" s="27"/>
      <c r="M353" s="27"/>
      <c r="N353" s="27"/>
      <c r="O353" s="24" t="str">
        <f aca="false">IF(G353="","",VLOOKUP(G353,Setup!$A$14:$C$17,3,0))</f>
        <v/>
      </c>
      <c r="P353" s="27"/>
      <c r="Q353" s="29" t="str">
        <f aca="false">IF(OR(P353="",M353&lt;&gt;"Paid",O353=""),"",P353/O353)</f>
        <v/>
      </c>
      <c r="R353" s="30" t="str">
        <f aca="false">IF(Q353="","",Q353+N(H353)*0.000000001)</f>
        <v/>
      </c>
      <c r="S353" s="25" t="str">
        <f aca="false">IF(R353="","",SUMPRODUCT((I$5:I$4004=I353)*ISNUMBER(R$5:R$4004)*(R$5:R$4004&gt;R353))+1)</f>
        <v/>
      </c>
      <c r="T353" s="25" t="str">
        <f aca="false">IF(S353="","",IF(S353&lt;=Setup!$B$5,"🏆 WINNER",""))</f>
        <v/>
      </c>
      <c r="U353" s="24" t="str">
        <f aca="false">IF(S353="","",I353&amp;"|"&amp;S353)</f>
        <v/>
      </c>
    </row>
    <row r="354" customFormat="false" ht="15" hidden="false" customHeight="false" outlineLevel="0" collapsed="false">
      <c r="A354" s="31" t="n">
        <v>350</v>
      </c>
      <c r="B354" s="32" t="str">
        <f aca="false">IF(OR(C354="",I354="",G354=""),"",IFERROR(VLOOKUP(I354,Setup!$A$9:$B$11,2,0),"???")&amp;"-"&amp;G354&amp;"-"&amp;TEXT(COUNTIFS(I$5:I354,I354,G$5:G354,G354),"0000"))</f>
        <v/>
      </c>
      <c r="C354" s="26"/>
      <c r="D354" s="26"/>
      <c r="E354" s="27"/>
      <c r="F354" s="27"/>
      <c r="G354" s="31" t="str">
        <f aca="false">IF(F354="","",IF(F354&lt;=5,"A",IF(F354&lt;=8,"B",IF(F354&lt;=10,"C","D"))))</f>
        <v/>
      </c>
      <c r="H354" s="28"/>
      <c r="I354" s="27"/>
      <c r="J354" s="26"/>
      <c r="K354" s="27"/>
      <c r="L354" s="27"/>
      <c r="M354" s="27"/>
      <c r="N354" s="27"/>
      <c r="O354" s="31" t="str">
        <f aca="false">IF(G354="","",VLOOKUP(G354,Setup!$A$14:$C$17,3,0))</f>
        <v/>
      </c>
      <c r="P354" s="27"/>
      <c r="Q354" s="33" t="str">
        <f aca="false">IF(OR(P354="",M354&lt;&gt;"Paid",O354=""),"",P354/O354)</f>
        <v/>
      </c>
      <c r="R354" s="34" t="str">
        <f aca="false">IF(Q354="","",Q354+N(H354)*0.000000001)</f>
        <v/>
      </c>
      <c r="S354" s="32" t="str">
        <f aca="false">IF(R354="","",SUMPRODUCT((I$5:I$4004=I354)*ISNUMBER(R$5:R$4004)*(R$5:R$4004&gt;R354))+1)</f>
        <v/>
      </c>
      <c r="T354" s="32" t="str">
        <f aca="false">IF(S354="","",IF(S354&lt;=Setup!$B$5,"🏆 WINNER",""))</f>
        <v/>
      </c>
      <c r="U354" s="31" t="str">
        <f aca="false">IF(S354="","",I354&amp;"|"&amp;S354)</f>
        <v/>
      </c>
    </row>
    <row r="355" customFormat="false" ht="15" hidden="false" customHeight="false" outlineLevel="0" collapsed="false">
      <c r="A355" s="24" t="n">
        <v>351</v>
      </c>
      <c r="B355" s="25" t="str">
        <f aca="false">IF(OR(C355="",I355="",G355=""),"",IFERROR(VLOOKUP(I355,Setup!$A$9:$B$11,2,0),"???")&amp;"-"&amp;G355&amp;"-"&amp;TEXT(COUNTIFS(I$5:I355,I355,G$5:G355,G355),"0000"))</f>
        <v/>
      </c>
      <c r="C355" s="26"/>
      <c r="D355" s="26"/>
      <c r="E355" s="27"/>
      <c r="F355" s="27"/>
      <c r="G355" s="24" t="str">
        <f aca="false">IF(F355="","",IF(F355&lt;=5,"A",IF(F355&lt;=8,"B",IF(F355&lt;=10,"C","D"))))</f>
        <v/>
      </c>
      <c r="H355" s="28"/>
      <c r="I355" s="27"/>
      <c r="J355" s="26"/>
      <c r="K355" s="27"/>
      <c r="L355" s="27"/>
      <c r="M355" s="27"/>
      <c r="N355" s="27"/>
      <c r="O355" s="24" t="str">
        <f aca="false">IF(G355="","",VLOOKUP(G355,Setup!$A$14:$C$17,3,0))</f>
        <v/>
      </c>
      <c r="P355" s="27"/>
      <c r="Q355" s="29" t="str">
        <f aca="false">IF(OR(P355="",M355&lt;&gt;"Paid",O355=""),"",P355/O355)</f>
        <v/>
      </c>
      <c r="R355" s="30" t="str">
        <f aca="false">IF(Q355="","",Q355+N(H355)*0.000000001)</f>
        <v/>
      </c>
      <c r="S355" s="25" t="str">
        <f aca="false">IF(R355="","",SUMPRODUCT((I$5:I$4004=I355)*ISNUMBER(R$5:R$4004)*(R$5:R$4004&gt;R355))+1)</f>
        <v/>
      </c>
      <c r="T355" s="25" t="str">
        <f aca="false">IF(S355="","",IF(S355&lt;=Setup!$B$5,"🏆 WINNER",""))</f>
        <v/>
      </c>
      <c r="U355" s="24" t="str">
        <f aca="false">IF(S355="","",I355&amp;"|"&amp;S355)</f>
        <v/>
      </c>
    </row>
    <row r="356" customFormat="false" ht="15" hidden="false" customHeight="false" outlineLevel="0" collapsed="false">
      <c r="A356" s="31" t="n">
        <v>352</v>
      </c>
      <c r="B356" s="32" t="str">
        <f aca="false">IF(OR(C356="",I356="",G356=""),"",IFERROR(VLOOKUP(I356,Setup!$A$9:$B$11,2,0),"???")&amp;"-"&amp;G356&amp;"-"&amp;TEXT(COUNTIFS(I$5:I356,I356,G$5:G356,G356),"0000"))</f>
        <v/>
      </c>
      <c r="C356" s="26"/>
      <c r="D356" s="26"/>
      <c r="E356" s="27"/>
      <c r="F356" s="27"/>
      <c r="G356" s="31" t="str">
        <f aca="false">IF(F356="","",IF(F356&lt;=5,"A",IF(F356&lt;=8,"B",IF(F356&lt;=10,"C","D"))))</f>
        <v/>
      </c>
      <c r="H356" s="28"/>
      <c r="I356" s="27"/>
      <c r="J356" s="26"/>
      <c r="K356" s="27"/>
      <c r="L356" s="27"/>
      <c r="M356" s="27"/>
      <c r="N356" s="27"/>
      <c r="O356" s="31" t="str">
        <f aca="false">IF(G356="","",VLOOKUP(G356,Setup!$A$14:$C$17,3,0))</f>
        <v/>
      </c>
      <c r="P356" s="27"/>
      <c r="Q356" s="33" t="str">
        <f aca="false">IF(OR(P356="",M356&lt;&gt;"Paid",O356=""),"",P356/O356)</f>
        <v/>
      </c>
      <c r="R356" s="34" t="str">
        <f aca="false">IF(Q356="","",Q356+N(H356)*0.000000001)</f>
        <v/>
      </c>
      <c r="S356" s="32" t="str">
        <f aca="false">IF(R356="","",SUMPRODUCT((I$5:I$4004=I356)*ISNUMBER(R$5:R$4004)*(R$5:R$4004&gt;R356))+1)</f>
        <v/>
      </c>
      <c r="T356" s="32" t="str">
        <f aca="false">IF(S356="","",IF(S356&lt;=Setup!$B$5,"🏆 WINNER",""))</f>
        <v/>
      </c>
      <c r="U356" s="31" t="str">
        <f aca="false">IF(S356="","",I356&amp;"|"&amp;S356)</f>
        <v/>
      </c>
    </row>
    <row r="357" customFormat="false" ht="15" hidden="false" customHeight="false" outlineLevel="0" collapsed="false">
      <c r="A357" s="24" t="n">
        <v>353</v>
      </c>
      <c r="B357" s="25" t="str">
        <f aca="false">IF(OR(C357="",I357="",G357=""),"",IFERROR(VLOOKUP(I357,Setup!$A$9:$B$11,2,0),"???")&amp;"-"&amp;G357&amp;"-"&amp;TEXT(COUNTIFS(I$5:I357,I357,G$5:G357,G357),"0000"))</f>
        <v/>
      </c>
      <c r="C357" s="26"/>
      <c r="D357" s="26"/>
      <c r="E357" s="27"/>
      <c r="F357" s="27"/>
      <c r="G357" s="24" t="str">
        <f aca="false">IF(F357="","",IF(F357&lt;=5,"A",IF(F357&lt;=8,"B",IF(F357&lt;=10,"C","D"))))</f>
        <v/>
      </c>
      <c r="H357" s="28"/>
      <c r="I357" s="27"/>
      <c r="J357" s="26"/>
      <c r="K357" s="27"/>
      <c r="L357" s="27"/>
      <c r="M357" s="27"/>
      <c r="N357" s="27"/>
      <c r="O357" s="24" t="str">
        <f aca="false">IF(G357="","",VLOOKUP(G357,Setup!$A$14:$C$17,3,0))</f>
        <v/>
      </c>
      <c r="P357" s="27"/>
      <c r="Q357" s="29" t="str">
        <f aca="false">IF(OR(P357="",M357&lt;&gt;"Paid",O357=""),"",P357/O357)</f>
        <v/>
      </c>
      <c r="R357" s="30" t="str">
        <f aca="false">IF(Q357="","",Q357+N(H357)*0.000000001)</f>
        <v/>
      </c>
      <c r="S357" s="25" t="str">
        <f aca="false">IF(R357="","",SUMPRODUCT((I$5:I$4004=I357)*ISNUMBER(R$5:R$4004)*(R$5:R$4004&gt;R357))+1)</f>
        <v/>
      </c>
      <c r="T357" s="25" t="str">
        <f aca="false">IF(S357="","",IF(S357&lt;=Setup!$B$5,"🏆 WINNER",""))</f>
        <v/>
      </c>
      <c r="U357" s="24" t="str">
        <f aca="false">IF(S357="","",I357&amp;"|"&amp;S357)</f>
        <v/>
      </c>
    </row>
    <row r="358" customFormat="false" ht="15" hidden="false" customHeight="false" outlineLevel="0" collapsed="false">
      <c r="A358" s="31" t="n">
        <v>354</v>
      </c>
      <c r="B358" s="32" t="str">
        <f aca="false">IF(OR(C358="",I358="",G358=""),"",IFERROR(VLOOKUP(I358,Setup!$A$9:$B$11,2,0),"???")&amp;"-"&amp;G358&amp;"-"&amp;TEXT(COUNTIFS(I$5:I358,I358,G$5:G358,G358),"0000"))</f>
        <v/>
      </c>
      <c r="C358" s="26"/>
      <c r="D358" s="26"/>
      <c r="E358" s="27"/>
      <c r="F358" s="27"/>
      <c r="G358" s="31" t="str">
        <f aca="false">IF(F358="","",IF(F358&lt;=5,"A",IF(F358&lt;=8,"B",IF(F358&lt;=10,"C","D"))))</f>
        <v/>
      </c>
      <c r="H358" s="28"/>
      <c r="I358" s="27"/>
      <c r="J358" s="26"/>
      <c r="K358" s="27"/>
      <c r="L358" s="27"/>
      <c r="M358" s="27"/>
      <c r="N358" s="27"/>
      <c r="O358" s="31" t="str">
        <f aca="false">IF(G358="","",VLOOKUP(G358,Setup!$A$14:$C$17,3,0))</f>
        <v/>
      </c>
      <c r="P358" s="27"/>
      <c r="Q358" s="33" t="str">
        <f aca="false">IF(OR(P358="",M358&lt;&gt;"Paid",O358=""),"",P358/O358)</f>
        <v/>
      </c>
      <c r="R358" s="34" t="str">
        <f aca="false">IF(Q358="","",Q358+N(H358)*0.000000001)</f>
        <v/>
      </c>
      <c r="S358" s="32" t="str">
        <f aca="false">IF(R358="","",SUMPRODUCT((I$5:I$4004=I358)*ISNUMBER(R$5:R$4004)*(R$5:R$4004&gt;R358))+1)</f>
        <v/>
      </c>
      <c r="T358" s="32" t="str">
        <f aca="false">IF(S358="","",IF(S358&lt;=Setup!$B$5,"🏆 WINNER",""))</f>
        <v/>
      </c>
      <c r="U358" s="31" t="str">
        <f aca="false">IF(S358="","",I358&amp;"|"&amp;S358)</f>
        <v/>
      </c>
    </row>
    <row r="359" customFormat="false" ht="15" hidden="false" customHeight="false" outlineLevel="0" collapsed="false">
      <c r="A359" s="24" t="n">
        <v>355</v>
      </c>
      <c r="B359" s="25" t="str">
        <f aca="false">IF(OR(C359="",I359="",G359=""),"",IFERROR(VLOOKUP(I359,Setup!$A$9:$B$11,2,0),"???")&amp;"-"&amp;G359&amp;"-"&amp;TEXT(COUNTIFS(I$5:I359,I359,G$5:G359,G359),"0000"))</f>
        <v/>
      </c>
      <c r="C359" s="26"/>
      <c r="D359" s="26"/>
      <c r="E359" s="27"/>
      <c r="F359" s="27"/>
      <c r="G359" s="24" t="str">
        <f aca="false">IF(F359="","",IF(F359&lt;=5,"A",IF(F359&lt;=8,"B",IF(F359&lt;=10,"C","D"))))</f>
        <v/>
      </c>
      <c r="H359" s="28"/>
      <c r="I359" s="27"/>
      <c r="J359" s="26"/>
      <c r="K359" s="27"/>
      <c r="L359" s="27"/>
      <c r="M359" s="27"/>
      <c r="N359" s="27"/>
      <c r="O359" s="24" t="str">
        <f aca="false">IF(G359="","",VLOOKUP(G359,Setup!$A$14:$C$17,3,0))</f>
        <v/>
      </c>
      <c r="P359" s="27"/>
      <c r="Q359" s="29" t="str">
        <f aca="false">IF(OR(P359="",M359&lt;&gt;"Paid",O359=""),"",P359/O359)</f>
        <v/>
      </c>
      <c r="R359" s="30" t="str">
        <f aca="false">IF(Q359="","",Q359+N(H359)*0.000000001)</f>
        <v/>
      </c>
      <c r="S359" s="25" t="str">
        <f aca="false">IF(R359="","",SUMPRODUCT((I$5:I$4004=I359)*ISNUMBER(R$5:R$4004)*(R$5:R$4004&gt;R359))+1)</f>
        <v/>
      </c>
      <c r="T359" s="25" t="str">
        <f aca="false">IF(S359="","",IF(S359&lt;=Setup!$B$5,"🏆 WINNER",""))</f>
        <v/>
      </c>
      <c r="U359" s="24" t="str">
        <f aca="false">IF(S359="","",I359&amp;"|"&amp;S359)</f>
        <v/>
      </c>
    </row>
    <row r="360" customFormat="false" ht="15" hidden="false" customHeight="false" outlineLevel="0" collapsed="false">
      <c r="A360" s="31" t="n">
        <v>356</v>
      </c>
      <c r="B360" s="32" t="str">
        <f aca="false">IF(OR(C360="",I360="",G360=""),"",IFERROR(VLOOKUP(I360,Setup!$A$9:$B$11,2,0),"???")&amp;"-"&amp;G360&amp;"-"&amp;TEXT(COUNTIFS(I$5:I360,I360,G$5:G360,G360),"0000"))</f>
        <v/>
      </c>
      <c r="C360" s="26"/>
      <c r="D360" s="26"/>
      <c r="E360" s="27"/>
      <c r="F360" s="27"/>
      <c r="G360" s="31" t="str">
        <f aca="false">IF(F360="","",IF(F360&lt;=5,"A",IF(F360&lt;=8,"B",IF(F360&lt;=10,"C","D"))))</f>
        <v/>
      </c>
      <c r="H360" s="28"/>
      <c r="I360" s="27"/>
      <c r="J360" s="26"/>
      <c r="K360" s="27"/>
      <c r="L360" s="27"/>
      <c r="M360" s="27"/>
      <c r="N360" s="27"/>
      <c r="O360" s="31" t="str">
        <f aca="false">IF(G360="","",VLOOKUP(G360,Setup!$A$14:$C$17,3,0))</f>
        <v/>
      </c>
      <c r="P360" s="27"/>
      <c r="Q360" s="33" t="str">
        <f aca="false">IF(OR(P360="",M360&lt;&gt;"Paid",O360=""),"",P360/O360)</f>
        <v/>
      </c>
      <c r="R360" s="34" t="str">
        <f aca="false">IF(Q360="","",Q360+N(H360)*0.000000001)</f>
        <v/>
      </c>
      <c r="S360" s="32" t="str">
        <f aca="false">IF(R360="","",SUMPRODUCT((I$5:I$4004=I360)*ISNUMBER(R$5:R$4004)*(R$5:R$4004&gt;R360))+1)</f>
        <v/>
      </c>
      <c r="T360" s="32" t="str">
        <f aca="false">IF(S360="","",IF(S360&lt;=Setup!$B$5,"🏆 WINNER",""))</f>
        <v/>
      </c>
      <c r="U360" s="31" t="str">
        <f aca="false">IF(S360="","",I360&amp;"|"&amp;S360)</f>
        <v/>
      </c>
    </row>
    <row r="361" customFormat="false" ht="15" hidden="false" customHeight="false" outlineLevel="0" collapsed="false">
      <c r="A361" s="24" t="n">
        <v>357</v>
      </c>
      <c r="B361" s="25" t="str">
        <f aca="false">IF(OR(C361="",I361="",G361=""),"",IFERROR(VLOOKUP(I361,Setup!$A$9:$B$11,2,0),"???")&amp;"-"&amp;G361&amp;"-"&amp;TEXT(COUNTIFS(I$5:I361,I361,G$5:G361,G361),"0000"))</f>
        <v/>
      </c>
      <c r="C361" s="26"/>
      <c r="D361" s="26"/>
      <c r="E361" s="27"/>
      <c r="F361" s="27"/>
      <c r="G361" s="24" t="str">
        <f aca="false">IF(F361="","",IF(F361&lt;=5,"A",IF(F361&lt;=8,"B",IF(F361&lt;=10,"C","D"))))</f>
        <v/>
      </c>
      <c r="H361" s="28"/>
      <c r="I361" s="27"/>
      <c r="J361" s="26"/>
      <c r="K361" s="27"/>
      <c r="L361" s="27"/>
      <c r="M361" s="27"/>
      <c r="N361" s="27"/>
      <c r="O361" s="24" t="str">
        <f aca="false">IF(G361="","",VLOOKUP(G361,Setup!$A$14:$C$17,3,0))</f>
        <v/>
      </c>
      <c r="P361" s="27"/>
      <c r="Q361" s="29" t="str">
        <f aca="false">IF(OR(P361="",M361&lt;&gt;"Paid",O361=""),"",P361/O361)</f>
        <v/>
      </c>
      <c r="R361" s="30" t="str">
        <f aca="false">IF(Q361="","",Q361+N(H361)*0.000000001)</f>
        <v/>
      </c>
      <c r="S361" s="25" t="str">
        <f aca="false">IF(R361="","",SUMPRODUCT((I$5:I$4004=I361)*ISNUMBER(R$5:R$4004)*(R$5:R$4004&gt;R361))+1)</f>
        <v/>
      </c>
      <c r="T361" s="25" t="str">
        <f aca="false">IF(S361="","",IF(S361&lt;=Setup!$B$5,"🏆 WINNER",""))</f>
        <v/>
      </c>
      <c r="U361" s="24" t="str">
        <f aca="false">IF(S361="","",I361&amp;"|"&amp;S361)</f>
        <v/>
      </c>
    </row>
    <row r="362" customFormat="false" ht="15" hidden="false" customHeight="false" outlineLevel="0" collapsed="false">
      <c r="A362" s="31" t="n">
        <v>358</v>
      </c>
      <c r="B362" s="32" t="str">
        <f aca="false">IF(OR(C362="",I362="",G362=""),"",IFERROR(VLOOKUP(I362,Setup!$A$9:$B$11,2,0),"???")&amp;"-"&amp;G362&amp;"-"&amp;TEXT(COUNTIFS(I$5:I362,I362,G$5:G362,G362),"0000"))</f>
        <v/>
      </c>
      <c r="C362" s="26"/>
      <c r="D362" s="26"/>
      <c r="E362" s="27"/>
      <c r="F362" s="27"/>
      <c r="G362" s="31" t="str">
        <f aca="false">IF(F362="","",IF(F362&lt;=5,"A",IF(F362&lt;=8,"B",IF(F362&lt;=10,"C","D"))))</f>
        <v/>
      </c>
      <c r="H362" s="28"/>
      <c r="I362" s="27"/>
      <c r="J362" s="26"/>
      <c r="K362" s="27"/>
      <c r="L362" s="27"/>
      <c r="M362" s="27"/>
      <c r="N362" s="27"/>
      <c r="O362" s="31" t="str">
        <f aca="false">IF(G362="","",VLOOKUP(G362,Setup!$A$14:$C$17,3,0))</f>
        <v/>
      </c>
      <c r="P362" s="27"/>
      <c r="Q362" s="33" t="str">
        <f aca="false">IF(OR(P362="",M362&lt;&gt;"Paid",O362=""),"",P362/O362)</f>
        <v/>
      </c>
      <c r="R362" s="34" t="str">
        <f aca="false">IF(Q362="","",Q362+N(H362)*0.000000001)</f>
        <v/>
      </c>
      <c r="S362" s="32" t="str">
        <f aca="false">IF(R362="","",SUMPRODUCT((I$5:I$4004=I362)*ISNUMBER(R$5:R$4004)*(R$5:R$4004&gt;R362))+1)</f>
        <v/>
      </c>
      <c r="T362" s="32" t="str">
        <f aca="false">IF(S362="","",IF(S362&lt;=Setup!$B$5,"🏆 WINNER",""))</f>
        <v/>
      </c>
      <c r="U362" s="31" t="str">
        <f aca="false">IF(S362="","",I362&amp;"|"&amp;S362)</f>
        <v/>
      </c>
    </row>
    <row r="363" customFormat="false" ht="15" hidden="false" customHeight="false" outlineLevel="0" collapsed="false">
      <c r="A363" s="24" t="n">
        <v>359</v>
      </c>
      <c r="B363" s="25" t="str">
        <f aca="false">IF(OR(C363="",I363="",G363=""),"",IFERROR(VLOOKUP(I363,Setup!$A$9:$B$11,2,0),"???")&amp;"-"&amp;G363&amp;"-"&amp;TEXT(COUNTIFS(I$5:I363,I363,G$5:G363,G363),"0000"))</f>
        <v/>
      </c>
      <c r="C363" s="26"/>
      <c r="D363" s="26"/>
      <c r="E363" s="27"/>
      <c r="F363" s="27"/>
      <c r="G363" s="24" t="str">
        <f aca="false">IF(F363="","",IF(F363&lt;=5,"A",IF(F363&lt;=8,"B",IF(F363&lt;=10,"C","D"))))</f>
        <v/>
      </c>
      <c r="H363" s="28"/>
      <c r="I363" s="27"/>
      <c r="J363" s="26"/>
      <c r="K363" s="27"/>
      <c r="L363" s="27"/>
      <c r="M363" s="27"/>
      <c r="N363" s="27"/>
      <c r="O363" s="24" t="str">
        <f aca="false">IF(G363="","",VLOOKUP(G363,Setup!$A$14:$C$17,3,0))</f>
        <v/>
      </c>
      <c r="P363" s="27"/>
      <c r="Q363" s="29" t="str">
        <f aca="false">IF(OR(P363="",M363&lt;&gt;"Paid",O363=""),"",P363/O363)</f>
        <v/>
      </c>
      <c r="R363" s="30" t="str">
        <f aca="false">IF(Q363="","",Q363+N(H363)*0.000000001)</f>
        <v/>
      </c>
      <c r="S363" s="25" t="str">
        <f aca="false">IF(R363="","",SUMPRODUCT((I$5:I$4004=I363)*ISNUMBER(R$5:R$4004)*(R$5:R$4004&gt;R363))+1)</f>
        <v/>
      </c>
      <c r="T363" s="25" t="str">
        <f aca="false">IF(S363="","",IF(S363&lt;=Setup!$B$5,"🏆 WINNER",""))</f>
        <v/>
      </c>
      <c r="U363" s="24" t="str">
        <f aca="false">IF(S363="","",I363&amp;"|"&amp;S363)</f>
        <v/>
      </c>
    </row>
    <row r="364" customFormat="false" ht="15" hidden="false" customHeight="false" outlineLevel="0" collapsed="false">
      <c r="A364" s="31" t="n">
        <v>360</v>
      </c>
      <c r="B364" s="32" t="str">
        <f aca="false">IF(OR(C364="",I364="",G364=""),"",IFERROR(VLOOKUP(I364,Setup!$A$9:$B$11,2,0),"???")&amp;"-"&amp;G364&amp;"-"&amp;TEXT(COUNTIFS(I$5:I364,I364,G$5:G364,G364),"0000"))</f>
        <v/>
      </c>
      <c r="C364" s="26"/>
      <c r="D364" s="26"/>
      <c r="E364" s="27"/>
      <c r="F364" s="27"/>
      <c r="G364" s="31" t="str">
        <f aca="false">IF(F364="","",IF(F364&lt;=5,"A",IF(F364&lt;=8,"B",IF(F364&lt;=10,"C","D"))))</f>
        <v/>
      </c>
      <c r="H364" s="28"/>
      <c r="I364" s="27"/>
      <c r="J364" s="26"/>
      <c r="K364" s="27"/>
      <c r="L364" s="27"/>
      <c r="M364" s="27"/>
      <c r="N364" s="27"/>
      <c r="O364" s="31" t="str">
        <f aca="false">IF(G364="","",VLOOKUP(G364,Setup!$A$14:$C$17,3,0))</f>
        <v/>
      </c>
      <c r="P364" s="27"/>
      <c r="Q364" s="33" t="str">
        <f aca="false">IF(OR(P364="",M364&lt;&gt;"Paid",O364=""),"",P364/O364)</f>
        <v/>
      </c>
      <c r="R364" s="34" t="str">
        <f aca="false">IF(Q364="","",Q364+N(H364)*0.000000001)</f>
        <v/>
      </c>
      <c r="S364" s="32" t="str">
        <f aca="false">IF(R364="","",SUMPRODUCT((I$5:I$4004=I364)*ISNUMBER(R$5:R$4004)*(R$5:R$4004&gt;R364))+1)</f>
        <v/>
      </c>
      <c r="T364" s="32" t="str">
        <f aca="false">IF(S364="","",IF(S364&lt;=Setup!$B$5,"🏆 WINNER",""))</f>
        <v/>
      </c>
      <c r="U364" s="31" t="str">
        <f aca="false">IF(S364="","",I364&amp;"|"&amp;S364)</f>
        <v/>
      </c>
    </row>
    <row r="365" customFormat="false" ht="15" hidden="false" customHeight="false" outlineLevel="0" collapsed="false">
      <c r="A365" s="24" t="n">
        <v>361</v>
      </c>
      <c r="B365" s="25" t="str">
        <f aca="false">IF(OR(C365="",I365="",G365=""),"",IFERROR(VLOOKUP(I365,Setup!$A$9:$B$11,2,0),"???")&amp;"-"&amp;G365&amp;"-"&amp;TEXT(COUNTIFS(I$5:I365,I365,G$5:G365,G365),"0000"))</f>
        <v/>
      </c>
      <c r="C365" s="26"/>
      <c r="D365" s="26"/>
      <c r="E365" s="27"/>
      <c r="F365" s="27"/>
      <c r="G365" s="24" t="str">
        <f aca="false">IF(F365="","",IF(F365&lt;=5,"A",IF(F365&lt;=8,"B",IF(F365&lt;=10,"C","D"))))</f>
        <v/>
      </c>
      <c r="H365" s="28"/>
      <c r="I365" s="27"/>
      <c r="J365" s="26"/>
      <c r="K365" s="27"/>
      <c r="L365" s="27"/>
      <c r="M365" s="27"/>
      <c r="N365" s="27"/>
      <c r="O365" s="24" t="str">
        <f aca="false">IF(G365="","",VLOOKUP(G365,Setup!$A$14:$C$17,3,0))</f>
        <v/>
      </c>
      <c r="P365" s="27"/>
      <c r="Q365" s="29" t="str">
        <f aca="false">IF(OR(P365="",M365&lt;&gt;"Paid",O365=""),"",P365/O365)</f>
        <v/>
      </c>
      <c r="R365" s="30" t="str">
        <f aca="false">IF(Q365="","",Q365+N(H365)*0.000000001)</f>
        <v/>
      </c>
      <c r="S365" s="25" t="str">
        <f aca="false">IF(R365="","",SUMPRODUCT((I$5:I$4004=I365)*ISNUMBER(R$5:R$4004)*(R$5:R$4004&gt;R365))+1)</f>
        <v/>
      </c>
      <c r="T365" s="25" t="str">
        <f aca="false">IF(S365="","",IF(S365&lt;=Setup!$B$5,"🏆 WINNER",""))</f>
        <v/>
      </c>
      <c r="U365" s="24" t="str">
        <f aca="false">IF(S365="","",I365&amp;"|"&amp;S365)</f>
        <v/>
      </c>
    </row>
    <row r="366" customFormat="false" ht="15" hidden="false" customHeight="false" outlineLevel="0" collapsed="false">
      <c r="A366" s="31" t="n">
        <v>362</v>
      </c>
      <c r="B366" s="32" t="str">
        <f aca="false">IF(OR(C366="",I366="",G366=""),"",IFERROR(VLOOKUP(I366,Setup!$A$9:$B$11,2,0),"???")&amp;"-"&amp;G366&amp;"-"&amp;TEXT(COUNTIFS(I$5:I366,I366,G$5:G366,G366),"0000"))</f>
        <v/>
      </c>
      <c r="C366" s="26"/>
      <c r="D366" s="26"/>
      <c r="E366" s="27"/>
      <c r="F366" s="27"/>
      <c r="G366" s="31" t="str">
        <f aca="false">IF(F366="","",IF(F366&lt;=5,"A",IF(F366&lt;=8,"B",IF(F366&lt;=10,"C","D"))))</f>
        <v/>
      </c>
      <c r="H366" s="28"/>
      <c r="I366" s="27"/>
      <c r="J366" s="26"/>
      <c r="K366" s="27"/>
      <c r="L366" s="27"/>
      <c r="M366" s="27"/>
      <c r="N366" s="27"/>
      <c r="O366" s="31" t="str">
        <f aca="false">IF(G366="","",VLOOKUP(G366,Setup!$A$14:$C$17,3,0))</f>
        <v/>
      </c>
      <c r="P366" s="27"/>
      <c r="Q366" s="33" t="str">
        <f aca="false">IF(OR(P366="",M366&lt;&gt;"Paid",O366=""),"",P366/O366)</f>
        <v/>
      </c>
      <c r="R366" s="34" t="str">
        <f aca="false">IF(Q366="","",Q366+N(H366)*0.000000001)</f>
        <v/>
      </c>
      <c r="S366" s="32" t="str">
        <f aca="false">IF(R366="","",SUMPRODUCT((I$5:I$4004=I366)*ISNUMBER(R$5:R$4004)*(R$5:R$4004&gt;R366))+1)</f>
        <v/>
      </c>
      <c r="T366" s="32" t="str">
        <f aca="false">IF(S366="","",IF(S366&lt;=Setup!$B$5,"🏆 WINNER",""))</f>
        <v/>
      </c>
      <c r="U366" s="31" t="str">
        <f aca="false">IF(S366="","",I366&amp;"|"&amp;S366)</f>
        <v/>
      </c>
    </row>
    <row r="367" customFormat="false" ht="15" hidden="false" customHeight="false" outlineLevel="0" collapsed="false">
      <c r="A367" s="24" t="n">
        <v>363</v>
      </c>
      <c r="B367" s="25" t="str">
        <f aca="false">IF(OR(C367="",I367="",G367=""),"",IFERROR(VLOOKUP(I367,Setup!$A$9:$B$11,2,0),"???")&amp;"-"&amp;G367&amp;"-"&amp;TEXT(COUNTIFS(I$5:I367,I367,G$5:G367,G367),"0000"))</f>
        <v/>
      </c>
      <c r="C367" s="26"/>
      <c r="D367" s="26"/>
      <c r="E367" s="27"/>
      <c r="F367" s="27"/>
      <c r="G367" s="24" t="str">
        <f aca="false">IF(F367="","",IF(F367&lt;=5,"A",IF(F367&lt;=8,"B",IF(F367&lt;=10,"C","D"))))</f>
        <v/>
      </c>
      <c r="H367" s="28"/>
      <c r="I367" s="27"/>
      <c r="J367" s="26"/>
      <c r="K367" s="27"/>
      <c r="L367" s="27"/>
      <c r="M367" s="27"/>
      <c r="N367" s="27"/>
      <c r="O367" s="24" t="str">
        <f aca="false">IF(G367="","",VLOOKUP(G367,Setup!$A$14:$C$17,3,0))</f>
        <v/>
      </c>
      <c r="P367" s="27"/>
      <c r="Q367" s="29" t="str">
        <f aca="false">IF(OR(P367="",M367&lt;&gt;"Paid",O367=""),"",P367/O367)</f>
        <v/>
      </c>
      <c r="R367" s="30" t="str">
        <f aca="false">IF(Q367="","",Q367+N(H367)*0.000000001)</f>
        <v/>
      </c>
      <c r="S367" s="25" t="str">
        <f aca="false">IF(R367="","",SUMPRODUCT((I$5:I$4004=I367)*ISNUMBER(R$5:R$4004)*(R$5:R$4004&gt;R367))+1)</f>
        <v/>
      </c>
      <c r="T367" s="25" t="str">
        <f aca="false">IF(S367="","",IF(S367&lt;=Setup!$B$5,"🏆 WINNER",""))</f>
        <v/>
      </c>
      <c r="U367" s="24" t="str">
        <f aca="false">IF(S367="","",I367&amp;"|"&amp;S367)</f>
        <v/>
      </c>
    </row>
    <row r="368" customFormat="false" ht="15" hidden="false" customHeight="false" outlineLevel="0" collapsed="false">
      <c r="A368" s="31" t="n">
        <v>364</v>
      </c>
      <c r="B368" s="32" t="str">
        <f aca="false">IF(OR(C368="",I368="",G368=""),"",IFERROR(VLOOKUP(I368,Setup!$A$9:$B$11,2,0),"???")&amp;"-"&amp;G368&amp;"-"&amp;TEXT(COUNTIFS(I$5:I368,I368,G$5:G368,G368),"0000"))</f>
        <v/>
      </c>
      <c r="C368" s="26"/>
      <c r="D368" s="26"/>
      <c r="E368" s="27"/>
      <c r="F368" s="27"/>
      <c r="G368" s="31" t="str">
        <f aca="false">IF(F368="","",IF(F368&lt;=5,"A",IF(F368&lt;=8,"B",IF(F368&lt;=10,"C","D"))))</f>
        <v/>
      </c>
      <c r="H368" s="28"/>
      <c r="I368" s="27"/>
      <c r="J368" s="26"/>
      <c r="K368" s="27"/>
      <c r="L368" s="27"/>
      <c r="M368" s="27"/>
      <c r="N368" s="27"/>
      <c r="O368" s="31" t="str">
        <f aca="false">IF(G368="","",VLOOKUP(G368,Setup!$A$14:$C$17,3,0))</f>
        <v/>
      </c>
      <c r="P368" s="27"/>
      <c r="Q368" s="33" t="str">
        <f aca="false">IF(OR(P368="",M368&lt;&gt;"Paid",O368=""),"",P368/O368)</f>
        <v/>
      </c>
      <c r="R368" s="34" t="str">
        <f aca="false">IF(Q368="","",Q368+N(H368)*0.000000001)</f>
        <v/>
      </c>
      <c r="S368" s="32" t="str">
        <f aca="false">IF(R368="","",SUMPRODUCT((I$5:I$4004=I368)*ISNUMBER(R$5:R$4004)*(R$5:R$4004&gt;R368))+1)</f>
        <v/>
      </c>
      <c r="T368" s="32" t="str">
        <f aca="false">IF(S368="","",IF(S368&lt;=Setup!$B$5,"🏆 WINNER",""))</f>
        <v/>
      </c>
      <c r="U368" s="31" t="str">
        <f aca="false">IF(S368="","",I368&amp;"|"&amp;S368)</f>
        <v/>
      </c>
    </row>
    <row r="369" customFormat="false" ht="15" hidden="false" customHeight="false" outlineLevel="0" collapsed="false">
      <c r="A369" s="24" t="n">
        <v>365</v>
      </c>
      <c r="B369" s="25" t="str">
        <f aca="false">IF(OR(C369="",I369="",G369=""),"",IFERROR(VLOOKUP(I369,Setup!$A$9:$B$11,2,0),"???")&amp;"-"&amp;G369&amp;"-"&amp;TEXT(COUNTIFS(I$5:I369,I369,G$5:G369,G369),"0000"))</f>
        <v/>
      </c>
      <c r="C369" s="26"/>
      <c r="D369" s="26"/>
      <c r="E369" s="27"/>
      <c r="F369" s="27"/>
      <c r="G369" s="24" t="str">
        <f aca="false">IF(F369="","",IF(F369&lt;=5,"A",IF(F369&lt;=8,"B",IF(F369&lt;=10,"C","D"))))</f>
        <v/>
      </c>
      <c r="H369" s="28"/>
      <c r="I369" s="27"/>
      <c r="J369" s="26"/>
      <c r="K369" s="27"/>
      <c r="L369" s="27"/>
      <c r="M369" s="27"/>
      <c r="N369" s="27"/>
      <c r="O369" s="24" t="str">
        <f aca="false">IF(G369="","",VLOOKUP(G369,Setup!$A$14:$C$17,3,0))</f>
        <v/>
      </c>
      <c r="P369" s="27"/>
      <c r="Q369" s="29" t="str">
        <f aca="false">IF(OR(P369="",M369&lt;&gt;"Paid",O369=""),"",P369/O369)</f>
        <v/>
      </c>
      <c r="R369" s="30" t="str">
        <f aca="false">IF(Q369="","",Q369+N(H369)*0.000000001)</f>
        <v/>
      </c>
      <c r="S369" s="25" t="str">
        <f aca="false">IF(R369="","",SUMPRODUCT((I$5:I$4004=I369)*ISNUMBER(R$5:R$4004)*(R$5:R$4004&gt;R369))+1)</f>
        <v/>
      </c>
      <c r="T369" s="25" t="str">
        <f aca="false">IF(S369="","",IF(S369&lt;=Setup!$B$5,"🏆 WINNER",""))</f>
        <v/>
      </c>
      <c r="U369" s="24" t="str">
        <f aca="false">IF(S369="","",I369&amp;"|"&amp;S369)</f>
        <v/>
      </c>
    </row>
    <row r="370" customFormat="false" ht="15" hidden="false" customHeight="false" outlineLevel="0" collapsed="false">
      <c r="A370" s="31" t="n">
        <v>366</v>
      </c>
      <c r="B370" s="32" t="str">
        <f aca="false">IF(OR(C370="",I370="",G370=""),"",IFERROR(VLOOKUP(I370,Setup!$A$9:$B$11,2,0),"???")&amp;"-"&amp;G370&amp;"-"&amp;TEXT(COUNTIFS(I$5:I370,I370,G$5:G370,G370),"0000"))</f>
        <v/>
      </c>
      <c r="C370" s="26"/>
      <c r="D370" s="26"/>
      <c r="E370" s="27"/>
      <c r="F370" s="27"/>
      <c r="G370" s="31" t="str">
        <f aca="false">IF(F370="","",IF(F370&lt;=5,"A",IF(F370&lt;=8,"B",IF(F370&lt;=10,"C","D"))))</f>
        <v/>
      </c>
      <c r="H370" s="28"/>
      <c r="I370" s="27"/>
      <c r="J370" s="26"/>
      <c r="K370" s="27"/>
      <c r="L370" s="27"/>
      <c r="M370" s="27"/>
      <c r="N370" s="27"/>
      <c r="O370" s="31" t="str">
        <f aca="false">IF(G370="","",VLOOKUP(G370,Setup!$A$14:$C$17,3,0))</f>
        <v/>
      </c>
      <c r="P370" s="27"/>
      <c r="Q370" s="33" t="str">
        <f aca="false">IF(OR(P370="",M370&lt;&gt;"Paid",O370=""),"",P370/O370)</f>
        <v/>
      </c>
      <c r="R370" s="34" t="str">
        <f aca="false">IF(Q370="","",Q370+N(H370)*0.000000001)</f>
        <v/>
      </c>
      <c r="S370" s="32" t="str">
        <f aca="false">IF(R370="","",SUMPRODUCT((I$5:I$4004=I370)*ISNUMBER(R$5:R$4004)*(R$5:R$4004&gt;R370))+1)</f>
        <v/>
      </c>
      <c r="T370" s="32" t="str">
        <f aca="false">IF(S370="","",IF(S370&lt;=Setup!$B$5,"🏆 WINNER",""))</f>
        <v/>
      </c>
      <c r="U370" s="31" t="str">
        <f aca="false">IF(S370="","",I370&amp;"|"&amp;S370)</f>
        <v/>
      </c>
    </row>
    <row r="371" customFormat="false" ht="15" hidden="false" customHeight="false" outlineLevel="0" collapsed="false">
      <c r="A371" s="24" t="n">
        <v>367</v>
      </c>
      <c r="B371" s="25" t="str">
        <f aca="false">IF(OR(C371="",I371="",G371=""),"",IFERROR(VLOOKUP(I371,Setup!$A$9:$B$11,2,0),"???")&amp;"-"&amp;G371&amp;"-"&amp;TEXT(COUNTIFS(I$5:I371,I371,G$5:G371,G371),"0000"))</f>
        <v/>
      </c>
      <c r="C371" s="26"/>
      <c r="D371" s="26"/>
      <c r="E371" s="27"/>
      <c r="F371" s="27"/>
      <c r="G371" s="24" t="str">
        <f aca="false">IF(F371="","",IF(F371&lt;=5,"A",IF(F371&lt;=8,"B",IF(F371&lt;=10,"C","D"))))</f>
        <v/>
      </c>
      <c r="H371" s="28"/>
      <c r="I371" s="27"/>
      <c r="J371" s="26"/>
      <c r="K371" s="27"/>
      <c r="L371" s="27"/>
      <c r="M371" s="27"/>
      <c r="N371" s="27"/>
      <c r="O371" s="24" t="str">
        <f aca="false">IF(G371="","",VLOOKUP(G371,Setup!$A$14:$C$17,3,0))</f>
        <v/>
      </c>
      <c r="P371" s="27"/>
      <c r="Q371" s="29" t="str">
        <f aca="false">IF(OR(P371="",M371&lt;&gt;"Paid",O371=""),"",P371/O371)</f>
        <v/>
      </c>
      <c r="R371" s="30" t="str">
        <f aca="false">IF(Q371="","",Q371+N(H371)*0.000000001)</f>
        <v/>
      </c>
      <c r="S371" s="25" t="str">
        <f aca="false">IF(R371="","",SUMPRODUCT((I$5:I$4004=I371)*ISNUMBER(R$5:R$4004)*(R$5:R$4004&gt;R371))+1)</f>
        <v/>
      </c>
      <c r="T371" s="25" t="str">
        <f aca="false">IF(S371="","",IF(S371&lt;=Setup!$B$5,"🏆 WINNER",""))</f>
        <v/>
      </c>
      <c r="U371" s="24" t="str">
        <f aca="false">IF(S371="","",I371&amp;"|"&amp;S371)</f>
        <v/>
      </c>
    </row>
    <row r="372" customFormat="false" ht="15" hidden="false" customHeight="false" outlineLevel="0" collapsed="false">
      <c r="A372" s="31" t="n">
        <v>368</v>
      </c>
      <c r="B372" s="32" t="str">
        <f aca="false">IF(OR(C372="",I372="",G372=""),"",IFERROR(VLOOKUP(I372,Setup!$A$9:$B$11,2,0),"???")&amp;"-"&amp;G372&amp;"-"&amp;TEXT(COUNTIFS(I$5:I372,I372,G$5:G372,G372),"0000"))</f>
        <v/>
      </c>
      <c r="C372" s="26"/>
      <c r="D372" s="26"/>
      <c r="E372" s="27"/>
      <c r="F372" s="27"/>
      <c r="G372" s="31" t="str">
        <f aca="false">IF(F372="","",IF(F372&lt;=5,"A",IF(F372&lt;=8,"B",IF(F372&lt;=10,"C","D"))))</f>
        <v/>
      </c>
      <c r="H372" s="28"/>
      <c r="I372" s="27"/>
      <c r="J372" s="26"/>
      <c r="K372" s="27"/>
      <c r="L372" s="27"/>
      <c r="M372" s="27"/>
      <c r="N372" s="27"/>
      <c r="O372" s="31" t="str">
        <f aca="false">IF(G372="","",VLOOKUP(G372,Setup!$A$14:$C$17,3,0))</f>
        <v/>
      </c>
      <c r="P372" s="27"/>
      <c r="Q372" s="33" t="str">
        <f aca="false">IF(OR(P372="",M372&lt;&gt;"Paid",O372=""),"",P372/O372)</f>
        <v/>
      </c>
      <c r="R372" s="34" t="str">
        <f aca="false">IF(Q372="","",Q372+N(H372)*0.000000001)</f>
        <v/>
      </c>
      <c r="S372" s="32" t="str">
        <f aca="false">IF(R372="","",SUMPRODUCT((I$5:I$4004=I372)*ISNUMBER(R$5:R$4004)*(R$5:R$4004&gt;R372))+1)</f>
        <v/>
      </c>
      <c r="T372" s="32" t="str">
        <f aca="false">IF(S372="","",IF(S372&lt;=Setup!$B$5,"🏆 WINNER",""))</f>
        <v/>
      </c>
      <c r="U372" s="31" t="str">
        <f aca="false">IF(S372="","",I372&amp;"|"&amp;S372)</f>
        <v/>
      </c>
    </row>
    <row r="373" customFormat="false" ht="15" hidden="false" customHeight="false" outlineLevel="0" collapsed="false">
      <c r="A373" s="24" t="n">
        <v>369</v>
      </c>
      <c r="B373" s="25" t="str">
        <f aca="false">IF(OR(C373="",I373="",G373=""),"",IFERROR(VLOOKUP(I373,Setup!$A$9:$B$11,2,0),"???")&amp;"-"&amp;G373&amp;"-"&amp;TEXT(COUNTIFS(I$5:I373,I373,G$5:G373,G373),"0000"))</f>
        <v/>
      </c>
      <c r="C373" s="26"/>
      <c r="D373" s="26"/>
      <c r="E373" s="27"/>
      <c r="F373" s="27"/>
      <c r="G373" s="24" t="str">
        <f aca="false">IF(F373="","",IF(F373&lt;=5,"A",IF(F373&lt;=8,"B",IF(F373&lt;=10,"C","D"))))</f>
        <v/>
      </c>
      <c r="H373" s="28"/>
      <c r="I373" s="27"/>
      <c r="J373" s="26"/>
      <c r="K373" s="27"/>
      <c r="L373" s="27"/>
      <c r="M373" s="27"/>
      <c r="N373" s="27"/>
      <c r="O373" s="24" t="str">
        <f aca="false">IF(G373="","",VLOOKUP(G373,Setup!$A$14:$C$17,3,0))</f>
        <v/>
      </c>
      <c r="P373" s="27"/>
      <c r="Q373" s="29" t="str">
        <f aca="false">IF(OR(P373="",M373&lt;&gt;"Paid",O373=""),"",P373/O373)</f>
        <v/>
      </c>
      <c r="R373" s="30" t="str">
        <f aca="false">IF(Q373="","",Q373+N(H373)*0.000000001)</f>
        <v/>
      </c>
      <c r="S373" s="25" t="str">
        <f aca="false">IF(R373="","",SUMPRODUCT((I$5:I$4004=I373)*ISNUMBER(R$5:R$4004)*(R$5:R$4004&gt;R373))+1)</f>
        <v/>
      </c>
      <c r="T373" s="25" t="str">
        <f aca="false">IF(S373="","",IF(S373&lt;=Setup!$B$5,"🏆 WINNER",""))</f>
        <v/>
      </c>
      <c r="U373" s="24" t="str">
        <f aca="false">IF(S373="","",I373&amp;"|"&amp;S373)</f>
        <v/>
      </c>
    </row>
    <row r="374" customFormat="false" ht="15" hidden="false" customHeight="false" outlineLevel="0" collapsed="false">
      <c r="A374" s="31" t="n">
        <v>370</v>
      </c>
      <c r="B374" s="32" t="str">
        <f aca="false">IF(OR(C374="",I374="",G374=""),"",IFERROR(VLOOKUP(I374,Setup!$A$9:$B$11,2,0),"???")&amp;"-"&amp;G374&amp;"-"&amp;TEXT(COUNTIFS(I$5:I374,I374,G$5:G374,G374),"0000"))</f>
        <v/>
      </c>
      <c r="C374" s="26"/>
      <c r="D374" s="26"/>
      <c r="E374" s="27"/>
      <c r="F374" s="27"/>
      <c r="G374" s="31" t="str">
        <f aca="false">IF(F374="","",IF(F374&lt;=5,"A",IF(F374&lt;=8,"B",IF(F374&lt;=10,"C","D"))))</f>
        <v/>
      </c>
      <c r="H374" s="28"/>
      <c r="I374" s="27"/>
      <c r="J374" s="26"/>
      <c r="K374" s="27"/>
      <c r="L374" s="27"/>
      <c r="M374" s="27"/>
      <c r="N374" s="27"/>
      <c r="O374" s="31" t="str">
        <f aca="false">IF(G374="","",VLOOKUP(G374,Setup!$A$14:$C$17,3,0))</f>
        <v/>
      </c>
      <c r="P374" s="27"/>
      <c r="Q374" s="33" t="str">
        <f aca="false">IF(OR(P374="",M374&lt;&gt;"Paid",O374=""),"",P374/O374)</f>
        <v/>
      </c>
      <c r="R374" s="34" t="str">
        <f aca="false">IF(Q374="","",Q374+N(H374)*0.000000001)</f>
        <v/>
      </c>
      <c r="S374" s="32" t="str">
        <f aca="false">IF(R374="","",SUMPRODUCT((I$5:I$4004=I374)*ISNUMBER(R$5:R$4004)*(R$5:R$4004&gt;R374))+1)</f>
        <v/>
      </c>
      <c r="T374" s="32" t="str">
        <f aca="false">IF(S374="","",IF(S374&lt;=Setup!$B$5,"🏆 WINNER",""))</f>
        <v/>
      </c>
      <c r="U374" s="31" t="str">
        <f aca="false">IF(S374="","",I374&amp;"|"&amp;S374)</f>
        <v/>
      </c>
    </row>
    <row r="375" customFormat="false" ht="15" hidden="false" customHeight="false" outlineLevel="0" collapsed="false">
      <c r="A375" s="24" t="n">
        <v>371</v>
      </c>
      <c r="B375" s="25" t="str">
        <f aca="false">IF(OR(C375="",I375="",G375=""),"",IFERROR(VLOOKUP(I375,Setup!$A$9:$B$11,2,0),"???")&amp;"-"&amp;G375&amp;"-"&amp;TEXT(COUNTIFS(I$5:I375,I375,G$5:G375,G375),"0000"))</f>
        <v/>
      </c>
      <c r="C375" s="26"/>
      <c r="D375" s="26"/>
      <c r="E375" s="27"/>
      <c r="F375" s="27"/>
      <c r="G375" s="24" t="str">
        <f aca="false">IF(F375="","",IF(F375&lt;=5,"A",IF(F375&lt;=8,"B",IF(F375&lt;=10,"C","D"))))</f>
        <v/>
      </c>
      <c r="H375" s="28"/>
      <c r="I375" s="27"/>
      <c r="J375" s="26"/>
      <c r="K375" s="27"/>
      <c r="L375" s="27"/>
      <c r="M375" s="27"/>
      <c r="N375" s="27"/>
      <c r="O375" s="24" t="str">
        <f aca="false">IF(G375="","",VLOOKUP(G375,Setup!$A$14:$C$17,3,0))</f>
        <v/>
      </c>
      <c r="P375" s="27"/>
      <c r="Q375" s="29" t="str">
        <f aca="false">IF(OR(P375="",M375&lt;&gt;"Paid",O375=""),"",P375/O375)</f>
        <v/>
      </c>
      <c r="R375" s="30" t="str">
        <f aca="false">IF(Q375="","",Q375+N(H375)*0.000000001)</f>
        <v/>
      </c>
      <c r="S375" s="25" t="str">
        <f aca="false">IF(R375="","",SUMPRODUCT((I$5:I$4004=I375)*ISNUMBER(R$5:R$4004)*(R$5:R$4004&gt;R375))+1)</f>
        <v/>
      </c>
      <c r="T375" s="25" t="str">
        <f aca="false">IF(S375="","",IF(S375&lt;=Setup!$B$5,"🏆 WINNER",""))</f>
        <v/>
      </c>
      <c r="U375" s="24" t="str">
        <f aca="false">IF(S375="","",I375&amp;"|"&amp;S375)</f>
        <v/>
      </c>
    </row>
    <row r="376" customFormat="false" ht="15" hidden="false" customHeight="false" outlineLevel="0" collapsed="false">
      <c r="A376" s="31" t="n">
        <v>372</v>
      </c>
      <c r="B376" s="32" t="str">
        <f aca="false">IF(OR(C376="",I376="",G376=""),"",IFERROR(VLOOKUP(I376,Setup!$A$9:$B$11,2,0),"???")&amp;"-"&amp;G376&amp;"-"&amp;TEXT(COUNTIFS(I$5:I376,I376,G$5:G376,G376),"0000"))</f>
        <v/>
      </c>
      <c r="C376" s="26"/>
      <c r="D376" s="26"/>
      <c r="E376" s="27"/>
      <c r="F376" s="27"/>
      <c r="G376" s="31" t="str">
        <f aca="false">IF(F376="","",IF(F376&lt;=5,"A",IF(F376&lt;=8,"B",IF(F376&lt;=10,"C","D"))))</f>
        <v/>
      </c>
      <c r="H376" s="28"/>
      <c r="I376" s="27"/>
      <c r="J376" s="26"/>
      <c r="K376" s="27"/>
      <c r="L376" s="27"/>
      <c r="M376" s="27"/>
      <c r="N376" s="27"/>
      <c r="O376" s="31" t="str">
        <f aca="false">IF(G376="","",VLOOKUP(G376,Setup!$A$14:$C$17,3,0))</f>
        <v/>
      </c>
      <c r="P376" s="27"/>
      <c r="Q376" s="33" t="str">
        <f aca="false">IF(OR(P376="",M376&lt;&gt;"Paid",O376=""),"",P376/O376)</f>
        <v/>
      </c>
      <c r="R376" s="34" t="str">
        <f aca="false">IF(Q376="","",Q376+N(H376)*0.000000001)</f>
        <v/>
      </c>
      <c r="S376" s="32" t="str">
        <f aca="false">IF(R376="","",SUMPRODUCT((I$5:I$4004=I376)*ISNUMBER(R$5:R$4004)*(R$5:R$4004&gt;R376))+1)</f>
        <v/>
      </c>
      <c r="T376" s="32" t="str">
        <f aca="false">IF(S376="","",IF(S376&lt;=Setup!$B$5,"🏆 WINNER",""))</f>
        <v/>
      </c>
      <c r="U376" s="31" t="str">
        <f aca="false">IF(S376="","",I376&amp;"|"&amp;S376)</f>
        <v/>
      </c>
    </row>
    <row r="377" customFormat="false" ht="15" hidden="false" customHeight="false" outlineLevel="0" collapsed="false">
      <c r="A377" s="24" t="n">
        <v>373</v>
      </c>
      <c r="B377" s="25" t="str">
        <f aca="false">IF(OR(C377="",I377="",G377=""),"",IFERROR(VLOOKUP(I377,Setup!$A$9:$B$11,2,0),"???")&amp;"-"&amp;G377&amp;"-"&amp;TEXT(COUNTIFS(I$5:I377,I377,G$5:G377,G377),"0000"))</f>
        <v/>
      </c>
      <c r="C377" s="26"/>
      <c r="D377" s="26"/>
      <c r="E377" s="27"/>
      <c r="F377" s="27"/>
      <c r="G377" s="24" t="str">
        <f aca="false">IF(F377="","",IF(F377&lt;=5,"A",IF(F377&lt;=8,"B",IF(F377&lt;=10,"C","D"))))</f>
        <v/>
      </c>
      <c r="H377" s="28"/>
      <c r="I377" s="27"/>
      <c r="J377" s="26"/>
      <c r="K377" s="27"/>
      <c r="L377" s="27"/>
      <c r="M377" s="27"/>
      <c r="N377" s="27"/>
      <c r="O377" s="24" t="str">
        <f aca="false">IF(G377="","",VLOOKUP(G377,Setup!$A$14:$C$17,3,0))</f>
        <v/>
      </c>
      <c r="P377" s="27"/>
      <c r="Q377" s="29" t="str">
        <f aca="false">IF(OR(P377="",M377&lt;&gt;"Paid",O377=""),"",P377/O377)</f>
        <v/>
      </c>
      <c r="R377" s="30" t="str">
        <f aca="false">IF(Q377="","",Q377+N(H377)*0.000000001)</f>
        <v/>
      </c>
      <c r="S377" s="25" t="str">
        <f aca="false">IF(R377="","",SUMPRODUCT((I$5:I$4004=I377)*ISNUMBER(R$5:R$4004)*(R$5:R$4004&gt;R377))+1)</f>
        <v/>
      </c>
      <c r="T377" s="25" t="str">
        <f aca="false">IF(S377="","",IF(S377&lt;=Setup!$B$5,"🏆 WINNER",""))</f>
        <v/>
      </c>
      <c r="U377" s="24" t="str">
        <f aca="false">IF(S377="","",I377&amp;"|"&amp;S377)</f>
        <v/>
      </c>
    </row>
    <row r="378" customFormat="false" ht="15" hidden="false" customHeight="false" outlineLevel="0" collapsed="false">
      <c r="A378" s="31" t="n">
        <v>374</v>
      </c>
      <c r="B378" s="32" t="str">
        <f aca="false">IF(OR(C378="",I378="",G378=""),"",IFERROR(VLOOKUP(I378,Setup!$A$9:$B$11,2,0),"???")&amp;"-"&amp;G378&amp;"-"&amp;TEXT(COUNTIFS(I$5:I378,I378,G$5:G378,G378),"0000"))</f>
        <v/>
      </c>
      <c r="C378" s="26"/>
      <c r="D378" s="26"/>
      <c r="E378" s="27"/>
      <c r="F378" s="27"/>
      <c r="G378" s="31" t="str">
        <f aca="false">IF(F378="","",IF(F378&lt;=5,"A",IF(F378&lt;=8,"B",IF(F378&lt;=10,"C","D"))))</f>
        <v/>
      </c>
      <c r="H378" s="28"/>
      <c r="I378" s="27"/>
      <c r="J378" s="26"/>
      <c r="K378" s="27"/>
      <c r="L378" s="27"/>
      <c r="M378" s="27"/>
      <c r="N378" s="27"/>
      <c r="O378" s="31" t="str">
        <f aca="false">IF(G378="","",VLOOKUP(G378,Setup!$A$14:$C$17,3,0))</f>
        <v/>
      </c>
      <c r="P378" s="27"/>
      <c r="Q378" s="33" t="str">
        <f aca="false">IF(OR(P378="",M378&lt;&gt;"Paid",O378=""),"",P378/O378)</f>
        <v/>
      </c>
      <c r="R378" s="34" t="str">
        <f aca="false">IF(Q378="","",Q378+N(H378)*0.000000001)</f>
        <v/>
      </c>
      <c r="S378" s="32" t="str">
        <f aca="false">IF(R378="","",SUMPRODUCT((I$5:I$4004=I378)*ISNUMBER(R$5:R$4004)*(R$5:R$4004&gt;R378))+1)</f>
        <v/>
      </c>
      <c r="T378" s="32" t="str">
        <f aca="false">IF(S378="","",IF(S378&lt;=Setup!$B$5,"🏆 WINNER",""))</f>
        <v/>
      </c>
      <c r="U378" s="31" t="str">
        <f aca="false">IF(S378="","",I378&amp;"|"&amp;S378)</f>
        <v/>
      </c>
    </row>
    <row r="379" customFormat="false" ht="15" hidden="false" customHeight="false" outlineLevel="0" collapsed="false">
      <c r="A379" s="24" t="n">
        <v>375</v>
      </c>
      <c r="B379" s="25" t="str">
        <f aca="false">IF(OR(C379="",I379="",G379=""),"",IFERROR(VLOOKUP(I379,Setup!$A$9:$B$11,2,0),"???")&amp;"-"&amp;G379&amp;"-"&amp;TEXT(COUNTIFS(I$5:I379,I379,G$5:G379,G379),"0000"))</f>
        <v/>
      </c>
      <c r="C379" s="26"/>
      <c r="D379" s="26"/>
      <c r="E379" s="27"/>
      <c r="F379" s="27"/>
      <c r="G379" s="24" t="str">
        <f aca="false">IF(F379="","",IF(F379&lt;=5,"A",IF(F379&lt;=8,"B",IF(F379&lt;=10,"C","D"))))</f>
        <v/>
      </c>
      <c r="H379" s="28"/>
      <c r="I379" s="27"/>
      <c r="J379" s="26"/>
      <c r="K379" s="27"/>
      <c r="L379" s="27"/>
      <c r="M379" s="27"/>
      <c r="N379" s="27"/>
      <c r="O379" s="24" t="str">
        <f aca="false">IF(G379="","",VLOOKUP(G379,Setup!$A$14:$C$17,3,0))</f>
        <v/>
      </c>
      <c r="P379" s="27"/>
      <c r="Q379" s="29" t="str">
        <f aca="false">IF(OR(P379="",M379&lt;&gt;"Paid",O379=""),"",P379/O379)</f>
        <v/>
      </c>
      <c r="R379" s="30" t="str">
        <f aca="false">IF(Q379="","",Q379+N(H379)*0.000000001)</f>
        <v/>
      </c>
      <c r="S379" s="25" t="str">
        <f aca="false">IF(R379="","",SUMPRODUCT((I$5:I$4004=I379)*ISNUMBER(R$5:R$4004)*(R$5:R$4004&gt;R379))+1)</f>
        <v/>
      </c>
      <c r="T379" s="25" t="str">
        <f aca="false">IF(S379="","",IF(S379&lt;=Setup!$B$5,"🏆 WINNER",""))</f>
        <v/>
      </c>
      <c r="U379" s="24" t="str">
        <f aca="false">IF(S379="","",I379&amp;"|"&amp;S379)</f>
        <v/>
      </c>
    </row>
    <row r="380" customFormat="false" ht="15" hidden="false" customHeight="false" outlineLevel="0" collapsed="false">
      <c r="A380" s="31" t="n">
        <v>376</v>
      </c>
      <c r="B380" s="32" t="str">
        <f aca="false">IF(OR(C380="",I380="",G380=""),"",IFERROR(VLOOKUP(I380,Setup!$A$9:$B$11,2,0),"???")&amp;"-"&amp;G380&amp;"-"&amp;TEXT(COUNTIFS(I$5:I380,I380,G$5:G380,G380),"0000"))</f>
        <v/>
      </c>
      <c r="C380" s="26"/>
      <c r="D380" s="26"/>
      <c r="E380" s="27"/>
      <c r="F380" s="27"/>
      <c r="G380" s="31" t="str">
        <f aca="false">IF(F380="","",IF(F380&lt;=5,"A",IF(F380&lt;=8,"B",IF(F380&lt;=10,"C","D"))))</f>
        <v/>
      </c>
      <c r="H380" s="28"/>
      <c r="I380" s="27"/>
      <c r="J380" s="26"/>
      <c r="K380" s="27"/>
      <c r="L380" s="27"/>
      <c r="M380" s="27"/>
      <c r="N380" s="27"/>
      <c r="O380" s="31" t="str">
        <f aca="false">IF(G380="","",VLOOKUP(G380,Setup!$A$14:$C$17,3,0))</f>
        <v/>
      </c>
      <c r="P380" s="27"/>
      <c r="Q380" s="33" t="str">
        <f aca="false">IF(OR(P380="",M380&lt;&gt;"Paid",O380=""),"",P380/O380)</f>
        <v/>
      </c>
      <c r="R380" s="34" t="str">
        <f aca="false">IF(Q380="","",Q380+N(H380)*0.000000001)</f>
        <v/>
      </c>
      <c r="S380" s="32" t="str">
        <f aca="false">IF(R380="","",SUMPRODUCT((I$5:I$4004=I380)*ISNUMBER(R$5:R$4004)*(R$5:R$4004&gt;R380))+1)</f>
        <v/>
      </c>
      <c r="T380" s="32" t="str">
        <f aca="false">IF(S380="","",IF(S380&lt;=Setup!$B$5,"🏆 WINNER",""))</f>
        <v/>
      </c>
      <c r="U380" s="31" t="str">
        <f aca="false">IF(S380="","",I380&amp;"|"&amp;S380)</f>
        <v/>
      </c>
    </row>
    <row r="381" customFormat="false" ht="15" hidden="false" customHeight="false" outlineLevel="0" collapsed="false">
      <c r="A381" s="24" t="n">
        <v>377</v>
      </c>
      <c r="B381" s="25" t="str">
        <f aca="false">IF(OR(C381="",I381="",G381=""),"",IFERROR(VLOOKUP(I381,Setup!$A$9:$B$11,2,0),"???")&amp;"-"&amp;G381&amp;"-"&amp;TEXT(COUNTIFS(I$5:I381,I381,G$5:G381,G381),"0000"))</f>
        <v/>
      </c>
      <c r="C381" s="26"/>
      <c r="D381" s="26"/>
      <c r="E381" s="27"/>
      <c r="F381" s="27"/>
      <c r="G381" s="24" t="str">
        <f aca="false">IF(F381="","",IF(F381&lt;=5,"A",IF(F381&lt;=8,"B",IF(F381&lt;=10,"C","D"))))</f>
        <v/>
      </c>
      <c r="H381" s="28"/>
      <c r="I381" s="27"/>
      <c r="J381" s="26"/>
      <c r="K381" s="27"/>
      <c r="L381" s="27"/>
      <c r="M381" s="27"/>
      <c r="N381" s="27"/>
      <c r="O381" s="24" t="str">
        <f aca="false">IF(G381="","",VLOOKUP(G381,Setup!$A$14:$C$17,3,0))</f>
        <v/>
      </c>
      <c r="P381" s="27"/>
      <c r="Q381" s="29" t="str">
        <f aca="false">IF(OR(P381="",M381&lt;&gt;"Paid",O381=""),"",P381/O381)</f>
        <v/>
      </c>
      <c r="R381" s="30" t="str">
        <f aca="false">IF(Q381="","",Q381+N(H381)*0.000000001)</f>
        <v/>
      </c>
      <c r="S381" s="25" t="str">
        <f aca="false">IF(R381="","",SUMPRODUCT((I$5:I$4004=I381)*ISNUMBER(R$5:R$4004)*(R$5:R$4004&gt;R381))+1)</f>
        <v/>
      </c>
      <c r="T381" s="25" t="str">
        <f aca="false">IF(S381="","",IF(S381&lt;=Setup!$B$5,"🏆 WINNER",""))</f>
        <v/>
      </c>
      <c r="U381" s="24" t="str">
        <f aca="false">IF(S381="","",I381&amp;"|"&amp;S381)</f>
        <v/>
      </c>
    </row>
    <row r="382" customFormat="false" ht="15" hidden="false" customHeight="false" outlineLevel="0" collapsed="false">
      <c r="A382" s="31" t="n">
        <v>378</v>
      </c>
      <c r="B382" s="32" t="str">
        <f aca="false">IF(OR(C382="",I382="",G382=""),"",IFERROR(VLOOKUP(I382,Setup!$A$9:$B$11,2,0),"???")&amp;"-"&amp;G382&amp;"-"&amp;TEXT(COUNTIFS(I$5:I382,I382,G$5:G382,G382),"0000"))</f>
        <v/>
      </c>
      <c r="C382" s="26"/>
      <c r="D382" s="26"/>
      <c r="E382" s="27"/>
      <c r="F382" s="27"/>
      <c r="G382" s="31" t="str">
        <f aca="false">IF(F382="","",IF(F382&lt;=5,"A",IF(F382&lt;=8,"B",IF(F382&lt;=10,"C","D"))))</f>
        <v/>
      </c>
      <c r="H382" s="28"/>
      <c r="I382" s="27"/>
      <c r="J382" s="26"/>
      <c r="K382" s="27"/>
      <c r="L382" s="27"/>
      <c r="M382" s="27"/>
      <c r="N382" s="27"/>
      <c r="O382" s="31" t="str">
        <f aca="false">IF(G382="","",VLOOKUP(G382,Setup!$A$14:$C$17,3,0))</f>
        <v/>
      </c>
      <c r="P382" s="27"/>
      <c r="Q382" s="33" t="str">
        <f aca="false">IF(OR(P382="",M382&lt;&gt;"Paid",O382=""),"",P382/O382)</f>
        <v/>
      </c>
      <c r="R382" s="34" t="str">
        <f aca="false">IF(Q382="","",Q382+N(H382)*0.000000001)</f>
        <v/>
      </c>
      <c r="S382" s="32" t="str">
        <f aca="false">IF(R382="","",SUMPRODUCT((I$5:I$4004=I382)*ISNUMBER(R$5:R$4004)*(R$5:R$4004&gt;R382))+1)</f>
        <v/>
      </c>
      <c r="T382" s="32" t="str">
        <f aca="false">IF(S382="","",IF(S382&lt;=Setup!$B$5,"🏆 WINNER",""))</f>
        <v/>
      </c>
      <c r="U382" s="31" t="str">
        <f aca="false">IF(S382="","",I382&amp;"|"&amp;S382)</f>
        <v/>
      </c>
    </row>
    <row r="383" customFormat="false" ht="15" hidden="false" customHeight="false" outlineLevel="0" collapsed="false">
      <c r="A383" s="24" t="n">
        <v>379</v>
      </c>
      <c r="B383" s="25" t="str">
        <f aca="false">IF(OR(C383="",I383="",G383=""),"",IFERROR(VLOOKUP(I383,Setup!$A$9:$B$11,2,0),"???")&amp;"-"&amp;G383&amp;"-"&amp;TEXT(COUNTIFS(I$5:I383,I383,G$5:G383,G383),"0000"))</f>
        <v/>
      </c>
      <c r="C383" s="26"/>
      <c r="D383" s="26"/>
      <c r="E383" s="27"/>
      <c r="F383" s="27"/>
      <c r="G383" s="24" t="str">
        <f aca="false">IF(F383="","",IF(F383&lt;=5,"A",IF(F383&lt;=8,"B",IF(F383&lt;=10,"C","D"))))</f>
        <v/>
      </c>
      <c r="H383" s="28"/>
      <c r="I383" s="27"/>
      <c r="J383" s="26"/>
      <c r="K383" s="27"/>
      <c r="L383" s="27"/>
      <c r="M383" s="27"/>
      <c r="N383" s="27"/>
      <c r="O383" s="24" t="str">
        <f aca="false">IF(G383="","",VLOOKUP(G383,Setup!$A$14:$C$17,3,0))</f>
        <v/>
      </c>
      <c r="P383" s="27"/>
      <c r="Q383" s="29" t="str">
        <f aca="false">IF(OR(P383="",M383&lt;&gt;"Paid",O383=""),"",P383/O383)</f>
        <v/>
      </c>
      <c r="R383" s="30" t="str">
        <f aca="false">IF(Q383="","",Q383+N(H383)*0.000000001)</f>
        <v/>
      </c>
      <c r="S383" s="25" t="str">
        <f aca="false">IF(R383="","",SUMPRODUCT((I$5:I$4004=I383)*ISNUMBER(R$5:R$4004)*(R$5:R$4004&gt;R383))+1)</f>
        <v/>
      </c>
      <c r="T383" s="25" t="str">
        <f aca="false">IF(S383="","",IF(S383&lt;=Setup!$B$5,"🏆 WINNER",""))</f>
        <v/>
      </c>
      <c r="U383" s="24" t="str">
        <f aca="false">IF(S383="","",I383&amp;"|"&amp;S383)</f>
        <v/>
      </c>
    </row>
    <row r="384" customFormat="false" ht="15" hidden="false" customHeight="false" outlineLevel="0" collapsed="false">
      <c r="A384" s="31" t="n">
        <v>380</v>
      </c>
      <c r="B384" s="32" t="str">
        <f aca="false">IF(OR(C384="",I384="",G384=""),"",IFERROR(VLOOKUP(I384,Setup!$A$9:$B$11,2,0),"???")&amp;"-"&amp;G384&amp;"-"&amp;TEXT(COUNTIFS(I$5:I384,I384,G$5:G384,G384),"0000"))</f>
        <v/>
      </c>
      <c r="C384" s="26"/>
      <c r="D384" s="26"/>
      <c r="E384" s="27"/>
      <c r="F384" s="27"/>
      <c r="G384" s="31" t="str">
        <f aca="false">IF(F384="","",IF(F384&lt;=5,"A",IF(F384&lt;=8,"B",IF(F384&lt;=10,"C","D"))))</f>
        <v/>
      </c>
      <c r="H384" s="28"/>
      <c r="I384" s="27"/>
      <c r="J384" s="26"/>
      <c r="K384" s="27"/>
      <c r="L384" s="27"/>
      <c r="M384" s="27"/>
      <c r="N384" s="27"/>
      <c r="O384" s="31" t="str">
        <f aca="false">IF(G384="","",VLOOKUP(G384,Setup!$A$14:$C$17,3,0))</f>
        <v/>
      </c>
      <c r="P384" s="27"/>
      <c r="Q384" s="33" t="str">
        <f aca="false">IF(OR(P384="",M384&lt;&gt;"Paid",O384=""),"",P384/O384)</f>
        <v/>
      </c>
      <c r="R384" s="34" t="str">
        <f aca="false">IF(Q384="","",Q384+N(H384)*0.000000001)</f>
        <v/>
      </c>
      <c r="S384" s="32" t="str">
        <f aca="false">IF(R384="","",SUMPRODUCT((I$5:I$4004=I384)*ISNUMBER(R$5:R$4004)*(R$5:R$4004&gt;R384))+1)</f>
        <v/>
      </c>
      <c r="T384" s="32" t="str">
        <f aca="false">IF(S384="","",IF(S384&lt;=Setup!$B$5,"🏆 WINNER",""))</f>
        <v/>
      </c>
      <c r="U384" s="31" t="str">
        <f aca="false">IF(S384="","",I384&amp;"|"&amp;S384)</f>
        <v/>
      </c>
    </row>
    <row r="385" customFormat="false" ht="15" hidden="false" customHeight="false" outlineLevel="0" collapsed="false">
      <c r="A385" s="24" t="n">
        <v>381</v>
      </c>
      <c r="B385" s="25" t="str">
        <f aca="false">IF(OR(C385="",I385="",G385=""),"",IFERROR(VLOOKUP(I385,Setup!$A$9:$B$11,2,0),"???")&amp;"-"&amp;G385&amp;"-"&amp;TEXT(COUNTIFS(I$5:I385,I385,G$5:G385,G385),"0000"))</f>
        <v/>
      </c>
      <c r="C385" s="26"/>
      <c r="D385" s="26"/>
      <c r="E385" s="27"/>
      <c r="F385" s="27"/>
      <c r="G385" s="24" t="str">
        <f aca="false">IF(F385="","",IF(F385&lt;=5,"A",IF(F385&lt;=8,"B",IF(F385&lt;=10,"C","D"))))</f>
        <v/>
      </c>
      <c r="H385" s="28"/>
      <c r="I385" s="27"/>
      <c r="J385" s="26"/>
      <c r="K385" s="27"/>
      <c r="L385" s="27"/>
      <c r="M385" s="27"/>
      <c r="N385" s="27"/>
      <c r="O385" s="24" t="str">
        <f aca="false">IF(G385="","",VLOOKUP(G385,Setup!$A$14:$C$17,3,0))</f>
        <v/>
      </c>
      <c r="P385" s="27"/>
      <c r="Q385" s="29" t="str">
        <f aca="false">IF(OR(P385="",M385&lt;&gt;"Paid",O385=""),"",P385/O385)</f>
        <v/>
      </c>
      <c r="R385" s="30" t="str">
        <f aca="false">IF(Q385="","",Q385+N(H385)*0.000000001)</f>
        <v/>
      </c>
      <c r="S385" s="25" t="str">
        <f aca="false">IF(R385="","",SUMPRODUCT((I$5:I$4004=I385)*ISNUMBER(R$5:R$4004)*(R$5:R$4004&gt;R385))+1)</f>
        <v/>
      </c>
      <c r="T385" s="25" t="str">
        <f aca="false">IF(S385="","",IF(S385&lt;=Setup!$B$5,"🏆 WINNER",""))</f>
        <v/>
      </c>
      <c r="U385" s="24" t="str">
        <f aca="false">IF(S385="","",I385&amp;"|"&amp;S385)</f>
        <v/>
      </c>
    </row>
    <row r="386" customFormat="false" ht="15" hidden="false" customHeight="false" outlineLevel="0" collapsed="false">
      <c r="A386" s="31" t="n">
        <v>382</v>
      </c>
      <c r="B386" s="32" t="str">
        <f aca="false">IF(OR(C386="",I386="",G386=""),"",IFERROR(VLOOKUP(I386,Setup!$A$9:$B$11,2,0),"???")&amp;"-"&amp;G386&amp;"-"&amp;TEXT(COUNTIFS(I$5:I386,I386,G$5:G386,G386),"0000"))</f>
        <v/>
      </c>
      <c r="C386" s="26"/>
      <c r="D386" s="26"/>
      <c r="E386" s="27"/>
      <c r="F386" s="27"/>
      <c r="G386" s="31" t="str">
        <f aca="false">IF(F386="","",IF(F386&lt;=5,"A",IF(F386&lt;=8,"B",IF(F386&lt;=10,"C","D"))))</f>
        <v/>
      </c>
      <c r="H386" s="28"/>
      <c r="I386" s="27"/>
      <c r="J386" s="26"/>
      <c r="K386" s="27"/>
      <c r="L386" s="27"/>
      <c r="M386" s="27"/>
      <c r="N386" s="27"/>
      <c r="O386" s="31" t="str">
        <f aca="false">IF(G386="","",VLOOKUP(G386,Setup!$A$14:$C$17,3,0))</f>
        <v/>
      </c>
      <c r="P386" s="27"/>
      <c r="Q386" s="33" t="str">
        <f aca="false">IF(OR(P386="",M386&lt;&gt;"Paid",O386=""),"",P386/O386)</f>
        <v/>
      </c>
      <c r="R386" s="34" t="str">
        <f aca="false">IF(Q386="","",Q386+N(H386)*0.000000001)</f>
        <v/>
      </c>
      <c r="S386" s="32" t="str">
        <f aca="false">IF(R386="","",SUMPRODUCT((I$5:I$4004=I386)*ISNUMBER(R$5:R$4004)*(R$5:R$4004&gt;R386))+1)</f>
        <v/>
      </c>
      <c r="T386" s="32" t="str">
        <f aca="false">IF(S386="","",IF(S386&lt;=Setup!$B$5,"🏆 WINNER",""))</f>
        <v/>
      </c>
      <c r="U386" s="31" t="str">
        <f aca="false">IF(S386="","",I386&amp;"|"&amp;S386)</f>
        <v/>
      </c>
    </row>
    <row r="387" customFormat="false" ht="15" hidden="false" customHeight="false" outlineLevel="0" collapsed="false">
      <c r="A387" s="24" t="n">
        <v>383</v>
      </c>
      <c r="B387" s="25" t="str">
        <f aca="false">IF(OR(C387="",I387="",G387=""),"",IFERROR(VLOOKUP(I387,Setup!$A$9:$B$11,2,0),"???")&amp;"-"&amp;G387&amp;"-"&amp;TEXT(COUNTIFS(I$5:I387,I387,G$5:G387,G387),"0000"))</f>
        <v/>
      </c>
      <c r="C387" s="26"/>
      <c r="D387" s="26"/>
      <c r="E387" s="27"/>
      <c r="F387" s="27"/>
      <c r="G387" s="24" t="str">
        <f aca="false">IF(F387="","",IF(F387&lt;=5,"A",IF(F387&lt;=8,"B",IF(F387&lt;=10,"C","D"))))</f>
        <v/>
      </c>
      <c r="H387" s="28"/>
      <c r="I387" s="27"/>
      <c r="J387" s="26"/>
      <c r="K387" s="27"/>
      <c r="L387" s="27"/>
      <c r="M387" s="27"/>
      <c r="N387" s="27"/>
      <c r="O387" s="24" t="str">
        <f aca="false">IF(G387="","",VLOOKUP(G387,Setup!$A$14:$C$17,3,0))</f>
        <v/>
      </c>
      <c r="P387" s="27"/>
      <c r="Q387" s="29" t="str">
        <f aca="false">IF(OR(P387="",M387&lt;&gt;"Paid",O387=""),"",P387/O387)</f>
        <v/>
      </c>
      <c r="R387" s="30" t="str">
        <f aca="false">IF(Q387="","",Q387+N(H387)*0.000000001)</f>
        <v/>
      </c>
      <c r="S387" s="25" t="str">
        <f aca="false">IF(R387="","",SUMPRODUCT((I$5:I$4004=I387)*ISNUMBER(R$5:R$4004)*(R$5:R$4004&gt;R387))+1)</f>
        <v/>
      </c>
      <c r="T387" s="25" t="str">
        <f aca="false">IF(S387="","",IF(S387&lt;=Setup!$B$5,"🏆 WINNER",""))</f>
        <v/>
      </c>
      <c r="U387" s="24" t="str">
        <f aca="false">IF(S387="","",I387&amp;"|"&amp;S387)</f>
        <v/>
      </c>
    </row>
    <row r="388" customFormat="false" ht="15" hidden="false" customHeight="false" outlineLevel="0" collapsed="false">
      <c r="A388" s="31" t="n">
        <v>384</v>
      </c>
      <c r="B388" s="32" t="str">
        <f aca="false">IF(OR(C388="",I388="",G388=""),"",IFERROR(VLOOKUP(I388,Setup!$A$9:$B$11,2,0),"???")&amp;"-"&amp;G388&amp;"-"&amp;TEXT(COUNTIFS(I$5:I388,I388,G$5:G388,G388),"0000"))</f>
        <v/>
      </c>
      <c r="C388" s="26"/>
      <c r="D388" s="26"/>
      <c r="E388" s="27"/>
      <c r="F388" s="27"/>
      <c r="G388" s="31" t="str">
        <f aca="false">IF(F388="","",IF(F388&lt;=5,"A",IF(F388&lt;=8,"B",IF(F388&lt;=10,"C","D"))))</f>
        <v/>
      </c>
      <c r="H388" s="28"/>
      <c r="I388" s="27"/>
      <c r="J388" s="26"/>
      <c r="K388" s="27"/>
      <c r="L388" s="27"/>
      <c r="M388" s="27"/>
      <c r="N388" s="27"/>
      <c r="O388" s="31" t="str">
        <f aca="false">IF(G388="","",VLOOKUP(G388,Setup!$A$14:$C$17,3,0))</f>
        <v/>
      </c>
      <c r="P388" s="27"/>
      <c r="Q388" s="33" t="str">
        <f aca="false">IF(OR(P388="",M388&lt;&gt;"Paid",O388=""),"",P388/O388)</f>
        <v/>
      </c>
      <c r="R388" s="34" t="str">
        <f aca="false">IF(Q388="","",Q388+N(H388)*0.000000001)</f>
        <v/>
      </c>
      <c r="S388" s="32" t="str">
        <f aca="false">IF(R388="","",SUMPRODUCT((I$5:I$4004=I388)*ISNUMBER(R$5:R$4004)*(R$5:R$4004&gt;R388))+1)</f>
        <v/>
      </c>
      <c r="T388" s="32" t="str">
        <f aca="false">IF(S388="","",IF(S388&lt;=Setup!$B$5,"🏆 WINNER",""))</f>
        <v/>
      </c>
      <c r="U388" s="31" t="str">
        <f aca="false">IF(S388="","",I388&amp;"|"&amp;S388)</f>
        <v/>
      </c>
    </row>
    <row r="389" customFormat="false" ht="15" hidden="false" customHeight="false" outlineLevel="0" collapsed="false">
      <c r="A389" s="24" t="n">
        <v>385</v>
      </c>
      <c r="B389" s="25" t="str">
        <f aca="false">IF(OR(C389="",I389="",G389=""),"",IFERROR(VLOOKUP(I389,Setup!$A$9:$B$11,2,0),"???")&amp;"-"&amp;G389&amp;"-"&amp;TEXT(COUNTIFS(I$5:I389,I389,G$5:G389,G389),"0000"))</f>
        <v/>
      </c>
      <c r="C389" s="26"/>
      <c r="D389" s="26"/>
      <c r="E389" s="27"/>
      <c r="F389" s="27"/>
      <c r="G389" s="24" t="str">
        <f aca="false">IF(F389="","",IF(F389&lt;=5,"A",IF(F389&lt;=8,"B",IF(F389&lt;=10,"C","D"))))</f>
        <v/>
      </c>
      <c r="H389" s="28"/>
      <c r="I389" s="27"/>
      <c r="J389" s="26"/>
      <c r="K389" s="27"/>
      <c r="L389" s="27"/>
      <c r="M389" s="27"/>
      <c r="N389" s="27"/>
      <c r="O389" s="24" t="str">
        <f aca="false">IF(G389="","",VLOOKUP(G389,Setup!$A$14:$C$17,3,0))</f>
        <v/>
      </c>
      <c r="P389" s="27"/>
      <c r="Q389" s="29" t="str">
        <f aca="false">IF(OR(P389="",M389&lt;&gt;"Paid",O389=""),"",P389/O389)</f>
        <v/>
      </c>
      <c r="R389" s="30" t="str">
        <f aca="false">IF(Q389="","",Q389+N(H389)*0.000000001)</f>
        <v/>
      </c>
      <c r="S389" s="25" t="str">
        <f aca="false">IF(R389="","",SUMPRODUCT((I$5:I$4004=I389)*ISNUMBER(R$5:R$4004)*(R$5:R$4004&gt;R389))+1)</f>
        <v/>
      </c>
      <c r="T389" s="25" t="str">
        <f aca="false">IF(S389="","",IF(S389&lt;=Setup!$B$5,"🏆 WINNER",""))</f>
        <v/>
      </c>
      <c r="U389" s="24" t="str">
        <f aca="false">IF(S389="","",I389&amp;"|"&amp;S389)</f>
        <v/>
      </c>
    </row>
    <row r="390" customFormat="false" ht="15" hidden="false" customHeight="false" outlineLevel="0" collapsed="false">
      <c r="A390" s="31" t="n">
        <v>386</v>
      </c>
      <c r="B390" s="32" t="str">
        <f aca="false">IF(OR(C390="",I390="",G390=""),"",IFERROR(VLOOKUP(I390,Setup!$A$9:$B$11,2,0),"???")&amp;"-"&amp;G390&amp;"-"&amp;TEXT(COUNTIFS(I$5:I390,I390,G$5:G390,G390),"0000"))</f>
        <v/>
      </c>
      <c r="C390" s="26"/>
      <c r="D390" s="26"/>
      <c r="E390" s="27"/>
      <c r="F390" s="27"/>
      <c r="G390" s="31" t="str">
        <f aca="false">IF(F390="","",IF(F390&lt;=5,"A",IF(F390&lt;=8,"B",IF(F390&lt;=10,"C","D"))))</f>
        <v/>
      </c>
      <c r="H390" s="28"/>
      <c r="I390" s="27"/>
      <c r="J390" s="26"/>
      <c r="K390" s="27"/>
      <c r="L390" s="27"/>
      <c r="M390" s="27"/>
      <c r="N390" s="27"/>
      <c r="O390" s="31" t="str">
        <f aca="false">IF(G390="","",VLOOKUP(G390,Setup!$A$14:$C$17,3,0))</f>
        <v/>
      </c>
      <c r="P390" s="27"/>
      <c r="Q390" s="33" t="str">
        <f aca="false">IF(OR(P390="",M390&lt;&gt;"Paid",O390=""),"",P390/O390)</f>
        <v/>
      </c>
      <c r="R390" s="34" t="str">
        <f aca="false">IF(Q390="","",Q390+N(H390)*0.000000001)</f>
        <v/>
      </c>
      <c r="S390" s="32" t="str">
        <f aca="false">IF(R390="","",SUMPRODUCT((I$5:I$4004=I390)*ISNUMBER(R$5:R$4004)*(R$5:R$4004&gt;R390))+1)</f>
        <v/>
      </c>
      <c r="T390" s="32" t="str">
        <f aca="false">IF(S390="","",IF(S390&lt;=Setup!$B$5,"🏆 WINNER",""))</f>
        <v/>
      </c>
      <c r="U390" s="31" t="str">
        <f aca="false">IF(S390="","",I390&amp;"|"&amp;S390)</f>
        <v/>
      </c>
    </row>
    <row r="391" customFormat="false" ht="15" hidden="false" customHeight="false" outlineLevel="0" collapsed="false">
      <c r="A391" s="24" t="n">
        <v>387</v>
      </c>
      <c r="B391" s="25" t="str">
        <f aca="false">IF(OR(C391="",I391="",G391=""),"",IFERROR(VLOOKUP(I391,Setup!$A$9:$B$11,2,0),"???")&amp;"-"&amp;G391&amp;"-"&amp;TEXT(COUNTIFS(I$5:I391,I391,G$5:G391,G391),"0000"))</f>
        <v/>
      </c>
      <c r="C391" s="26"/>
      <c r="D391" s="26"/>
      <c r="E391" s="27"/>
      <c r="F391" s="27"/>
      <c r="G391" s="24" t="str">
        <f aca="false">IF(F391="","",IF(F391&lt;=5,"A",IF(F391&lt;=8,"B",IF(F391&lt;=10,"C","D"))))</f>
        <v/>
      </c>
      <c r="H391" s="28"/>
      <c r="I391" s="27"/>
      <c r="J391" s="26"/>
      <c r="K391" s="27"/>
      <c r="L391" s="27"/>
      <c r="M391" s="27"/>
      <c r="N391" s="27"/>
      <c r="O391" s="24" t="str">
        <f aca="false">IF(G391="","",VLOOKUP(G391,Setup!$A$14:$C$17,3,0))</f>
        <v/>
      </c>
      <c r="P391" s="27"/>
      <c r="Q391" s="29" t="str">
        <f aca="false">IF(OR(P391="",M391&lt;&gt;"Paid",O391=""),"",P391/O391)</f>
        <v/>
      </c>
      <c r="R391" s="30" t="str">
        <f aca="false">IF(Q391="","",Q391+N(H391)*0.000000001)</f>
        <v/>
      </c>
      <c r="S391" s="25" t="str">
        <f aca="false">IF(R391="","",SUMPRODUCT((I$5:I$4004=I391)*ISNUMBER(R$5:R$4004)*(R$5:R$4004&gt;R391))+1)</f>
        <v/>
      </c>
      <c r="T391" s="25" t="str">
        <f aca="false">IF(S391="","",IF(S391&lt;=Setup!$B$5,"🏆 WINNER",""))</f>
        <v/>
      </c>
      <c r="U391" s="24" t="str">
        <f aca="false">IF(S391="","",I391&amp;"|"&amp;S391)</f>
        <v/>
      </c>
    </row>
    <row r="392" customFormat="false" ht="15" hidden="false" customHeight="false" outlineLevel="0" collapsed="false">
      <c r="A392" s="31" t="n">
        <v>388</v>
      </c>
      <c r="B392" s="32" t="str">
        <f aca="false">IF(OR(C392="",I392="",G392=""),"",IFERROR(VLOOKUP(I392,Setup!$A$9:$B$11,2,0),"???")&amp;"-"&amp;G392&amp;"-"&amp;TEXT(COUNTIFS(I$5:I392,I392,G$5:G392,G392),"0000"))</f>
        <v/>
      </c>
      <c r="C392" s="26"/>
      <c r="D392" s="26"/>
      <c r="E392" s="27"/>
      <c r="F392" s="27"/>
      <c r="G392" s="31" t="str">
        <f aca="false">IF(F392="","",IF(F392&lt;=5,"A",IF(F392&lt;=8,"B",IF(F392&lt;=10,"C","D"))))</f>
        <v/>
      </c>
      <c r="H392" s="28"/>
      <c r="I392" s="27"/>
      <c r="J392" s="26"/>
      <c r="K392" s="27"/>
      <c r="L392" s="27"/>
      <c r="M392" s="27"/>
      <c r="N392" s="27"/>
      <c r="O392" s="31" t="str">
        <f aca="false">IF(G392="","",VLOOKUP(G392,Setup!$A$14:$C$17,3,0))</f>
        <v/>
      </c>
      <c r="P392" s="27"/>
      <c r="Q392" s="33" t="str">
        <f aca="false">IF(OR(P392="",M392&lt;&gt;"Paid",O392=""),"",P392/O392)</f>
        <v/>
      </c>
      <c r="R392" s="34" t="str">
        <f aca="false">IF(Q392="","",Q392+N(H392)*0.000000001)</f>
        <v/>
      </c>
      <c r="S392" s="32" t="str">
        <f aca="false">IF(R392="","",SUMPRODUCT((I$5:I$4004=I392)*ISNUMBER(R$5:R$4004)*(R$5:R$4004&gt;R392))+1)</f>
        <v/>
      </c>
      <c r="T392" s="32" t="str">
        <f aca="false">IF(S392="","",IF(S392&lt;=Setup!$B$5,"🏆 WINNER",""))</f>
        <v/>
      </c>
      <c r="U392" s="31" t="str">
        <f aca="false">IF(S392="","",I392&amp;"|"&amp;S392)</f>
        <v/>
      </c>
    </row>
    <row r="393" customFormat="false" ht="15" hidden="false" customHeight="false" outlineLevel="0" collapsed="false">
      <c r="A393" s="24" t="n">
        <v>389</v>
      </c>
      <c r="B393" s="25" t="str">
        <f aca="false">IF(OR(C393="",I393="",G393=""),"",IFERROR(VLOOKUP(I393,Setup!$A$9:$B$11,2,0),"???")&amp;"-"&amp;G393&amp;"-"&amp;TEXT(COUNTIFS(I$5:I393,I393,G$5:G393,G393),"0000"))</f>
        <v/>
      </c>
      <c r="C393" s="26"/>
      <c r="D393" s="26"/>
      <c r="E393" s="27"/>
      <c r="F393" s="27"/>
      <c r="G393" s="24" t="str">
        <f aca="false">IF(F393="","",IF(F393&lt;=5,"A",IF(F393&lt;=8,"B",IF(F393&lt;=10,"C","D"))))</f>
        <v/>
      </c>
      <c r="H393" s="28"/>
      <c r="I393" s="27"/>
      <c r="J393" s="26"/>
      <c r="K393" s="27"/>
      <c r="L393" s="27"/>
      <c r="M393" s="27"/>
      <c r="N393" s="27"/>
      <c r="O393" s="24" t="str">
        <f aca="false">IF(G393="","",VLOOKUP(G393,Setup!$A$14:$C$17,3,0))</f>
        <v/>
      </c>
      <c r="P393" s="27"/>
      <c r="Q393" s="29" t="str">
        <f aca="false">IF(OR(P393="",M393&lt;&gt;"Paid",O393=""),"",P393/O393)</f>
        <v/>
      </c>
      <c r="R393" s="30" t="str">
        <f aca="false">IF(Q393="","",Q393+N(H393)*0.000000001)</f>
        <v/>
      </c>
      <c r="S393" s="25" t="str">
        <f aca="false">IF(R393="","",SUMPRODUCT((I$5:I$4004=I393)*ISNUMBER(R$5:R$4004)*(R$5:R$4004&gt;R393))+1)</f>
        <v/>
      </c>
      <c r="T393" s="25" t="str">
        <f aca="false">IF(S393="","",IF(S393&lt;=Setup!$B$5,"🏆 WINNER",""))</f>
        <v/>
      </c>
      <c r="U393" s="24" t="str">
        <f aca="false">IF(S393="","",I393&amp;"|"&amp;S393)</f>
        <v/>
      </c>
    </row>
    <row r="394" customFormat="false" ht="15" hidden="false" customHeight="false" outlineLevel="0" collapsed="false">
      <c r="A394" s="31" t="n">
        <v>390</v>
      </c>
      <c r="B394" s="32" t="str">
        <f aca="false">IF(OR(C394="",I394="",G394=""),"",IFERROR(VLOOKUP(I394,Setup!$A$9:$B$11,2,0),"???")&amp;"-"&amp;G394&amp;"-"&amp;TEXT(COUNTIFS(I$5:I394,I394,G$5:G394,G394),"0000"))</f>
        <v/>
      </c>
      <c r="C394" s="26"/>
      <c r="D394" s="26"/>
      <c r="E394" s="27"/>
      <c r="F394" s="27"/>
      <c r="G394" s="31" t="str">
        <f aca="false">IF(F394="","",IF(F394&lt;=5,"A",IF(F394&lt;=8,"B",IF(F394&lt;=10,"C","D"))))</f>
        <v/>
      </c>
      <c r="H394" s="28"/>
      <c r="I394" s="27"/>
      <c r="J394" s="26"/>
      <c r="K394" s="27"/>
      <c r="L394" s="27"/>
      <c r="M394" s="27"/>
      <c r="N394" s="27"/>
      <c r="O394" s="31" t="str">
        <f aca="false">IF(G394="","",VLOOKUP(G394,Setup!$A$14:$C$17,3,0))</f>
        <v/>
      </c>
      <c r="P394" s="27"/>
      <c r="Q394" s="33" t="str">
        <f aca="false">IF(OR(P394="",M394&lt;&gt;"Paid",O394=""),"",P394/O394)</f>
        <v/>
      </c>
      <c r="R394" s="34" t="str">
        <f aca="false">IF(Q394="","",Q394+N(H394)*0.000000001)</f>
        <v/>
      </c>
      <c r="S394" s="32" t="str">
        <f aca="false">IF(R394="","",SUMPRODUCT((I$5:I$4004=I394)*ISNUMBER(R$5:R$4004)*(R$5:R$4004&gt;R394))+1)</f>
        <v/>
      </c>
      <c r="T394" s="32" t="str">
        <f aca="false">IF(S394="","",IF(S394&lt;=Setup!$B$5,"🏆 WINNER",""))</f>
        <v/>
      </c>
      <c r="U394" s="31" t="str">
        <f aca="false">IF(S394="","",I394&amp;"|"&amp;S394)</f>
        <v/>
      </c>
    </row>
    <row r="395" customFormat="false" ht="15" hidden="false" customHeight="false" outlineLevel="0" collapsed="false">
      <c r="A395" s="24" t="n">
        <v>391</v>
      </c>
      <c r="B395" s="25" t="str">
        <f aca="false">IF(OR(C395="",I395="",G395=""),"",IFERROR(VLOOKUP(I395,Setup!$A$9:$B$11,2,0),"???")&amp;"-"&amp;G395&amp;"-"&amp;TEXT(COUNTIFS(I$5:I395,I395,G$5:G395,G395),"0000"))</f>
        <v/>
      </c>
      <c r="C395" s="26"/>
      <c r="D395" s="26"/>
      <c r="E395" s="27"/>
      <c r="F395" s="27"/>
      <c r="G395" s="24" t="str">
        <f aca="false">IF(F395="","",IF(F395&lt;=5,"A",IF(F395&lt;=8,"B",IF(F395&lt;=10,"C","D"))))</f>
        <v/>
      </c>
      <c r="H395" s="28"/>
      <c r="I395" s="27"/>
      <c r="J395" s="26"/>
      <c r="K395" s="27"/>
      <c r="L395" s="27"/>
      <c r="M395" s="27"/>
      <c r="N395" s="27"/>
      <c r="O395" s="24" t="str">
        <f aca="false">IF(G395="","",VLOOKUP(G395,Setup!$A$14:$C$17,3,0))</f>
        <v/>
      </c>
      <c r="P395" s="27"/>
      <c r="Q395" s="29" t="str">
        <f aca="false">IF(OR(P395="",M395&lt;&gt;"Paid",O395=""),"",P395/O395)</f>
        <v/>
      </c>
      <c r="R395" s="30" t="str">
        <f aca="false">IF(Q395="","",Q395+N(H395)*0.000000001)</f>
        <v/>
      </c>
      <c r="S395" s="25" t="str">
        <f aca="false">IF(R395="","",SUMPRODUCT((I$5:I$4004=I395)*ISNUMBER(R$5:R$4004)*(R$5:R$4004&gt;R395))+1)</f>
        <v/>
      </c>
      <c r="T395" s="25" t="str">
        <f aca="false">IF(S395="","",IF(S395&lt;=Setup!$B$5,"🏆 WINNER",""))</f>
        <v/>
      </c>
      <c r="U395" s="24" t="str">
        <f aca="false">IF(S395="","",I395&amp;"|"&amp;S395)</f>
        <v/>
      </c>
    </row>
    <row r="396" customFormat="false" ht="15" hidden="false" customHeight="false" outlineLevel="0" collapsed="false">
      <c r="A396" s="31" t="n">
        <v>392</v>
      </c>
      <c r="B396" s="32" t="str">
        <f aca="false">IF(OR(C396="",I396="",G396=""),"",IFERROR(VLOOKUP(I396,Setup!$A$9:$B$11,2,0),"???")&amp;"-"&amp;G396&amp;"-"&amp;TEXT(COUNTIFS(I$5:I396,I396,G$5:G396,G396),"0000"))</f>
        <v/>
      </c>
      <c r="C396" s="26"/>
      <c r="D396" s="26"/>
      <c r="E396" s="27"/>
      <c r="F396" s="27"/>
      <c r="G396" s="31" t="str">
        <f aca="false">IF(F396="","",IF(F396&lt;=5,"A",IF(F396&lt;=8,"B",IF(F396&lt;=10,"C","D"))))</f>
        <v/>
      </c>
      <c r="H396" s="28"/>
      <c r="I396" s="27"/>
      <c r="J396" s="26"/>
      <c r="K396" s="27"/>
      <c r="L396" s="27"/>
      <c r="M396" s="27"/>
      <c r="N396" s="27"/>
      <c r="O396" s="31" t="str">
        <f aca="false">IF(G396="","",VLOOKUP(G396,Setup!$A$14:$C$17,3,0))</f>
        <v/>
      </c>
      <c r="P396" s="27"/>
      <c r="Q396" s="33" t="str">
        <f aca="false">IF(OR(P396="",M396&lt;&gt;"Paid",O396=""),"",P396/O396)</f>
        <v/>
      </c>
      <c r="R396" s="34" t="str">
        <f aca="false">IF(Q396="","",Q396+N(H396)*0.000000001)</f>
        <v/>
      </c>
      <c r="S396" s="32" t="str">
        <f aca="false">IF(R396="","",SUMPRODUCT((I$5:I$4004=I396)*ISNUMBER(R$5:R$4004)*(R$5:R$4004&gt;R396))+1)</f>
        <v/>
      </c>
      <c r="T396" s="32" t="str">
        <f aca="false">IF(S396="","",IF(S396&lt;=Setup!$B$5,"🏆 WINNER",""))</f>
        <v/>
      </c>
      <c r="U396" s="31" t="str">
        <f aca="false">IF(S396="","",I396&amp;"|"&amp;S396)</f>
        <v/>
      </c>
    </row>
    <row r="397" customFormat="false" ht="15" hidden="false" customHeight="false" outlineLevel="0" collapsed="false">
      <c r="A397" s="24" t="n">
        <v>393</v>
      </c>
      <c r="B397" s="25" t="str">
        <f aca="false">IF(OR(C397="",I397="",G397=""),"",IFERROR(VLOOKUP(I397,Setup!$A$9:$B$11,2,0),"???")&amp;"-"&amp;G397&amp;"-"&amp;TEXT(COUNTIFS(I$5:I397,I397,G$5:G397,G397),"0000"))</f>
        <v/>
      </c>
      <c r="C397" s="26"/>
      <c r="D397" s="26"/>
      <c r="E397" s="27"/>
      <c r="F397" s="27"/>
      <c r="G397" s="24" t="str">
        <f aca="false">IF(F397="","",IF(F397&lt;=5,"A",IF(F397&lt;=8,"B",IF(F397&lt;=10,"C","D"))))</f>
        <v/>
      </c>
      <c r="H397" s="28"/>
      <c r="I397" s="27"/>
      <c r="J397" s="26"/>
      <c r="K397" s="27"/>
      <c r="L397" s="27"/>
      <c r="M397" s="27"/>
      <c r="N397" s="27"/>
      <c r="O397" s="24" t="str">
        <f aca="false">IF(G397="","",VLOOKUP(G397,Setup!$A$14:$C$17,3,0))</f>
        <v/>
      </c>
      <c r="P397" s="27"/>
      <c r="Q397" s="29" t="str">
        <f aca="false">IF(OR(P397="",M397&lt;&gt;"Paid",O397=""),"",P397/O397)</f>
        <v/>
      </c>
      <c r="R397" s="30" t="str">
        <f aca="false">IF(Q397="","",Q397+N(H397)*0.000000001)</f>
        <v/>
      </c>
      <c r="S397" s="25" t="str">
        <f aca="false">IF(R397="","",SUMPRODUCT((I$5:I$4004=I397)*ISNUMBER(R$5:R$4004)*(R$5:R$4004&gt;R397))+1)</f>
        <v/>
      </c>
      <c r="T397" s="25" t="str">
        <f aca="false">IF(S397="","",IF(S397&lt;=Setup!$B$5,"🏆 WINNER",""))</f>
        <v/>
      </c>
      <c r="U397" s="24" t="str">
        <f aca="false">IF(S397="","",I397&amp;"|"&amp;S397)</f>
        <v/>
      </c>
    </row>
    <row r="398" customFormat="false" ht="15" hidden="false" customHeight="false" outlineLevel="0" collapsed="false">
      <c r="A398" s="31" t="n">
        <v>394</v>
      </c>
      <c r="B398" s="32" t="str">
        <f aca="false">IF(OR(C398="",I398="",G398=""),"",IFERROR(VLOOKUP(I398,Setup!$A$9:$B$11,2,0),"???")&amp;"-"&amp;G398&amp;"-"&amp;TEXT(COUNTIFS(I$5:I398,I398,G$5:G398,G398),"0000"))</f>
        <v/>
      </c>
      <c r="C398" s="26"/>
      <c r="D398" s="26"/>
      <c r="E398" s="27"/>
      <c r="F398" s="27"/>
      <c r="G398" s="31" t="str">
        <f aca="false">IF(F398="","",IF(F398&lt;=5,"A",IF(F398&lt;=8,"B",IF(F398&lt;=10,"C","D"))))</f>
        <v/>
      </c>
      <c r="H398" s="28"/>
      <c r="I398" s="27"/>
      <c r="J398" s="26"/>
      <c r="K398" s="27"/>
      <c r="L398" s="27"/>
      <c r="M398" s="27"/>
      <c r="N398" s="27"/>
      <c r="O398" s="31" t="str">
        <f aca="false">IF(G398="","",VLOOKUP(G398,Setup!$A$14:$C$17,3,0))</f>
        <v/>
      </c>
      <c r="P398" s="27"/>
      <c r="Q398" s="33" t="str">
        <f aca="false">IF(OR(P398="",M398&lt;&gt;"Paid",O398=""),"",P398/O398)</f>
        <v/>
      </c>
      <c r="R398" s="34" t="str">
        <f aca="false">IF(Q398="","",Q398+N(H398)*0.000000001)</f>
        <v/>
      </c>
      <c r="S398" s="32" t="str">
        <f aca="false">IF(R398="","",SUMPRODUCT((I$5:I$4004=I398)*ISNUMBER(R$5:R$4004)*(R$5:R$4004&gt;R398))+1)</f>
        <v/>
      </c>
      <c r="T398" s="32" t="str">
        <f aca="false">IF(S398="","",IF(S398&lt;=Setup!$B$5,"🏆 WINNER",""))</f>
        <v/>
      </c>
      <c r="U398" s="31" t="str">
        <f aca="false">IF(S398="","",I398&amp;"|"&amp;S398)</f>
        <v/>
      </c>
    </row>
    <row r="399" customFormat="false" ht="15" hidden="false" customHeight="false" outlineLevel="0" collapsed="false">
      <c r="A399" s="24" t="n">
        <v>395</v>
      </c>
      <c r="B399" s="25" t="str">
        <f aca="false">IF(OR(C399="",I399="",G399=""),"",IFERROR(VLOOKUP(I399,Setup!$A$9:$B$11,2,0),"???")&amp;"-"&amp;G399&amp;"-"&amp;TEXT(COUNTIFS(I$5:I399,I399,G$5:G399,G399),"0000"))</f>
        <v/>
      </c>
      <c r="C399" s="26"/>
      <c r="D399" s="26"/>
      <c r="E399" s="27"/>
      <c r="F399" s="27"/>
      <c r="G399" s="24" t="str">
        <f aca="false">IF(F399="","",IF(F399&lt;=5,"A",IF(F399&lt;=8,"B",IF(F399&lt;=10,"C","D"))))</f>
        <v/>
      </c>
      <c r="H399" s="28"/>
      <c r="I399" s="27"/>
      <c r="J399" s="26"/>
      <c r="K399" s="27"/>
      <c r="L399" s="27"/>
      <c r="M399" s="27"/>
      <c r="N399" s="27"/>
      <c r="O399" s="24" t="str">
        <f aca="false">IF(G399="","",VLOOKUP(G399,Setup!$A$14:$C$17,3,0))</f>
        <v/>
      </c>
      <c r="P399" s="27"/>
      <c r="Q399" s="29" t="str">
        <f aca="false">IF(OR(P399="",M399&lt;&gt;"Paid",O399=""),"",P399/O399)</f>
        <v/>
      </c>
      <c r="R399" s="30" t="str">
        <f aca="false">IF(Q399="","",Q399+N(H399)*0.000000001)</f>
        <v/>
      </c>
      <c r="S399" s="25" t="str">
        <f aca="false">IF(R399="","",SUMPRODUCT((I$5:I$4004=I399)*ISNUMBER(R$5:R$4004)*(R$5:R$4004&gt;R399))+1)</f>
        <v/>
      </c>
      <c r="T399" s="25" t="str">
        <f aca="false">IF(S399="","",IF(S399&lt;=Setup!$B$5,"🏆 WINNER",""))</f>
        <v/>
      </c>
      <c r="U399" s="24" t="str">
        <f aca="false">IF(S399="","",I399&amp;"|"&amp;S399)</f>
        <v/>
      </c>
    </row>
    <row r="400" customFormat="false" ht="15" hidden="false" customHeight="false" outlineLevel="0" collapsed="false">
      <c r="A400" s="31" t="n">
        <v>396</v>
      </c>
      <c r="B400" s="32" t="str">
        <f aca="false">IF(OR(C400="",I400="",G400=""),"",IFERROR(VLOOKUP(I400,Setup!$A$9:$B$11,2,0),"???")&amp;"-"&amp;G400&amp;"-"&amp;TEXT(COUNTIFS(I$5:I400,I400,G$5:G400,G400),"0000"))</f>
        <v/>
      </c>
      <c r="C400" s="26"/>
      <c r="D400" s="26"/>
      <c r="E400" s="27"/>
      <c r="F400" s="27"/>
      <c r="G400" s="31" t="str">
        <f aca="false">IF(F400="","",IF(F400&lt;=5,"A",IF(F400&lt;=8,"B",IF(F400&lt;=10,"C","D"))))</f>
        <v/>
      </c>
      <c r="H400" s="28"/>
      <c r="I400" s="27"/>
      <c r="J400" s="26"/>
      <c r="K400" s="27"/>
      <c r="L400" s="27"/>
      <c r="M400" s="27"/>
      <c r="N400" s="27"/>
      <c r="O400" s="31" t="str">
        <f aca="false">IF(G400="","",VLOOKUP(G400,Setup!$A$14:$C$17,3,0))</f>
        <v/>
      </c>
      <c r="P400" s="27"/>
      <c r="Q400" s="33" t="str">
        <f aca="false">IF(OR(P400="",M400&lt;&gt;"Paid",O400=""),"",P400/O400)</f>
        <v/>
      </c>
      <c r="R400" s="34" t="str">
        <f aca="false">IF(Q400="","",Q400+N(H400)*0.000000001)</f>
        <v/>
      </c>
      <c r="S400" s="32" t="str">
        <f aca="false">IF(R400="","",SUMPRODUCT((I$5:I$4004=I400)*ISNUMBER(R$5:R$4004)*(R$5:R$4004&gt;R400))+1)</f>
        <v/>
      </c>
      <c r="T400" s="32" t="str">
        <f aca="false">IF(S400="","",IF(S400&lt;=Setup!$B$5,"🏆 WINNER",""))</f>
        <v/>
      </c>
      <c r="U400" s="31" t="str">
        <f aca="false">IF(S400="","",I400&amp;"|"&amp;S400)</f>
        <v/>
      </c>
    </row>
    <row r="401" customFormat="false" ht="15" hidden="false" customHeight="false" outlineLevel="0" collapsed="false">
      <c r="A401" s="24" t="n">
        <v>397</v>
      </c>
      <c r="B401" s="25" t="str">
        <f aca="false">IF(OR(C401="",I401="",G401=""),"",IFERROR(VLOOKUP(I401,Setup!$A$9:$B$11,2,0),"???")&amp;"-"&amp;G401&amp;"-"&amp;TEXT(COUNTIFS(I$5:I401,I401,G$5:G401,G401),"0000"))</f>
        <v/>
      </c>
      <c r="C401" s="26"/>
      <c r="D401" s="26"/>
      <c r="E401" s="27"/>
      <c r="F401" s="27"/>
      <c r="G401" s="24" t="str">
        <f aca="false">IF(F401="","",IF(F401&lt;=5,"A",IF(F401&lt;=8,"B",IF(F401&lt;=10,"C","D"))))</f>
        <v/>
      </c>
      <c r="H401" s="28"/>
      <c r="I401" s="27"/>
      <c r="J401" s="26"/>
      <c r="K401" s="27"/>
      <c r="L401" s="27"/>
      <c r="M401" s="27"/>
      <c r="N401" s="27"/>
      <c r="O401" s="24" t="str">
        <f aca="false">IF(G401="","",VLOOKUP(G401,Setup!$A$14:$C$17,3,0))</f>
        <v/>
      </c>
      <c r="P401" s="27"/>
      <c r="Q401" s="29" t="str">
        <f aca="false">IF(OR(P401="",M401&lt;&gt;"Paid",O401=""),"",P401/O401)</f>
        <v/>
      </c>
      <c r="R401" s="30" t="str">
        <f aca="false">IF(Q401="","",Q401+N(H401)*0.000000001)</f>
        <v/>
      </c>
      <c r="S401" s="25" t="str">
        <f aca="false">IF(R401="","",SUMPRODUCT((I$5:I$4004=I401)*ISNUMBER(R$5:R$4004)*(R$5:R$4004&gt;R401))+1)</f>
        <v/>
      </c>
      <c r="T401" s="25" t="str">
        <f aca="false">IF(S401="","",IF(S401&lt;=Setup!$B$5,"🏆 WINNER",""))</f>
        <v/>
      </c>
      <c r="U401" s="24" t="str">
        <f aca="false">IF(S401="","",I401&amp;"|"&amp;S401)</f>
        <v/>
      </c>
    </row>
    <row r="402" customFormat="false" ht="15" hidden="false" customHeight="false" outlineLevel="0" collapsed="false">
      <c r="A402" s="31" t="n">
        <v>398</v>
      </c>
      <c r="B402" s="32" t="str">
        <f aca="false">IF(OR(C402="",I402="",G402=""),"",IFERROR(VLOOKUP(I402,Setup!$A$9:$B$11,2,0),"???")&amp;"-"&amp;G402&amp;"-"&amp;TEXT(COUNTIFS(I$5:I402,I402,G$5:G402,G402),"0000"))</f>
        <v/>
      </c>
      <c r="C402" s="26"/>
      <c r="D402" s="26"/>
      <c r="E402" s="27"/>
      <c r="F402" s="27"/>
      <c r="G402" s="31" t="str">
        <f aca="false">IF(F402="","",IF(F402&lt;=5,"A",IF(F402&lt;=8,"B",IF(F402&lt;=10,"C","D"))))</f>
        <v/>
      </c>
      <c r="H402" s="28"/>
      <c r="I402" s="27"/>
      <c r="J402" s="26"/>
      <c r="K402" s="27"/>
      <c r="L402" s="27"/>
      <c r="M402" s="27"/>
      <c r="N402" s="27"/>
      <c r="O402" s="31" t="str">
        <f aca="false">IF(G402="","",VLOOKUP(G402,Setup!$A$14:$C$17,3,0))</f>
        <v/>
      </c>
      <c r="P402" s="27"/>
      <c r="Q402" s="33" t="str">
        <f aca="false">IF(OR(P402="",M402&lt;&gt;"Paid",O402=""),"",P402/O402)</f>
        <v/>
      </c>
      <c r="R402" s="34" t="str">
        <f aca="false">IF(Q402="","",Q402+N(H402)*0.000000001)</f>
        <v/>
      </c>
      <c r="S402" s="32" t="str">
        <f aca="false">IF(R402="","",SUMPRODUCT((I$5:I$4004=I402)*ISNUMBER(R$5:R$4004)*(R$5:R$4004&gt;R402))+1)</f>
        <v/>
      </c>
      <c r="T402" s="32" t="str">
        <f aca="false">IF(S402="","",IF(S402&lt;=Setup!$B$5,"🏆 WINNER",""))</f>
        <v/>
      </c>
      <c r="U402" s="31" t="str">
        <f aca="false">IF(S402="","",I402&amp;"|"&amp;S402)</f>
        <v/>
      </c>
    </row>
    <row r="403" customFormat="false" ht="15" hidden="false" customHeight="false" outlineLevel="0" collapsed="false">
      <c r="A403" s="24" t="n">
        <v>399</v>
      </c>
      <c r="B403" s="25" t="str">
        <f aca="false">IF(OR(C403="",I403="",G403=""),"",IFERROR(VLOOKUP(I403,Setup!$A$9:$B$11,2,0),"???")&amp;"-"&amp;G403&amp;"-"&amp;TEXT(COUNTIFS(I$5:I403,I403,G$5:G403,G403),"0000"))</f>
        <v/>
      </c>
      <c r="C403" s="26"/>
      <c r="D403" s="26"/>
      <c r="E403" s="27"/>
      <c r="F403" s="27"/>
      <c r="G403" s="24" t="str">
        <f aca="false">IF(F403="","",IF(F403&lt;=5,"A",IF(F403&lt;=8,"B",IF(F403&lt;=10,"C","D"))))</f>
        <v/>
      </c>
      <c r="H403" s="28"/>
      <c r="I403" s="27"/>
      <c r="J403" s="26"/>
      <c r="K403" s="27"/>
      <c r="L403" s="27"/>
      <c r="M403" s="27"/>
      <c r="N403" s="27"/>
      <c r="O403" s="24" t="str">
        <f aca="false">IF(G403="","",VLOOKUP(G403,Setup!$A$14:$C$17,3,0))</f>
        <v/>
      </c>
      <c r="P403" s="27"/>
      <c r="Q403" s="29" t="str">
        <f aca="false">IF(OR(P403="",M403&lt;&gt;"Paid",O403=""),"",P403/O403)</f>
        <v/>
      </c>
      <c r="R403" s="30" t="str">
        <f aca="false">IF(Q403="","",Q403+N(H403)*0.000000001)</f>
        <v/>
      </c>
      <c r="S403" s="25" t="str">
        <f aca="false">IF(R403="","",SUMPRODUCT((I$5:I$4004=I403)*ISNUMBER(R$5:R$4004)*(R$5:R$4004&gt;R403))+1)</f>
        <v/>
      </c>
      <c r="T403" s="25" t="str">
        <f aca="false">IF(S403="","",IF(S403&lt;=Setup!$B$5,"🏆 WINNER",""))</f>
        <v/>
      </c>
      <c r="U403" s="24" t="str">
        <f aca="false">IF(S403="","",I403&amp;"|"&amp;S403)</f>
        <v/>
      </c>
    </row>
    <row r="404" customFormat="false" ht="15" hidden="false" customHeight="false" outlineLevel="0" collapsed="false">
      <c r="A404" s="31" t="n">
        <v>400</v>
      </c>
      <c r="B404" s="32" t="str">
        <f aca="false">IF(OR(C404="",I404="",G404=""),"",IFERROR(VLOOKUP(I404,Setup!$A$9:$B$11,2,0),"???")&amp;"-"&amp;G404&amp;"-"&amp;TEXT(COUNTIFS(I$5:I404,I404,G$5:G404,G404),"0000"))</f>
        <v/>
      </c>
      <c r="C404" s="26"/>
      <c r="D404" s="26"/>
      <c r="E404" s="27"/>
      <c r="F404" s="27"/>
      <c r="G404" s="31" t="str">
        <f aca="false">IF(F404="","",IF(F404&lt;=5,"A",IF(F404&lt;=8,"B",IF(F404&lt;=10,"C","D"))))</f>
        <v/>
      </c>
      <c r="H404" s="28"/>
      <c r="I404" s="27"/>
      <c r="J404" s="26"/>
      <c r="K404" s="27"/>
      <c r="L404" s="27"/>
      <c r="M404" s="27"/>
      <c r="N404" s="27"/>
      <c r="O404" s="31" t="str">
        <f aca="false">IF(G404="","",VLOOKUP(G404,Setup!$A$14:$C$17,3,0))</f>
        <v/>
      </c>
      <c r="P404" s="27"/>
      <c r="Q404" s="33" t="str">
        <f aca="false">IF(OR(P404="",M404&lt;&gt;"Paid",O404=""),"",P404/O404)</f>
        <v/>
      </c>
      <c r="R404" s="34" t="str">
        <f aca="false">IF(Q404="","",Q404+N(H404)*0.000000001)</f>
        <v/>
      </c>
      <c r="S404" s="32" t="str">
        <f aca="false">IF(R404="","",SUMPRODUCT((I$5:I$4004=I404)*ISNUMBER(R$5:R$4004)*(R$5:R$4004&gt;R404))+1)</f>
        <v/>
      </c>
      <c r="T404" s="32" t="str">
        <f aca="false">IF(S404="","",IF(S404&lt;=Setup!$B$5,"🏆 WINNER",""))</f>
        <v/>
      </c>
      <c r="U404" s="31" t="str">
        <f aca="false">IF(S404="","",I404&amp;"|"&amp;S404)</f>
        <v/>
      </c>
    </row>
    <row r="405" customFormat="false" ht="15" hidden="false" customHeight="false" outlineLevel="0" collapsed="false">
      <c r="A405" s="24" t="n">
        <v>401</v>
      </c>
      <c r="B405" s="25" t="str">
        <f aca="false">IF(OR(C405="",I405="",G405=""),"",IFERROR(VLOOKUP(I405,Setup!$A$9:$B$11,2,0),"???")&amp;"-"&amp;G405&amp;"-"&amp;TEXT(COUNTIFS(I$5:I405,I405,G$5:G405,G405),"0000"))</f>
        <v/>
      </c>
      <c r="C405" s="26"/>
      <c r="D405" s="26"/>
      <c r="E405" s="27"/>
      <c r="F405" s="27"/>
      <c r="G405" s="24" t="str">
        <f aca="false">IF(F405="","",IF(F405&lt;=5,"A",IF(F405&lt;=8,"B",IF(F405&lt;=10,"C","D"))))</f>
        <v/>
      </c>
      <c r="H405" s="28"/>
      <c r="I405" s="27"/>
      <c r="J405" s="26"/>
      <c r="K405" s="27"/>
      <c r="L405" s="27"/>
      <c r="M405" s="27"/>
      <c r="N405" s="27"/>
      <c r="O405" s="24" t="str">
        <f aca="false">IF(G405="","",VLOOKUP(G405,Setup!$A$14:$C$17,3,0))</f>
        <v/>
      </c>
      <c r="P405" s="27"/>
      <c r="Q405" s="29" t="str">
        <f aca="false">IF(OR(P405="",M405&lt;&gt;"Paid",O405=""),"",P405/O405)</f>
        <v/>
      </c>
      <c r="R405" s="30" t="str">
        <f aca="false">IF(Q405="","",Q405+N(H405)*0.000000001)</f>
        <v/>
      </c>
      <c r="S405" s="25" t="str">
        <f aca="false">IF(R405="","",SUMPRODUCT((I$5:I$4004=I405)*ISNUMBER(R$5:R$4004)*(R$5:R$4004&gt;R405))+1)</f>
        <v/>
      </c>
      <c r="T405" s="25" t="str">
        <f aca="false">IF(S405="","",IF(S405&lt;=Setup!$B$5,"🏆 WINNER",""))</f>
        <v/>
      </c>
      <c r="U405" s="24" t="str">
        <f aca="false">IF(S405="","",I405&amp;"|"&amp;S405)</f>
        <v/>
      </c>
    </row>
    <row r="406" customFormat="false" ht="15" hidden="false" customHeight="false" outlineLevel="0" collapsed="false">
      <c r="A406" s="31" t="n">
        <v>402</v>
      </c>
      <c r="B406" s="32" t="str">
        <f aca="false">IF(OR(C406="",I406="",G406=""),"",IFERROR(VLOOKUP(I406,Setup!$A$9:$B$11,2,0),"???")&amp;"-"&amp;G406&amp;"-"&amp;TEXT(COUNTIFS(I$5:I406,I406,G$5:G406,G406),"0000"))</f>
        <v/>
      </c>
      <c r="C406" s="26"/>
      <c r="D406" s="26"/>
      <c r="E406" s="27"/>
      <c r="F406" s="27"/>
      <c r="G406" s="31" t="str">
        <f aca="false">IF(F406="","",IF(F406&lt;=5,"A",IF(F406&lt;=8,"B",IF(F406&lt;=10,"C","D"))))</f>
        <v/>
      </c>
      <c r="H406" s="28"/>
      <c r="I406" s="27"/>
      <c r="J406" s="26"/>
      <c r="K406" s="27"/>
      <c r="L406" s="27"/>
      <c r="M406" s="27"/>
      <c r="N406" s="27"/>
      <c r="O406" s="31" t="str">
        <f aca="false">IF(G406="","",VLOOKUP(G406,Setup!$A$14:$C$17,3,0))</f>
        <v/>
      </c>
      <c r="P406" s="27"/>
      <c r="Q406" s="33" t="str">
        <f aca="false">IF(OR(P406="",M406&lt;&gt;"Paid",O406=""),"",P406/O406)</f>
        <v/>
      </c>
      <c r="R406" s="34" t="str">
        <f aca="false">IF(Q406="","",Q406+N(H406)*0.000000001)</f>
        <v/>
      </c>
      <c r="S406" s="32" t="str">
        <f aca="false">IF(R406="","",SUMPRODUCT((I$5:I$4004=I406)*ISNUMBER(R$5:R$4004)*(R$5:R$4004&gt;R406))+1)</f>
        <v/>
      </c>
      <c r="T406" s="32" t="str">
        <f aca="false">IF(S406="","",IF(S406&lt;=Setup!$B$5,"🏆 WINNER",""))</f>
        <v/>
      </c>
      <c r="U406" s="31" t="str">
        <f aca="false">IF(S406="","",I406&amp;"|"&amp;S406)</f>
        <v/>
      </c>
    </row>
    <row r="407" customFormat="false" ht="15" hidden="false" customHeight="false" outlineLevel="0" collapsed="false">
      <c r="A407" s="24" t="n">
        <v>403</v>
      </c>
      <c r="B407" s="25" t="str">
        <f aca="false">IF(OR(C407="",I407="",G407=""),"",IFERROR(VLOOKUP(I407,Setup!$A$9:$B$11,2,0),"???")&amp;"-"&amp;G407&amp;"-"&amp;TEXT(COUNTIFS(I$5:I407,I407,G$5:G407,G407),"0000"))</f>
        <v/>
      </c>
      <c r="C407" s="26"/>
      <c r="D407" s="26"/>
      <c r="E407" s="27"/>
      <c r="F407" s="27"/>
      <c r="G407" s="24" t="str">
        <f aca="false">IF(F407="","",IF(F407&lt;=5,"A",IF(F407&lt;=8,"B",IF(F407&lt;=10,"C","D"))))</f>
        <v/>
      </c>
      <c r="H407" s="28"/>
      <c r="I407" s="27"/>
      <c r="J407" s="26"/>
      <c r="K407" s="27"/>
      <c r="L407" s="27"/>
      <c r="M407" s="27"/>
      <c r="N407" s="27"/>
      <c r="O407" s="24" t="str">
        <f aca="false">IF(G407="","",VLOOKUP(G407,Setup!$A$14:$C$17,3,0))</f>
        <v/>
      </c>
      <c r="P407" s="27"/>
      <c r="Q407" s="29" t="str">
        <f aca="false">IF(OR(P407="",M407&lt;&gt;"Paid",O407=""),"",P407/O407)</f>
        <v/>
      </c>
      <c r="R407" s="30" t="str">
        <f aca="false">IF(Q407="","",Q407+N(H407)*0.000000001)</f>
        <v/>
      </c>
      <c r="S407" s="25" t="str">
        <f aca="false">IF(R407="","",SUMPRODUCT((I$5:I$4004=I407)*ISNUMBER(R$5:R$4004)*(R$5:R$4004&gt;R407))+1)</f>
        <v/>
      </c>
      <c r="T407" s="25" t="str">
        <f aca="false">IF(S407="","",IF(S407&lt;=Setup!$B$5,"🏆 WINNER",""))</f>
        <v/>
      </c>
      <c r="U407" s="24" t="str">
        <f aca="false">IF(S407="","",I407&amp;"|"&amp;S407)</f>
        <v/>
      </c>
    </row>
    <row r="408" customFormat="false" ht="15" hidden="false" customHeight="false" outlineLevel="0" collapsed="false">
      <c r="A408" s="31" t="n">
        <v>404</v>
      </c>
      <c r="B408" s="32" t="str">
        <f aca="false">IF(OR(C408="",I408="",G408=""),"",IFERROR(VLOOKUP(I408,Setup!$A$9:$B$11,2,0),"???")&amp;"-"&amp;G408&amp;"-"&amp;TEXT(COUNTIFS(I$5:I408,I408,G$5:G408,G408),"0000"))</f>
        <v/>
      </c>
      <c r="C408" s="26"/>
      <c r="D408" s="26"/>
      <c r="E408" s="27"/>
      <c r="F408" s="27"/>
      <c r="G408" s="31" t="str">
        <f aca="false">IF(F408="","",IF(F408&lt;=5,"A",IF(F408&lt;=8,"B",IF(F408&lt;=10,"C","D"))))</f>
        <v/>
      </c>
      <c r="H408" s="28"/>
      <c r="I408" s="27"/>
      <c r="J408" s="26"/>
      <c r="K408" s="27"/>
      <c r="L408" s="27"/>
      <c r="M408" s="27"/>
      <c r="N408" s="27"/>
      <c r="O408" s="31" t="str">
        <f aca="false">IF(G408="","",VLOOKUP(G408,Setup!$A$14:$C$17,3,0))</f>
        <v/>
      </c>
      <c r="P408" s="27"/>
      <c r="Q408" s="33" t="str">
        <f aca="false">IF(OR(P408="",M408&lt;&gt;"Paid",O408=""),"",P408/O408)</f>
        <v/>
      </c>
      <c r="R408" s="34" t="str">
        <f aca="false">IF(Q408="","",Q408+N(H408)*0.000000001)</f>
        <v/>
      </c>
      <c r="S408" s="32" t="str">
        <f aca="false">IF(R408="","",SUMPRODUCT((I$5:I$4004=I408)*ISNUMBER(R$5:R$4004)*(R$5:R$4004&gt;R408))+1)</f>
        <v/>
      </c>
      <c r="T408" s="32" t="str">
        <f aca="false">IF(S408="","",IF(S408&lt;=Setup!$B$5,"🏆 WINNER",""))</f>
        <v/>
      </c>
      <c r="U408" s="31" t="str">
        <f aca="false">IF(S408="","",I408&amp;"|"&amp;S408)</f>
        <v/>
      </c>
    </row>
    <row r="409" customFormat="false" ht="15" hidden="false" customHeight="false" outlineLevel="0" collapsed="false">
      <c r="A409" s="24" t="n">
        <v>405</v>
      </c>
      <c r="B409" s="25" t="str">
        <f aca="false">IF(OR(C409="",I409="",G409=""),"",IFERROR(VLOOKUP(I409,Setup!$A$9:$B$11,2,0),"???")&amp;"-"&amp;G409&amp;"-"&amp;TEXT(COUNTIFS(I$5:I409,I409,G$5:G409,G409),"0000"))</f>
        <v/>
      </c>
      <c r="C409" s="26"/>
      <c r="D409" s="26"/>
      <c r="E409" s="27"/>
      <c r="F409" s="27"/>
      <c r="G409" s="24" t="str">
        <f aca="false">IF(F409="","",IF(F409&lt;=5,"A",IF(F409&lt;=8,"B",IF(F409&lt;=10,"C","D"))))</f>
        <v/>
      </c>
      <c r="H409" s="28"/>
      <c r="I409" s="27"/>
      <c r="J409" s="26"/>
      <c r="K409" s="27"/>
      <c r="L409" s="27"/>
      <c r="M409" s="27"/>
      <c r="N409" s="27"/>
      <c r="O409" s="24" t="str">
        <f aca="false">IF(G409="","",VLOOKUP(G409,Setup!$A$14:$C$17,3,0))</f>
        <v/>
      </c>
      <c r="P409" s="27"/>
      <c r="Q409" s="29" t="str">
        <f aca="false">IF(OR(P409="",M409&lt;&gt;"Paid",O409=""),"",P409/O409)</f>
        <v/>
      </c>
      <c r="R409" s="30" t="str">
        <f aca="false">IF(Q409="","",Q409+N(H409)*0.000000001)</f>
        <v/>
      </c>
      <c r="S409" s="25" t="str">
        <f aca="false">IF(R409="","",SUMPRODUCT((I$5:I$4004=I409)*ISNUMBER(R$5:R$4004)*(R$5:R$4004&gt;R409))+1)</f>
        <v/>
      </c>
      <c r="T409" s="25" t="str">
        <f aca="false">IF(S409="","",IF(S409&lt;=Setup!$B$5,"🏆 WINNER",""))</f>
        <v/>
      </c>
      <c r="U409" s="24" t="str">
        <f aca="false">IF(S409="","",I409&amp;"|"&amp;S409)</f>
        <v/>
      </c>
    </row>
    <row r="410" customFormat="false" ht="15" hidden="false" customHeight="false" outlineLevel="0" collapsed="false">
      <c r="A410" s="31" t="n">
        <v>406</v>
      </c>
      <c r="B410" s="32" t="str">
        <f aca="false">IF(OR(C410="",I410="",G410=""),"",IFERROR(VLOOKUP(I410,Setup!$A$9:$B$11,2,0),"???")&amp;"-"&amp;G410&amp;"-"&amp;TEXT(COUNTIFS(I$5:I410,I410,G$5:G410,G410),"0000"))</f>
        <v/>
      </c>
      <c r="C410" s="26"/>
      <c r="D410" s="26"/>
      <c r="E410" s="27"/>
      <c r="F410" s="27"/>
      <c r="G410" s="31" t="str">
        <f aca="false">IF(F410="","",IF(F410&lt;=5,"A",IF(F410&lt;=8,"B",IF(F410&lt;=10,"C","D"))))</f>
        <v/>
      </c>
      <c r="H410" s="28"/>
      <c r="I410" s="27"/>
      <c r="J410" s="26"/>
      <c r="K410" s="27"/>
      <c r="L410" s="27"/>
      <c r="M410" s="27"/>
      <c r="N410" s="27"/>
      <c r="O410" s="31" t="str">
        <f aca="false">IF(G410="","",VLOOKUP(G410,Setup!$A$14:$C$17,3,0))</f>
        <v/>
      </c>
      <c r="P410" s="27"/>
      <c r="Q410" s="33" t="str">
        <f aca="false">IF(OR(P410="",M410&lt;&gt;"Paid",O410=""),"",P410/O410)</f>
        <v/>
      </c>
      <c r="R410" s="34" t="str">
        <f aca="false">IF(Q410="","",Q410+N(H410)*0.000000001)</f>
        <v/>
      </c>
      <c r="S410" s="32" t="str">
        <f aca="false">IF(R410="","",SUMPRODUCT((I$5:I$4004=I410)*ISNUMBER(R$5:R$4004)*(R$5:R$4004&gt;R410))+1)</f>
        <v/>
      </c>
      <c r="T410" s="32" t="str">
        <f aca="false">IF(S410="","",IF(S410&lt;=Setup!$B$5,"🏆 WINNER",""))</f>
        <v/>
      </c>
      <c r="U410" s="31" t="str">
        <f aca="false">IF(S410="","",I410&amp;"|"&amp;S410)</f>
        <v/>
      </c>
    </row>
    <row r="411" customFormat="false" ht="15" hidden="false" customHeight="false" outlineLevel="0" collapsed="false">
      <c r="A411" s="24" t="n">
        <v>407</v>
      </c>
      <c r="B411" s="25" t="str">
        <f aca="false">IF(OR(C411="",I411="",G411=""),"",IFERROR(VLOOKUP(I411,Setup!$A$9:$B$11,2,0),"???")&amp;"-"&amp;G411&amp;"-"&amp;TEXT(COUNTIFS(I$5:I411,I411,G$5:G411,G411),"0000"))</f>
        <v/>
      </c>
      <c r="C411" s="26"/>
      <c r="D411" s="26"/>
      <c r="E411" s="27"/>
      <c r="F411" s="27"/>
      <c r="G411" s="24" t="str">
        <f aca="false">IF(F411="","",IF(F411&lt;=5,"A",IF(F411&lt;=8,"B",IF(F411&lt;=10,"C","D"))))</f>
        <v/>
      </c>
      <c r="H411" s="28"/>
      <c r="I411" s="27"/>
      <c r="J411" s="26"/>
      <c r="K411" s="27"/>
      <c r="L411" s="27"/>
      <c r="M411" s="27"/>
      <c r="N411" s="27"/>
      <c r="O411" s="24" t="str">
        <f aca="false">IF(G411="","",VLOOKUP(G411,Setup!$A$14:$C$17,3,0))</f>
        <v/>
      </c>
      <c r="P411" s="27"/>
      <c r="Q411" s="29" t="str">
        <f aca="false">IF(OR(P411="",M411&lt;&gt;"Paid",O411=""),"",P411/O411)</f>
        <v/>
      </c>
      <c r="R411" s="30" t="str">
        <f aca="false">IF(Q411="","",Q411+N(H411)*0.000000001)</f>
        <v/>
      </c>
      <c r="S411" s="25" t="str">
        <f aca="false">IF(R411="","",SUMPRODUCT((I$5:I$4004=I411)*ISNUMBER(R$5:R$4004)*(R$5:R$4004&gt;R411))+1)</f>
        <v/>
      </c>
      <c r="T411" s="25" t="str">
        <f aca="false">IF(S411="","",IF(S411&lt;=Setup!$B$5,"🏆 WINNER",""))</f>
        <v/>
      </c>
      <c r="U411" s="24" t="str">
        <f aca="false">IF(S411="","",I411&amp;"|"&amp;S411)</f>
        <v/>
      </c>
    </row>
    <row r="412" customFormat="false" ht="15" hidden="false" customHeight="false" outlineLevel="0" collapsed="false">
      <c r="A412" s="31" t="n">
        <v>408</v>
      </c>
      <c r="B412" s="32" t="str">
        <f aca="false">IF(OR(C412="",I412="",G412=""),"",IFERROR(VLOOKUP(I412,Setup!$A$9:$B$11,2,0),"???")&amp;"-"&amp;G412&amp;"-"&amp;TEXT(COUNTIFS(I$5:I412,I412,G$5:G412,G412),"0000"))</f>
        <v/>
      </c>
      <c r="C412" s="26"/>
      <c r="D412" s="26"/>
      <c r="E412" s="27"/>
      <c r="F412" s="27"/>
      <c r="G412" s="31" t="str">
        <f aca="false">IF(F412="","",IF(F412&lt;=5,"A",IF(F412&lt;=8,"B",IF(F412&lt;=10,"C","D"))))</f>
        <v/>
      </c>
      <c r="H412" s="28"/>
      <c r="I412" s="27"/>
      <c r="J412" s="26"/>
      <c r="K412" s="27"/>
      <c r="L412" s="27"/>
      <c r="M412" s="27"/>
      <c r="N412" s="27"/>
      <c r="O412" s="31" t="str">
        <f aca="false">IF(G412="","",VLOOKUP(G412,Setup!$A$14:$C$17,3,0))</f>
        <v/>
      </c>
      <c r="P412" s="27"/>
      <c r="Q412" s="33" t="str">
        <f aca="false">IF(OR(P412="",M412&lt;&gt;"Paid",O412=""),"",P412/O412)</f>
        <v/>
      </c>
      <c r="R412" s="34" t="str">
        <f aca="false">IF(Q412="","",Q412+N(H412)*0.000000001)</f>
        <v/>
      </c>
      <c r="S412" s="32" t="str">
        <f aca="false">IF(R412="","",SUMPRODUCT((I$5:I$4004=I412)*ISNUMBER(R$5:R$4004)*(R$5:R$4004&gt;R412))+1)</f>
        <v/>
      </c>
      <c r="T412" s="32" t="str">
        <f aca="false">IF(S412="","",IF(S412&lt;=Setup!$B$5,"🏆 WINNER",""))</f>
        <v/>
      </c>
      <c r="U412" s="31" t="str">
        <f aca="false">IF(S412="","",I412&amp;"|"&amp;S412)</f>
        <v/>
      </c>
    </row>
    <row r="413" customFormat="false" ht="15" hidden="false" customHeight="false" outlineLevel="0" collapsed="false">
      <c r="A413" s="24" t="n">
        <v>409</v>
      </c>
      <c r="B413" s="25" t="str">
        <f aca="false">IF(OR(C413="",I413="",G413=""),"",IFERROR(VLOOKUP(I413,Setup!$A$9:$B$11,2,0),"???")&amp;"-"&amp;G413&amp;"-"&amp;TEXT(COUNTIFS(I$5:I413,I413,G$5:G413,G413),"0000"))</f>
        <v/>
      </c>
      <c r="C413" s="26"/>
      <c r="D413" s="26"/>
      <c r="E413" s="27"/>
      <c r="F413" s="27"/>
      <c r="G413" s="24" t="str">
        <f aca="false">IF(F413="","",IF(F413&lt;=5,"A",IF(F413&lt;=8,"B",IF(F413&lt;=10,"C","D"))))</f>
        <v/>
      </c>
      <c r="H413" s="28"/>
      <c r="I413" s="27"/>
      <c r="J413" s="26"/>
      <c r="K413" s="27"/>
      <c r="L413" s="27"/>
      <c r="M413" s="27"/>
      <c r="N413" s="27"/>
      <c r="O413" s="24" t="str">
        <f aca="false">IF(G413="","",VLOOKUP(G413,Setup!$A$14:$C$17,3,0))</f>
        <v/>
      </c>
      <c r="P413" s="27"/>
      <c r="Q413" s="29" t="str">
        <f aca="false">IF(OR(P413="",M413&lt;&gt;"Paid",O413=""),"",P413/O413)</f>
        <v/>
      </c>
      <c r="R413" s="30" t="str">
        <f aca="false">IF(Q413="","",Q413+N(H413)*0.000000001)</f>
        <v/>
      </c>
      <c r="S413" s="25" t="str">
        <f aca="false">IF(R413="","",SUMPRODUCT((I$5:I$4004=I413)*ISNUMBER(R$5:R$4004)*(R$5:R$4004&gt;R413))+1)</f>
        <v/>
      </c>
      <c r="T413" s="25" t="str">
        <f aca="false">IF(S413="","",IF(S413&lt;=Setup!$B$5,"🏆 WINNER",""))</f>
        <v/>
      </c>
      <c r="U413" s="24" t="str">
        <f aca="false">IF(S413="","",I413&amp;"|"&amp;S413)</f>
        <v/>
      </c>
    </row>
    <row r="414" customFormat="false" ht="15" hidden="false" customHeight="false" outlineLevel="0" collapsed="false">
      <c r="A414" s="31" t="n">
        <v>410</v>
      </c>
      <c r="B414" s="32" t="str">
        <f aca="false">IF(OR(C414="",I414="",G414=""),"",IFERROR(VLOOKUP(I414,Setup!$A$9:$B$11,2,0),"???")&amp;"-"&amp;G414&amp;"-"&amp;TEXT(COUNTIFS(I$5:I414,I414,G$5:G414,G414),"0000"))</f>
        <v/>
      </c>
      <c r="C414" s="26"/>
      <c r="D414" s="26"/>
      <c r="E414" s="27"/>
      <c r="F414" s="27"/>
      <c r="G414" s="31" t="str">
        <f aca="false">IF(F414="","",IF(F414&lt;=5,"A",IF(F414&lt;=8,"B",IF(F414&lt;=10,"C","D"))))</f>
        <v/>
      </c>
      <c r="H414" s="28"/>
      <c r="I414" s="27"/>
      <c r="J414" s="26"/>
      <c r="K414" s="27"/>
      <c r="L414" s="27"/>
      <c r="M414" s="27"/>
      <c r="N414" s="27"/>
      <c r="O414" s="31" t="str">
        <f aca="false">IF(G414="","",VLOOKUP(G414,Setup!$A$14:$C$17,3,0))</f>
        <v/>
      </c>
      <c r="P414" s="27"/>
      <c r="Q414" s="33" t="str">
        <f aca="false">IF(OR(P414="",M414&lt;&gt;"Paid",O414=""),"",P414/O414)</f>
        <v/>
      </c>
      <c r="R414" s="34" t="str">
        <f aca="false">IF(Q414="","",Q414+N(H414)*0.000000001)</f>
        <v/>
      </c>
      <c r="S414" s="32" t="str">
        <f aca="false">IF(R414="","",SUMPRODUCT((I$5:I$4004=I414)*ISNUMBER(R$5:R$4004)*(R$5:R$4004&gt;R414))+1)</f>
        <v/>
      </c>
      <c r="T414" s="32" t="str">
        <f aca="false">IF(S414="","",IF(S414&lt;=Setup!$B$5,"🏆 WINNER",""))</f>
        <v/>
      </c>
      <c r="U414" s="31" t="str">
        <f aca="false">IF(S414="","",I414&amp;"|"&amp;S414)</f>
        <v/>
      </c>
    </row>
    <row r="415" customFormat="false" ht="15" hidden="false" customHeight="false" outlineLevel="0" collapsed="false">
      <c r="A415" s="24" t="n">
        <v>411</v>
      </c>
      <c r="B415" s="25" t="str">
        <f aca="false">IF(OR(C415="",I415="",G415=""),"",IFERROR(VLOOKUP(I415,Setup!$A$9:$B$11,2,0),"???")&amp;"-"&amp;G415&amp;"-"&amp;TEXT(COUNTIFS(I$5:I415,I415,G$5:G415,G415),"0000"))</f>
        <v/>
      </c>
      <c r="C415" s="26"/>
      <c r="D415" s="26"/>
      <c r="E415" s="27"/>
      <c r="F415" s="27"/>
      <c r="G415" s="24" t="str">
        <f aca="false">IF(F415="","",IF(F415&lt;=5,"A",IF(F415&lt;=8,"B",IF(F415&lt;=10,"C","D"))))</f>
        <v/>
      </c>
      <c r="H415" s="28"/>
      <c r="I415" s="27"/>
      <c r="J415" s="26"/>
      <c r="K415" s="27"/>
      <c r="L415" s="27"/>
      <c r="M415" s="27"/>
      <c r="N415" s="27"/>
      <c r="O415" s="24" t="str">
        <f aca="false">IF(G415="","",VLOOKUP(G415,Setup!$A$14:$C$17,3,0))</f>
        <v/>
      </c>
      <c r="P415" s="27"/>
      <c r="Q415" s="29" t="str">
        <f aca="false">IF(OR(P415="",M415&lt;&gt;"Paid",O415=""),"",P415/O415)</f>
        <v/>
      </c>
      <c r="R415" s="30" t="str">
        <f aca="false">IF(Q415="","",Q415+N(H415)*0.000000001)</f>
        <v/>
      </c>
      <c r="S415" s="25" t="str">
        <f aca="false">IF(R415="","",SUMPRODUCT((I$5:I$4004=I415)*ISNUMBER(R$5:R$4004)*(R$5:R$4004&gt;R415))+1)</f>
        <v/>
      </c>
      <c r="T415" s="25" t="str">
        <f aca="false">IF(S415="","",IF(S415&lt;=Setup!$B$5,"🏆 WINNER",""))</f>
        <v/>
      </c>
      <c r="U415" s="24" t="str">
        <f aca="false">IF(S415="","",I415&amp;"|"&amp;S415)</f>
        <v/>
      </c>
    </row>
    <row r="416" customFormat="false" ht="15" hidden="false" customHeight="false" outlineLevel="0" collapsed="false">
      <c r="A416" s="31" t="n">
        <v>412</v>
      </c>
      <c r="B416" s="32" t="str">
        <f aca="false">IF(OR(C416="",I416="",G416=""),"",IFERROR(VLOOKUP(I416,Setup!$A$9:$B$11,2,0),"???")&amp;"-"&amp;G416&amp;"-"&amp;TEXT(COUNTIFS(I$5:I416,I416,G$5:G416,G416),"0000"))</f>
        <v/>
      </c>
      <c r="C416" s="26"/>
      <c r="D416" s="26"/>
      <c r="E416" s="27"/>
      <c r="F416" s="27"/>
      <c r="G416" s="31" t="str">
        <f aca="false">IF(F416="","",IF(F416&lt;=5,"A",IF(F416&lt;=8,"B",IF(F416&lt;=10,"C","D"))))</f>
        <v/>
      </c>
      <c r="H416" s="28"/>
      <c r="I416" s="27"/>
      <c r="J416" s="26"/>
      <c r="K416" s="27"/>
      <c r="L416" s="27"/>
      <c r="M416" s="27"/>
      <c r="N416" s="27"/>
      <c r="O416" s="31" t="str">
        <f aca="false">IF(G416="","",VLOOKUP(G416,Setup!$A$14:$C$17,3,0))</f>
        <v/>
      </c>
      <c r="P416" s="27"/>
      <c r="Q416" s="33" t="str">
        <f aca="false">IF(OR(P416="",M416&lt;&gt;"Paid",O416=""),"",P416/O416)</f>
        <v/>
      </c>
      <c r="R416" s="34" t="str">
        <f aca="false">IF(Q416="","",Q416+N(H416)*0.000000001)</f>
        <v/>
      </c>
      <c r="S416" s="32" t="str">
        <f aca="false">IF(R416="","",SUMPRODUCT((I$5:I$4004=I416)*ISNUMBER(R$5:R$4004)*(R$5:R$4004&gt;R416))+1)</f>
        <v/>
      </c>
      <c r="T416" s="32" t="str">
        <f aca="false">IF(S416="","",IF(S416&lt;=Setup!$B$5,"🏆 WINNER",""))</f>
        <v/>
      </c>
      <c r="U416" s="31" t="str">
        <f aca="false">IF(S416="","",I416&amp;"|"&amp;S416)</f>
        <v/>
      </c>
    </row>
    <row r="417" customFormat="false" ht="15" hidden="false" customHeight="false" outlineLevel="0" collapsed="false">
      <c r="A417" s="24" t="n">
        <v>413</v>
      </c>
      <c r="B417" s="25" t="str">
        <f aca="false">IF(OR(C417="",I417="",G417=""),"",IFERROR(VLOOKUP(I417,Setup!$A$9:$B$11,2,0),"???")&amp;"-"&amp;G417&amp;"-"&amp;TEXT(COUNTIFS(I$5:I417,I417,G$5:G417,G417),"0000"))</f>
        <v/>
      </c>
      <c r="C417" s="26"/>
      <c r="D417" s="26"/>
      <c r="E417" s="27"/>
      <c r="F417" s="27"/>
      <c r="G417" s="24" t="str">
        <f aca="false">IF(F417="","",IF(F417&lt;=5,"A",IF(F417&lt;=8,"B",IF(F417&lt;=10,"C","D"))))</f>
        <v/>
      </c>
      <c r="H417" s="28"/>
      <c r="I417" s="27"/>
      <c r="J417" s="26"/>
      <c r="K417" s="27"/>
      <c r="L417" s="27"/>
      <c r="M417" s="27"/>
      <c r="N417" s="27"/>
      <c r="O417" s="24" t="str">
        <f aca="false">IF(G417="","",VLOOKUP(G417,Setup!$A$14:$C$17,3,0))</f>
        <v/>
      </c>
      <c r="P417" s="27"/>
      <c r="Q417" s="29" t="str">
        <f aca="false">IF(OR(P417="",M417&lt;&gt;"Paid",O417=""),"",P417/O417)</f>
        <v/>
      </c>
      <c r="R417" s="30" t="str">
        <f aca="false">IF(Q417="","",Q417+N(H417)*0.000000001)</f>
        <v/>
      </c>
      <c r="S417" s="25" t="str">
        <f aca="false">IF(R417="","",SUMPRODUCT((I$5:I$4004=I417)*ISNUMBER(R$5:R$4004)*(R$5:R$4004&gt;R417))+1)</f>
        <v/>
      </c>
      <c r="T417" s="25" t="str">
        <f aca="false">IF(S417="","",IF(S417&lt;=Setup!$B$5,"🏆 WINNER",""))</f>
        <v/>
      </c>
      <c r="U417" s="24" t="str">
        <f aca="false">IF(S417="","",I417&amp;"|"&amp;S417)</f>
        <v/>
      </c>
    </row>
    <row r="418" customFormat="false" ht="15" hidden="false" customHeight="false" outlineLevel="0" collapsed="false">
      <c r="A418" s="31" t="n">
        <v>414</v>
      </c>
      <c r="B418" s="32" t="str">
        <f aca="false">IF(OR(C418="",I418="",G418=""),"",IFERROR(VLOOKUP(I418,Setup!$A$9:$B$11,2,0),"???")&amp;"-"&amp;G418&amp;"-"&amp;TEXT(COUNTIFS(I$5:I418,I418,G$5:G418,G418),"0000"))</f>
        <v/>
      </c>
      <c r="C418" s="26"/>
      <c r="D418" s="26"/>
      <c r="E418" s="27"/>
      <c r="F418" s="27"/>
      <c r="G418" s="31" t="str">
        <f aca="false">IF(F418="","",IF(F418&lt;=5,"A",IF(F418&lt;=8,"B",IF(F418&lt;=10,"C","D"))))</f>
        <v/>
      </c>
      <c r="H418" s="28"/>
      <c r="I418" s="27"/>
      <c r="J418" s="26"/>
      <c r="K418" s="27"/>
      <c r="L418" s="27"/>
      <c r="M418" s="27"/>
      <c r="N418" s="27"/>
      <c r="O418" s="31" t="str">
        <f aca="false">IF(G418="","",VLOOKUP(G418,Setup!$A$14:$C$17,3,0))</f>
        <v/>
      </c>
      <c r="P418" s="27"/>
      <c r="Q418" s="33" t="str">
        <f aca="false">IF(OR(P418="",M418&lt;&gt;"Paid",O418=""),"",P418/O418)</f>
        <v/>
      </c>
      <c r="R418" s="34" t="str">
        <f aca="false">IF(Q418="","",Q418+N(H418)*0.000000001)</f>
        <v/>
      </c>
      <c r="S418" s="32" t="str">
        <f aca="false">IF(R418="","",SUMPRODUCT((I$5:I$4004=I418)*ISNUMBER(R$5:R$4004)*(R$5:R$4004&gt;R418))+1)</f>
        <v/>
      </c>
      <c r="T418" s="32" t="str">
        <f aca="false">IF(S418="","",IF(S418&lt;=Setup!$B$5,"🏆 WINNER",""))</f>
        <v/>
      </c>
      <c r="U418" s="31" t="str">
        <f aca="false">IF(S418="","",I418&amp;"|"&amp;S418)</f>
        <v/>
      </c>
    </row>
    <row r="419" customFormat="false" ht="15" hidden="false" customHeight="false" outlineLevel="0" collapsed="false">
      <c r="A419" s="24" t="n">
        <v>415</v>
      </c>
      <c r="B419" s="25" t="str">
        <f aca="false">IF(OR(C419="",I419="",G419=""),"",IFERROR(VLOOKUP(I419,Setup!$A$9:$B$11,2,0),"???")&amp;"-"&amp;G419&amp;"-"&amp;TEXT(COUNTIFS(I$5:I419,I419,G$5:G419,G419),"0000"))</f>
        <v/>
      </c>
      <c r="C419" s="26"/>
      <c r="D419" s="26"/>
      <c r="E419" s="27"/>
      <c r="F419" s="27"/>
      <c r="G419" s="24" t="str">
        <f aca="false">IF(F419="","",IF(F419&lt;=5,"A",IF(F419&lt;=8,"B",IF(F419&lt;=10,"C","D"))))</f>
        <v/>
      </c>
      <c r="H419" s="28"/>
      <c r="I419" s="27"/>
      <c r="J419" s="26"/>
      <c r="K419" s="27"/>
      <c r="L419" s="27"/>
      <c r="M419" s="27"/>
      <c r="N419" s="27"/>
      <c r="O419" s="24" t="str">
        <f aca="false">IF(G419="","",VLOOKUP(G419,Setup!$A$14:$C$17,3,0))</f>
        <v/>
      </c>
      <c r="P419" s="27"/>
      <c r="Q419" s="29" t="str">
        <f aca="false">IF(OR(P419="",M419&lt;&gt;"Paid",O419=""),"",P419/O419)</f>
        <v/>
      </c>
      <c r="R419" s="30" t="str">
        <f aca="false">IF(Q419="","",Q419+N(H419)*0.000000001)</f>
        <v/>
      </c>
      <c r="S419" s="25" t="str">
        <f aca="false">IF(R419="","",SUMPRODUCT((I$5:I$4004=I419)*ISNUMBER(R$5:R$4004)*(R$5:R$4004&gt;R419))+1)</f>
        <v/>
      </c>
      <c r="T419" s="25" t="str">
        <f aca="false">IF(S419="","",IF(S419&lt;=Setup!$B$5,"🏆 WINNER",""))</f>
        <v/>
      </c>
      <c r="U419" s="24" t="str">
        <f aca="false">IF(S419="","",I419&amp;"|"&amp;S419)</f>
        <v/>
      </c>
    </row>
    <row r="420" customFormat="false" ht="15" hidden="false" customHeight="false" outlineLevel="0" collapsed="false">
      <c r="A420" s="31" t="n">
        <v>416</v>
      </c>
      <c r="B420" s="32" t="str">
        <f aca="false">IF(OR(C420="",I420="",G420=""),"",IFERROR(VLOOKUP(I420,Setup!$A$9:$B$11,2,0),"???")&amp;"-"&amp;G420&amp;"-"&amp;TEXT(COUNTIFS(I$5:I420,I420,G$5:G420,G420),"0000"))</f>
        <v/>
      </c>
      <c r="C420" s="26"/>
      <c r="D420" s="26"/>
      <c r="E420" s="27"/>
      <c r="F420" s="27"/>
      <c r="G420" s="31" t="str">
        <f aca="false">IF(F420="","",IF(F420&lt;=5,"A",IF(F420&lt;=8,"B",IF(F420&lt;=10,"C","D"))))</f>
        <v/>
      </c>
      <c r="H420" s="28"/>
      <c r="I420" s="27"/>
      <c r="J420" s="26"/>
      <c r="K420" s="27"/>
      <c r="L420" s="27"/>
      <c r="M420" s="27"/>
      <c r="N420" s="27"/>
      <c r="O420" s="31" t="str">
        <f aca="false">IF(G420="","",VLOOKUP(G420,Setup!$A$14:$C$17,3,0))</f>
        <v/>
      </c>
      <c r="P420" s="27"/>
      <c r="Q420" s="33" t="str">
        <f aca="false">IF(OR(P420="",M420&lt;&gt;"Paid",O420=""),"",P420/O420)</f>
        <v/>
      </c>
      <c r="R420" s="34" t="str">
        <f aca="false">IF(Q420="","",Q420+N(H420)*0.000000001)</f>
        <v/>
      </c>
      <c r="S420" s="32" t="str">
        <f aca="false">IF(R420="","",SUMPRODUCT((I$5:I$4004=I420)*ISNUMBER(R$5:R$4004)*(R$5:R$4004&gt;R420))+1)</f>
        <v/>
      </c>
      <c r="T420" s="32" t="str">
        <f aca="false">IF(S420="","",IF(S420&lt;=Setup!$B$5,"🏆 WINNER",""))</f>
        <v/>
      </c>
      <c r="U420" s="31" t="str">
        <f aca="false">IF(S420="","",I420&amp;"|"&amp;S420)</f>
        <v/>
      </c>
    </row>
    <row r="421" customFormat="false" ht="15" hidden="false" customHeight="false" outlineLevel="0" collapsed="false">
      <c r="A421" s="24" t="n">
        <v>417</v>
      </c>
      <c r="B421" s="25" t="str">
        <f aca="false">IF(OR(C421="",I421="",G421=""),"",IFERROR(VLOOKUP(I421,Setup!$A$9:$B$11,2,0),"???")&amp;"-"&amp;G421&amp;"-"&amp;TEXT(COUNTIFS(I$5:I421,I421,G$5:G421,G421),"0000"))</f>
        <v/>
      </c>
      <c r="C421" s="26"/>
      <c r="D421" s="26"/>
      <c r="E421" s="27"/>
      <c r="F421" s="27"/>
      <c r="G421" s="24" t="str">
        <f aca="false">IF(F421="","",IF(F421&lt;=5,"A",IF(F421&lt;=8,"B",IF(F421&lt;=10,"C","D"))))</f>
        <v/>
      </c>
      <c r="H421" s="28"/>
      <c r="I421" s="27"/>
      <c r="J421" s="26"/>
      <c r="K421" s="27"/>
      <c r="L421" s="27"/>
      <c r="M421" s="27"/>
      <c r="N421" s="27"/>
      <c r="O421" s="24" t="str">
        <f aca="false">IF(G421="","",VLOOKUP(G421,Setup!$A$14:$C$17,3,0))</f>
        <v/>
      </c>
      <c r="P421" s="27"/>
      <c r="Q421" s="29" t="str">
        <f aca="false">IF(OR(P421="",M421&lt;&gt;"Paid",O421=""),"",P421/O421)</f>
        <v/>
      </c>
      <c r="R421" s="30" t="str">
        <f aca="false">IF(Q421="","",Q421+N(H421)*0.000000001)</f>
        <v/>
      </c>
      <c r="S421" s="25" t="str">
        <f aca="false">IF(R421="","",SUMPRODUCT((I$5:I$4004=I421)*ISNUMBER(R$5:R$4004)*(R$5:R$4004&gt;R421))+1)</f>
        <v/>
      </c>
      <c r="T421" s="25" t="str">
        <f aca="false">IF(S421="","",IF(S421&lt;=Setup!$B$5,"🏆 WINNER",""))</f>
        <v/>
      </c>
      <c r="U421" s="24" t="str">
        <f aca="false">IF(S421="","",I421&amp;"|"&amp;S421)</f>
        <v/>
      </c>
    </row>
    <row r="422" customFormat="false" ht="15" hidden="false" customHeight="false" outlineLevel="0" collapsed="false">
      <c r="A422" s="31" t="n">
        <v>418</v>
      </c>
      <c r="B422" s="32" t="str">
        <f aca="false">IF(OR(C422="",I422="",G422=""),"",IFERROR(VLOOKUP(I422,Setup!$A$9:$B$11,2,0),"???")&amp;"-"&amp;G422&amp;"-"&amp;TEXT(COUNTIFS(I$5:I422,I422,G$5:G422,G422),"0000"))</f>
        <v/>
      </c>
      <c r="C422" s="26"/>
      <c r="D422" s="26"/>
      <c r="E422" s="27"/>
      <c r="F422" s="27"/>
      <c r="G422" s="31" t="str">
        <f aca="false">IF(F422="","",IF(F422&lt;=5,"A",IF(F422&lt;=8,"B",IF(F422&lt;=10,"C","D"))))</f>
        <v/>
      </c>
      <c r="H422" s="28"/>
      <c r="I422" s="27"/>
      <c r="J422" s="26"/>
      <c r="K422" s="27"/>
      <c r="L422" s="27"/>
      <c r="M422" s="27"/>
      <c r="N422" s="27"/>
      <c r="O422" s="31" t="str">
        <f aca="false">IF(G422="","",VLOOKUP(G422,Setup!$A$14:$C$17,3,0))</f>
        <v/>
      </c>
      <c r="P422" s="27"/>
      <c r="Q422" s="33" t="str">
        <f aca="false">IF(OR(P422="",M422&lt;&gt;"Paid",O422=""),"",P422/O422)</f>
        <v/>
      </c>
      <c r="R422" s="34" t="str">
        <f aca="false">IF(Q422="","",Q422+N(H422)*0.000000001)</f>
        <v/>
      </c>
      <c r="S422" s="32" t="str">
        <f aca="false">IF(R422="","",SUMPRODUCT((I$5:I$4004=I422)*ISNUMBER(R$5:R$4004)*(R$5:R$4004&gt;R422))+1)</f>
        <v/>
      </c>
      <c r="T422" s="32" t="str">
        <f aca="false">IF(S422="","",IF(S422&lt;=Setup!$B$5,"🏆 WINNER",""))</f>
        <v/>
      </c>
      <c r="U422" s="31" t="str">
        <f aca="false">IF(S422="","",I422&amp;"|"&amp;S422)</f>
        <v/>
      </c>
    </row>
    <row r="423" customFormat="false" ht="15" hidden="false" customHeight="false" outlineLevel="0" collapsed="false">
      <c r="A423" s="24" t="n">
        <v>419</v>
      </c>
      <c r="B423" s="25" t="str">
        <f aca="false">IF(OR(C423="",I423="",G423=""),"",IFERROR(VLOOKUP(I423,Setup!$A$9:$B$11,2,0),"???")&amp;"-"&amp;G423&amp;"-"&amp;TEXT(COUNTIFS(I$5:I423,I423,G$5:G423,G423),"0000"))</f>
        <v/>
      </c>
      <c r="C423" s="26"/>
      <c r="D423" s="26"/>
      <c r="E423" s="27"/>
      <c r="F423" s="27"/>
      <c r="G423" s="24" t="str">
        <f aca="false">IF(F423="","",IF(F423&lt;=5,"A",IF(F423&lt;=8,"B",IF(F423&lt;=10,"C","D"))))</f>
        <v/>
      </c>
      <c r="H423" s="28"/>
      <c r="I423" s="27"/>
      <c r="J423" s="26"/>
      <c r="K423" s="27"/>
      <c r="L423" s="27"/>
      <c r="M423" s="27"/>
      <c r="N423" s="27"/>
      <c r="O423" s="24" t="str">
        <f aca="false">IF(G423="","",VLOOKUP(G423,Setup!$A$14:$C$17,3,0))</f>
        <v/>
      </c>
      <c r="P423" s="27"/>
      <c r="Q423" s="29" t="str">
        <f aca="false">IF(OR(P423="",M423&lt;&gt;"Paid",O423=""),"",P423/O423)</f>
        <v/>
      </c>
      <c r="R423" s="30" t="str">
        <f aca="false">IF(Q423="","",Q423+N(H423)*0.000000001)</f>
        <v/>
      </c>
      <c r="S423" s="25" t="str">
        <f aca="false">IF(R423="","",SUMPRODUCT((I$5:I$4004=I423)*ISNUMBER(R$5:R$4004)*(R$5:R$4004&gt;R423))+1)</f>
        <v/>
      </c>
      <c r="T423" s="25" t="str">
        <f aca="false">IF(S423="","",IF(S423&lt;=Setup!$B$5,"🏆 WINNER",""))</f>
        <v/>
      </c>
      <c r="U423" s="24" t="str">
        <f aca="false">IF(S423="","",I423&amp;"|"&amp;S423)</f>
        <v/>
      </c>
    </row>
    <row r="424" customFormat="false" ht="15" hidden="false" customHeight="false" outlineLevel="0" collapsed="false">
      <c r="A424" s="31" t="n">
        <v>420</v>
      </c>
      <c r="B424" s="32" t="str">
        <f aca="false">IF(OR(C424="",I424="",G424=""),"",IFERROR(VLOOKUP(I424,Setup!$A$9:$B$11,2,0),"???")&amp;"-"&amp;G424&amp;"-"&amp;TEXT(COUNTIFS(I$5:I424,I424,G$5:G424,G424),"0000"))</f>
        <v/>
      </c>
      <c r="C424" s="26"/>
      <c r="D424" s="26"/>
      <c r="E424" s="27"/>
      <c r="F424" s="27"/>
      <c r="G424" s="31" t="str">
        <f aca="false">IF(F424="","",IF(F424&lt;=5,"A",IF(F424&lt;=8,"B",IF(F424&lt;=10,"C","D"))))</f>
        <v/>
      </c>
      <c r="H424" s="28"/>
      <c r="I424" s="27"/>
      <c r="J424" s="26"/>
      <c r="K424" s="27"/>
      <c r="L424" s="27"/>
      <c r="M424" s="27"/>
      <c r="N424" s="27"/>
      <c r="O424" s="31" t="str">
        <f aca="false">IF(G424="","",VLOOKUP(G424,Setup!$A$14:$C$17,3,0))</f>
        <v/>
      </c>
      <c r="P424" s="27"/>
      <c r="Q424" s="33" t="str">
        <f aca="false">IF(OR(P424="",M424&lt;&gt;"Paid",O424=""),"",P424/O424)</f>
        <v/>
      </c>
      <c r="R424" s="34" t="str">
        <f aca="false">IF(Q424="","",Q424+N(H424)*0.000000001)</f>
        <v/>
      </c>
      <c r="S424" s="32" t="str">
        <f aca="false">IF(R424="","",SUMPRODUCT((I$5:I$4004=I424)*ISNUMBER(R$5:R$4004)*(R$5:R$4004&gt;R424))+1)</f>
        <v/>
      </c>
      <c r="T424" s="32" t="str">
        <f aca="false">IF(S424="","",IF(S424&lt;=Setup!$B$5,"🏆 WINNER",""))</f>
        <v/>
      </c>
      <c r="U424" s="31" t="str">
        <f aca="false">IF(S424="","",I424&amp;"|"&amp;S424)</f>
        <v/>
      </c>
    </row>
    <row r="425" customFormat="false" ht="15" hidden="false" customHeight="false" outlineLevel="0" collapsed="false">
      <c r="A425" s="24" t="n">
        <v>421</v>
      </c>
      <c r="B425" s="25" t="str">
        <f aca="false">IF(OR(C425="",I425="",G425=""),"",IFERROR(VLOOKUP(I425,Setup!$A$9:$B$11,2,0),"???")&amp;"-"&amp;G425&amp;"-"&amp;TEXT(COUNTIFS(I$5:I425,I425,G$5:G425,G425),"0000"))</f>
        <v/>
      </c>
      <c r="C425" s="26"/>
      <c r="D425" s="26"/>
      <c r="E425" s="27"/>
      <c r="F425" s="27"/>
      <c r="G425" s="24" t="str">
        <f aca="false">IF(F425="","",IF(F425&lt;=5,"A",IF(F425&lt;=8,"B",IF(F425&lt;=10,"C","D"))))</f>
        <v/>
      </c>
      <c r="H425" s="28"/>
      <c r="I425" s="27"/>
      <c r="J425" s="26"/>
      <c r="K425" s="27"/>
      <c r="L425" s="27"/>
      <c r="M425" s="27"/>
      <c r="N425" s="27"/>
      <c r="O425" s="24" t="str">
        <f aca="false">IF(G425="","",VLOOKUP(G425,Setup!$A$14:$C$17,3,0))</f>
        <v/>
      </c>
      <c r="P425" s="27"/>
      <c r="Q425" s="29" t="str">
        <f aca="false">IF(OR(P425="",M425&lt;&gt;"Paid",O425=""),"",P425/O425)</f>
        <v/>
      </c>
      <c r="R425" s="30" t="str">
        <f aca="false">IF(Q425="","",Q425+N(H425)*0.000000001)</f>
        <v/>
      </c>
      <c r="S425" s="25" t="str">
        <f aca="false">IF(R425="","",SUMPRODUCT((I$5:I$4004=I425)*ISNUMBER(R$5:R$4004)*(R$5:R$4004&gt;R425))+1)</f>
        <v/>
      </c>
      <c r="T425" s="25" t="str">
        <f aca="false">IF(S425="","",IF(S425&lt;=Setup!$B$5,"🏆 WINNER",""))</f>
        <v/>
      </c>
      <c r="U425" s="24" t="str">
        <f aca="false">IF(S425="","",I425&amp;"|"&amp;S425)</f>
        <v/>
      </c>
    </row>
    <row r="426" customFormat="false" ht="15" hidden="false" customHeight="false" outlineLevel="0" collapsed="false">
      <c r="A426" s="31" t="n">
        <v>422</v>
      </c>
      <c r="B426" s="32" t="str">
        <f aca="false">IF(OR(C426="",I426="",G426=""),"",IFERROR(VLOOKUP(I426,Setup!$A$9:$B$11,2,0),"???")&amp;"-"&amp;G426&amp;"-"&amp;TEXT(COUNTIFS(I$5:I426,I426,G$5:G426,G426),"0000"))</f>
        <v/>
      </c>
      <c r="C426" s="26"/>
      <c r="D426" s="26"/>
      <c r="E426" s="27"/>
      <c r="F426" s="27"/>
      <c r="G426" s="31" t="str">
        <f aca="false">IF(F426="","",IF(F426&lt;=5,"A",IF(F426&lt;=8,"B",IF(F426&lt;=10,"C","D"))))</f>
        <v/>
      </c>
      <c r="H426" s="28"/>
      <c r="I426" s="27"/>
      <c r="J426" s="26"/>
      <c r="K426" s="27"/>
      <c r="L426" s="27"/>
      <c r="M426" s="27"/>
      <c r="N426" s="27"/>
      <c r="O426" s="31" t="str">
        <f aca="false">IF(G426="","",VLOOKUP(G426,Setup!$A$14:$C$17,3,0))</f>
        <v/>
      </c>
      <c r="P426" s="27"/>
      <c r="Q426" s="33" t="str">
        <f aca="false">IF(OR(P426="",M426&lt;&gt;"Paid",O426=""),"",P426/O426)</f>
        <v/>
      </c>
      <c r="R426" s="34" t="str">
        <f aca="false">IF(Q426="","",Q426+N(H426)*0.000000001)</f>
        <v/>
      </c>
      <c r="S426" s="32" t="str">
        <f aca="false">IF(R426="","",SUMPRODUCT((I$5:I$4004=I426)*ISNUMBER(R$5:R$4004)*(R$5:R$4004&gt;R426))+1)</f>
        <v/>
      </c>
      <c r="T426" s="32" t="str">
        <f aca="false">IF(S426="","",IF(S426&lt;=Setup!$B$5,"🏆 WINNER",""))</f>
        <v/>
      </c>
      <c r="U426" s="31" t="str">
        <f aca="false">IF(S426="","",I426&amp;"|"&amp;S426)</f>
        <v/>
      </c>
    </row>
    <row r="427" customFormat="false" ht="15" hidden="false" customHeight="false" outlineLevel="0" collapsed="false">
      <c r="A427" s="24" t="n">
        <v>423</v>
      </c>
      <c r="B427" s="25" t="str">
        <f aca="false">IF(OR(C427="",I427="",G427=""),"",IFERROR(VLOOKUP(I427,Setup!$A$9:$B$11,2,0),"???")&amp;"-"&amp;G427&amp;"-"&amp;TEXT(COUNTIFS(I$5:I427,I427,G$5:G427,G427),"0000"))</f>
        <v/>
      </c>
      <c r="C427" s="26"/>
      <c r="D427" s="26"/>
      <c r="E427" s="27"/>
      <c r="F427" s="27"/>
      <c r="G427" s="24" t="str">
        <f aca="false">IF(F427="","",IF(F427&lt;=5,"A",IF(F427&lt;=8,"B",IF(F427&lt;=10,"C","D"))))</f>
        <v/>
      </c>
      <c r="H427" s="28"/>
      <c r="I427" s="27"/>
      <c r="J427" s="26"/>
      <c r="K427" s="27"/>
      <c r="L427" s="27"/>
      <c r="M427" s="27"/>
      <c r="N427" s="27"/>
      <c r="O427" s="24" t="str">
        <f aca="false">IF(G427="","",VLOOKUP(G427,Setup!$A$14:$C$17,3,0))</f>
        <v/>
      </c>
      <c r="P427" s="27"/>
      <c r="Q427" s="29" t="str">
        <f aca="false">IF(OR(P427="",M427&lt;&gt;"Paid",O427=""),"",P427/O427)</f>
        <v/>
      </c>
      <c r="R427" s="30" t="str">
        <f aca="false">IF(Q427="","",Q427+N(H427)*0.000000001)</f>
        <v/>
      </c>
      <c r="S427" s="25" t="str">
        <f aca="false">IF(R427="","",SUMPRODUCT((I$5:I$4004=I427)*ISNUMBER(R$5:R$4004)*(R$5:R$4004&gt;R427))+1)</f>
        <v/>
      </c>
      <c r="T427" s="25" t="str">
        <f aca="false">IF(S427="","",IF(S427&lt;=Setup!$B$5,"🏆 WINNER",""))</f>
        <v/>
      </c>
      <c r="U427" s="24" t="str">
        <f aca="false">IF(S427="","",I427&amp;"|"&amp;S427)</f>
        <v/>
      </c>
    </row>
    <row r="428" customFormat="false" ht="15" hidden="false" customHeight="false" outlineLevel="0" collapsed="false">
      <c r="A428" s="31" t="n">
        <v>424</v>
      </c>
      <c r="B428" s="32" t="str">
        <f aca="false">IF(OR(C428="",I428="",G428=""),"",IFERROR(VLOOKUP(I428,Setup!$A$9:$B$11,2,0),"???")&amp;"-"&amp;G428&amp;"-"&amp;TEXT(COUNTIFS(I$5:I428,I428,G$5:G428,G428),"0000"))</f>
        <v/>
      </c>
      <c r="C428" s="26"/>
      <c r="D428" s="26"/>
      <c r="E428" s="27"/>
      <c r="F428" s="27"/>
      <c r="G428" s="31" t="str">
        <f aca="false">IF(F428="","",IF(F428&lt;=5,"A",IF(F428&lt;=8,"B",IF(F428&lt;=10,"C","D"))))</f>
        <v/>
      </c>
      <c r="H428" s="28"/>
      <c r="I428" s="27"/>
      <c r="J428" s="26"/>
      <c r="K428" s="27"/>
      <c r="L428" s="27"/>
      <c r="M428" s="27"/>
      <c r="N428" s="27"/>
      <c r="O428" s="31" t="str">
        <f aca="false">IF(G428="","",VLOOKUP(G428,Setup!$A$14:$C$17,3,0))</f>
        <v/>
      </c>
      <c r="P428" s="27"/>
      <c r="Q428" s="33" t="str">
        <f aca="false">IF(OR(P428="",M428&lt;&gt;"Paid",O428=""),"",P428/O428)</f>
        <v/>
      </c>
      <c r="R428" s="34" t="str">
        <f aca="false">IF(Q428="","",Q428+N(H428)*0.000000001)</f>
        <v/>
      </c>
      <c r="S428" s="32" t="str">
        <f aca="false">IF(R428="","",SUMPRODUCT((I$5:I$4004=I428)*ISNUMBER(R$5:R$4004)*(R$5:R$4004&gt;R428))+1)</f>
        <v/>
      </c>
      <c r="T428" s="32" t="str">
        <f aca="false">IF(S428="","",IF(S428&lt;=Setup!$B$5,"🏆 WINNER",""))</f>
        <v/>
      </c>
      <c r="U428" s="31" t="str">
        <f aca="false">IF(S428="","",I428&amp;"|"&amp;S428)</f>
        <v/>
      </c>
    </row>
    <row r="429" customFormat="false" ht="15" hidden="false" customHeight="false" outlineLevel="0" collapsed="false">
      <c r="A429" s="24" t="n">
        <v>425</v>
      </c>
      <c r="B429" s="25" t="str">
        <f aca="false">IF(OR(C429="",I429="",G429=""),"",IFERROR(VLOOKUP(I429,Setup!$A$9:$B$11,2,0),"???")&amp;"-"&amp;G429&amp;"-"&amp;TEXT(COUNTIFS(I$5:I429,I429,G$5:G429,G429),"0000"))</f>
        <v/>
      </c>
      <c r="C429" s="26"/>
      <c r="D429" s="26"/>
      <c r="E429" s="27"/>
      <c r="F429" s="27"/>
      <c r="G429" s="24" t="str">
        <f aca="false">IF(F429="","",IF(F429&lt;=5,"A",IF(F429&lt;=8,"B",IF(F429&lt;=10,"C","D"))))</f>
        <v/>
      </c>
      <c r="H429" s="28"/>
      <c r="I429" s="27"/>
      <c r="J429" s="26"/>
      <c r="K429" s="27"/>
      <c r="L429" s="27"/>
      <c r="M429" s="27"/>
      <c r="N429" s="27"/>
      <c r="O429" s="24" t="str">
        <f aca="false">IF(G429="","",VLOOKUP(G429,Setup!$A$14:$C$17,3,0))</f>
        <v/>
      </c>
      <c r="P429" s="27"/>
      <c r="Q429" s="29" t="str">
        <f aca="false">IF(OR(P429="",M429&lt;&gt;"Paid",O429=""),"",P429/O429)</f>
        <v/>
      </c>
      <c r="R429" s="30" t="str">
        <f aca="false">IF(Q429="","",Q429+N(H429)*0.000000001)</f>
        <v/>
      </c>
      <c r="S429" s="25" t="str">
        <f aca="false">IF(R429="","",SUMPRODUCT((I$5:I$4004=I429)*ISNUMBER(R$5:R$4004)*(R$5:R$4004&gt;R429))+1)</f>
        <v/>
      </c>
      <c r="T429" s="25" t="str">
        <f aca="false">IF(S429="","",IF(S429&lt;=Setup!$B$5,"🏆 WINNER",""))</f>
        <v/>
      </c>
      <c r="U429" s="24" t="str">
        <f aca="false">IF(S429="","",I429&amp;"|"&amp;S429)</f>
        <v/>
      </c>
    </row>
    <row r="430" customFormat="false" ht="15" hidden="false" customHeight="false" outlineLevel="0" collapsed="false">
      <c r="A430" s="31" t="n">
        <v>426</v>
      </c>
      <c r="B430" s="32" t="str">
        <f aca="false">IF(OR(C430="",I430="",G430=""),"",IFERROR(VLOOKUP(I430,Setup!$A$9:$B$11,2,0),"???")&amp;"-"&amp;G430&amp;"-"&amp;TEXT(COUNTIFS(I$5:I430,I430,G$5:G430,G430),"0000"))</f>
        <v/>
      </c>
      <c r="C430" s="26"/>
      <c r="D430" s="26"/>
      <c r="E430" s="27"/>
      <c r="F430" s="27"/>
      <c r="G430" s="31" t="str">
        <f aca="false">IF(F430="","",IF(F430&lt;=5,"A",IF(F430&lt;=8,"B",IF(F430&lt;=10,"C","D"))))</f>
        <v/>
      </c>
      <c r="H430" s="28"/>
      <c r="I430" s="27"/>
      <c r="J430" s="26"/>
      <c r="K430" s="27"/>
      <c r="L430" s="27"/>
      <c r="M430" s="27"/>
      <c r="N430" s="27"/>
      <c r="O430" s="31" t="str">
        <f aca="false">IF(G430="","",VLOOKUP(G430,Setup!$A$14:$C$17,3,0))</f>
        <v/>
      </c>
      <c r="P430" s="27"/>
      <c r="Q430" s="33" t="str">
        <f aca="false">IF(OR(P430="",M430&lt;&gt;"Paid",O430=""),"",P430/O430)</f>
        <v/>
      </c>
      <c r="R430" s="34" t="str">
        <f aca="false">IF(Q430="","",Q430+N(H430)*0.000000001)</f>
        <v/>
      </c>
      <c r="S430" s="32" t="str">
        <f aca="false">IF(R430="","",SUMPRODUCT((I$5:I$4004=I430)*ISNUMBER(R$5:R$4004)*(R$5:R$4004&gt;R430))+1)</f>
        <v/>
      </c>
      <c r="T430" s="32" t="str">
        <f aca="false">IF(S430="","",IF(S430&lt;=Setup!$B$5,"🏆 WINNER",""))</f>
        <v/>
      </c>
      <c r="U430" s="31" t="str">
        <f aca="false">IF(S430="","",I430&amp;"|"&amp;S430)</f>
        <v/>
      </c>
    </row>
    <row r="431" customFormat="false" ht="15" hidden="false" customHeight="false" outlineLevel="0" collapsed="false">
      <c r="A431" s="24" t="n">
        <v>427</v>
      </c>
      <c r="B431" s="25" t="str">
        <f aca="false">IF(OR(C431="",I431="",G431=""),"",IFERROR(VLOOKUP(I431,Setup!$A$9:$B$11,2,0),"???")&amp;"-"&amp;G431&amp;"-"&amp;TEXT(COUNTIFS(I$5:I431,I431,G$5:G431,G431),"0000"))</f>
        <v/>
      </c>
      <c r="C431" s="26"/>
      <c r="D431" s="26"/>
      <c r="E431" s="27"/>
      <c r="F431" s="27"/>
      <c r="G431" s="24" t="str">
        <f aca="false">IF(F431="","",IF(F431&lt;=5,"A",IF(F431&lt;=8,"B",IF(F431&lt;=10,"C","D"))))</f>
        <v/>
      </c>
      <c r="H431" s="28"/>
      <c r="I431" s="27"/>
      <c r="J431" s="26"/>
      <c r="K431" s="27"/>
      <c r="L431" s="27"/>
      <c r="M431" s="27"/>
      <c r="N431" s="27"/>
      <c r="O431" s="24" t="str">
        <f aca="false">IF(G431="","",VLOOKUP(G431,Setup!$A$14:$C$17,3,0))</f>
        <v/>
      </c>
      <c r="P431" s="27"/>
      <c r="Q431" s="29" t="str">
        <f aca="false">IF(OR(P431="",M431&lt;&gt;"Paid",O431=""),"",P431/O431)</f>
        <v/>
      </c>
      <c r="R431" s="30" t="str">
        <f aca="false">IF(Q431="","",Q431+N(H431)*0.000000001)</f>
        <v/>
      </c>
      <c r="S431" s="25" t="str">
        <f aca="false">IF(R431="","",SUMPRODUCT((I$5:I$4004=I431)*ISNUMBER(R$5:R$4004)*(R$5:R$4004&gt;R431))+1)</f>
        <v/>
      </c>
      <c r="T431" s="25" t="str">
        <f aca="false">IF(S431="","",IF(S431&lt;=Setup!$B$5,"🏆 WINNER",""))</f>
        <v/>
      </c>
      <c r="U431" s="24" t="str">
        <f aca="false">IF(S431="","",I431&amp;"|"&amp;S431)</f>
        <v/>
      </c>
    </row>
    <row r="432" customFormat="false" ht="15" hidden="false" customHeight="false" outlineLevel="0" collapsed="false">
      <c r="A432" s="31" t="n">
        <v>428</v>
      </c>
      <c r="B432" s="32" t="str">
        <f aca="false">IF(OR(C432="",I432="",G432=""),"",IFERROR(VLOOKUP(I432,Setup!$A$9:$B$11,2,0),"???")&amp;"-"&amp;G432&amp;"-"&amp;TEXT(COUNTIFS(I$5:I432,I432,G$5:G432,G432),"0000"))</f>
        <v/>
      </c>
      <c r="C432" s="26"/>
      <c r="D432" s="26"/>
      <c r="E432" s="27"/>
      <c r="F432" s="27"/>
      <c r="G432" s="31" t="str">
        <f aca="false">IF(F432="","",IF(F432&lt;=5,"A",IF(F432&lt;=8,"B",IF(F432&lt;=10,"C","D"))))</f>
        <v/>
      </c>
      <c r="H432" s="28"/>
      <c r="I432" s="27"/>
      <c r="J432" s="26"/>
      <c r="K432" s="27"/>
      <c r="L432" s="27"/>
      <c r="M432" s="27"/>
      <c r="N432" s="27"/>
      <c r="O432" s="31" t="str">
        <f aca="false">IF(G432="","",VLOOKUP(G432,Setup!$A$14:$C$17,3,0))</f>
        <v/>
      </c>
      <c r="P432" s="27"/>
      <c r="Q432" s="33" t="str">
        <f aca="false">IF(OR(P432="",M432&lt;&gt;"Paid",O432=""),"",P432/O432)</f>
        <v/>
      </c>
      <c r="R432" s="34" t="str">
        <f aca="false">IF(Q432="","",Q432+N(H432)*0.000000001)</f>
        <v/>
      </c>
      <c r="S432" s="32" t="str">
        <f aca="false">IF(R432="","",SUMPRODUCT((I$5:I$4004=I432)*ISNUMBER(R$5:R$4004)*(R$5:R$4004&gt;R432))+1)</f>
        <v/>
      </c>
      <c r="T432" s="32" t="str">
        <f aca="false">IF(S432="","",IF(S432&lt;=Setup!$B$5,"🏆 WINNER",""))</f>
        <v/>
      </c>
      <c r="U432" s="31" t="str">
        <f aca="false">IF(S432="","",I432&amp;"|"&amp;S432)</f>
        <v/>
      </c>
    </row>
    <row r="433" customFormat="false" ht="15" hidden="false" customHeight="false" outlineLevel="0" collapsed="false">
      <c r="A433" s="24" t="n">
        <v>429</v>
      </c>
      <c r="B433" s="25" t="str">
        <f aca="false">IF(OR(C433="",I433="",G433=""),"",IFERROR(VLOOKUP(I433,Setup!$A$9:$B$11,2,0),"???")&amp;"-"&amp;G433&amp;"-"&amp;TEXT(COUNTIFS(I$5:I433,I433,G$5:G433,G433),"0000"))</f>
        <v/>
      </c>
      <c r="C433" s="26"/>
      <c r="D433" s="26"/>
      <c r="E433" s="27"/>
      <c r="F433" s="27"/>
      <c r="G433" s="24" t="str">
        <f aca="false">IF(F433="","",IF(F433&lt;=5,"A",IF(F433&lt;=8,"B",IF(F433&lt;=10,"C","D"))))</f>
        <v/>
      </c>
      <c r="H433" s="28"/>
      <c r="I433" s="27"/>
      <c r="J433" s="26"/>
      <c r="K433" s="27"/>
      <c r="L433" s="27"/>
      <c r="M433" s="27"/>
      <c r="N433" s="27"/>
      <c r="O433" s="24" t="str">
        <f aca="false">IF(G433="","",VLOOKUP(G433,Setup!$A$14:$C$17,3,0))</f>
        <v/>
      </c>
      <c r="P433" s="27"/>
      <c r="Q433" s="29" t="str">
        <f aca="false">IF(OR(P433="",M433&lt;&gt;"Paid",O433=""),"",P433/O433)</f>
        <v/>
      </c>
      <c r="R433" s="30" t="str">
        <f aca="false">IF(Q433="","",Q433+N(H433)*0.000000001)</f>
        <v/>
      </c>
      <c r="S433" s="25" t="str">
        <f aca="false">IF(R433="","",SUMPRODUCT((I$5:I$4004=I433)*ISNUMBER(R$5:R$4004)*(R$5:R$4004&gt;R433))+1)</f>
        <v/>
      </c>
      <c r="T433" s="25" t="str">
        <f aca="false">IF(S433="","",IF(S433&lt;=Setup!$B$5,"🏆 WINNER",""))</f>
        <v/>
      </c>
      <c r="U433" s="24" t="str">
        <f aca="false">IF(S433="","",I433&amp;"|"&amp;S433)</f>
        <v/>
      </c>
    </row>
    <row r="434" customFormat="false" ht="15" hidden="false" customHeight="false" outlineLevel="0" collapsed="false">
      <c r="A434" s="31" t="n">
        <v>430</v>
      </c>
      <c r="B434" s="32" t="str">
        <f aca="false">IF(OR(C434="",I434="",G434=""),"",IFERROR(VLOOKUP(I434,Setup!$A$9:$B$11,2,0),"???")&amp;"-"&amp;G434&amp;"-"&amp;TEXT(COUNTIFS(I$5:I434,I434,G$5:G434,G434),"0000"))</f>
        <v/>
      </c>
      <c r="C434" s="26"/>
      <c r="D434" s="26"/>
      <c r="E434" s="27"/>
      <c r="F434" s="27"/>
      <c r="G434" s="31" t="str">
        <f aca="false">IF(F434="","",IF(F434&lt;=5,"A",IF(F434&lt;=8,"B",IF(F434&lt;=10,"C","D"))))</f>
        <v/>
      </c>
      <c r="H434" s="28"/>
      <c r="I434" s="27"/>
      <c r="J434" s="26"/>
      <c r="K434" s="27"/>
      <c r="L434" s="27"/>
      <c r="M434" s="27"/>
      <c r="N434" s="27"/>
      <c r="O434" s="31" t="str">
        <f aca="false">IF(G434="","",VLOOKUP(G434,Setup!$A$14:$C$17,3,0))</f>
        <v/>
      </c>
      <c r="P434" s="27"/>
      <c r="Q434" s="33" t="str">
        <f aca="false">IF(OR(P434="",M434&lt;&gt;"Paid",O434=""),"",P434/O434)</f>
        <v/>
      </c>
      <c r="R434" s="34" t="str">
        <f aca="false">IF(Q434="","",Q434+N(H434)*0.000000001)</f>
        <v/>
      </c>
      <c r="S434" s="32" t="str">
        <f aca="false">IF(R434="","",SUMPRODUCT((I$5:I$4004=I434)*ISNUMBER(R$5:R$4004)*(R$5:R$4004&gt;R434))+1)</f>
        <v/>
      </c>
      <c r="T434" s="32" t="str">
        <f aca="false">IF(S434="","",IF(S434&lt;=Setup!$B$5,"🏆 WINNER",""))</f>
        <v/>
      </c>
      <c r="U434" s="31" t="str">
        <f aca="false">IF(S434="","",I434&amp;"|"&amp;S434)</f>
        <v/>
      </c>
    </row>
    <row r="435" customFormat="false" ht="15" hidden="false" customHeight="false" outlineLevel="0" collapsed="false">
      <c r="A435" s="24" t="n">
        <v>431</v>
      </c>
      <c r="B435" s="25" t="str">
        <f aca="false">IF(OR(C435="",I435="",G435=""),"",IFERROR(VLOOKUP(I435,Setup!$A$9:$B$11,2,0),"???")&amp;"-"&amp;G435&amp;"-"&amp;TEXT(COUNTIFS(I$5:I435,I435,G$5:G435,G435),"0000"))</f>
        <v/>
      </c>
      <c r="C435" s="26"/>
      <c r="D435" s="26"/>
      <c r="E435" s="27"/>
      <c r="F435" s="27"/>
      <c r="G435" s="24" t="str">
        <f aca="false">IF(F435="","",IF(F435&lt;=5,"A",IF(F435&lt;=8,"B",IF(F435&lt;=10,"C","D"))))</f>
        <v/>
      </c>
      <c r="H435" s="28"/>
      <c r="I435" s="27"/>
      <c r="J435" s="26"/>
      <c r="K435" s="27"/>
      <c r="L435" s="27"/>
      <c r="M435" s="27"/>
      <c r="N435" s="27"/>
      <c r="O435" s="24" t="str">
        <f aca="false">IF(G435="","",VLOOKUP(G435,Setup!$A$14:$C$17,3,0))</f>
        <v/>
      </c>
      <c r="P435" s="27"/>
      <c r="Q435" s="29" t="str">
        <f aca="false">IF(OR(P435="",M435&lt;&gt;"Paid",O435=""),"",P435/O435)</f>
        <v/>
      </c>
      <c r="R435" s="30" t="str">
        <f aca="false">IF(Q435="","",Q435+N(H435)*0.000000001)</f>
        <v/>
      </c>
      <c r="S435" s="25" t="str">
        <f aca="false">IF(R435="","",SUMPRODUCT((I$5:I$4004=I435)*ISNUMBER(R$5:R$4004)*(R$5:R$4004&gt;R435))+1)</f>
        <v/>
      </c>
      <c r="T435" s="25" t="str">
        <f aca="false">IF(S435="","",IF(S435&lt;=Setup!$B$5,"🏆 WINNER",""))</f>
        <v/>
      </c>
      <c r="U435" s="24" t="str">
        <f aca="false">IF(S435="","",I435&amp;"|"&amp;S435)</f>
        <v/>
      </c>
    </row>
    <row r="436" customFormat="false" ht="15" hidden="false" customHeight="false" outlineLevel="0" collapsed="false">
      <c r="A436" s="31" t="n">
        <v>432</v>
      </c>
      <c r="B436" s="32" t="str">
        <f aca="false">IF(OR(C436="",I436="",G436=""),"",IFERROR(VLOOKUP(I436,Setup!$A$9:$B$11,2,0),"???")&amp;"-"&amp;G436&amp;"-"&amp;TEXT(COUNTIFS(I$5:I436,I436,G$5:G436,G436),"0000"))</f>
        <v/>
      </c>
      <c r="C436" s="26"/>
      <c r="D436" s="26"/>
      <c r="E436" s="27"/>
      <c r="F436" s="27"/>
      <c r="G436" s="31" t="str">
        <f aca="false">IF(F436="","",IF(F436&lt;=5,"A",IF(F436&lt;=8,"B",IF(F436&lt;=10,"C","D"))))</f>
        <v/>
      </c>
      <c r="H436" s="28"/>
      <c r="I436" s="27"/>
      <c r="J436" s="26"/>
      <c r="K436" s="27"/>
      <c r="L436" s="27"/>
      <c r="M436" s="27"/>
      <c r="N436" s="27"/>
      <c r="O436" s="31" t="str">
        <f aca="false">IF(G436="","",VLOOKUP(G436,Setup!$A$14:$C$17,3,0))</f>
        <v/>
      </c>
      <c r="P436" s="27"/>
      <c r="Q436" s="33" t="str">
        <f aca="false">IF(OR(P436="",M436&lt;&gt;"Paid",O436=""),"",P436/O436)</f>
        <v/>
      </c>
      <c r="R436" s="34" t="str">
        <f aca="false">IF(Q436="","",Q436+N(H436)*0.000000001)</f>
        <v/>
      </c>
      <c r="S436" s="32" t="str">
        <f aca="false">IF(R436="","",SUMPRODUCT((I$5:I$4004=I436)*ISNUMBER(R$5:R$4004)*(R$5:R$4004&gt;R436))+1)</f>
        <v/>
      </c>
      <c r="T436" s="32" t="str">
        <f aca="false">IF(S436="","",IF(S436&lt;=Setup!$B$5,"🏆 WINNER",""))</f>
        <v/>
      </c>
      <c r="U436" s="31" t="str">
        <f aca="false">IF(S436="","",I436&amp;"|"&amp;S436)</f>
        <v/>
      </c>
    </row>
    <row r="437" customFormat="false" ht="15" hidden="false" customHeight="false" outlineLevel="0" collapsed="false">
      <c r="A437" s="24" t="n">
        <v>433</v>
      </c>
      <c r="B437" s="25" t="str">
        <f aca="false">IF(OR(C437="",I437="",G437=""),"",IFERROR(VLOOKUP(I437,Setup!$A$9:$B$11,2,0),"???")&amp;"-"&amp;G437&amp;"-"&amp;TEXT(COUNTIFS(I$5:I437,I437,G$5:G437,G437),"0000"))</f>
        <v/>
      </c>
      <c r="C437" s="26"/>
      <c r="D437" s="26"/>
      <c r="E437" s="27"/>
      <c r="F437" s="27"/>
      <c r="G437" s="24" t="str">
        <f aca="false">IF(F437="","",IF(F437&lt;=5,"A",IF(F437&lt;=8,"B",IF(F437&lt;=10,"C","D"))))</f>
        <v/>
      </c>
      <c r="H437" s="28"/>
      <c r="I437" s="27"/>
      <c r="J437" s="26"/>
      <c r="K437" s="27"/>
      <c r="L437" s="27"/>
      <c r="M437" s="27"/>
      <c r="N437" s="27"/>
      <c r="O437" s="24" t="str">
        <f aca="false">IF(G437="","",VLOOKUP(G437,Setup!$A$14:$C$17,3,0))</f>
        <v/>
      </c>
      <c r="P437" s="27"/>
      <c r="Q437" s="29" t="str">
        <f aca="false">IF(OR(P437="",M437&lt;&gt;"Paid",O437=""),"",P437/O437)</f>
        <v/>
      </c>
      <c r="R437" s="30" t="str">
        <f aca="false">IF(Q437="","",Q437+N(H437)*0.000000001)</f>
        <v/>
      </c>
      <c r="S437" s="25" t="str">
        <f aca="false">IF(R437="","",SUMPRODUCT((I$5:I$4004=I437)*ISNUMBER(R$5:R$4004)*(R$5:R$4004&gt;R437))+1)</f>
        <v/>
      </c>
      <c r="T437" s="25" t="str">
        <f aca="false">IF(S437="","",IF(S437&lt;=Setup!$B$5,"🏆 WINNER",""))</f>
        <v/>
      </c>
      <c r="U437" s="24" t="str">
        <f aca="false">IF(S437="","",I437&amp;"|"&amp;S437)</f>
        <v/>
      </c>
    </row>
    <row r="438" customFormat="false" ht="15" hidden="false" customHeight="false" outlineLevel="0" collapsed="false">
      <c r="A438" s="31" t="n">
        <v>434</v>
      </c>
      <c r="B438" s="32" t="str">
        <f aca="false">IF(OR(C438="",I438="",G438=""),"",IFERROR(VLOOKUP(I438,Setup!$A$9:$B$11,2,0),"???")&amp;"-"&amp;G438&amp;"-"&amp;TEXT(COUNTIFS(I$5:I438,I438,G$5:G438,G438),"0000"))</f>
        <v/>
      </c>
      <c r="C438" s="26"/>
      <c r="D438" s="26"/>
      <c r="E438" s="27"/>
      <c r="F438" s="27"/>
      <c r="G438" s="31" t="str">
        <f aca="false">IF(F438="","",IF(F438&lt;=5,"A",IF(F438&lt;=8,"B",IF(F438&lt;=10,"C","D"))))</f>
        <v/>
      </c>
      <c r="H438" s="28"/>
      <c r="I438" s="27"/>
      <c r="J438" s="26"/>
      <c r="K438" s="27"/>
      <c r="L438" s="27"/>
      <c r="M438" s="27"/>
      <c r="N438" s="27"/>
      <c r="O438" s="31" t="str">
        <f aca="false">IF(G438="","",VLOOKUP(G438,Setup!$A$14:$C$17,3,0))</f>
        <v/>
      </c>
      <c r="P438" s="27"/>
      <c r="Q438" s="33" t="str">
        <f aca="false">IF(OR(P438="",M438&lt;&gt;"Paid",O438=""),"",P438/O438)</f>
        <v/>
      </c>
      <c r="R438" s="34" t="str">
        <f aca="false">IF(Q438="","",Q438+N(H438)*0.000000001)</f>
        <v/>
      </c>
      <c r="S438" s="32" t="str">
        <f aca="false">IF(R438="","",SUMPRODUCT((I$5:I$4004=I438)*ISNUMBER(R$5:R$4004)*(R$5:R$4004&gt;R438))+1)</f>
        <v/>
      </c>
      <c r="T438" s="32" t="str">
        <f aca="false">IF(S438="","",IF(S438&lt;=Setup!$B$5,"🏆 WINNER",""))</f>
        <v/>
      </c>
      <c r="U438" s="31" t="str">
        <f aca="false">IF(S438="","",I438&amp;"|"&amp;S438)</f>
        <v/>
      </c>
    </row>
    <row r="439" customFormat="false" ht="15" hidden="false" customHeight="false" outlineLevel="0" collapsed="false">
      <c r="A439" s="24" t="n">
        <v>435</v>
      </c>
      <c r="B439" s="25" t="str">
        <f aca="false">IF(OR(C439="",I439="",G439=""),"",IFERROR(VLOOKUP(I439,Setup!$A$9:$B$11,2,0),"???")&amp;"-"&amp;G439&amp;"-"&amp;TEXT(COUNTIFS(I$5:I439,I439,G$5:G439,G439),"0000"))</f>
        <v/>
      </c>
      <c r="C439" s="26"/>
      <c r="D439" s="26"/>
      <c r="E439" s="27"/>
      <c r="F439" s="27"/>
      <c r="G439" s="24" t="str">
        <f aca="false">IF(F439="","",IF(F439&lt;=5,"A",IF(F439&lt;=8,"B",IF(F439&lt;=10,"C","D"))))</f>
        <v/>
      </c>
      <c r="H439" s="28"/>
      <c r="I439" s="27"/>
      <c r="J439" s="26"/>
      <c r="K439" s="27"/>
      <c r="L439" s="27"/>
      <c r="M439" s="27"/>
      <c r="N439" s="27"/>
      <c r="O439" s="24" t="str">
        <f aca="false">IF(G439="","",VLOOKUP(G439,Setup!$A$14:$C$17,3,0))</f>
        <v/>
      </c>
      <c r="P439" s="27"/>
      <c r="Q439" s="29" t="str">
        <f aca="false">IF(OR(P439="",M439&lt;&gt;"Paid",O439=""),"",P439/O439)</f>
        <v/>
      </c>
      <c r="R439" s="30" t="str">
        <f aca="false">IF(Q439="","",Q439+N(H439)*0.000000001)</f>
        <v/>
      </c>
      <c r="S439" s="25" t="str">
        <f aca="false">IF(R439="","",SUMPRODUCT((I$5:I$4004=I439)*ISNUMBER(R$5:R$4004)*(R$5:R$4004&gt;R439))+1)</f>
        <v/>
      </c>
      <c r="T439" s="25" t="str">
        <f aca="false">IF(S439="","",IF(S439&lt;=Setup!$B$5,"🏆 WINNER",""))</f>
        <v/>
      </c>
      <c r="U439" s="24" t="str">
        <f aca="false">IF(S439="","",I439&amp;"|"&amp;S439)</f>
        <v/>
      </c>
    </row>
    <row r="440" customFormat="false" ht="15" hidden="false" customHeight="false" outlineLevel="0" collapsed="false">
      <c r="A440" s="31" t="n">
        <v>436</v>
      </c>
      <c r="B440" s="32" t="str">
        <f aca="false">IF(OR(C440="",I440="",G440=""),"",IFERROR(VLOOKUP(I440,Setup!$A$9:$B$11,2,0),"???")&amp;"-"&amp;G440&amp;"-"&amp;TEXT(COUNTIFS(I$5:I440,I440,G$5:G440,G440),"0000"))</f>
        <v/>
      </c>
      <c r="C440" s="26"/>
      <c r="D440" s="26"/>
      <c r="E440" s="27"/>
      <c r="F440" s="27"/>
      <c r="G440" s="31" t="str">
        <f aca="false">IF(F440="","",IF(F440&lt;=5,"A",IF(F440&lt;=8,"B",IF(F440&lt;=10,"C","D"))))</f>
        <v/>
      </c>
      <c r="H440" s="28"/>
      <c r="I440" s="27"/>
      <c r="J440" s="26"/>
      <c r="K440" s="27"/>
      <c r="L440" s="27"/>
      <c r="M440" s="27"/>
      <c r="N440" s="27"/>
      <c r="O440" s="31" t="str">
        <f aca="false">IF(G440="","",VLOOKUP(G440,Setup!$A$14:$C$17,3,0))</f>
        <v/>
      </c>
      <c r="P440" s="27"/>
      <c r="Q440" s="33" t="str">
        <f aca="false">IF(OR(P440="",M440&lt;&gt;"Paid",O440=""),"",P440/O440)</f>
        <v/>
      </c>
      <c r="R440" s="34" t="str">
        <f aca="false">IF(Q440="","",Q440+N(H440)*0.000000001)</f>
        <v/>
      </c>
      <c r="S440" s="32" t="str">
        <f aca="false">IF(R440="","",SUMPRODUCT((I$5:I$4004=I440)*ISNUMBER(R$5:R$4004)*(R$5:R$4004&gt;R440))+1)</f>
        <v/>
      </c>
      <c r="T440" s="32" t="str">
        <f aca="false">IF(S440="","",IF(S440&lt;=Setup!$B$5,"🏆 WINNER",""))</f>
        <v/>
      </c>
      <c r="U440" s="31" t="str">
        <f aca="false">IF(S440="","",I440&amp;"|"&amp;S440)</f>
        <v/>
      </c>
    </row>
    <row r="441" customFormat="false" ht="15" hidden="false" customHeight="false" outlineLevel="0" collapsed="false">
      <c r="A441" s="24" t="n">
        <v>437</v>
      </c>
      <c r="B441" s="25" t="str">
        <f aca="false">IF(OR(C441="",I441="",G441=""),"",IFERROR(VLOOKUP(I441,Setup!$A$9:$B$11,2,0),"???")&amp;"-"&amp;G441&amp;"-"&amp;TEXT(COUNTIFS(I$5:I441,I441,G$5:G441,G441),"0000"))</f>
        <v/>
      </c>
      <c r="C441" s="26"/>
      <c r="D441" s="26"/>
      <c r="E441" s="27"/>
      <c r="F441" s="27"/>
      <c r="G441" s="24" t="str">
        <f aca="false">IF(F441="","",IF(F441&lt;=5,"A",IF(F441&lt;=8,"B",IF(F441&lt;=10,"C","D"))))</f>
        <v/>
      </c>
      <c r="H441" s="28"/>
      <c r="I441" s="27"/>
      <c r="J441" s="26"/>
      <c r="K441" s="27"/>
      <c r="L441" s="27"/>
      <c r="M441" s="27"/>
      <c r="N441" s="27"/>
      <c r="O441" s="24" t="str">
        <f aca="false">IF(G441="","",VLOOKUP(G441,Setup!$A$14:$C$17,3,0))</f>
        <v/>
      </c>
      <c r="P441" s="27"/>
      <c r="Q441" s="29" t="str">
        <f aca="false">IF(OR(P441="",M441&lt;&gt;"Paid",O441=""),"",P441/O441)</f>
        <v/>
      </c>
      <c r="R441" s="30" t="str">
        <f aca="false">IF(Q441="","",Q441+N(H441)*0.000000001)</f>
        <v/>
      </c>
      <c r="S441" s="25" t="str">
        <f aca="false">IF(R441="","",SUMPRODUCT((I$5:I$4004=I441)*ISNUMBER(R$5:R$4004)*(R$5:R$4004&gt;R441))+1)</f>
        <v/>
      </c>
      <c r="T441" s="25" t="str">
        <f aca="false">IF(S441="","",IF(S441&lt;=Setup!$B$5,"🏆 WINNER",""))</f>
        <v/>
      </c>
      <c r="U441" s="24" t="str">
        <f aca="false">IF(S441="","",I441&amp;"|"&amp;S441)</f>
        <v/>
      </c>
    </row>
    <row r="442" customFormat="false" ht="15" hidden="false" customHeight="false" outlineLevel="0" collapsed="false">
      <c r="A442" s="31" t="n">
        <v>438</v>
      </c>
      <c r="B442" s="32" t="str">
        <f aca="false">IF(OR(C442="",I442="",G442=""),"",IFERROR(VLOOKUP(I442,Setup!$A$9:$B$11,2,0),"???")&amp;"-"&amp;G442&amp;"-"&amp;TEXT(COUNTIFS(I$5:I442,I442,G$5:G442,G442),"0000"))</f>
        <v/>
      </c>
      <c r="C442" s="26"/>
      <c r="D442" s="26"/>
      <c r="E442" s="27"/>
      <c r="F442" s="27"/>
      <c r="G442" s="31" t="str">
        <f aca="false">IF(F442="","",IF(F442&lt;=5,"A",IF(F442&lt;=8,"B",IF(F442&lt;=10,"C","D"))))</f>
        <v/>
      </c>
      <c r="H442" s="28"/>
      <c r="I442" s="27"/>
      <c r="J442" s="26"/>
      <c r="K442" s="27"/>
      <c r="L442" s="27"/>
      <c r="M442" s="27"/>
      <c r="N442" s="27"/>
      <c r="O442" s="31" t="str">
        <f aca="false">IF(G442="","",VLOOKUP(G442,Setup!$A$14:$C$17,3,0))</f>
        <v/>
      </c>
      <c r="P442" s="27"/>
      <c r="Q442" s="33" t="str">
        <f aca="false">IF(OR(P442="",M442&lt;&gt;"Paid",O442=""),"",P442/O442)</f>
        <v/>
      </c>
      <c r="R442" s="34" t="str">
        <f aca="false">IF(Q442="","",Q442+N(H442)*0.000000001)</f>
        <v/>
      </c>
      <c r="S442" s="32" t="str">
        <f aca="false">IF(R442="","",SUMPRODUCT((I$5:I$4004=I442)*ISNUMBER(R$5:R$4004)*(R$5:R$4004&gt;R442))+1)</f>
        <v/>
      </c>
      <c r="T442" s="32" t="str">
        <f aca="false">IF(S442="","",IF(S442&lt;=Setup!$B$5,"🏆 WINNER",""))</f>
        <v/>
      </c>
      <c r="U442" s="31" t="str">
        <f aca="false">IF(S442="","",I442&amp;"|"&amp;S442)</f>
        <v/>
      </c>
    </row>
    <row r="443" customFormat="false" ht="15" hidden="false" customHeight="false" outlineLevel="0" collapsed="false">
      <c r="A443" s="24" t="n">
        <v>439</v>
      </c>
      <c r="B443" s="25" t="str">
        <f aca="false">IF(OR(C443="",I443="",G443=""),"",IFERROR(VLOOKUP(I443,Setup!$A$9:$B$11,2,0),"???")&amp;"-"&amp;G443&amp;"-"&amp;TEXT(COUNTIFS(I$5:I443,I443,G$5:G443,G443),"0000"))</f>
        <v/>
      </c>
      <c r="C443" s="26"/>
      <c r="D443" s="26"/>
      <c r="E443" s="27"/>
      <c r="F443" s="27"/>
      <c r="G443" s="24" t="str">
        <f aca="false">IF(F443="","",IF(F443&lt;=5,"A",IF(F443&lt;=8,"B",IF(F443&lt;=10,"C","D"))))</f>
        <v/>
      </c>
      <c r="H443" s="28"/>
      <c r="I443" s="27"/>
      <c r="J443" s="26"/>
      <c r="K443" s="27"/>
      <c r="L443" s="27"/>
      <c r="M443" s="27"/>
      <c r="N443" s="27"/>
      <c r="O443" s="24" t="str">
        <f aca="false">IF(G443="","",VLOOKUP(G443,Setup!$A$14:$C$17,3,0))</f>
        <v/>
      </c>
      <c r="P443" s="27"/>
      <c r="Q443" s="29" t="str">
        <f aca="false">IF(OR(P443="",M443&lt;&gt;"Paid",O443=""),"",P443/O443)</f>
        <v/>
      </c>
      <c r="R443" s="30" t="str">
        <f aca="false">IF(Q443="","",Q443+N(H443)*0.000000001)</f>
        <v/>
      </c>
      <c r="S443" s="25" t="str">
        <f aca="false">IF(R443="","",SUMPRODUCT((I$5:I$4004=I443)*ISNUMBER(R$5:R$4004)*(R$5:R$4004&gt;R443))+1)</f>
        <v/>
      </c>
      <c r="T443" s="25" t="str">
        <f aca="false">IF(S443="","",IF(S443&lt;=Setup!$B$5,"🏆 WINNER",""))</f>
        <v/>
      </c>
      <c r="U443" s="24" t="str">
        <f aca="false">IF(S443="","",I443&amp;"|"&amp;S443)</f>
        <v/>
      </c>
    </row>
    <row r="444" customFormat="false" ht="15" hidden="false" customHeight="false" outlineLevel="0" collapsed="false">
      <c r="A444" s="31" t="n">
        <v>440</v>
      </c>
      <c r="B444" s="32" t="str">
        <f aca="false">IF(OR(C444="",I444="",G444=""),"",IFERROR(VLOOKUP(I444,Setup!$A$9:$B$11,2,0),"???")&amp;"-"&amp;G444&amp;"-"&amp;TEXT(COUNTIFS(I$5:I444,I444,G$5:G444,G444),"0000"))</f>
        <v/>
      </c>
      <c r="C444" s="26"/>
      <c r="D444" s="26"/>
      <c r="E444" s="27"/>
      <c r="F444" s="27"/>
      <c r="G444" s="31" t="str">
        <f aca="false">IF(F444="","",IF(F444&lt;=5,"A",IF(F444&lt;=8,"B",IF(F444&lt;=10,"C","D"))))</f>
        <v/>
      </c>
      <c r="H444" s="28"/>
      <c r="I444" s="27"/>
      <c r="J444" s="26"/>
      <c r="K444" s="27"/>
      <c r="L444" s="27"/>
      <c r="M444" s="27"/>
      <c r="N444" s="27"/>
      <c r="O444" s="31" t="str">
        <f aca="false">IF(G444="","",VLOOKUP(G444,Setup!$A$14:$C$17,3,0))</f>
        <v/>
      </c>
      <c r="P444" s="27"/>
      <c r="Q444" s="33" t="str">
        <f aca="false">IF(OR(P444="",M444&lt;&gt;"Paid",O444=""),"",P444/O444)</f>
        <v/>
      </c>
      <c r="R444" s="34" t="str">
        <f aca="false">IF(Q444="","",Q444+N(H444)*0.000000001)</f>
        <v/>
      </c>
      <c r="S444" s="32" t="str">
        <f aca="false">IF(R444="","",SUMPRODUCT((I$5:I$4004=I444)*ISNUMBER(R$5:R$4004)*(R$5:R$4004&gt;R444))+1)</f>
        <v/>
      </c>
      <c r="T444" s="32" t="str">
        <f aca="false">IF(S444="","",IF(S444&lt;=Setup!$B$5,"🏆 WINNER",""))</f>
        <v/>
      </c>
      <c r="U444" s="31" t="str">
        <f aca="false">IF(S444="","",I444&amp;"|"&amp;S444)</f>
        <v/>
      </c>
    </row>
    <row r="445" customFormat="false" ht="15" hidden="false" customHeight="false" outlineLevel="0" collapsed="false">
      <c r="A445" s="24" t="n">
        <v>441</v>
      </c>
      <c r="B445" s="25" t="str">
        <f aca="false">IF(OR(C445="",I445="",G445=""),"",IFERROR(VLOOKUP(I445,Setup!$A$9:$B$11,2,0),"???")&amp;"-"&amp;G445&amp;"-"&amp;TEXT(COUNTIFS(I$5:I445,I445,G$5:G445,G445),"0000"))</f>
        <v/>
      </c>
      <c r="C445" s="26"/>
      <c r="D445" s="26"/>
      <c r="E445" s="27"/>
      <c r="F445" s="27"/>
      <c r="G445" s="24" t="str">
        <f aca="false">IF(F445="","",IF(F445&lt;=5,"A",IF(F445&lt;=8,"B",IF(F445&lt;=10,"C","D"))))</f>
        <v/>
      </c>
      <c r="H445" s="28"/>
      <c r="I445" s="27"/>
      <c r="J445" s="26"/>
      <c r="K445" s="27"/>
      <c r="L445" s="27"/>
      <c r="M445" s="27"/>
      <c r="N445" s="27"/>
      <c r="O445" s="24" t="str">
        <f aca="false">IF(G445="","",VLOOKUP(G445,Setup!$A$14:$C$17,3,0))</f>
        <v/>
      </c>
      <c r="P445" s="27"/>
      <c r="Q445" s="29" t="str">
        <f aca="false">IF(OR(P445="",M445&lt;&gt;"Paid",O445=""),"",P445/O445)</f>
        <v/>
      </c>
      <c r="R445" s="30" t="str">
        <f aca="false">IF(Q445="","",Q445+N(H445)*0.000000001)</f>
        <v/>
      </c>
      <c r="S445" s="25" t="str">
        <f aca="false">IF(R445="","",SUMPRODUCT((I$5:I$4004=I445)*ISNUMBER(R$5:R$4004)*(R$5:R$4004&gt;R445))+1)</f>
        <v/>
      </c>
      <c r="T445" s="25" t="str">
        <f aca="false">IF(S445="","",IF(S445&lt;=Setup!$B$5,"🏆 WINNER",""))</f>
        <v/>
      </c>
      <c r="U445" s="24" t="str">
        <f aca="false">IF(S445="","",I445&amp;"|"&amp;S445)</f>
        <v/>
      </c>
    </row>
    <row r="446" customFormat="false" ht="15" hidden="false" customHeight="false" outlineLevel="0" collapsed="false">
      <c r="A446" s="31" t="n">
        <v>442</v>
      </c>
      <c r="B446" s="32" t="str">
        <f aca="false">IF(OR(C446="",I446="",G446=""),"",IFERROR(VLOOKUP(I446,Setup!$A$9:$B$11,2,0),"???")&amp;"-"&amp;G446&amp;"-"&amp;TEXT(COUNTIFS(I$5:I446,I446,G$5:G446,G446),"0000"))</f>
        <v/>
      </c>
      <c r="C446" s="26"/>
      <c r="D446" s="26"/>
      <c r="E446" s="27"/>
      <c r="F446" s="27"/>
      <c r="G446" s="31" t="str">
        <f aca="false">IF(F446="","",IF(F446&lt;=5,"A",IF(F446&lt;=8,"B",IF(F446&lt;=10,"C","D"))))</f>
        <v/>
      </c>
      <c r="H446" s="28"/>
      <c r="I446" s="27"/>
      <c r="J446" s="26"/>
      <c r="K446" s="27"/>
      <c r="L446" s="27"/>
      <c r="M446" s="27"/>
      <c r="N446" s="27"/>
      <c r="O446" s="31" t="str">
        <f aca="false">IF(G446="","",VLOOKUP(G446,Setup!$A$14:$C$17,3,0))</f>
        <v/>
      </c>
      <c r="P446" s="27"/>
      <c r="Q446" s="33" t="str">
        <f aca="false">IF(OR(P446="",M446&lt;&gt;"Paid",O446=""),"",P446/O446)</f>
        <v/>
      </c>
      <c r="R446" s="34" t="str">
        <f aca="false">IF(Q446="","",Q446+N(H446)*0.000000001)</f>
        <v/>
      </c>
      <c r="S446" s="32" t="str">
        <f aca="false">IF(R446="","",SUMPRODUCT((I$5:I$4004=I446)*ISNUMBER(R$5:R$4004)*(R$5:R$4004&gt;R446))+1)</f>
        <v/>
      </c>
      <c r="T446" s="32" t="str">
        <f aca="false">IF(S446="","",IF(S446&lt;=Setup!$B$5,"🏆 WINNER",""))</f>
        <v/>
      </c>
      <c r="U446" s="31" t="str">
        <f aca="false">IF(S446="","",I446&amp;"|"&amp;S446)</f>
        <v/>
      </c>
    </row>
    <row r="447" customFormat="false" ht="15" hidden="false" customHeight="false" outlineLevel="0" collapsed="false">
      <c r="A447" s="24" t="n">
        <v>443</v>
      </c>
      <c r="B447" s="25" t="str">
        <f aca="false">IF(OR(C447="",I447="",G447=""),"",IFERROR(VLOOKUP(I447,Setup!$A$9:$B$11,2,0),"???")&amp;"-"&amp;G447&amp;"-"&amp;TEXT(COUNTIFS(I$5:I447,I447,G$5:G447,G447),"0000"))</f>
        <v/>
      </c>
      <c r="C447" s="26"/>
      <c r="D447" s="26"/>
      <c r="E447" s="27"/>
      <c r="F447" s="27"/>
      <c r="G447" s="24" t="str">
        <f aca="false">IF(F447="","",IF(F447&lt;=5,"A",IF(F447&lt;=8,"B",IF(F447&lt;=10,"C","D"))))</f>
        <v/>
      </c>
      <c r="H447" s="28"/>
      <c r="I447" s="27"/>
      <c r="J447" s="26"/>
      <c r="K447" s="27"/>
      <c r="L447" s="27"/>
      <c r="M447" s="27"/>
      <c r="N447" s="27"/>
      <c r="O447" s="24" t="str">
        <f aca="false">IF(G447="","",VLOOKUP(G447,Setup!$A$14:$C$17,3,0))</f>
        <v/>
      </c>
      <c r="P447" s="27"/>
      <c r="Q447" s="29" t="str">
        <f aca="false">IF(OR(P447="",M447&lt;&gt;"Paid",O447=""),"",P447/O447)</f>
        <v/>
      </c>
      <c r="R447" s="30" t="str">
        <f aca="false">IF(Q447="","",Q447+N(H447)*0.000000001)</f>
        <v/>
      </c>
      <c r="S447" s="25" t="str">
        <f aca="false">IF(R447="","",SUMPRODUCT((I$5:I$4004=I447)*ISNUMBER(R$5:R$4004)*(R$5:R$4004&gt;R447))+1)</f>
        <v/>
      </c>
      <c r="T447" s="25" t="str">
        <f aca="false">IF(S447="","",IF(S447&lt;=Setup!$B$5,"🏆 WINNER",""))</f>
        <v/>
      </c>
      <c r="U447" s="24" t="str">
        <f aca="false">IF(S447="","",I447&amp;"|"&amp;S447)</f>
        <v/>
      </c>
    </row>
    <row r="448" customFormat="false" ht="15" hidden="false" customHeight="false" outlineLevel="0" collapsed="false">
      <c r="A448" s="31" t="n">
        <v>444</v>
      </c>
      <c r="B448" s="32" t="str">
        <f aca="false">IF(OR(C448="",I448="",G448=""),"",IFERROR(VLOOKUP(I448,Setup!$A$9:$B$11,2,0),"???")&amp;"-"&amp;G448&amp;"-"&amp;TEXT(COUNTIFS(I$5:I448,I448,G$5:G448,G448),"0000"))</f>
        <v/>
      </c>
      <c r="C448" s="26"/>
      <c r="D448" s="26"/>
      <c r="E448" s="27"/>
      <c r="F448" s="27"/>
      <c r="G448" s="31" t="str">
        <f aca="false">IF(F448="","",IF(F448&lt;=5,"A",IF(F448&lt;=8,"B",IF(F448&lt;=10,"C","D"))))</f>
        <v/>
      </c>
      <c r="H448" s="28"/>
      <c r="I448" s="27"/>
      <c r="J448" s="26"/>
      <c r="K448" s="27"/>
      <c r="L448" s="27"/>
      <c r="M448" s="27"/>
      <c r="N448" s="27"/>
      <c r="O448" s="31" t="str">
        <f aca="false">IF(G448="","",VLOOKUP(G448,Setup!$A$14:$C$17,3,0))</f>
        <v/>
      </c>
      <c r="P448" s="27"/>
      <c r="Q448" s="33" t="str">
        <f aca="false">IF(OR(P448="",M448&lt;&gt;"Paid",O448=""),"",P448/O448)</f>
        <v/>
      </c>
      <c r="R448" s="34" t="str">
        <f aca="false">IF(Q448="","",Q448+N(H448)*0.000000001)</f>
        <v/>
      </c>
      <c r="S448" s="32" t="str">
        <f aca="false">IF(R448="","",SUMPRODUCT((I$5:I$4004=I448)*ISNUMBER(R$5:R$4004)*(R$5:R$4004&gt;R448))+1)</f>
        <v/>
      </c>
      <c r="T448" s="32" t="str">
        <f aca="false">IF(S448="","",IF(S448&lt;=Setup!$B$5,"🏆 WINNER",""))</f>
        <v/>
      </c>
      <c r="U448" s="31" t="str">
        <f aca="false">IF(S448="","",I448&amp;"|"&amp;S448)</f>
        <v/>
      </c>
    </row>
    <row r="449" customFormat="false" ht="15" hidden="false" customHeight="false" outlineLevel="0" collapsed="false">
      <c r="A449" s="24" t="n">
        <v>445</v>
      </c>
      <c r="B449" s="25" t="str">
        <f aca="false">IF(OR(C449="",I449="",G449=""),"",IFERROR(VLOOKUP(I449,Setup!$A$9:$B$11,2,0),"???")&amp;"-"&amp;G449&amp;"-"&amp;TEXT(COUNTIFS(I$5:I449,I449,G$5:G449,G449),"0000"))</f>
        <v/>
      </c>
      <c r="C449" s="26"/>
      <c r="D449" s="26"/>
      <c r="E449" s="27"/>
      <c r="F449" s="27"/>
      <c r="G449" s="24" t="str">
        <f aca="false">IF(F449="","",IF(F449&lt;=5,"A",IF(F449&lt;=8,"B",IF(F449&lt;=10,"C","D"))))</f>
        <v/>
      </c>
      <c r="H449" s="28"/>
      <c r="I449" s="27"/>
      <c r="J449" s="26"/>
      <c r="K449" s="27"/>
      <c r="L449" s="27"/>
      <c r="M449" s="27"/>
      <c r="N449" s="27"/>
      <c r="O449" s="24" t="str">
        <f aca="false">IF(G449="","",VLOOKUP(G449,Setup!$A$14:$C$17,3,0))</f>
        <v/>
      </c>
      <c r="P449" s="27"/>
      <c r="Q449" s="29" t="str">
        <f aca="false">IF(OR(P449="",M449&lt;&gt;"Paid",O449=""),"",P449/O449)</f>
        <v/>
      </c>
      <c r="R449" s="30" t="str">
        <f aca="false">IF(Q449="","",Q449+N(H449)*0.000000001)</f>
        <v/>
      </c>
      <c r="S449" s="25" t="str">
        <f aca="false">IF(R449="","",SUMPRODUCT((I$5:I$4004=I449)*ISNUMBER(R$5:R$4004)*(R$5:R$4004&gt;R449))+1)</f>
        <v/>
      </c>
      <c r="T449" s="25" t="str">
        <f aca="false">IF(S449="","",IF(S449&lt;=Setup!$B$5,"🏆 WINNER",""))</f>
        <v/>
      </c>
      <c r="U449" s="24" t="str">
        <f aca="false">IF(S449="","",I449&amp;"|"&amp;S449)</f>
        <v/>
      </c>
    </row>
    <row r="450" customFormat="false" ht="15" hidden="false" customHeight="false" outlineLevel="0" collapsed="false">
      <c r="A450" s="31" t="n">
        <v>446</v>
      </c>
      <c r="B450" s="32" t="str">
        <f aca="false">IF(OR(C450="",I450="",G450=""),"",IFERROR(VLOOKUP(I450,Setup!$A$9:$B$11,2,0),"???")&amp;"-"&amp;G450&amp;"-"&amp;TEXT(COUNTIFS(I$5:I450,I450,G$5:G450,G450),"0000"))</f>
        <v/>
      </c>
      <c r="C450" s="26"/>
      <c r="D450" s="26"/>
      <c r="E450" s="27"/>
      <c r="F450" s="27"/>
      <c r="G450" s="31" t="str">
        <f aca="false">IF(F450="","",IF(F450&lt;=5,"A",IF(F450&lt;=8,"B",IF(F450&lt;=10,"C","D"))))</f>
        <v/>
      </c>
      <c r="H450" s="28"/>
      <c r="I450" s="27"/>
      <c r="J450" s="26"/>
      <c r="K450" s="27"/>
      <c r="L450" s="27"/>
      <c r="M450" s="27"/>
      <c r="N450" s="27"/>
      <c r="O450" s="31" t="str">
        <f aca="false">IF(G450="","",VLOOKUP(G450,Setup!$A$14:$C$17,3,0))</f>
        <v/>
      </c>
      <c r="P450" s="27"/>
      <c r="Q450" s="33" t="str">
        <f aca="false">IF(OR(P450="",M450&lt;&gt;"Paid",O450=""),"",P450/O450)</f>
        <v/>
      </c>
      <c r="R450" s="34" t="str">
        <f aca="false">IF(Q450="","",Q450+N(H450)*0.000000001)</f>
        <v/>
      </c>
      <c r="S450" s="32" t="str">
        <f aca="false">IF(R450="","",SUMPRODUCT((I$5:I$4004=I450)*ISNUMBER(R$5:R$4004)*(R$5:R$4004&gt;R450))+1)</f>
        <v/>
      </c>
      <c r="T450" s="32" t="str">
        <f aca="false">IF(S450="","",IF(S450&lt;=Setup!$B$5,"🏆 WINNER",""))</f>
        <v/>
      </c>
      <c r="U450" s="31" t="str">
        <f aca="false">IF(S450="","",I450&amp;"|"&amp;S450)</f>
        <v/>
      </c>
    </row>
    <row r="451" customFormat="false" ht="15" hidden="false" customHeight="false" outlineLevel="0" collapsed="false">
      <c r="A451" s="24" t="n">
        <v>447</v>
      </c>
      <c r="B451" s="25" t="str">
        <f aca="false">IF(OR(C451="",I451="",G451=""),"",IFERROR(VLOOKUP(I451,Setup!$A$9:$B$11,2,0),"???")&amp;"-"&amp;G451&amp;"-"&amp;TEXT(COUNTIFS(I$5:I451,I451,G$5:G451,G451),"0000"))</f>
        <v/>
      </c>
      <c r="C451" s="26"/>
      <c r="D451" s="26"/>
      <c r="E451" s="27"/>
      <c r="F451" s="27"/>
      <c r="G451" s="24" t="str">
        <f aca="false">IF(F451="","",IF(F451&lt;=5,"A",IF(F451&lt;=8,"B",IF(F451&lt;=10,"C","D"))))</f>
        <v/>
      </c>
      <c r="H451" s="28"/>
      <c r="I451" s="27"/>
      <c r="J451" s="26"/>
      <c r="K451" s="27"/>
      <c r="L451" s="27"/>
      <c r="M451" s="27"/>
      <c r="N451" s="27"/>
      <c r="O451" s="24" t="str">
        <f aca="false">IF(G451="","",VLOOKUP(G451,Setup!$A$14:$C$17,3,0))</f>
        <v/>
      </c>
      <c r="P451" s="27"/>
      <c r="Q451" s="29" t="str">
        <f aca="false">IF(OR(P451="",M451&lt;&gt;"Paid",O451=""),"",P451/O451)</f>
        <v/>
      </c>
      <c r="R451" s="30" t="str">
        <f aca="false">IF(Q451="","",Q451+N(H451)*0.000000001)</f>
        <v/>
      </c>
      <c r="S451" s="25" t="str">
        <f aca="false">IF(R451="","",SUMPRODUCT((I$5:I$4004=I451)*ISNUMBER(R$5:R$4004)*(R$5:R$4004&gt;R451))+1)</f>
        <v/>
      </c>
      <c r="T451" s="25" t="str">
        <f aca="false">IF(S451="","",IF(S451&lt;=Setup!$B$5,"🏆 WINNER",""))</f>
        <v/>
      </c>
      <c r="U451" s="24" t="str">
        <f aca="false">IF(S451="","",I451&amp;"|"&amp;S451)</f>
        <v/>
      </c>
    </row>
    <row r="452" customFormat="false" ht="15" hidden="false" customHeight="false" outlineLevel="0" collapsed="false">
      <c r="A452" s="31" t="n">
        <v>448</v>
      </c>
      <c r="B452" s="32" t="str">
        <f aca="false">IF(OR(C452="",I452="",G452=""),"",IFERROR(VLOOKUP(I452,Setup!$A$9:$B$11,2,0),"???")&amp;"-"&amp;G452&amp;"-"&amp;TEXT(COUNTIFS(I$5:I452,I452,G$5:G452,G452),"0000"))</f>
        <v/>
      </c>
      <c r="C452" s="26"/>
      <c r="D452" s="26"/>
      <c r="E452" s="27"/>
      <c r="F452" s="27"/>
      <c r="G452" s="31" t="str">
        <f aca="false">IF(F452="","",IF(F452&lt;=5,"A",IF(F452&lt;=8,"B",IF(F452&lt;=10,"C","D"))))</f>
        <v/>
      </c>
      <c r="H452" s="28"/>
      <c r="I452" s="27"/>
      <c r="J452" s="26"/>
      <c r="K452" s="27"/>
      <c r="L452" s="27"/>
      <c r="M452" s="27"/>
      <c r="N452" s="27"/>
      <c r="O452" s="31" t="str">
        <f aca="false">IF(G452="","",VLOOKUP(G452,Setup!$A$14:$C$17,3,0))</f>
        <v/>
      </c>
      <c r="P452" s="27"/>
      <c r="Q452" s="33" t="str">
        <f aca="false">IF(OR(P452="",M452&lt;&gt;"Paid",O452=""),"",P452/O452)</f>
        <v/>
      </c>
      <c r="R452" s="34" t="str">
        <f aca="false">IF(Q452="","",Q452+N(H452)*0.000000001)</f>
        <v/>
      </c>
      <c r="S452" s="32" t="str">
        <f aca="false">IF(R452="","",SUMPRODUCT((I$5:I$4004=I452)*ISNUMBER(R$5:R$4004)*(R$5:R$4004&gt;R452))+1)</f>
        <v/>
      </c>
      <c r="T452" s="32" t="str">
        <f aca="false">IF(S452="","",IF(S452&lt;=Setup!$B$5,"🏆 WINNER",""))</f>
        <v/>
      </c>
      <c r="U452" s="31" t="str">
        <f aca="false">IF(S452="","",I452&amp;"|"&amp;S452)</f>
        <v/>
      </c>
    </row>
    <row r="453" customFormat="false" ht="15" hidden="false" customHeight="false" outlineLevel="0" collapsed="false">
      <c r="A453" s="24" t="n">
        <v>449</v>
      </c>
      <c r="B453" s="25" t="str">
        <f aca="false">IF(OR(C453="",I453="",G453=""),"",IFERROR(VLOOKUP(I453,Setup!$A$9:$B$11,2,0),"???")&amp;"-"&amp;G453&amp;"-"&amp;TEXT(COUNTIFS(I$5:I453,I453,G$5:G453,G453),"0000"))</f>
        <v/>
      </c>
      <c r="C453" s="26"/>
      <c r="D453" s="26"/>
      <c r="E453" s="27"/>
      <c r="F453" s="27"/>
      <c r="G453" s="24" t="str">
        <f aca="false">IF(F453="","",IF(F453&lt;=5,"A",IF(F453&lt;=8,"B",IF(F453&lt;=10,"C","D"))))</f>
        <v/>
      </c>
      <c r="H453" s="28"/>
      <c r="I453" s="27"/>
      <c r="J453" s="26"/>
      <c r="K453" s="27"/>
      <c r="L453" s="27"/>
      <c r="M453" s="27"/>
      <c r="N453" s="27"/>
      <c r="O453" s="24" t="str">
        <f aca="false">IF(G453="","",VLOOKUP(G453,Setup!$A$14:$C$17,3,0))</f>
        <v/>
      </c>
      <c r="P453" s="27"/>
      <c r="Q453" s="29" t="str">
        <f aca="false">IF(OR(P453="",M453&lt;&gt;"Paid",O453=""),"",P453/O453)</f>
        <v/>
      </c>
      <c r="R453" s="30" t="str">
        <f aca="false">IF(Q453="","",Q453+N(H453)*0.000000001)</f>
        <v/>
      </c>
      <c r="S453" s="25" t="str">
        <f aca="false">IF(R453="","",SUMPRODUCT((I$5:I$4004=I453)*ISNUMBER(R$5:R$4004)*(R$5:R$4004&gt;R453))+1)</f>
        <v/>
      </c>
      <c r="T453" s="25" t="str">
        <f aca="false">IF(S453="","",IF(S453&lt;=Setup!$B$5,"🏆 WINNER",""))</f>
        <v/>
      </c>
      <c r="U453" s="24" t="str">
        <f aca="false">IF(S453="","",I453&amp;"|"&amp;S453)</f>
        <v/>
      </c>
    </row>
    <row r="454" customFormat="false" ht="15" hidden="false" customHeight="false" outlineLevel="0" collapsed="false">
      <c r="A454" s="31" t="n">
        <v>450</v>
      </c>
      <c r="B454" s="32" t="str">
        <f aca="false">IF(OR(C454="",I454="",G454=""),"",IFERROR(VLOOKUP(I454,Setup!$A$9:$B$11,2,0),"???")&amp;"-"&amp;G454&amp;"-"&amp;TEXT(COUNTIFS(I$5:I454,I454,G$5:G454,G454),"0000"))</f>
        <v/>
      </c>
      <c r="C454" s="26"/>
      <c r="D454" s="26"/>
      <c r="E454" s="27"/>
      <c r="F454" s="27"/>
      <c r="G454" s="31" t="str">
        <f aca="false">IF(F454="","",IF(F454&lt;=5,"A",IF(F454&lt;=8,"B",IF(F454&lt;=10,"C","D"))))</f>
        <v/>
      </c>
      <c r="H454" s="28"/>
      <c r="I454" s="27"/>
      <c r="J454" s="26"/>
      <c r="K454" s="27"/>
      <c r="L454" s="27"/>
      <c r="M454" s="27"/>
      <c r="N454" s="27"/>
      <c r="O454" s="31" t="str">
        <f aca="false">IF(G454="","",VLOOKUP(G454,Setup!$A$14:$C$17,3,0))</f>
        <v/>
      </c>
      <c r="P454" s="27"/>
      <c r="Q454" s="33" t="str">
        <f aca="false">IF(OR(P454="",M454&lt;&gt;"Paid",O454=""),"",P454/O454)</f>
        <v/>
      </c>
      <c r="R454" s="34" t="str">
        <f aca="false">IF(Q454="","",Q454+N(H454)*0.000000001)</f>
        <v/>
      </c>
      <c r="S454" s="32" t="str">
        <f aca="false">IF(R454="","",SUMPRODUCT((I$5:I$4004=I454)*ISNUMBER(R$5:R$4004)*(R$5:R$4004&gt;R454))+1)</f>
        <v/>
      </c>
      <c r="T454" s="32" t="str">
        <f aca="false">IF(S454="","",IF(S454&lt;=Setup!$B$5,"🏆 WINNER",""))</f>
        <v/>
      </c>
      <c r="U454" s="31" t="str">
        <f aca="false">IF(S454="","",I454&amp;"|"&amp;S454)</f>
        <v/>
      </c>
    </row>
    <row r="455" customFormat="false" ht="15" hidden="false" customHeight="false" outlineLevel="0" collapsed="false">
      <c r="A455" s="24" t="n">
        <v>451</v>
      </c>
      <c r="B455" s="25" t="str">
        <f aca="false">IF(OR(C455="",I455="",G455=""),"",IFERROR(VLOOKUP(I455,Setup!$A$9:$B$11,2,0),"???")&amp;"-"&amp;G455&amp;"-"&amp;TEXT(COUNTIFS(I$5:I455,I455,G$5:G455,G455),"0000"))</f>
        <v/>
      </c>
      <c r="C455" s="26"/>
      <c r="D455" s="26"/>
      <c r="E455" s="27"/>
      <c r="F455" s="27"/>
      <c r="G455" s="24" t="str">
        <f aca="false">IF(F455="","",IF(F455&lt;=5,"A",IF(F455&lt;=8,"B",IF(F455&lt;=10,"C","D"))))</f>
        <v/>
      </c>
      <c r="H455" s="28"/>
      <c r="I455" s="27"/>
      <c r="J455" s="26"/>
      <c r="K455" s="27"/>
      <c r="L455" s="27"/>
      <c r="M455" s="27"/>
      <c r="N455" s="27"/>
      <c r="O455" s="24" t="str">
        <f aca="false">IF(G455="","",VLOOKUP(G455,Setup!$A$14:$C$17,3,0))</f>
        <v/>
      </c>
      <c r="P455" s="27"/>
      <c r="Q455" s="29" t="str">
        <f aca="false">IF(OR(P455="",M455&lt;&gt;"Paid",O455=""),"",P455/O455)</f>
        <v/>
      </c>
      <c r="R455" s="30" t="str">
        <f aca="false">IF(Q455="","",Q455+N(H455)*0.000000001)</f>
        <v/>
      </c>
      <c r="S455" s="25" t="str">
        <f aca="false">IF(R455="","",SUMPRODUCT((I$5:I$4004=I455)*ISNUMBER(R$5:R$4004)*(R$5:R$4004&gt;R455))+1)</f>
        <v/>
      </c>
      <c r="T455" s="25" t="str">
        <f aca="false">IF(S455="","",IF(S455&lt;=Setup!$B$5,"🏆 WINNER",""))</f>
        <v/>
      </c>
      <c r="U455" s="24" t="str">
        <f aca="false">IF(S455="","",I455&amp;"|"&amp;S455)</f>
        <v/>
      </c>
    </row>
    <row r="456" customFormat="false" ht="15" hidden="false" customHeight="false" outlineLevel="0" collapsed="false">
      <c r="A456" s="31" t="n">
        <v>452</v>
      </c>
      <c r="B456" s="32" t="str">
        <f aca="false">IF(OR(C456="",I456="",G456=""),"",IFERROR(VLOOKUP(I456,Setup!$A$9:$B$11,2,0),"???")&amp;"-"&amp;G456&amp;"-"&amp;TEXT(COUNTIFS(I$5:I456,I456,G$5:G456,G456),"0000"))</f>
        <v/>
      </c>
      <c r="C456" s="26"/>
      <c r="D456" s="26"/>
      <c r="E456" s="27"/>
      <c r="F456" s="27"/>
      <c r="G456" s="31" t="str">
        <f aca="false">IF(F456="","",IF(F456&lt;=5,"A",IF(F456&lt;=8,"B",IF(F456&lt;=10,"C","D"))))</f>
        <v/>
      </c>
      <c r="H456" s="28"/>
      <c r="I456" s="27"/>
      <c r="J456" s="26"/>
      <c r="K456" s="27"/>
      <c r="L456" s="27"/>
      <c r="M456" s="27"/>
      <c r="N456" s="27"/>
      <c r="O456" s="31" t="str">
        <f aca="false">IF(G456="","",VLOOKUP(G456,Setup!$A$14:$C$17,3,0))</f>
        <v/>
      </c>
      <c r="P456" s="27"/>
      <c r="Q456" s="33" t="str">
        <f aca="false">IF(OR(P456="",M456&lt;&gt;"Paid",O456=""),"",P456/O456)</f>
        <v/>
      </c>
      <c r="R456" s="34" t="str">
        <f aca="false">IF(Q456="","",Q456+N(H456)*0.000000001)</f>
        <v/>
      </c>
      <c r="S456" s="32" t="str">
        <f aca="false">IF(R456="","",SUMPRODUCT((I$5:I$4004=I456)*ISNUMBER(R$5:R$4004)*(R$5:R$4004&gt;R456))+1)</f>
        <v/>
      </c>
      <c r="T456" s="32" t="str">
        <f aca="false">IF(S456="","",IF(S456&lt;=Setup!$B$5,"🏆 WINNER",""))</f>
        <v/>
      </c>
      <c r="U456" s="31" t="str">
        <f aca="false">IF(S456="","",I456&amp;"|"&amp;S456)</f>
        <v/>
      </c>
    </row>
    <row r="457" customFormat="false" ht="15" hidden="false" customHeight="false" outlineLevel="0" collapsed="false">
      <c r="A457" s="24" t="n">
        <v>453</v>
      </c>
      <c r="B457" s="25" t="str">
        <f aca="false">IF(OR(C457="",I457="",G457=""),"",IFERROR(VLOOKUP(I457,Setup!$A$9:$B$11,2,0),"???")&amp;"-"&amp;G457&amp;"-"&amp;TEXT(COUNTIFS(I$5:I457,I457,G$5:G457,G457),"0000"))</f>
        <v/>
      </c>
      <c r="C457" s="26"/>
      <c r="D457" s="26"/>
      <c r="E457" s="27"/>
      <c r="F457" s="27"/>
      <c r="G457" s="24" t="str">
        <f aca="false">IF(F457="","",IF(F457&lt;=5,"A",IF(F457&lt;=8,"B",IF(F457&lt;=10,"C","D"))))</f>
        <v/>
      </c>
      <c r="H457" s="28"/>
      <c r="I457" s="27"/>
      <c r="J457" s="26"/>
      <c r="K457" s="27"/>
      <c r="L457" s="27"/>
      <c r="M457" s="27"/>
      <c r="N457" s="27"/>
      <c r="O457" s="24" t="str">
        <f aca="false">IF(G457="","",VLOOKUP(G457,Setup!$A$14:$C$17,3,0))</f>
        <v/>
      </c>
      <c r="P457" s="27"/>
      <c r="Q457" s="29" t="str">
        <f aca="false">IF(OR(P457="",M457&lt;&gt;"Paid",O457=""),"",P457/O457)</f>
        <v/>
      </c>
      <c r="R457" s="30" t="str">
        <f aca="false">IF(Q457="","",Q457+N(H457)*0.000000001)</f>
        <v/>
      </c>
      <c r="S457" s="25" t="str">
        <f aca="false">IF(R457="","",SUMPRODUCT((I$5:I$4004=I457)*ISNUMBER(R$5:R$4004)*(R$5:R$4004&gt;R457))+1)</f>
        <v/>
      </c>
      <c r="T457" s="25" t="str">
        <f aca="false">IF(S457="","",IF(S457&lt;=Setup!$B$5,"🏆 WINNER",""))</f>
        <v/>
      </c>
      <c r="U457" s="24" t="str">
        <f aca="false">IF(S457="","",I457&amp;"|"&amp;S457)</f>
        <v/>
      </c>
    </row>
    <row r="458" customFormat="false" ht="15" hidden="false" customHeight="false" outlineLevel="0" collapsed="false">
      <c r="A458" s="31" t="n">
        <v>454</v>
      </c>
      <c r="B458" s="32" t="str">
        <f aca="false">IF(OR(C458="",I458="",G458=""),"",IFERROR(VLOOKUP(I458,Setup!$A$9:$B$11,2,0),"???")&amp;"-"&amp;G458&amp;"-"&amp;TEXT(COUNTIFS(I$5:I458,I458,G$5:G458,G458),"0000"))</f>
        <v/>
      </c>
      <c r="C458" s="26"/>
      <c r="D458" s="26"/>
      <c r="E458" s="27"/>
      <c r="F458" s="27"/>
      <c r="G458" s="31" t="str">
        <f aca="false">IF(F458="","",IF(F458&lt;=5,"A",IF(F458&lt;=8,"B",IF(F458&lt;=10,"C","D"))))</f>
        <v/>
      </c>
      <c r="H458" s="28"/>
      <c r="I458" s="27"/>
      <c r="J458" s="26"/>
      <c r="K458" s="27"/>
      <c r="L458" s="27"/>
      <c r="M458" s="27"/>
      <c r="N458" s="27"/>
      <c r="O458" s="31" t="str">
        <f aca="false">IF(G458="","",VLOOKUP(G458,Setup!$A$14:$C$17,3,0))</f>
        <v/>
      </c>
      <c r="P458" s="27"/>
      <c r="Q458" s="33" t="str">
        <f aca="false">IF(OR(P458="",M458&lt;&gt;"Paid",O458=""),"",P458/O458)</f>
        <v/>
      </c>
      <c r="R458" s="34" t="str">
        <f aca="false">IF(Q458="","",Q458+N(H458)*0.000000001)</f>
        <v/>
      </c>
      <c r="S458" s="32" t="str">
        <f aca="false">IF(R458="","",SUMPRODUCT((I$5:I$4004=I458)*ISNUMBER(R$5:R$4004)*(R$5:R$4004&gt;R458))+1)</f>
        <v/>
      </c>
      <c r="T458" s="32" t="str">
        <f aca="false">IF(S458="","",IF(S458&lt;=Setup!$B$5,"🏆 WINNER",""))</f>
        <v/>
      </c>
      <c r="U458" s="31" t="str">
        <f aca="false">IF(S458="","",I458&amp;"|"&amp;S458)</f>
        <v/>
      </c>
    </row>
    <row r="459" customFormat="false" ht="15" hidden="false" customHeight="false" outlineLevel="0" collapsed="false">
      <c r="A459" s="24" t="n">
        <v>455</v>
      </c>
      <c r="B459" s="25" t="str">
        <f aca="false">IF(OR(C459="",I459="",G459=""),"",IFERROR(VLOOKUP(I459,Setup!$A$9:$B$11,2,0),"???")&amp;"-"&amp;G459&amp;"-"&amp;TEXT(COUNTIFS(I$5:I459,I459,G$5:G459,G459),"0000"))</f>
        <v/>
      </c>
      <c r="C459" s="26"/>
      <c r="D459" s="26"/>
      <c r="E459" s="27"/>
      <c r="F459" s="27"/>
      <c r="G459" s="24" t="str">
        <f aca="false">IF(F459="","",IF(F459&lt;=5,"A",IF(F459&lt;=8,"B",IF(F459&lt;=10,"C","D"))))</f>
        <v/>
      </c>
      <c r="H459" s="28"/>
      <c r="I459" s="27"/>
      <c r="J459" s="26"/>
      <c r="K459" s="27"/>
      <c r="L459" s="27"/>
      <c r="M459" s="27"/>
      <c r="N459" s="27"/>
      <c r="O459" s="24" t="str">
        <f aca="false">IF(G459="","",VLOOKUP(G459,Setup!$A$14:$C$17,3,0))</f>
        <v/>
      </c>
      <c r="P459" s="27"/>
      <c r="Q459" s="29" t="str">
        <f aca="false">IF(OR(P459="",M459&lt;&gt;"Paid",O459=""),"",P459/O459)</f>
        <v/>
      </c>
      <c r="R459" s="30" t="str">
        <f aca="false">IF(Q459="","",Q459+N(H459)*0.000000001)</f>
        <v/>
      </c>
      <c r="S459" s="25" t="str">
        <f aca="false">IF(R459="","",SUMPRODUCT((I$5:I$4004=I459)*ISNUMBER(R$5:R$4004)*(R$5:R$4004&gt;R459))+1)</f>
        <v/>
      </c>
      <c r="T459" s="25" t="str">
        <f aca="false">IF(S459="","",IF(S459&lt;=Setup!$B$5,"🏆 WINNER",""))</f>
        <v/>
      </c>
      <c r="U459" s="24" t="str">
        <f aca="false">IF(S459="","",I459&amp;"|"&amp;S459)</f>
        <v/>
      </c>
    </row>
    <row r="460" customFormat="false" ht="15" hidden="false" customHeight="false" outlineLevel="0" collapsed="false">
      <c r="A460" s="31" t="n">
        <v>456</v>
      </c>
      <c r="B460" s="32" t="str">
        <f aca="false">IF(OR(C460="",I460="",G460=""),"",IFERROR(VLOOKUP(I460,Setup!$A$9:$B$11,2,0),"???")&amp;"-"&amp;G460&amp;"-"&amp;TEXT(COUNTIFS(I$5:I460,I460,G$5:G460,G460),"0000"))</f>
        <v/>
      </c>
      <c r="C460" s="26"/>
      <c r="D460" s="26"/>
      <c r="E460" s="27"/>
      <c r="F460" s="27"/>
      <c r="G460" s="31" t="str">
        <f aca="false">IF(F460="","",IF(F460&lt;=5,"A",IF(F460&lt;=8,"B",IF(F460&lt;=10,"C","D"))))</f>
        <v/>
      </c>
      <c r="H460" s="28"/>
      <c r="I460" s="27"/>
      <c r="J460" s="26"/>
      <c r="K460" s="27"/>
      <c r="L460" s="27"/>
      <c r="M460" s="27"/>
      <c r="N460" s="27"/>
      <c r="O460" s="31" t="str">
        <f aca="false">IF(G460="","",VLOOKUP(G460,Setup!$A$14:$C$17,3,0))</f>
        <v/>
      </c>
      <c r="P460" s="27"/>
      <c r="Q460" s="33" t="str">
        <f aca="false">IF(OR(P460="",M460&lt;&gt;"Paid",O460=""),"",P460/O460)</f>
        <v/>
      </c>
      <c r="R460" s="34" t="str">
        <f aca="false">IF(Q460="","",Q460+N(H460)*0.000000001)</f>
        <v/>
      </c>
      <c r="S460" s="32" t="str">
        <f aca="false">IF(R460="","",SUMPRODUCT((I$5:I$4004=I460)*ISNUMBER(R$5:R$4004)*(R$5:R$4004&gt;R460))+1)</f>
        <v/>
      </c>
      <c r="T460" s="32" t="str">
        <f aca="false">IF(S460="","",IF(S460&lt;=Setup!$B$5,"🏆 WINNER",""))</f>
        <v/>
      </c>
      <c r="U460" s="31" t="str">
        <f aca="false">IF(S460="","",I460&amp;"|"&amp;S460)</f>
        <v/>
      </c>
    </row>
    <row r="461" customFormat="false" ht="15" hidden="false" customHeight="false" outlineLevel="0" collapsed="false">
      <c r="A461" s="24" t="n">
        <v>457</v>
      </c>
      <c r="B461" s="25" t="str">
        <f aca="false">IF(OR(C461="",I461="",G461=""),"",IFERROR(VLOOKUP(I461,Setup!$A$9:$B$11,2,0),"???")&amp;"-"&amp;G461&amp;"-"&amp;TEXT(COUNTIFS(I$5:I461,I461,G$5:G461,G461),"0000"))</f>
        <v/>
      </c>
      <c r="C461" s="26"/>
      <c r="D461" s="26"/>
      <c r="E461" s="27"/>
      <c r="F461" s="27"/>
      <c r="G461" s="24" t="str">
        <f aca="false">IF(F461="","",IF(F461&lt;=5,"A",IF(F461&lt;=8,"B",IF(F461&lt;=10,"C","D"))))</f>
        <v/>
      </c>
      <c r="H461" s="28"/>
      <c r="I461" s="27"/>
      <c r="J461" s="26"/>
      <c r="K461" s="27"/>
      <c r="L461" s="27"/>
      <c r="M461" s="27"/>
      <c r="N461" s="27"/>
      <c r="O461" s="24" t="str">
        <f aca="false">IF(G461="","",VLOOKUP(G461,Setup!$A$14:$C$17,3,0))</f>
        <v/>
      </c>
      <c r="P461" s="27"/>
      <c r="Q461" s="29" t="str">
        <f aca="false">IF(OR(P461="",M461&lt;&gt;"Paid",O461=""),"",P461/O461)</f>
        <v/>
      </c>
      <c r="R461" s="30" t="str">
        <f aca="false">IF(Q461="","",Q461+N(H461)*0.000000001)</f>
        <v/>
      </c>
      <c r="S461" s="25" t="str">
        <f aca="false">IF(R461="","",SUMPRODUCT((I$5:I$4004=I461)*ISNUMBER(R$5:R$4004)*(R$5:R$4004&gt;R461))+1)</f>
        <v/>
      </c>
      <c r="T461" s="25" t="str">
        <f aca="false">IF(S461="","",IF(S461&lt;=Setup!$B$5,"🏆 WINNER",""))</f>
        <v/>
      </c>
      <c r="U461" s="24" t="str">
        <f aca="false">IF(S461="","",I461&amp;"|"&amp;S461)</f>
        <v/>
      </c>
    </row>
    <row r="462" customFormat="false" ht="15" hidden="false" customHeight="false" outlineLevel="0" collapsed="false">
      <c r="A462" s="31" t="n">
        <v>458</v>
      </c>
      <c r="B462" s="32" t="str">
        <f aca="false">IF(OR(C462="",I462="",G462=""),"",IFERROR(VLOOKUP(I462,Setup!$A$9:$B$11,2,0),"???")&amp;"-"&amp;G462&amp;"-"&amp;TEXT(COUNTIFS(I$5:I462,I462,G$5:G462,G462),"0000"))</f>
        <v/>
      </c>
      <c r="C462" s="26"/>
      <c r="D462" s="26"/>
      <c r="E462" s="27"/>
      <c r="F462" s="27"/>
      <c r="G462" s="31" t="str">
        <f aca="false">IF(F462="","",IF(F462&lt;=5,"A",IF(F462&lt;=8,"B",IF(F462&lt;=10,"C","D"))))</f>
        <v/>
      </c>
      <c r="H462" s="28"/>
      <c r="I462" s="27"/>
      <c r="J462" s="26"/>
      <c r="K462" s="27"/>
      <c r="L462" s="27"/>
      <c r="M462" s="27"/>
      <c r="N462" s="27"/>
      <c r="O462" s="31" t="str">
        <f aca="false">IF(G462="","",VLOOKUP(G462,Setup!$A$14:$C$17,3,0))</f>
        <v/>
      </c>
      <c r="P462" s="27"/>
      <c r="Q462" s="33" t="str">
        <f aca="false">IF(OR(P462="",M462&lt;&gt;"Paid",O462=""),"",P462/O462)</f>
        <v/>
      </c>
      <c r="R462" s="34" t="str">
        <f aca="false">IF(Q462="","",Q462+N(H462)*0.000000001)</f>
        <v/>
      </c>
      <c r="S462" s="32" t="str">
        <f aca="false">IF(R462="","",SUMPRODUCT((I$5:I$4004=I462)*ISNUMBER(R$5:R$4004)*(R$5:R$4004&gt;R462))+1)</f>
        <v/>
      </c>
      <c r="T462" s="32" t="str">
        <f aca="false">IF(S462="","",IF(S462&lt;=Setup!$B$5,"🏆 WINNER",""))</f>
        <v/>
      </c>
      <c r="U462" s="31" t="str">
        <f aca="false">IF(S462="","",I462&amp;"|"&amp;S462)</f>
        <v/>
      </c>
    </row>
    <row r="463" customFormat="false" ht="15" hidden="false" customHeight="false" outlineLevel="0" collapsed="false">
      <c r="A463" s="24" t="n">
        <v>459</v>
      </c>
      <c r="B463" s="25" t="str">
        <f aca="false">IF(OR(C463="",I463="",G463=""),"",IFERROR(VLOOKUP(I463,Setup!$A$9:$B$11,2,0),"???")&amp;"-"&amp;G463&amp;"-"&amp;TEXT(COUNTIFS(I$5:I463,I463,G$5:G463,G463),"0000"))</f>
        <v/>
      </c>
      <c r="C463" s="26"/>
      <c r="D463" s="26"/>
      <c r="E463" s="27"/>
      <c r="F463" s="27"/>
      <c r="G463" s="24" t="str">
        <f aca="false">IF(F463="","",IF(F463&lt;=5,"A",IF(F463&lt;=8,"B",IF(F463&lt;=10,"C","D"))))</f>
        <v/>
      </c>
      <c r="H463" s="28"/>
      <c r="I463" s="27"/>
      <c r="J463" s="26"/>
      <c r="K463" s="27"/>
      <c r="L463" s="27"/>
      <c r="M463" s="27"/>
      <c r="N463" s="27"/>
      <c r="O463" s="24" t="str">
        <f aca="false">IF(G463="","",VLOOKUP(G463,Setup!$A$14:$C$17,3,0))</f>
        <v/>
      </c>
      <c r="P463" s="27"/>
      <c r="Q463" s="29" t="str">
        <f aca="false">IF(OR(P463="",M463&lt;&gt;"Paid",O463=""),"",P463/O463)</f>
        <v/>
      </c>
      <c r="R463" s="30" t="str">
        <f aca="false">IF(Q463="","",Q463+N(H463)*0.000000001)</f>
        <v/>
      </c>
      <c r="S463" s="25" t="str">
        <f aca="false">IF(R463="","",SUMPRODUCT((I$5:I$4004=I463)*ISNUMBER(R$5:R$4004)*(R$5:R$4004&gt;R463))+1)</f>
        <v/>
      </c>
      <c r="T463" s="25" t="str">
        <f aca="false">IF(S463="","",IF(S463&lt;=Setup!$B$5,"🏆 WINNER",""))</f>
        <v/>
      </c>
      <c r="U463" s="24" t="str">
        <f aca="false">IF(S463="","",I463&amp;"|"&amp;S463)</f>
        <v/>
      </c>
    </row>
    <row r="464" customFormat="false" ht="15" hidden="false" customHeight="false" outlineLevel="0" collapsed="false">
      <c r="A464" s="31" t="n">
        <v>460</v>
      </c>
      <c r="B464" s="32" t="str">
        <f aca="false">IF(OR(C464="",I464="",G464=""),"",IFERROR(VLOOKUP(I464,Setup!$A$9:$B$11,2,0),"???")&amp;"-"&amp;G464&amp;"-"&amp;TEXT(COUNTIFS(I$5:I464,I464,G$5:G464,G464),"0000"))</f>
        <v/>
      </c>
      <c r="C464" s="26"/>
      <c r="D464" s="26"/>
      <c r="E464" s="27"/>
      <c r="F464" s="27"/>
      <c r="G464" s="31" t="str">
        <f aca="false">IF(F464="","",IF(F464&lt;=5,"A",IF(F464&lt;=8,"B",IF(F464&lt;=10,"C","D"))))</f>
        <v/>
      </c>
      <c r="H464" s="28"/>
      <c r="I464" s="27"/>
      <c r="J464" s="26"/>
      <c r="K464" s="27"/>
      <c r="L464" s="27"/>
      <c r="M464" s="27"/>
      <c r="N464" s="27"/>
      <c r="O464" s="31" t="str">
        <f aca="false">IF(G464="","",VLOOKUP(G464,Setup!$A$14:$C$17,3,0))</f>
        <v/>
      </c>
      <c r="P464" s="27"/>
      <c r="Q464" s="33" t="str">
        <f aca="false">IF(OR(P464="",M464&lt;&gt;"Paid",O464=""),"",P464/O464)</f>
        <v/>
      </c>
      <c r="R464" s="34" t="str">
        <f aca="false">IF(Q464="","",Q464+N(H464)*0.000000001)</f>
        <v/>
      </c>
      <c r="S464" s="32" t="str">
        <f aca="false">IF(R464="","",SUMPRODUCT((I$5:I$4004=I464)*ISNUMBER(R$5:R$4004)*(R$5:R$4004&gt;R464))+1)</f>
        <v/>
      </c>
      <c r="T464" s="32" t="str">
        <f aca="false">IF(S464="","",IF(S464&lt;=Setup!$B$5,"🏆 WINNER",""))</f>
        <v/>
      </c>
      <c r="U464" s="31" t="str">
        <f aca="false">IF(S464="","",I464&amp;"|"&amp;S464)</f>
        <v/>
      </c>
    </row>
    <row r="465" customFormat="false" ht="15" hidden="false" customHeight="false" outlineLevel="0" collapsed="false">
      <c r="A465" s="24" t="n">
        <v>461</v>
      </c>
      <c r="B465" s="25" t="str">
        <f aca="false">IF(OR(C465="",I465="",G465=""),"",IFERROR(VLOOKUP(I465,Setup!$A$9:$B$11,2,0),"???")&amp;"-"&amp;G465&amp;"-"&amp;TEXT(COUNTIFS(I$5:I465,I465,G$5:G465,G465),"0000"))</f>
        <v/>
      </c>
      <c r="C465" s="26"/>
      <c r="D465" s="26"/>
      <c r="E465" s="27"/>
      <c r="F465" s="27"/>
      <c r="G465" s="24" t="str">
        <f aca="false">IF(F465="","",IF(F465&lt;=5,"A",IF(F465&lt;=8,"B",IF(F465&lt;=10,"C","D"))))</f>
        <v/>
      </c>
      <c r="H465" s="28"/>
      <c r="I465" s="27"/>
      <c r="J465" s="26"/>
      <c r="K465" s="27"/>
      <c r="L465" s="27"/>
      <c r="M465" s="27"/>
      <c r="N465" s="27"/>
      <c r="O465" s="24" t="str">
        <f aca="false">IF(G465="","",VLOOKUP(G465,Setup!$A$14:$C$17,3,0))</f>
        <v/>
      </c>
      <c r="P465" s="27"/>
      <c r="Q465" s="29" t="str">
        <f aca="false">IF(OR(P465="",M465&lt;&gt;"Paid",O465=""),"",P465/O465)</f>
        <v/>
      </c>
      <c r="R465" s="30" t="str">
        <f aca="false">IF(Q465="","",Q465+N(H465)*0.000000001)</f>
        <v/>
      </c>
      <c r="S465" s="25" t="str">
        <f aca="false">IF(R465="","",SUMPRODUCT((I$5:I$4004=I465)*ISNUMBER(R$5:R$4004)*(R$5:R$4004&gt;R465))+1)</f>
        <v/>
      </c>
      <c r="T465" s="25" t="str">
        <f aca="false">IF(S465="","",IF(S465&lt;=Setup!$B$5,"🏆 WINNER",""))</f>
        <v/>
      </c>
      <c r="U465" s="24" t="str">
        <f aca="false">IF(S465="","",I465&amp;"|"&amp;S465)</f>
        <v/>
      </c>
    </row>
    <row r="466" customFormat="false" ht="15" hidden="false" customHeight="false" outlineLevel="0" collapsed="false">
      <c r="A466" s="31" t="n">
        <v>462</v>
      </c>
      <c r="B466" s="32" t="str">
        <f aca="false">IF(OR(C466="",I466="",G466=""),"",IFERROR(VLOOKUP(I466,Setup!$A$9:$B$11,2,0),"???")&amp;"-"&amp;G466&amp;"-"&amp;TEXT(COUNTIFS(I$5:I466,I466,G$5:G466,G466),"0000"))</f>
        <v/>
      </c>
      <c r="C466" s="26"/>
      <c r="D466" s="26"/>
      <c r="E466" s="27"/>
      <c r="F466" s="27"/>
      <c r="G466" s="31" t="str">
        <f aca="false">IF(F466="","",IF(F466&lt;=5,"A",IF(F466&lt;=8,"B",IF(F466&lt;=10,"C","D"))))</f>
        <v/>
      </c>
      <c r="H466" s="28"/>
      <c r="I466" s="27"/>
      <c r="J466" s="26"/>
      <c r="K466" s="27"/>
      <c r="L466" s="27"/>
      <c r="M466" s="27"/>
      <c r="N466" s="27"/>
      <c r="O466" s="31" t="str">
        <f aca="false">IF(G466="","",VLOOKUP(G466,Setup!$A$14:$C$17,3,0))</f>
        <v/>
      </c>
      <c r="P466" s="27"/>
      <c r="Q466" s="33" t="str">
        <f aca="false">IF(OR(P466="",M466&lt;&gt;"Paid",O466=""),"",P466/O466)</f>
        <v/>
      </c>
      <c r="R466" s="34" t="str">
        <f aca="false">IF(Q466="","",Q466+N(H466)*0.000000001)</f>
        <v/>
      </c>
      <c r="S466" s="32" t="str">
        <f aca="false">IF(R466="","",SUMPRODUCT((I$5:I$4004=I466)*ISNUMBER(R$5:R$4004)*(R$5:R$4004&gt;R466))+1)</f>
        <v/>
      </c>
      <c r="T466" s="32" t="str">
        <f aca="false">IF(S466="","",IF(S466&lt;=Setup!$B$5,"🏆 WINNER",""))</f>
        <v/>
      </c>
      <c r="U466" s="31" t="str">
        <f aca="false">IF(S466="","",I466&amp;"|"&amp;S466)</f>
        <v/>
      </c>
    </row>
    <row r="467" customFormat="false" ht="15" hidden="false" customHeight="false" outlineLevel="0" collapsed="false">
      <c r="A467" s="24" t="n">
        <v>463</v>
      </c>
      <c r="B467" s="25" t="str">
        <f aca="false">IF(OR(C467="",I467="",G467=""),"",IFERROR(VLOOKUP(I467,Setup!$A$9:$B$11,2,0),"???")&amp;"-"&amp;G467&amp;"-"&amp;TEXT(COUNTIFS(I$5:I467,I467,G$5:G467,G467),"0000"))</f>
        <v/>
      </c>
      <c r="C467" s="26"/>
      <c r="D467" s="26"/>
      <c r="E467" s="27"/>
      <c r="F467" s="27"/>
      <c r="G467" s="24" t="str">
        <f aca="false">IF(F467="","",IF(F467&lt;=5,"A",IF(F467&lt;=8,"B",IF(F467&lt;=10,"C","D"))))</f>
        <v/>
      </c>
      <c r="H467" s="28"/>
      <c r="I467" s="27"/>
      <c r="J467" s="26"/>
      <c r="K467" s="27"/>
      <c r="L467" s="27"/>
      <c r="M467" s="27"/>
      <c r="N467" s="27"/>
      <c r="O467" s="24" t="str">
        <f aca="false">IF(G467="","",VLOOKUP(G467,Setup!$A$14:$C$17,3,0))</f>
        <v/>
      </c>
      <c r="P467" s="27"/>
      <c r="Q467" s="29" t="str">
        <f aca="false">IF(OR(P467="",M467&lt;&gt;"Paid",O467=""),"",P467/O467)</f>
        <v/>
      </c>
      <c r="R467" s="30" t="str">
        <f aca="false">IF(Q467="","",Q467+N(H467)*0.000000001)</f>
        <v/>
      </c>
      <c r="S467" s="25" t="str">
        <f aca="false">IF(R467="","",SUMPRODUCT((I$5:I$4004=I467)*ISNUMBER(R$5:R$4004)*(R$5:R$4004&gt;R467))+1)</f>
        <v/>
      </c>
      <c r="T467" s="25" t="str">
        <f aca="false">IF(S467="","",IF(S467&lt;=Setup!$B$5,"🏆 WINNER",""))</f>
        <v/>
      </c>
      <c r="U467" s="24" t="str">
        <f aca="false">IF(S467="","",I467&amp;"|"&amp;S467)</f>
        <v/>
      </c>
    </row>
    <row r="468" customFormat="false" ht="15" hidden="false" customHeight="false" outlineLevel="0" collapsed="false">
      <c r="A468" s="31" t="n">
        <v>464</v>
      </c>
      <c r="B468" s="32" t="str">
        <f aca="false">IF(OR(C468="",I468="",G468=""),"",IFERROR(VLOOKUP(I468,Setup!$A$9:$B$11,2,0),"???")&amp;"-"&amp;G468&amp;"-"&amp;TEXT(COUNTIFS(I$5:I468,I468,G$5:G468,G468),"0000"))</f>
        <v/>
      </c>
      <c r="C468" s="26"/>
      <c r="D468" s="26"/>
      <c r="E468" s="27"/>
      <c r="F468" s="27"/>
      <c r="G468" s="31" t="str">
        <f aca="false">IF(F468="","",IF(F468&lt;=5,"A",IF(F468&lt;=8,"B",IF(F468&lt;=10,"C","D"))))</f>
        <v/>
      </c>
      <c r="H468" s="28"/>
      <c r="I468" s="27"/>
      <c r="J468" s="26"/>
      <c r="K468" s="27"/>
      <c r="L468" s="27"/>
      <c r="M468" s="27"/>
      <c r="N468" s="27"/>
      <c r="O468" s="31" t="str">
        <f aca="false">IF(G468="","",VLOOKUP(G468,Setup!$A$14:$C$17,3,0))</f>
        <v/>
      </c>
      <c r="P468" s="27"/>
      <c r="Q468" s="33" t="str">
        <f aca="false">IF(OR(P468="",M468&lt;&gt;"Paid",O468=""),"",P468/O468)</f>
        <v/>
      </c>
      <c r="R468" s="34" t="str">
        <f aca="false">IF(Q468="","",Q468+N(H468)*0.000000001)</f>
        <v/>
      </c>
      <c r="S468" s="32" t="str">
        <f aca="false">IF(R468="","",SUMPRODUCT((I$5:I$4004=I468)*ISNUMBER(R$5:R$4004)*(R$5:R$4004&gt;R468))+1)</f>
        <v/>
      </c>
      <c r="T468" s="32" t="str">
        <f aca="false">IF(S468="","",IF(S468&lt;=Setup!$B$5,"🏆 WINNER",""))</f>
        <v/>
      </c>
      <c r="U468" s="31" t="str">
        <f aca="false">IF(S468="","",I468&amp;"|"&amp;S468)</f>
        <v/>
      </c>
    </row>
    <row r="469" customFormat="false" ht="15" hidden="false" customHeight="false" outlineLevel="0" collapsed="false">
      <c r="A469" s="24" t="n">
        <v>465</v>
      </c>
      <c r="B469" s="25" t="str">
        <f aca="false">IF(OR(C469="",I469="",G469=""),"",IFERROR(VLOOKUP(I469,Setup!$A$9:$B$11,2,0),"???")&amp;"-"&amp;G469&amp;"-"&amp;TEXT(COUNTIFS(I$5:I469,I469,G$5:G469,G469),"0000"))</f>
        <v/>
      </c>
      <c r="C469" s="26"/>
      <c r="D469" s="26"/>
      <c r="E469" s="27"/>
      <c r="F469" s="27"/>
      <c r="G469" s="24" t="str">
        <f aca="false">IF(F469="","",IF(F469&lt;=5,"A",IF(F469&lt;=8,"B",IF(F469&lt;=10,"C","D"))))</f>
        <v/>
      </c>
      <c r="H469" s="28"/>
      <c r="I469" s="27"/>
      <c r="J469" s="26"/>
      <c r="K469" s="27"/>
      <c r="L469" s="27"/>
      <c r="M469" s="27"/>
      <c r="N469" s="27"/>
      <c r="O469" s="24" t="str">
        <f aca="false">IF(G469="","",VLOOKUP(G469,Setup!$A$14:$C$17,3,0))</f>
        <v/>
      </c>
      <c r="P469" s="27"/>
      <c r="Q469" s="29" t="str">
        <f aca="false">IF(OR(P469="",M469&lt;&gt;"Paid",O469=""),"",P469/O469)</f>
        <v/>
      </c>
      <c r="R469" s="30" t="str">
        <f aca="false">IF(Q469="","",Q469+N(H469)*0.000000001)</f>
        <v/>
      </c>
      <c r="S469" s="25" t="str">
        <f aca="false">IF(R469="","",SUMPRODUCT((I$5:I$4004=I469)*ISNUMBER(R$5:R$4004)*(R$5:R$4004&gt;R469))+1)</f>
        <v/>
      </c>
      <c r="T469" s="25" t="str">
        <f aca="false">IF(S469="","",IF(S469&lt;=Setup!$B$5,"🏆 WINNER",""))</f>
        <v/>
      </c>
      <c r="U469" s="24" t="str">
        <f aca="false">IF(S469="","",I469&amp;"|"&amp;S469)</f>
        <v/>
      </c>
    </row>
    <row r="470" customFormat="false" ht="15" hidden="false" customHeight="false" outlineLevel="0" collapsed="false">
      <c r="A470" s="31" t="n">
        <v>466</v>
      </c>
      <c r="B470" s="32" t="str">
        <f aca="false">IF(OR(C470="",I470="",G470=""),"",IFERROR(VLOOKUP(I470,Setup!$A$9:$B$11,2,0),"???")&amp;"-"&amp;G470&amp;"-"&amp;TEXT(COUNTIFS(I$5:I470,I470,G$5:G470,G470),"0000"))</f>
        <v/>
      </c>
      <c r="C470" s="26"/>
      <c r="D470" s="26"/>
      <c r="E470" s="27"/>
      <c r="F470" s="27"/>
      <c r="G470" s="31" t="str">
        <f aca="false">IF(F470="","",IF(F470&lt;=5,"A",IF(F470&lt;=8,"B",IF(F470&lt;=10,"C","D"))))</f>
        <v/>
      </c>
      <c r="H470" s="28"/>
      <c r="I470" s="27"/>
      <c r="J470" s="26"/>
      <c r="K470" s="27"/>
      <c r="L470" s="27"/>
      <c r="M470" s="27"/>
      <c r="N470" s="27"/>
      <c r="O470" s="31" t="str">
        <f aca="false">IF(G470="","",VLOOKUP(G470,Setup!$A$14:$C$17,3,0))</f>
        <v/>
      </c>
      <c r="P470" s="27"/>
      <c r="Q470" s="33" t="str">
        <f aca="false">IF(OR(P470="",M470&lt;&gt;"Paid",O470=""),"",P470/O470)</f>
        <v/>
      </c>
      <c r="R470" s="34" t="str">
        <f aca="false">IF(Q470="","",Q470+N(H470)*0.000000001)</f>
        <v/>
      </c>
      <c r="S470" s="32" t="str">
        <f aca="false">IF(R470="","",SUMPRODUCT((I$5:I$4004=I470)*ISNUMBER(R$5:R$4004)*(R$5:R$4004&gt;R470))+1)</f>
        <v/>
      </c>
      <c r="T470" s="32" t="str">
        <f aca="false">IF(S470="","",IF(S470&lt;=Setup!$B$5,"🏆 WINNER",""))</f>
        <v/>
      </c>
      <c r="U470" s="31" t="str">
        <f aca="false">IF(S470="","",I470&amp;"|"&amp;S470)</f>
        <v/>
      </c>
    </row>
    <row r="471" customFormat="false" ht="15" hidden="false" customHeight="false" outlineLevel="0" collapsed="false">
      <c r="A471" s="24" t="n">
        <v>467</v>
      </c>
      <c r="B471" s="25" t="str">
        <f aca="false">IF(OR(C471="",I471="",G471=""),"",IFERROR(VLOOKUP(I471,Setup!$A$9:$B$11,2,0),"???")&amp;"-"&amp;G471&amp;"-"&amp;TEXT(COUNTIFS(I$5:I471,I471,G$5:G471,G471),"0000"))</f>
        <v/>
      </c>
      <c r="C471" s="26"/>
      <c r="D471" s="26"/>
      <c r="E471" s="27"/>
      <c r="F471" s="27"/>
      <c r="G471" s="24" t="str">
        <f aca="false">IF(F471="","",IF(F471&lt;=5,"A",IF(F471&lt;=8,"B",IF(F471&lt;=10,"C","D"))))</f>
        <v/>
      </c>
      <c r="H471" s="28"/>
      <c r="I471" s="27"/>
      <c r="J471" s="26"/>
      <c r="K471" s="27"/>
      <c r="L471" s="27"/>
      <c r="M471" s="27"/>
      <c r="N471" s="27"/>
      <c r="O471" s="24" t="str">
        <f aca="false">IF(G471="","",VLOOKUP(G471,Setup!$A$14:$C$17,3,0))</f>
        <v/>
      </c>
      <c r="P471" s="27"/>
      <c r="Q471" s="29" t="str">
        <f aca="false">IF(OR(P471="",M471&lt;&gt;"Paid",O471=""),"",P471/O471)</f>
        <v/>
      </c>
      <c r="R471" s="30" t="str">
        <f aca="false">IF(Q471="","",Q471+N(H471)*0.000000001)</f>
        <v/>
      </c>
      <c r="S471" s="25" t="str">
        <f aca="false">IF(R471="","",SUMPRODUCT((I$5:I$4004=I471)*ISNUMBER(R$5:R$4004)*(R$5:R$4004&gt;R471))+1)</f>
        <v/>
      </c>
      <c r="T471" s="25" t="str">
        <f aca="false">IF(S471="","",IF(S471&lt;=Setup!$B$5,"🏆 WINNER",""))</f>
        <v/>
      </c>
      <c r="U471" s="24" t="str">
        <f aca="false">IF(S471="","",I471&amp;"|"&amp;S471)</f>
        <v/>
      </c>
    </row>
    <row r="472" customFormat="false" ht="15" hidden="false" customHeight="false" outlineLevel="0" collapsed="false">
      <c r="A472" s="31" t="n">
        <v>468</v>
      </c>
      <c r="B472" s="32" t="str">
        <f aca="false">IF(OR(C472="",I472="",G472=""),"",IFERROR(VLOOKUP(I472,Setup!$A$9:$B$11,2,0),"???")&amp;"-"&amp;G472&amp;"-"&amp;TEXT(COUNTIFS(I$5:I472,I472,G$5:G472,G472),"0000"))</f>
        <v/>
      </c>
      <c r="C472" s="26"/>
      <c r="D472" s="26"/>
      <c r="E472" s="27"/>
      <c r="F472" s="27"/>
      <c r="G472" s="31" t="str">
        <f aca="false">IF(F472="","",IF(F472&lt;=5,"A",IF(F472&lt;=8,"B",IF(F472&lt;=10,"C","D"))))</f>
        <v/>
      </c>
      <c r="H472" s="28"/>
      <c r="I472" s="27"/>
      <c r="J472" s="26"/>
      <c r="K472" s="27"/>
      <c r="L472" s="27"/>
      <c r="M472" s="27"/>
      <c r="N472" s="27"/>
      <c r="O472" s="31" t="str">
        <f aca="false">IF(G472="","",VLOOKUP(G472,Setup!$A$14:$C$17,3,0))</f>
        <v/>
      </c>
      <c r="P472" s="27"/>
      <c r="Q472" s="33" t="str">
        <f aca="false">IF(OR(P472="",M472&lt;&gt;"Paid",O472=""),"",P472/O472)</f>
        <v/>
      </c>
      <c r="R472" s="34" t="str">
        <f aca="false">IF(Q472="","",Q472+N(H472)*0.000000001)</f>
        <v/>
      </c>
      <c r="S472" s="32" t="str">
        <f aca="false">IF(R472="","",SUMPRODUCT((I$5:I$4004=I472)*ISNUMBER(R$5:R$4004)*(R$5:R$4004&gt;R472))+1)</f>
        <v/>
      </c>
      <c r="T472" s="32" t="str">
        <f aca="false">IF(S472="","",IF(S472&lt;=Setup!$B$5,"🏆 WINNER",""))</f>
        <v/>
      </c>
      <c r="U472" s="31" t="str">
        <f aca="false">IF(S472="","",I472&amp;"|"&amp;S472)</f>
        <v/>
      </c>
    </row>
    <row r="473" customFormat="false" ht="15" hidden="false" customHeight="false" outlineLevel="0" collapsed="false">
      <c r="A473" s="24" t="n">
        <v>469</v>
      </c>
      <c r="B473" s="25" t="str">
        <f aca="false">IF(OR(C473="",I473="",G473=""),"",IFERROR(VLOOKUP(I473,Setup!$A$9:$B$11,2,0),"???")&amp;"-"&amp;G473&amp;"-"&amp;TEXT(COUNTIFS(I$5:I473,I473,G$5:G473,G473),"0000"))</f>
        <v/>
      </c>
      <c r="C473" s="26"/>
      <c r="D473" s="26"/>
      <c r="E473" s="27"/>
      <c r="F473" s="27"/>
      <c r="G473" s="24" t="str">
        <f aca="false">IF(F473="","",IF(F473&lt;=5,"A",IF(F473&lt;=8,"B",IF(F473&lt;=10,"C","D"))))</f>
        <v/>
      </c>
      <c r="H473" s="28"/>
      <c r="I473" s="27"/>
      <c r="J473" s="26"/>
      <c r="K473" s="27"/>
      <c r="L473" s="27"/>
      <c r="M473" s="27"/>
      <c r="N473" s="27"/>
      <c r="O473" s="24" t="str">
        <f aca="false">IF(G473="","",VLOOKUP(G473,Setup!$A$14:$C$17,3,0))</f>
        <v/>
      </c>
      <c r="P473" s="27"/>
      <c r="Q473" s="29" t="str">
        <f aca="false">IF(OR(P473="",M473&lt;&gt;"Paid",O473=""),"",P473/O473)</f>
        <v/>
      </c>
      <c r="R473" s="30" t="str">
        <f aca="false">IF(Q473="","",Q473+N(H473)*0.000000001)</f>
        <v/>
      </c>
      <c r="S473" s="25" t="str">
        <f aca="false">IF(R473="","",SUMPRODUCT((I$5:I$4004=I473)*ISNUMBER(R$5:R$4004)*(R$5:R$4004&gt;R473))+1)</f>
        <v/>
      </c>
      <c r="T473" s="25" t="str">
        <f aca="false">IF(S473="","",IF(S473&lt;=Setup!$B$5,"🏆 WINNER",""))</f>
        <v/>
      </c>
      <c r="U473" s="24" t="str">
        <f aca="false">IF(S473="","",I473&amp;"|"&amp;S473)</f>
        <v/>
      </c>
    </row>
    <row r="474" customFormat="false" ht="15" hidden="false" customHeight="false" outlineLevel="0" collapsed="false">
      <c r="A474" s="31" t="n">
        <v>470</v>
      </c>
      <c r="B474" s="32" t="str">
        <f aca="false">IF(OR(C474="",I474="",G474=""),"",IFERROR(VLOOKUP(I474,Setup!$A$9:$B$11,2,0),"???")&amp;"-"&amp;G474&amp;"-"&amp;TEXT(COUNTIFS(I$5:I474,I474,G$5:G474,G474),"0000"))</f>
        <v/>
      </c>
      <c r="C474" s="26"/>
      <c r="D474" s="26"/>
      <c r="E474" s="27"/>
      <c r="F474" s="27"/>
      <c r="G474" s="31" t="str">
        <f aca="false">IF(F474="","",IF(F474&lt;=5,"A",IF(F474&lt;=8,"B",IF(F474&lt;=10,"C","D"))))</f>
        <v/>
      </c>
      <c r="H474" s="28"/>
      <c r="I474" s="27"/>
      <c r="J474" s="26"/>
      <c r="K474" s="27"/>
      <c r="L474" s="27"/>
      <c r="M474" s="27"/>
      <c r="N474" s="27"/>
      <c r="O474" s="31" t="str">
        <f aca="false">IF(G474="","",VLOOKUP(G474,Setup!$A$14:$C$17,3,0))</f>
        <v/>
      </c>
      <c r="P474" s="27"/>
      <c r="Q474" s="33" t="str">
        <f aca="false">IF(OR(P474="",M474&lt;&gt;"Paid",O474=""),"",P474/O474)</f>
        <v/>
      </c>
      <c r="R474" s="34" t="str">
        <f aca="false">IF(Q474="","",Q474+N(H474)*0.000000001)</f>
        <v/>
      </c>
      <c r="S474" s="32" t="str">
        <f aca="false">IF(R474="","",SUMPRODUCT((I$5:I$4004=I474)*ISNUMBER(R$5:R$4004)*(R$5:R$4004&gt;R474))+1)</f>
        <v/>
      </c>
      <c r="T474" s="32" t="str">
        <f aca="false">IF(S474="","",IF(S474&lt;=Setup!$B$5,"🏆 WINNER",""))</f>
        <v/>
      </c>
      <c r="U474" s="31" t="str">
        <f aca="false">IF(S474="","",I474&amp;"|"&amp;S474)</f>
        <v/>
      </c>
    </row>
    <row r="475" customFormat="false" ht="15" hidden="false" customHeight="false" outlineLevel="0" collapsed="false">
      <c r="A475" s="24" t="n">
        <v>471</v>
      </c>
      <c r="B475" s="25" t="str">
        <f aca="false">IF(OR(C475="",I475="",G475=""),"",IFERROR(VLOOKUP(I475,Setup!$A$9:$B$11,2,0),"???")&amp;"-"&amp;G475&amp;"-"&amp;TEXT(COUNTIFS(I$5:I475,I475,G$5:G475,G475),"0000"))</f>
        <v/>
      </c>
      <c r="C475" s="26"/>
      <c r="D475" s="26"/>
      <c r="E475" s="27"/>
      <c r="F475" s="27"/>
      <c r="G475" s="24" t="str">
        <f aca="false">IF(F475="","",IF(F475&lt;=5,"A",IF(F475&lt;=8,"B",IF(F475&lt;=10,"C","D"))))</f>
        <v/>
      </c>
      <c r="H475" s="28"/>
      <c r="I475" s="27"/>
      <c r="J475" s="26"/>
      <c r="K475" s="27"/>
      <c r="L475" s="27"/>
      <c r="M475" s="27"/>
      <c r="N475" s="27"/>
      <c r="O475" s="24" t="str">
        <f aca="false">IF(G475="","",VLOOKUP(G475,Setup!$A$14:$C$17,3,0))</f>
        <v/>
      </c>
      <c r="P475" s="27"/>
      <c r="Q475" s="29" t="str">
        <f aca="false">IF(OR(P475="",M475&lt;&gt;"Paid",O475=""),"",P475/O475)</f>
        <v/>
      </c>
      <c r="R475" s="30" t="str">
        <f aca="false">IF(Q475="","",Q475+N(H475)*0.000000001)</f>
        <v/>
      </c>
      <c r="S475" s="25" t="str">
        <f aca="false">IF(R475="","",SUMPRODUCT((I$5:I$4004=I475)*ISNUMBER(R$5:R$4004)*(R$5:R$4004&gt;R475))+1)</f>
        <v/>
      </c>
      <c r="T475" s="25" t="str">
        <f aca="false">IF(S475="","",IF(S475&lt;=Setup!$B$5,"🏆 WINNER",""))</f>
        <v/>
      </c>
      <c r="U475" s="24" t="str">
        <f aca="false">IF(S475="","",I475&amp;"|"&amp;S475)</f>
        <v/>
      </c>
    </row>
    <row r="476" customFormat="false" ht="15" hidden="false" customHeight="false" outlineLevel="0" collapsed="false">
      <c r="A476" s="31" t="n">
        <v>472</v>
      </c>
      <c r="B476" s="32" t="str">
        <f aca="false">IF(OR(C476="",I476="",G476=""),"",IFERROR(VLOOKUP(I476,Setup!$A$9:$B$11,2,0),"???")&amp;"-"&amp;G476&amp;"-"&amp;TEXT(COUNTIFS(I$5:I476,I476,G$5:G476,G476),"0000"))</f>
        <v/>
      </c>
      <c r="C476" s="26"/>
      <c r="D476" s="26"/>
      <c r="E476" s="27"/>
      <c r="F476" s="27"/>
      <c r="G476" s="31" t="str">
        <f aca="false">IF(F476="","",IF(F476&lt;=5,"A",IF(F476&lt;=8,"B",IF(F476&lt;=10,"C","D"))))</f>
        <v/>
      </c>
      <c r="H476" s="28"/>
      <c r="I476" s="27"/>
      <c r="J476" s="26"/>
      <c r="K476" s="27"/>
      <c r="L476" s="27"/>
      <c r="M476" s="27"/>
      <c r="N476" s="27"/>
      <c r="O476" s="31" t="str">
        <f aca="false">IF(G476="","",VLOOKUP(G476,Setup!$A$14:$C$17,3,0))</f>
        <v/>
      </c>
      <c r="P476" s="27"/>
      <c r="Q476" s="33" t="str">
        <f aca="false">IF(OR(P476="",M476&lt;&gt;"Paid",O476=""),"",P476/O476)</f>
        <v/>
      </c>
      <c r="R476" s="34" t="str">
        <f aca="false">IF(Q476="","",Q476+N(H476)*0.000000001)</f>
        <v/>
      </c>
      <c r="S476" s="32" t="str">
        <f aca="false">IF(R476="","",SUMPRODUCT((I$5:I$4004=I476)*ISNUMBER(R$5:R$4004)*(R$5:R$4004&gt;R476))+1)</f>
        <v/>
      </c>
      <c r="T476" s="32" t="str">
        <f aca="false">IF(S476="","",IF(S476&lt;=Setup!$B$5,"🏆 WINNER",""))</f>
        <v/>
      </c>
      <c r="U476" s="31" t="str">
        <f aca="false">IF(S476="","",I476&amp;"|"&amp;S476)</f>
        <v/>
      </c>
    </row>
    <row r="477" customFormat="false" ht="15" hidden="false" customHeight="false" outlineLevel="0" collapsed="false">
      <c r="A477" s="24" t="n">
        <v>473</v>
      </c>
      <c r="B477" s="25" t="str">
        <f aca="false">IF(OR(C477="",I477="",G477=""),"",IFERROR(VLOOKUP(I477,Setup!$A$9:$B$11,2,0),"???")&amp;"-"&amp;G477&amp;"-"&amp;TEXT(COUNTIFS(I$5:I477,I477,G$5:G477,G477),"0000"))</f>
        <v/>
      </c>
      <c r="C477" s="26"/>
      <c r="D477" s="26"/>
      <c r="E477" s="27"/>
      <c r="F477" s="27"/>
      <c r="G477" s="24" t="str">
        <f aca="false">IF(F477="","",IF(F477&lt;=5,"A",IF(F477&lt;=8,"B",IF(F477&lt;=10,"C","D"))))</f>
        <v/>
      </c>
      <c r="H477" s="28"/>
      <c r="I477" s="27"/>
      <c r="J477" s="26"/>
      <c r="K477" s="27"/>
      <c r="L477" s="27"/>
      <c r="M477" s="27"/>
      <c r="N477" s="27"/>
      <c r="O477" s="24" t="str">
        <f aca="false">IF(G477="","",VLOOKUP(G477,Setup!$A$14:$C$17,3,0))</f>
        <v/>
      </c>
      <c r="P477" s="27"/>
      <c r="Q477" s="29" t="str">
        <f aca="false">IF(OR(P477="",M477&lt;&gt;"Paid",O477=""),"",P477/O477)</f>
        <v/>
      </c>
      <c r="R477" s="30" t="str">
        <f aca="false">IF(Q477="","",Q477+N(H477)*0.000000001)</f>
        <v/>
      </c>
      <c r="S477" s="25" t="str">
        <f aca="false">IF(R477="","",SUMPRODUCT((I$5:I$4004=I477)*ISNUMBER(R$5:R$4004)*(R$5:R$4004&gt;R477))+1)</f>
        <v/>
      </c>
      <c r="T477" s="25" t="str">
        <f aca="false">IF(S477="","",IF(S477&lt;=Setup!$B$5,"🏆 WINNER",""))</f>
        <v/>
      </c>
      <c r="U477" s="24" t="str">
        <f aca="false">IF(S477="","",I477&amp;"|"&amp;S477)</f>
        <v/>
      </c>
    </row>
    <row r="478" customFormat="false" ht="15" hidden="false" customHeight="false" outlineLevel="0" collapsed="false">
      <c r="A478" s="31" t="n">
        <v>474</v>
      </c>
      <c r="B478" s="32" t="str">
        <f aca="false">IF(OR(C478="",I478="",G478=""),"",IFERROR(VLOOKUP(I478,Setup!$A$9:$B$11,2,0),"???")&amp;"-"&amp;G478&amp;"-"&amp;TEXT(COUNTIFS(I$5:I478,I478,G$5:G478,G478),"0000"))</f>
        <v/>
      </c>
      <c r="C478" s="26"/>
      <c r="D478" s="26"/>
      <c r="E478" s="27"/>
      <c r="F478" s="27"/>
      <c r="G478" s="31" t="str">
        <f aca="false">IF(F478="","",IF(F478&lt;=5,"A",IF(F478&lt;=8,"B",IF(F478&lt;=10,"C","D"))))</f>
        <v/>
      </c>
      <c r="H478" s="28"/>
      <c r="I478" s="27"/>
      <c r="J478" s="26"/>
      <c r="K478" s="27"/>
      <c r="L478" s="27"/>
      <c r="M478" s="27"/>
      <c r="N478" s="27"/>
      <c r="O478" s="31" t="str">
        <f aca="false">IF(G478="","",VLOOKUP(G478,Setup!$A$14:$C$17,3,0))</f>
        <v/>
      </c>
      <c r="P478" s="27"/>
      <c r="Q478" s="33" t="str">
        <f aca="false">IF(OR(P478="",M478&lt;&gt;"Paid",O478=""),"",P478/O478)</f>
        <v/>
      </c>
      <c r="R478" s="34" t="str">
        <f aca="false">IF(Q478="","",Q478+N(H478)*0.000000001)</f>
        <v/>
      </c>
      <c r="S478" s="32" t="str">
        <f aca="false">IF(R478="","",SUMPRODUCT((I$5:I$4004=I478)*ISNUMBER(R$5:R$4004)*(R$5:R$4004&gt;R478))+1)</f>
        <v/>
      </c>
      <c r="T478" s="32" t="str">
        <f aca="false">IF(S478="","",IF(S478&lt;=Setup!$B$5,"🏆 WINNER",""))</f>
        <v/>
      </c>
      <c r="U478" s="31" t="str">
        <f aca="false">IF(S478="","",I478&amp;"|"&amp;S478)</f>
        <v/>
      </c>
    </row>
    <row r="479" customFormat="false" ht="15" hidden="false" customHeight="false" outlineLevel="0" collapsed="false">
      <c r="A479" s="24" t="n">
        <v>475</v>
      </c>
      <c r="B479" s="25" t="str">
        <f aca="false">IF(OR(C479="",I479="",G479=""),"",IFERROR(VLOOKUP(I479,Setup!$A$9:$B$11,2,0),"???")&amp;"-"&amp;G479&amp;"-"&amp;TEXT(COUNTIFS(I$5:I479,I479,G$5:G479,G479),"0000"))</f>
        <v/>
      </c>
      <c r="C479" s="26"/>
      <c r="D479" s="26"/>
      <c r="E479" s="27"/>
      <c r="F479" s="27"/>
      <c r="G479" s="24" t="str">
        <f aca="false">IF(F479="","",IF(F479&lt;=5,"A",IF(F479&lt;=8,"B",IF(F479&lt;=10,"C","D"))))</f>
        <v/>
      </c>
      <c r="H479" s="28"/>
      <c r="I479" s="27"/>
      <c r="J479" s="26"/>
      <c r="K479" s="27"/>
      <c r="L479" s="27"/>
      <c r="M479" s="27"/>
      <c r="N479" s="27"/>
      <c r="O479" s="24" t="str">
        <f aca="false">IF(G479="","",VLOOKUP(G479,Setup!$A$14:$C$17,3,0))</f>
        <v/>
      </c>
      <c r="P479" s="27"/>
      <c r="Q479" s="29" t="str">
        <f aca="false">IF(OR(P479="",M479&lt;&gt;"Paid",O479=""),"",P479/O479)</f>
        <v/>
      </c>
      <c r="R479" s="30" t="str">
        <f aca="false">IF(Q479="","",Q479+N(H479)*0.000000001)</f>
        <v/>
      </c>
      <c r="S479" s="25" t="str">
        <f aca="false">IF(R479="","",SUMPRODUCT((I$5:I$4004=I479)*ISNUMBER(R$5:R$4004)*(R$5:R$4004&gt;R479))+1)</f>
        <v/>
      </c>
      <c r="T479" s="25" t="str">
        <f aca="false">IF(S479="","",IF(S479&lt;=Setup!$B$5,"🏆 WINNER",""))</f>
        <v/>
      </c>
      <c r="U479" s="24" t="str">
        <f aca="false">IF(S479="","",I479&amp;"|"&amp;S479)</f>
        <v/>
      </c>
    </row>
    <row r="480" customFormat="false" ht="15" hidden="false" customHeight="false" outlineLevel="0" collapsed="false">
      <c r="A480" s="31" t="n">
        <v>476</v>
      </c>
      <c r="B480" s="32" t="str">
        <f aca="false">IF(OR(C480="",I480="",G480=""),"",IFERROR(VLOOKUP(I480,Setup!$A$9:$B$11,2,0),"???")&amp;"-"&amp;G480&amp;"-"&amp;TEXT(COUNTIFS(I$5:I480,I480,G$5:G480,G480),"0000"))</f>
        <v/>
      </c>
      <c r="C480" s="26"/>
      <c r="D480" s="26"/>
      <c r="E480" s="27"/>
      <c r="F480" s="27"/>
      <c r="G480" s="31" t="str">
        <f aca="false">IF(F480="","",IF(F480&lt;=5,"A",IF(F480&lt;=8,"B",IF(F480&lt;=10,"C","D"))))</f>
        <v/>
      </c>
      <c r="H480" s="28"/>
      <c r="I480" s="27"/>
      <c r="J480" s="26"/>
      <c r="K480" s="27"/>
      <c r="L480" s="27"/>
      <c r="M480" s="27"/>
      <c r="N480" s="27"/>
      <c r="O480" s="31" t="str">
        <f aca="false">IF(G480="","",VLOOKUP(G480,Setup!$A$14:$C$17,3,0))</f>
        <v/>
      </c>
      <c r="P480" s="27"/>
      <c r="Q480" s="33" t="str">
        <f aca="false">IF(OR(P480="",M480&lt;&gt;"Paid",O480=""),"",P480/O480)</f>
        <v/>
      </c>
      <c r="R480" s="34" t="str">
        <f aca="false">IF(Q480="","",Q480+N(H480)*0.000000001)</f>
        <v/>
      </c>
      <c r="S480" s="32" t="str">
        <f aca="false">IF(R480="","",SUMPRODUCT((I$5:I$4004=I480)*ISNUMBER(R$5:R$4004)*(R$5:R$4004&gt;R480))+1)</f>
        <v/>
      </c>
      <c r="T480" s="32" t="str">
        <f aca="false">IF(S480="","",IF(S480&lt;=Setup!$B$5,"🏆 WINNER",""))</f>
        <v/>
      </c>
      <c r="U480" s="31" t="str">
        <f aca="false">IF(S480="","",I480&amp;"|"&amp;S480)</f>
        <v/>
      </c>
    </row>
    <row r="481" customFormat="false" ht="15" hidden="false" customHeight="false" outlineLevel="0" collapsed="false">
      <c r="A481" s="24" t="n">
        <v>477</v>
      </c>
      <c r="B481" s="25" t="str">
        <f aca="false">IF(OR(C481="",I481="",G481=""),"",IFERROR(VLOOKUP(I481,Setup!$A$9:$B$11,2,0),"???")&amp;"-"&amp;G481&amp;"-"&amp;TEXT(COUNTIFS(I$5:I481,I481,G$5:G481,G481),"0000"))</f>
        <v/>
      </c>
      <c r="C481" s="26"/>
      <c r="D481" s="26"/>
      <c r="E481" s="27"/>
      <c r="F481" s="27"/>
      <c r="G481" s="24" t="str">
        <f aca="false">IF(F481="","",IF(F481&lt;=5,"A",IF(F481&lt;=8,"B",IF(F481&lt;=10,"C","D"))))</f>
        <v/>
      </c>
      <c r="H481" s="28"/>
      <c r="I481" s="27"/>
      <c r="J481" s="26"/>
      <c r="K481" s="27"/>
      <c r="L481" s="27"/>
      <c r="M481" s="27"/>
      <c r="N481" s="27"/>
      <c r="O481" s="24" t="str">
        <f aca="false">IF(G481="","",VLOOKUP(G481,Setup!$A$14:$C$17,3,0))</f>
        <v/>
      </c>
      <c r="P481" s="27"/>
      <c r="Q481" s="29" t="str">
        <f aca="false">IF(OR(P481="",M481&lt;&gt;"Paid",O481=""),"",P481/O481)</f>
        <v/>
      </c>
      <c r="R481" s="30" t="str">
        <f aca="false">IF(Q481="","",Q481+N(H481)*0.000000001)</f>
        <v/>
      </c>
      <c r="S481" s="25" t="str">
        <f aca="false">IF(R481="","",SUMPRODUCT((I$5:I$4004=I481)*ISNUMBER(R$5:R$4004)*(R$5:R$4004&gt;R481))+1)</f>
        <v/>
      </c>
      <c r="T481" s="25" t="str">
        <f aca="false">IF(S481="","",IF(S481&lt;=Setup!$B$5,"🏆 WINNER",""))</f>
        <v/>
      </c>
      <c r="U481" s="24" t="str">
        <f aca="false">IF(S481="","",I481&amp;"|"&amp;S481)</f>
        <v/>
      </c>
    </row>
    <row r="482" customFormat="false" ht="15" hidden="false" customHeight="false" outlineLevel="0" collapsed="false">
      <c r="A482" s="31" t="n">
        <v>478</v>
      </c>
      <c r="B482" s="32" t="str">
        <f aca="false">IF(OR(C482="",I482="",G482=""),"",IFERROR(VLOOKUP(I482,Setup!$A$9:$B$11,2,0),"???")&amp;"-"&amp;G482&amp;"-"&amp;TEXT(COUNTIFS(I$5:I482,I482,G$5:G482,G482),"0000"))</f>
        <v/>
      </c>
      <c r="C482" s="26"/>
      <c r="D482" s="26"/>
      <c r="E482" s="27"/>
      <c r="F482" s="27"/>
      <c r="G482" s="31" t="str">
        <f aca="false">IF(F482="","",IF(F482&lt;=5,"A",IF(F482&lt;=8,"B",IF(F482&lt;=10,"C","D"))))</f>
        <v/>
      </c>
      <c r="H482" s="28"/>
      <c r="I482" s="27"/>
      <c r="J482" s="26"/>
      <c r="K482" s="27"/>
      <c r="L482" s="27"/>
      <c r="M482" s="27"/>
      <c r="N482" s="27"/>
      <c r="O482" s="31" t="str">
        <f aca="false">IF(G482="","",VLOOKUP(G482,Setup!$A$14:$C$17,3,0))</f>
        <v/>
      </c>
      <c r="P482" s="27"/>
      <c r="Q482" s="33" t="str">
        <f aca="false">IF(OR(P482="",M482&lt;&gt;"Paid",O482=""),"",P482/O482)</f>
        <v/>
      </c>
      <c r="R482" s="34" t="str">
        <f aca="false">IF(Q482="","",Q482+N(H482)*0.000000001)</f>
        <v/>
      </c>
      <c r="S482" s="32" t="str">
        <f aca="false">IF(R482="","",SUMPRODUCT((I$5:I$4004=I482)*ISNUMBER(R$5:R$4004)*(R$5:R$4004&gt;R482))+1)</f>
        <v/>
      </c>
      <c r="T482" s="32" t="str">
        <f aca="false">IF(S482="","",IF(S482&lt;=Setup!$B$5,"🏆 WINNER",""))</f>
        <v/>
      </c>
      <c r="U482" s="31" t="str">
        <f aca="false">IF(S482="","",I482&amp;"|"&amp;S482)</f>
        <v/>
      </c>
    </row>
    <row r="483" customFormat="false" ht="15" hidden="false" customHeight="false" outlineLevel="0" collapsed="false">
      <c r="A483" s="24" t="n">
        <v>479</v>
      </c>
      <c r="B483" s="25" t="str">
        <f aca="false">IF(OR(C483="",I483="",G483=""),"",IFERROR(VLOOKUP(I483,Setup!$A$9:$B$11,2,0),"???")&amp;"-"&amp;G483&amp;"-"&amp;TEXT(COUNTIFS(I$5:I483,I483,G$5:G483,G483),"0000"))</f>
        <v/>
      </c>
      <c r="C483" s="26"/>
      <c r="D483" s="26"/>
      <c r="E483" s="27"/>
      <c r="F483" s="27"/>
      <c r="G483" s="24" t="str">
        <f aca="false">IF(F483="","",IF(F483&lt;=5,"A",IF(F483&lt;=8,"B",IF(F483&lt;=10,"C","D"))))</f>
        <v/>
      </c>
      <c r="H483" s="28"/>
      <c r="I483" s="27"/>
      <c r="J483" s="26"/>
      <c r="K483" s="27"/>
      <c r="L483" s="27"/>
      <c r="M483" s="27"/>
      <c r="N483" s="27"/>
      <c r="O483" s="24" t="str">
        <f aca="false">IF(G483="","",VLOOKUP(G483,Setup!$A$14:$C$17,3,0))</f>
        <v/>
      </c>
      <c r="P483" s="27"/>
      <c r="Q483" s="29" t="str">
        <f aca="false">IF(OR(P483="",M483&lt;&gt;"Paid",O483=""),"",P483/O483)</f>
        <v/>
      </c>
      <c r="R483" s="30" t="str">
        <f aca="false">IF(Q483="","",Q483+N(H483)*0.000000001)</f>
        <v/>
      </c>
      <c r="S483" s="25" t="str">
        <f aca="false">IF(R483="","",SUMPRODUCT((I$5:I$4004=I483)*ISNUMBER(R$5:R$4004)*(R$5:R$4004&gt;R483))+1)</f>
        <v/>
      </c>
      <c r="T483" s="25" t="str">
        <f aca="false">IF(S483="","",IF(S483&lt;=Setup!$B$5,"🏆 WINNER",""))</f>
        <v/>
      </c>
      <c r="U483" s="24" t="str">
        <f aca="false">IF(S483="","",I483&amp;"|"&amp;S483)</f>
        <v/>
      </c>
    </row>
    <row r="484" customFormat="false" ht="15" hidden="false" customHeight="false" outlineLevel="0" collapsed="false">
      <c r="A484" s="31" t="n">
        <v>480</v>
      </c>
      <c r="B484" s="32" t="str">
        <f aca="false">IF(OR(C484="",I484="",G484=""),"",IFERROR(VLOOKUP(I484,Setup!$A$9:$B$11,2,0),"???")&amp;"-"&amp;G484&amp;"-"&amp;TEXT(COUNTIFS(I$5:I484,I484,G$5:G484,G484),"0000"))</f>
        <v/>
      </c>
      <c r="C484" s="26"/>
      <c r="D484" s="26"/>
      <c r="E484" s="27"/>
      <c r="F484" s="27"/>
      <c r="G484" s="31" t="str">
        <f aca="false">IF(F484="","",IF(F484&lt;=5,"A",IF(F484&lt;=8,"B",IF(F484&lt;=10,"C","D"))))</f>
        <v/>
      </c>
      <c r="H484" s="28"/>
      <c r="I484" s="27"/>
      <c r="J484" s="26"/>
      <c r="K484" s="27"/>
      <c r="L484" s="27"/>
      <c r="M484" s="27"/>
      <c r="N484" s="27"/>
      <c r="O484" s="31" t="str">
        <f aca="false">IF(G484="","",VLOOKUP(G484,Setup!$A$14:$C$17,3,0))</f>
        <v/>
      </c>
      <c r="P484" s="27"/>
      <c r="Q484" s="33" t="str">
        <f aca="false">IF(OR(P484="",M484&lt;&gt;"Paid",O484=""),"",P484/O484)</f>
        <v/>
      </c>
      <c r="R484" s="34" t="str">
        <f aca="false">IF(Q484="","",Q484+N(H484)*0.000000001)</f>
        <v/>
      </c>
      <c r="S484" s="32" t="str">
        <f aca="false">IF(R484="","",SUMPRODUCT((I$5:I$4004=I484)*ISNUMBER(R$5:R$4004)*(R$5:R$4004&gt;R484))+1)</f>
        <v/>
      </c>
      <c r="T484" s="32" t="str">
        <f aca="false">IF(S484="","",IF(S484&lt;=Setup!$B$5,"🏆 WINNER",""))</f>
        <v/>
      </c>
      <c r="U484" s="31" t="str">
        <f aca="false">IF(S484="","",I484&amp;"|"&amp;S484)</f>
        <v/>
      </c>
    </row>
    <row r="485" customFormat="false" ht="15" hidden="false" customHeight="false" outlineLevel="0" collapsed="false">
      <c r="A485" s="24" t="n">
        <v>481</v>
      </c>
      <c r="B485" s="25" t="str">
        <f aca="false">IF(OR(C485="",I485="",G485=""),"",IFERROR(VLOOKUP(I485,Setup!$A$9:$B$11,2,0),"???")&amp;"-"&amp;G485&amp;"-"&amp;TEXT(COUNTIFS(I$5:I485,I485,G$5:G485,G485),"0000"))</f>
        <v/>
      </c>
      <c r="C485" s="26"/>
      <c r="D485" s="26"/>
      <c r="E485" s="27"/>
      <c r="F485" s="27"/>
      <c r="G485" s="24" t="str">
        <f aca="false">IF(F485="","",IF(F485&lt;=5,"A",IF(F485&lt;=8,"B",IF(F485&lt;=10,"C","D"))))</f>
        <v/>
      </c>
      <c r="H485" s="28"/>
      <c r="I485" s="27"/>
      <c r="J485" s="26"/>
      <c r="K485" s="27"/>
      <c r="L485" s="27"/>
      <c r="M485" s="27"/>
      <c r="N485" s="27"/>
      <c r="O485" s="24" t="str">
        <f aca="false">IF(G485="","",VLOOKUP(G485,Setup!$A$14:$C$17,3,0))</f>
        <v/>
      </c>
      <c r="P485" s="27"/>
      <c r="Q485" s="29" t="str">
        <f aca="false">IF(OR(P485="",M485&lt;&gt;"Paid",O485=""),"",P485/O485)</f>
        <v/>
      </c>
      <c r="R485" s="30" t="str">
        <f aca="false">IF(Q485="","",Q485+N(H485)*0.000000001)</f>
        <v/>
      </c>
      <c r="S485" s="25" t="str">
        <f aca="false">IF(R485="","",SUMPRODUCT((I$5:I$4004=I485)*ISNUMBER(R$5:R$4004)*(R$5:R$4004&gt;R485))+1)</f>
        <v/>
      </c>
      <c r="T485" s="25" t="str">
        <f aca="false">IF(S485="","",IF(S485&lt;=Setup!$B$5,"🏆 WINNER",""))</f>
        <v/>
      </c>
      <c r="U485" s="24" t="str">
        <f aca="false">IF(S485="","",I485&amp;"|"&amp;S485)</f>
        <v/>
      </c>
    </row>
    <row r="486" customFormat="false" ht="15" hidden="false" customHeight="false" outlineLevel="0" collapsed="false">
      <c r="A486" s="31" t="n">
        <v>482</v>
      </c>
      <c r="B486" s="32" t="str">
        <f aca="false">IF(OR(C486="",I486="",G486=""),"",IFERROR(VLOOKUP(I486,Setup!$A$9:$B$11,2,0),"???")&amp;"-"&amp;G486&amp;"-"&amp;TEXT(COUNTIFS(I$5:I486,I486,G$5:G486,G486),"0000"))</f>
        <v/>
      </c>
      <c r="C486" s="26"/>
      <c r="D486" s="26"/>
      <c r="E486" s="27"/>
      <c r="F486" s="27"/>
      <c r="G486" s="31" t="str">
        <f aca="false">IF(F486="","",IF(F486&lt;=5,"A",IF(F486&lt;=8,"B",IF(F486&lt;=10,"C","D"))))</f>
        <v/>
      </c>
      <c r="H486" s="28"/>
      <c r="I486" s="27"/>
      <c r="J486" s="26"/>
      <c r="K486" s="27"/>
      <c r="L486" s="27"/>
      <c r="M486" s="27"/>
      <c r="N486" s="27"/>
      <c r="O486" s="31" t="str">
        <f aca="false">IF(G486="","",VLOOKUP(G486,Setup!$A$14:$C$17,3,0))</f>
        <v/>
      </c>
      <c r="P486" s="27"/>
      <c r="Q486" s="33" t="str">
        <f aca="false">IF(OR(P486="",M486&lt;&gt;"Paid",O486=""),"",P486/O486)</f>
        <v/>
      </c>
      <c r="R486" s="34" t="str">
        <f aca="false">IF(Q486="","",Q486+N(H486)*0.000000001)</f>
        <v/>
      </c>
      <c r="S486" s="32" t="str">
        <f aca="false">IF(R486="","",SUMPRODUCT((I$5:I$4004=I486)*ISNUMBER(R$5:R$4004)*(R$5:R$4004&gt;R486))+1)</f>
        <v/>
      </c>
      <c r="T486" s="32" t="str">
        <f aca="false">IF(S486="","",IF(S486&lt;=Setup!$B$5,"🏆 WINNER",""))</f>
        <v/>
      </c>
      <c r="U486" s="31" t="str">
        <f aca="false">IF(S486="","",I486&amp;"|"&amp;S486)</f>
        <v/>
      </c>
    </row>
    <row r="487" customFormat="false" ht="15" hidden="false" customHeight="false" outlineLevel="0" collapsed="false">
      <c r="A487" s="24" t="n">
        <v>483</v>
      </c>
      <c r="B487" s="25" t="str">
        <f aca="false">IF(OR(C487="",I487="",G487=""),"",IFERROR(VLOOKUP(I487,Setup!$A$9:$B$11,2,0),"???")&amp;"-"&amp;G487&amp;"-"&amp;TEXT(COUNTIFS(I$5:I487,I487,G$5:G487,G487),"0000"))</f>
        <v/>
      </c>
      <c r="C487" s="26"/>
      <c r="D487" s="26"/>
      <c r="E487" s="27"/>
      <c r="F487" s="27"/>
      <c r="G487" s="24" t="str">
        <f aca="false">IF(F487="","",IF(F487&lt;=5,"A",IF(F487&lt;=8,"B",IF(F487&lt;=10,"C","D"))))</f>
        <v/>
      </c>
      <c r="H487" s="28"/>
      <c r="I487" s="27"/>
      <c r="J487" s="26"/>
      <c r="K487" s="27"/>
      <c r="L487" s="27"/>
      <c r="M487" s="27"/>
      <c r="N487" s="27"/>
      <c r="O487" s="24" t="str">
        <f aca="false">IF(G487="","",VLOOKUP(G487,Setup!$A$14:$C$17,3,0))</f>
        <v/>
      </c>
      <c r="P487" s="27"/>
      <c r="Q487" s="29" t="str">
        <f aca="false">IF(OR(P487="",M487&lt;&gt;"Paid",O487=""),"",P487/O487)</f>
        <v/>
      </c>
      <c r="R487" s="30" t="str">
        <f aca="false">IF(Q487="","",Q487+N(H487)*0.000000001)</f>
        <v/>
      </c>
      <c r="S487" s="25" t="str">
        <f aca="false">IF(R487="","",SUMPRODUCT((I$5:I$4004=I487)*ISNUMBER(R$5:R$4004)*(R$5:R$4004&gt;R487))+1)</f>
        <v/>
      </c>
      <c r="T487" s="25" t="str">
        <f aca="false">IF(S487="","",IF(S487&lt;=Setup!$B$5,"🏆 WINNER",""))</f>
        <v/>
      </c>
      <c r="U487" s="24" t="str">
        <f aca="false">IF(S487="","",I487&amp;"|"&amp;S487)</f>
        <v/>
      </c>
    </row>
    <row r="488" customFormat="false" ht="15" hidden="false" customHeight="false" outlineLevel="0" collapsed="false">
      <c r="A488" s="31" t="n">
        <v>484</v>
      </c>
      <c r="B488" s="32" t="str">
        <f aca="false">IF(OR(C488="",I488="",G488=""),"",IFERROR(VLOOKUP(I488,Setup!$A$9:$B$11,2,0),"???")&amp;"-"&amp;G488&amp;"-"&amp;TEXT(COUNTIFS(I$5:I488,I488,G$5:G488,G488),"0000"))</f>
        <v/>
      </c>
      <c r="C488" s="26"/>
      <c r="D488" s="26"/>
      <c r="E488" s="27"/>
      <c r="F488" s="27"/>
      <c r="G488" s="31" t="str">
        <f aca="false">IF(F488="","",IF(F488&lt;=5,"A",IF(F488&lt;=8,"B",IF(F488&lt;=10,"C","D"))))</f>
        <v/>
      </c>
      <c r="H488" s="28"/>
      <c r="I488" s="27"/>
      <c r="J488" s="26"/>
      <c r="K488" s="27"/>
      <c r="L488" s="27"/>
      <c r="M488" s="27"/>
      <c r="N488" s="27"/>
      <c r="O488" s="31" t="str">
        <f aca="false">IF(G488="","",VLOOKUP(G488,Setup!$A$14:$C$17,3,0))</f>
        <v/>
      </c>
      <c r="P488" s="27"/>
      <c r="Q488" s="33" t="str">
        <f aca="false">IF(OR(P488="",M488&lt;&gt;"Paid",O488=""),"",P488/O488)</f>
        <v/>
      </c>
      <c r="R488" s="34" t="str">
        <f aca="false">IF(Q488="","",Q488+N(H488)*0.000000001)</f>
        <v/>
      </c>
      <c r="S488" s="32" t="str">
        <f aca="false">IF(R488="","",SUMPRODUCT((I$5:I$4004=I488)*ISNUMBER(R$5:R$4004)*(R$5:R$4004&gt;R488))+1)</f>
        <v/>
      </c>
      <c r="T488" s="32" t="str">
        <f aca="false">IF(S488="","",IF(S488&lt;=Setup!$B$5,"🏆 WINNER",""))</f>
        <v/>
      </c>
      <c r="U488" s="31" t="str">
        <f aca="false">IF(S488="","",I488&amp;"|"&amp;S488)</f>
        <v/>
      </c>
    </row>
    <row r="489" customFormat="false" ht="15" hidden="false" customHeight="false" outlineLevel="0" collapsed="false">
      <c r="A489" s="24" t="n">
        <v>485</v>
      </c>
      <c r="B489" s="25" t="str">
        <f aca="false">IF(OR(C489="",I489="",G489=""),"",IFERROR(VLOOKUP(I489,Setup!$A$9:$B$11,2,0),"???")&amp;"-"&amp;G489&amp;"-"&amp;TEXT(COUNTIFS(I$5:I489,I489,G$5:G489,G489),"0000"))</f>
        <v/>
      </c>
      <c r="C489" s="26"/>
      <c r="D489" s="26"/>
      <c r="E489" s="27"/>
      <c r="F489" s="27"/>
      <c r="G489" s="24" t="str">
        <f aca="false">IF(F489="","",IF(F489&lt;=5,"A",IF(F489&lt;=8,"B",IF(F489&lt;=10,"C","D"))))</f>
        <v/>
      </c>
      <c r="H489" s="28"/>
      <c r="I489" s="27"/>
      <c r="J489" s="26"/>
      <c r="K489" s="27"/>
      <c r="L489" s="27"/>
      <c r="M489" s="27"/>
      <c r="N489" s="27"/>
      <c r="O489" s="24" t="str">
        <f aca="false">IF(G489="","",VLOOKUP(G489,Setup!$A$14:$C$17,3,0))</f>
        <v/>
      </c>
      <c r="P489" s="27"/>
      <c r="Q489" s="29" t="str">
        <f aca="false">IF(OR(P489="",M489&lt;&gt;"Paid",O489=""),"",P489/O489)</f>
        <v/>
      </c>
      <c r="R489" s="30" t="str">
        <f aca="false">IF(Q489="","",Q489+N(H489)*0.000000001)</f>
        <v/>
      </c>
      <c r="S489" s="25" t="str">
        <f aca="false">IF(R489="","",SUMPRODUCT((I$5:I$4004=I489)*ISNUMBER(R$5:R$4004)*(R$5:R$4004&gt;R489))+1)</f>
        <v/>
      </c>
      <c r="T489" s="25" t="str">
        <f aca="false">IF(S489="","",IF(S489&lt;=Setup!$B$5,"🏆 WINNER",""))</f>
        <v/>
      </c>
      <c r="U489" s="24" t="str">
        <f aca="false">IF(S489="","",I489&amp;"|"&amp;S489)</f>
        <v/>
      </c>
    </row>
    <row r="490" customFormat="false" ht="15" hidden="false" customHeight="false" outlineLevel="0" collapsed="false">
      <c r="A490" s="31" t="n">
        <v>486</v>
      </c>
      <c r="B490" s="32" t="str">
        <f aca="false">IF(OR(C490="",I490="",G490=""),"",IFERROR(VLOOKUP(I490,Setup!$A$9:$B$11,2,0),"???")&amp;"-"&amp;G490&amp;"-"&amp;TEXT(COUNTIFS(I$5:I490,I490,G$5:G490,G490),"0000"))</f>
        <v/>
      </c>
      <c r="C490" s="26"/>
      <c r="D490" s="26"/>
      <c r="E490" s="27"/>
      <c r="F490" s="27"/>
      <c r="G490" s="31" t="str">
        <f aca="false">IF(F490="","",IF(F490&lt;=5,"A",IF(F490&lt;=8,"B",IF(F490&lt;=10,"C","D"))))</f>
        <v/>
      </c>
      <c r="H490" s="28"/>
      <c r="I490" s="27"/>
      <c r="J490" s="26"/>
      <c r="K490" s="27"/>
      <c r="L490" s="27"/>
      <c r="M490" s="27"/>
      <c r="N490" s="27"/>
      <c r="O490" s="31" t="str">
        <f aca="false">IF(G490="","",VLOOKUP(G490,Setup!$A$14:$C$17,3,0))</f>
        <v/>
      </c>
      <c r="P490" s="27"/>
      <c r="Q490" s="33" t="str">
        <f aca="false">IF(OR(P490="",M490&lt;&gt;"Paid",O490=""),"",P490/O490)</f>
        <v/>
      </c>
      <c r="R490" s="34" t="str">
        <f aca="false">IF(Q490="","",Q490+N(H490)*0.000000001)</f>
        <v/>
      </c>
      <c r="S490" s="32" t="str">
        <f aca="false">IF(R490="","",SUMPRODUCT((I$5:I$4004=I490)*ISNUMBER(R$5:R$4004)*(R$5:R$4004&gt;R490))+1)</f>
        <v/>
      </c>
      <c r="T490" s="32" t="str">
        <f aca="false">IF(S490="","",IF(S490&lt;=Setup!$B$5,"🏆 WINNER",""))</f>
        <v/>
      </c>
      <c r="U490" s="31" t="str">
        <f aca="false">IF(S490="","",I490&amp;"|"&amp;S490)</f>
        <v/>
      </c>
    </row>
    <row r="491" customFormat="false" ht="15" hidden="false" customHeight="false" outlineLevel="0" collapsed="false">
      <c r="A491" s="24" t="n">
        <v>487</v>
      </c>
      <c r="B491" s="25" t="str">
        <f aca="false">IF(OR(C491="",I491="",G491=""),"",IFERROR(VLOOKUP(I491,Setup!$A$9:$B$11,2,0),"???")&amp;"-"&amp;G491&amp;"-"&amp;TEXT(COUNTIFS(I$5:I491,I491,G$5:G491,G491),"0000"))</f>
        <v/>
      </c>
      <c r="C491" s="26"/>
      <c r="D491" s="26"/>
      <c r="E491" s="27"/>
      <c r="F491" s="27"/>
      <c r="G491" s="24" t="str">
        <f aca="false">IF(F491="","",IF(F491&lt;=5,"A",IF(F491&lt;=8,"B",IF(F491&lt;=10,"C","D"))))</f>
        <v/>
      </c>
      <c r="H491" s="28"/>
      <c r="I491" s="27"/>
      <c r="J491" s="26"/>
      <c r="K491" s="27"/>
      <c r="L491" s="27"/>
      <c r="M491" s="27"/>
      <c r="N491" s="27"/>
      <c r="O491" s="24" t="str">
        <f aca="false">IF(G491="","",VLOOKUP(G491,Setup!$A$14:$C$17,3,0))</f>
        <v/>
      </c>
      <c r="P491" s="27"/>
      <c r="Q491" s="29" t="str">
        <f aca="false">IF(OR(P491="",M491&lt;&gt;"Paid",O491=""),"",P491/O491)</f>
        <v/>
      </c>
      <c r="R491" s="30" t="str">
        <f aca="false">IF(Q491="","",Q491+N(H491)*0.000000001)</f>
        <v/>
      </c>
      <c r="S491" s="25" t="str">
        <f aca="false">IF(R491="","",SUMPRODUCT((I$5:I$4004=I491)*ISNUMBER(R$5:R$4004)*(R$5:R$4004&gt;R491))+1)</f>
        <v/>
      </c>
      <c r="T491" s="25" t="str">
        <f aca="false">IF(S491="","",IF(S491&lt;=Setup!$B$5,"🏆 WINNER",""))</f>
        <v/>
      </c>
      <c r="U491" s="24" t="str">
        <f aca="false">IF(S491="","",I491&amp;"|"&amp;S491)</f>
        <v/>
      </c>
    </row>
    <row r="492" customFormat="false" ht="15" hidden="false" customHeight="false" outlineLevel="0" collapsed="false">
      <c r="A492" s="31" t="n">
        <v>488</v>
      </c>
      <c r="B492" s="32" t="str">
        <f aca="false">IF(OR(C492="",I492="",G492=""),"",IFERROR(VLOOKUP(I492,Setup!$A$9:$B$11,2,0),"???")&amp;"-"&amp;G492&amp;"-"&amp;TEXT(COUNTIFS(I$5:I492,I492,G$5:G492,G492),"0000"))</f>
        <v/>
      </c>
      <c r="C492" s="26"/>
      <c r="D492" s="26"/>
      <c r="E492" s="27"/>
      <c r="F492" s="27"/>
      <c r="G492" s="31" t="str">
        <f aca="false">IF(F492="","",IF(F492&lt;=5,"A",IF(F492&lt;=8,"B",IF(F492&lt;=10,"C","D"))))</f>
        <v/>
      </c>
      <c r="H492" s="28"/>
      <c r="I492" s="27"/>
      <c r="J492" s="26"/>
      <c r="K492" s="27"/>
      <c r="L492" s="27"/>
      <c r="M492" s="27"/>
      <c r="N492" s="27"/>
      <c r="O492" s="31" t="str">
        <f aca="false">IF(G492="","",VLOOKUP(G492,Setup!$A$14:$C$17,3,0))</f>
        <v/>
      </c>
      <c r="P492" s="27"/>
      <c r="Q492" s="33" t="str">
        <f aca="false">IF(OR(P492="",M492&lt;&gt;"Paid",O492=""),"",P492/O492)</f>
        <v/>
      </c>
      <c r="R492" s="34" t="str">
        <f aca="false">IF(Q492="","",Q492+N(H492)*0.000000001)</f>
        <v/>
      </c>
      <c r="S492" s="32" t="str">
        <f aca="false">IF(R492="","",SUMPRODUCT((I$5:I$4004=I492)*ISNUMBER(R$5:R$4004)*(R$5:R$4004&gt;R492))+1)</f>
        <v/>
      </c>
      <c r="T492" s="32" t="str">
        <f aca="false">IF(S492="","",IF(S492&lt;=Setup!$B$5,"🏆 WINNER",""))</f>
        <v/>
      </c>
      <c r="U492" s="31" t="str">
        <f aca="false">IF(S492="","",I492&amp;"|"&amp;S492)</f>
        <v/>
      </c>
    </row>
    <row r="493" customFormat="false" ht="15" hidden="false" customHeight="false" outlineLevel="0" collapsed="false">
      <c r="A493" s="24" t="n">
        <v>489</v>
      </c>
      <c r="B493" s="25" t="str">
        <f aca="false">IF(OR(C493="",I493="",G493=""),"",IFERROR(VLOOKUP(I493,Setup!$A$9:$B$11,2,0),"???")&amp;"-"&amp;G493&amp;"-"&amp;TEXT(COUNTIFS(I$5:I493,I493,G$5:G493,G493),"0000"))</f>
        <v/>
      </c>
      <c r="C493" s="26"/>
      <c r="D493" s="26"/>
      <c r="E493" s="27"/>
      <c r="F493" s="27"/>
      <c r="G493" s="24" t="str">
        <f aca="false">IF(F493="","",IF(F493&lt;=5,"A",IF(F493&lt;=8,"B",IF(F493&lt;=10,"C","D"))))</f>
        <v/>
      </c>
      <c r="H493" s="28"/>
      <c r="I493" s="27"/>
      <c r="J493" s="26"/>
      <c r="K493" s="27"/>
      <c r="L493" s="27"/>
      <c r="M493" s="27"/>
      <c r="N493" s="27"/>
      <c r="O493" s="24" t="str">
        <f aca="false">IF(G493="","",VLOOKUP(G493,Setup!$A$14:$C$17,3,0))</f>
        <v/>
      </c>
      <c r="P493" s="27"/>
      <c r="Q493" s="29" t="str">
        <f aca="false">IF(OR(P493="",M493&lt;&gt;"Paid",O493=""),"",P493/O493)</f>
        <v/>
      </c>
      <c r="R493" s="30" t="str">
        <f aca="false">IF(Q493="","",Q493+N(H493)*0.000000001)</f>
        <v/>
      </c>
      <c r="S493" s="25" t="str">
        <f aca="false">IF(R493="","",SUMPRODUCT((I$5:I$4004=I493)*ISNUMBER(R$5:R$4004)*(R$5:R$4004&gt;R493))+1)</f>
        <v/>
      </c>
      <c r="T493" s="25" t="str">
        <f aca="false">IF(S493="","",IF(S493&lt;=Setup!$B$5,"🏆 WINNER",""))</f>
        <v/>
      </c>
      <c r="U493" s="24" t="str">
        <f aca="false">IF(S493="","",I493&amp;"|"&amp;S493)</f>
        <v/>
      </c>
    </row>
    <row r="494" customFormat="false" ht="15" hidden="false" customHeight="false" outlineLevel="0" collapsed="false">
      <c r="A494" s="31" t="n">
        <v>490</v>
      </c>
      <c r="B494" s="32" t="str">
        <f aca="false">IF(OR(C494="",I494="",G494=""),"",IFERROR(VLOOKUP(I494,Setup!$A$9:$B$11,2,0),"???")&amp;"-"&amp;G494&amp;"-"&amp;TEXT(COUNTIFS(I$5:I494,I494,G$5:G494,G494),"0000"))</f>
        <v/>
      </c>
      <c r="C494" s="26"/>
      <c r="D494" s="26"/>
      <c r="E494" s="27"/>
      <c r="F494" s="27"/>
      <c r="G494" s="31" t="str">
        <f aca="false">IF(F494="","",IF(F494&lt;=5,"A",IF(F494&lt;=8,"B",IF(F494&lt;=10,"C","D"))))</f>
        <v/>
      </c>
      <c r="H494" s="28"/>
      <c r="I494" s="27"/>
      <c r="J494" s="26"/>
      <c r="K494" s="27"/>
      <c r="L494" s="27"/>
      <c r="M494" s="27"/>
      <c r="N494" s="27"/>
      <c r="O494" s="31" t="str">
        <f aca="false">IF(G494="","",VLOOKUP(G494,Setup!$A$14:$C$17,3,0))</f>
        <v/>
      </c>
      <c r="P494" s="27"/>
      <c r="Q494" s="33" t="str">
        <f aca="false">IF(OR(P494="",M494&lt;&gt;"Paid",O494=""),"",P494/O494)</f>
        <v/>
      </c>
      <c r="R494" s="34" t="str">
        <f aca="false">IF(Q494="","",Q494+N(H494)*0.000000001)</f>
        <v/>
      </c>
      <c r="S494" s="32" t="str">
        <f aca="false">IF(R494="","",SUMPRODUCT((I$5:I$4004=I494)*ISNUMBER(R$5:R$4004)*(R$5:R$4004&gt;R494))+1)</f>
        <v/>
      </c>
      <c r="T494" s="32" t="str">
        <f aca="false">IF(S494="","",IF(S494&lt;=Setup!$B$5,"🏆 WINNER",""))</f>
        <v/>
      </c>
      <c r="U494" s="31" t="str">
        <f aca="false">IF(S494="","",I494&amp;"|"&amp;S494)</f>
        <v/>
      </c>
    </row>
    <row r="495" customFormat="false" ht="15" hidden="false" customHeight="false" outlineLevel="0" collapsed="false">
      <c r="A495" s="24" t="n">
        <v>491</v>
      </c>
      <c r="B495" s="25" t="str">
        <f aca="false">IF(OR(C495="",I495="",G495=""),"",IFERROR(VLOOKUP(I495,Setup!$A$9:$B$11,2,0),"???")&amp;"-"&amp;G495&amp;"-"&amp;TEXT(COUNTIFS(I$5:I495,I495,G$5:G495,G495),"0000"))</f>
        <v/>
      </c>
      <c r="C495" s="26"/>
      <c r="D495" s="26"/>
      <c r="E495" s="27"/>
      <c r="F495" s="27"/>
      <c r="G495" s="24" t="str">
        <f aca="false">IF(F495="","",IF(F495&lt;=5,"A",IF(F495&lt;=8,"B",IF(F495&lt;=10,"C","D"))))</f>
        <v/>
      </c>
      <c r="H495" s="28"/>
      <c r="I495" s="27"/>
      <c r="J495" s="26"/>
      <c r="K495" s="27"/>
      <c r="L495" s="27"/>
      <c r="M495" s="27"/>
      <c r="N495" s="27"/>
      <c r="O495" s="24" t="str">
        <f aca="false">IF(G495="","",VLOOKUP(G495,Setup!$A$14:$C$17,3,0))</f>
        <v/>
      </c>
      <c r="P495" s="27"/>
      <c r="Q495" s="29" t="str">
        <f aca="false">IF(OR(P495="",M495&lt;&gt;"Paid",O495=""),"",P495/O495)</f>
        <v/>
      </c>
      <c r="R495" s="30" t="str">
        <f aca="false">IF(Q495="","",Q495+N(H495)*0.000000001)</f>
        <v/>
      </c>
      <c r="S495" s="25" t="str">
        <f aca="false">IF(R495="","",SUMPRODUCT((I$5:I$4004=I495)*ISNUMBER(R$5:R$4004)*(R$5:R$4004&gt;R495))+1)</f>
        <v/>
      </c>
      <c r="T495" s="25" t="str">
        <f aca="false">IF(S495="","",IF(S495&lt;=Setup!$B$5,"🏆 WINNER",""))</f>
        <v/>
      </c>
      <c r="U495" s="24" t="str">
        <f aca="false">IF(S495="","",I495&amp;"|"&amp;S495)</f>
        <v/>
      </c>
    </row>
    <row r="496" customFormat="false" ht="15" hidden="false" customHeight="false" outlineLevel="0" collapsed="false">
      <c r="A496" s="31" t="n">
        <v>492</v>
      </c>
      <c r="B496" s="32" t="str">
        <f aca="false">IF(OR(C496="",I496="",G496=""),"",IFERROR(VLOOKUP(I496,Setup!$A$9:$B$11,2,0),"???")&amp;"-"&amp;G496&amp;"-"&amp;TEXT(COUNTIFS(I$5:I496,I496,G$5:G496,G496),"0000"))</f>
        <v/>
      </c>
      <c r="C496" s="26"/>
      <c r="D496" s="26"/>
      <c r="E496" s="27"/>
      <c r="F496" s="27"/>
      <c r="G496" s="31" t="str">
        <f aca="false">IF(F496="","",IF(F496&lt;=5,"A",IF(F496&lt;=8,"B",IF(F496&lt;=10,"C","D"))))</f>
        <v/>
      </c>
      <c r="H496" s="28"/>
      <c r="I496" s="27"/>
      <c r="J496" s="26"/>
      <c r="K496" s="27"/>
      <c r="L496" s="27"/>
      <c r="M496" s="27"/>
      <c r="N496" s="27"/>
      <c r="O496" s="31" t="str">
        <f aca="false">IF(G496="","",VLOOKUP(G496,Setup!$A$14:$C$17,3,0))</f>
        <v/>
      </c>
      <c r="P496" s="27"/>
      <c r="Q496" s="33" t="str">
        <f aca="false">IF(OR(P496="",M496&lt;&gt;"Paid",O496=""),"",P496/O496)</f>
        <v/>
      </c>
      <c r="R496" s="34" t="str">
        <f aca="false">IF(Q496="","",Q496+N(H496)*0.000000001)</f>
        <v/>
      </c>
      <c r="S496" s="32" t="str">
        <f aca="false">IF(R496="","",SUMPRODUCT((I$5:I$4004=I496)*ISNUMBER(R$5:R$4004)*(R$5:R$4004&gt;R496))+1)</f>
        <v/>
      </c>
      <c r="T496" s="32" t="str">
        <f aca="false">IF(S496="","",IF(S496&lt;=Setup!$B$5,"🏆 WINNER",""))</f>
        <v/>
      </c>
      <c r="U496" s="31" t="str">
        <f aca="false">IF(S496="","",I496&amp;"|"&amp;S496)</f>
        <v/>
      </c>
    </row>
    <row r="497" customFormat="false" ht="15" hidden="false" customHeight="false" outlineLevel="0" collapsed="false">
      <c r="A497" s="24" t="n">
        <v>493</v>
      </c>
      <c r="B497" s="25" t="str">
        <f aca="false">IF(OR(C497="",I497="",G497=""),"",IFERROR(VLOOKUP(I497,Setup!$A$9:$B$11,2,0),"???")&amp;"-"&amp;G497&amp;"-"&amp;TEXT(COUNTIFS(I$5:I497,I497,G$5:G497,G497),"0000"))</f>
        <v/>
      </c>
      <c r="C497" s="26"/>
      <c r="D497" s="26"/>
      <c r="E497" s="27"/>
      <c r="F497" s="27"/>
      <c r="G497" s="24" t="str">
        <f aca="false">IF(F497="","",IF(F497&lt;=5,"A",IF(F497&lt;=8,"B",IF(F497&lt;=10,"C","D"))))</f>
        <v/>
      </c>
      <c r="H497" s="28"/>
      <c r="I497" s="27"/>
      <c r="J497" s="26"/>
      <c r="K497" s="27"/>
      <c r="L497" s="27"/>
      <c r="M497" s="27"/>
      <c r="N497" s="27"/>
      <c r="O497" s="24" t="str">
        <f aca="false">IF(G497="","",VLOOKUP(G497,Setup!$A$14:$C$17,3,0))</f>
        <v/>
      </c>
      <c r="P497" s="27"/>
      <c r="Q497" s="29" t="str">
        <f aca="false">IF(OR(P497="",M497&lt;&gt;"Paid",O497=""),"",P497/O497)</f>
        <v/>
      </c>
      <c r="R497" s="30" t="str">
        <f aca="false">IF(Q497="","",Q497+N(H497)*0.000000001)</f>
        <v/>
      </c>
      <c r="S497" s="25" t="str">
        <f aca="false">IF(R497="","",SUMPRODUCT((I$5:I$4004=I497)*ISNUMBER(R$5:R$4004)*(R$5:R$4004&gt;R497))+1)</f>
        <v/>
      </c>
      <c r="T497" s="25" t="str">
        <f aca="false">IF(S497="","",IF(S497&lt;=Setup!$B$5,"🏆 WINNER",""))</f>
        <v/>
      </c>
      <c r="U497" s="24" t="str">
        <f aca="false">IF(S497="","",I497&amp;"|"&amp;S497)</f>
        <v/>
      </c>
    </row>
    <row r="498" customFormat="false" ht="15" hidden="false" customHeight="false" outlineLevel="0" collapsed="false">
      <c r="A498" s="31" t="n">
        <v>494</v>
      </c>
      <c r="B498" s="32" t="str">
        <f aca="false">IF(OR(C498="",I498="",G498=""),"",IFERROR(VLOOKUP(I498,Setup!$A$9:$B$11,2,0),"???")&amp;"-"&amp;G498&amp;"-"&amp;TEXT(COUNTIFS(I$5:I498,I498,G$5:G498,G498),"0000"))</f>
        <v/>
      </c>
      <c r="C498" s="26"/>
      <c r="D498" s="26"/>
      <c r="E498" s="27"/>
      <c r="F498" s="27"/>
      <c r="G498" s="31" t="str">
        <f aca="false">IF(F498="","",IF(F498&lt;=5,"A",IF(F498&lt;=8,"B",IF(F498&lt;=10,"C","D"))))</f>
        <v/>
      </c>
      <c r="H498" s="28"/>
      <c r="I498" s="27"/>
      <c r="J498" s="26"/>
      <c r="K498" s="27"/>
      <c r="L498" s="27"/>
      <c r="M498" s="27"/>
      <c r="N498" s="27"/>
      <c r="O498" s="31" t="str">
        <f aca="false">IF(G498="","",VLOOKUP(G498,Setup!$A$14:$C$17,3,0))</f>
        <v/>
      </c>
      <c r="P498" s="27"/>
      <c r="Q498" s="33" t="str">
        <f aca="false">IF(OR(P498="",M498&lt;&gt;"Paid",O498=""),"",P498/O498)</f>
        <v/>
      </c>
      <c r="R498" s="34" t="str">
        <f aca="false">IF(Q498="","",Q498+N(H498)*0.000000001)</f>
        <v/>
      </c>
      <c r="S498" s="32" t="str">
        <f aca="false">IF(R498="","",SUMPRODUCT((I$5:I$4004=I498)*ISNUMBER(R$5:R$4004)*(R$5:R$4004&gt;R498))+1)</f>
        <v/>
      </c>
      <c r="T498" s="32" t="str">
        <f aca="false">IF(S498="","",IF(S498&lt;=Setup!$B$5,"🏆 WINNER",""))</f>
        <v/>
      </c>
      <c r="U498" s="31" t="str">
        <f aca="false">IF(S498="","",I498&amp;"|"&amp;S498)</f>
        <v/>
      </c>
    </row>
    <row r="499" customFormat="false" ht="15" hidden="false" customHeight="false" outlineLevel="0" collapsed="false">
      <c r="A499" s="24" t="n">
        <v>495</v>
      </c>
      <c r="B499" s="25" t="str">
        <f aca="false">IF(OR(C499="",I499="",G499=""),"",IFERROR(VLOOKUP(I499,Setup!$A$9:$B$11,2,0),"???")&amp;"-"&amp;G499&amp;"-"&amp;TEXT(COUNTIFS(I$5:I499,I499,G$5:G499,G499),"0000"))</f>
        <v/>
      </c>
      <c r="C499" s="26"/>
      <c r="D499" s="26"/>
      <c r="E499" s="27"/>
      <c r="F499" s="27"/>
      <c r="G499" s="24" t="str">
        <f aca="false">IF(F499="","",IF(F499&lt;=5,"A",IF(F499&lt;=8,"B",IF(F499&lt;=10,"C","D"))))</f>
        <v/>
      </c>
      <c r="H499" s="28"/>
      <c r="I499" s="27"/>
      <c r="J499" s="26"/>
      <c r="K499" s="27"/>
      <c r="L499" s="27"/>
      <c r="M499" s="27"/>
      <c r="N499" s="27"/>
      <c r="O499" s="24" t="str">
        <f aca="false">IF(G499="","",VLOOKUP(G499,Setup!$A$14:$C$17,3,0))</f>
        <v/>
      </c>
      <c r="P499" s="27"/>
      <c r="Q499" s="29" t="str">
        <f aca="false">IF(OR(P499="",M499&lt;&gt;"Paid",O499=""),"",P499/O499)</f>
        <v/>
      </c>
      <c r="R499" s="30" t="str">
        <f aca="false">IF(Q499="","",Q499+N(H499)*0.000000001)</f>
        <v/>
      </c>
      <c r="S499" s="25" t="str">
        <f aca="false">IF(R499="","",SUMPRODUCT((I$5:I$4004=I499)*ISNUMBER(R$5:R$4004)*(R$5:R$4004&gt;R499))+1)</f>
        <v/>
      </c>
      <c r="T499" s="25" t="str">
        <f aca="false">IF(S499="","",IF(S499&lt;=Setup!$B$5,"🏆 WINNER",""))</f>
        <v/>
      </c>
      <c r="U499" s="24" t="str">
        <f aca="false">IF(S499="","",I499&amp;"|"&amp;S499)</f>
        <v/>
      </c>
    </row>
    <row r="500" customFormat="false" ht="15" hidden="false" customHeight="false" outlineLevel="0" collapsed="false">
      <c r="A500" s="31" t="n">
        <v>496</v>
      </c>
      <c r="B500" s="32" t="str">
        <f aca="false">IF(OR(C500="",I500="",G500=""),"",IFERROR(VLOOKUP(I500,Setup!$A$9:$B$11,2,0),"???")&amp;"-"&amp;G500&amp;"-"&amp;TEXT(COUNTIFS(I$5:I500,I500,G$5:G500,G500),"0000"))</f>
        <v/>
      </c>
      <c r="C500" s="26"/>
      <c r="D500" s="26"/>
      <c r="E500" s="27"/>
      <c r="F500" s="27"/>
      <c r="G500" s="31" t="str">
        <f aca="false">IF(F500="","",IF(F500&lt;=5,"A",IF(F500&lt;=8,"B",IF(F500&lt;=10,"C","D"))))</f>
        <v/>
      </c>
      <c r="H500" s="28"/>
      <c r="I500" s="27"/>
      <c r="J500" s="26"/>
      <c r="K500" s="27"/>
      <c r="L500" s="27"/>
      <c r="M500" s="27"/>
      <c r="N500" s="27"/>
      <c r="O500" s="31" t="str">
        <f aca="false">IF(G500="","",VLOOKUP(G500,Setup!$A$14:$C$17,3,0))</f>
        <v/>
      </c>
      <c r="P500" s="27"/>
      <c r="Q500" s="33" t="str">
        <f aca="false">IF(OR(P500="",M500&lt;&gt;"Paid",O500=""),"",P500/O500)</f>
        <v/>
      </c>
      <c r="R500" s="34" t="str">
        <f aca="false">IF(Q500="","",Q500+N(H500)*0.000000001)</f>
        <v/>
      </c>
      <c r="S500" s="32" t="str">
        <f aca="false">IF(R500="","",SUMPRODUCT((I$5:I$4004=I500)*ISNUMBER(R$5:R$4004)*(R$5:R$4004&gt;R500))+1)</f>
        <v/>
      </c>
      <c r="T500" s="32" t="str">
        <f aca="false">IF(S500="","",IF(S500&lt;=Setup!$B$5,"🏆 WINNER",""))</f>
        <v/>
      </c>
      <c r="U500" s="31" t="str">
        <f aca="false">IF(S500="","",I500&amp;"|"&amp;S500)</f>
        <v/>
      </c>
    </row>
    <row r="501" customFormat="false" ht="15" hidden="false" customHeight="false" outlineLevel="0" collapsed="false">
      <c r="A501" s="24" t="n">
        <v>497</v>
      </c>
      <c r="B501" s="25" t="str">
        <f aca="false">IF(OR(C501="",I501="",G501=""),"",IFERROR(VLOOKUP(I501,Setup!$A$9:$B$11,2,0),"???")&amp;"-"&amp;G501&amp;"-"&amp;TEXT(COUNTIFS(I$5:I501,I501,G$5:G501,G501),"0000"))</f>
        <v/>
      </c>
      <c r="C501" s="26"/>
      <c r="D501" s="26"/>
      <c r="E501" s="27"/>
      <c r="F501" s="27"/>
      <c r="G501" s="24" t="str">
        <f aca="false">IF(F501="","",IF(F501&lt;=5,"A",IF(F501&lt;=8,"B",IF(F501&lt;=10,"C","D"))))</f>
        <v/>
      </c>
      <c r="H501" s="28"/>
      <c r="I501" s="27"/>
      <c r="J501" s="26"/>
      <c r="K501" s="27"/>
      <c r="L501" s="27"/>
      <c r="M501" s="27"/>
      <c r="N501" s="27"/>
      <c r="O501" s="24" t="str">
        <f aca="false">IF(G501="","",VLOOKUP(G501,Setup!$A$14:$C$17,3,0))</f>
        <v/>
      </c>
      <c r="P501" s="27"/>
      <c r="Q501" s="29" t="str">
        <f aca="false">IF(OR(P501="",M501&lt;&gt;"Paid",O501=""),"",P501/O501)</f>
        <v/>
      </c>
      <c r="R501" s="30" t="str">
        <f aca="false">IF(Q501="","",Q501+N(H501)*0.000000001)</f>
        <v/>
      </c>
      <c r="S501" s="25" t="str">
        <f aca="false">IF(R501="","",SUMPRODUCT((I$5:I$4004=I501)*ISNUMBER(R$5:R$4004)*(R$5:R$4004&gt;R501))+1)</f>
        <v/>
      </c>
      <c r="T501" s="25" t="str">
        <f aca="false">IF(S501="","",IF(S501&lt;=Setup!$B$5,"🏆 WINNER",""))</f>
        <v/>
      </c>
      <c r="U501" s="24" t="str">
        <f aca="false">IF(S501="","",I501&amp;"|"&amp;S501)</f>
        <v/>
      </c>
    </row>
    <row r="502" customFormat="false" ht="15" hidden="false" customHeight="false" outlineLevel="0" collapsed="false">
      <c r="A502" s="31" t="n">
        <v>498</v>
      </c>
      <c r="B502" s="32" t="str">
        <f aca="false">IF(OR(C502="",I502="",G502=""),"",IFERROR(VLOOKUP(I502,Setup!$A$9:$B$11,2,0),"???")&amp;"-"&amp;G502&amp;"-"&amp;TEXT(COUNTIFS(I$5:I502,I502,G$5:G502,G502),"0000"))</f>
        <v/>
      </c>
      <c r="C502" s="26"/>
      <c r="D502" s="26"/>
      <c r="E502" s="27"/>
      <c r="F502" s="27"/>
      <c r="G502" s="31" t="str">
        <f aca="false">IF(F502="","",IF(F502&lt;=5,"A",IF(F502&lt;=8,"B",IF(F502&lt;=10,"C","D"))))</f>
        <v/>
      </c>
      <c r="H502" s="28"/>
      <c r="I502" s="27"/>
      <c r="J502" s="26"/>
      <c r="K502" s="27"/>
      <c r="L502" s="27"/>
      <c r="M502" s="27"/>
      <c r="N502" s="27"/>
      <c r="O502" s="31" t="str">
        <f aca="false">IF(G502="","",VLOOKUP(G502,Setup!$A$14:$C$17,3,0))</f>
        <v/>
      </c>
      <c r="P502" s="27"/>
      <c r="Q502" s="33" t="str">
        <f aca="false">IF(OR(P502="",M502&lt;&gt;"Paid",O502=""),"",P502/O502)</f>
        <v/>
      </c>
      <c r="R502" s="34" t="str">
        <f aca="false">IF(Q502="","",Q502+N(H502)*0.000000001)</f>
        <v/>
      </c>
      <c r="S502" s="32" t="str">
        <f aca="false">IF(R502="","",SUMPRODUCT((I$5:I$4004=I502)*ISNUMBER(R$5:R$4004)*(R$5:R$4004&gt;R502))+1)</f>
        <v/>
      </c>
      <c r="T502" s="32" t="str">
        <f aca="false">IF(S502="","",IF(S502&lt;=Setup!$B$5,"🏆 WINNER",""))</f>
        <v/>
      </c>
      <c r="U502" s="31" t="str">
        <f aca="false">IF(S502="","",I502&amp;"|"&amp;S502)</f>
        <v/>
      </c>
    </row>
    <row r="503" customFormat="false" ht="15" hidden="false" customHeight="false" outlineLevel="0" collapsed="false">
      <c r="A503" s="24" t="n">
        <v>499</v>
      </c>
      <c r="B503" s="25" t="str">
        <f aca="false">IF(OR(C503="",I503="",G503=""),"",IFERROR(VLOOKUP(I503,Setup!$A$9:$B$11,2,0),"???")&amp;"-"&amp;G503&amp;"-"&amp;TEXT(COUNTIFS(I$5:I503,I503,G$5:G503,G503),"0000"))</f>
        <v/>
      </c>
      <c r="C503" s="26"/>
      <c r="D503" s="26"/>
      <c r="E503" s="27"/>
      <c r="F503" s="27"/>
      <c r="G503" s="24" t="str">
        <f aca="false">IF(F503="","",IF(F503&lt;=5,"A",IF(F503&lt;=8,"B",IF(F503&lt;=10,"C","D"))))</f>
        <v/>
      </c>
      <c r="H503" s="28"/>
      <c r="I503" s="27"/>
      <c r="J503" s="26"/>
      <c r="K503" s="27"/>
      <c r="L503" s="27"/>
      <c r="M503" s="27"/>
      <c r="N503" s="27"/>
      <c r="O503" s="24" t="str">
        <f aca="false">IF(G503="","",VLOOKUP(G503,Setup!$A$14:$C$17,3,0))</f>
        <v/>
      </c>
      <c r="P503" s="27"/>
      <c r="Q503" s="29" t="str">
        <f aca="false">IF(OR(P503="",M503&lt;&gt;"Paid",O503=""),"",P503/O503)</f>
        <v/>
      </c>
      <c r="R503" s="30" t="str">
        <f aca="false">IF(Q503="","",Q503+N(H503)*0.000000001)</f>
        <v/>
      </c>
      <c r="S503" s="25" t="str">
        <f aca="false">IF(R503="","",SUMPRODUCT((I$5:I$4004=I503)*ISNUMBER(R$5:R$4004)*(R$5:R$4004&gt;R503))+1)</f>
        <v/>
      </c>
      <c r="T503" s="25" t="str">
        <f aca="false">IF(S503="","",IF(S503&lt;=Setup!$B$5,"🏆 WINNER",""))</f>
        <v/>
      </c>
      <c r="U503" s="24" t="str">
        <f aca="false">IF(S503="","",I503&amp;"|"&amp;S503)</f>
        <v/>
      </c>
    </row>
    <row r="504" customFormat="false" ht="15" hidden="false" customHeight="false" outlineLevel="0" collapsed="false">
      <c r="A504" s="31" t="n">
        <v>500</v>
      </c>
      <c r="B504" s="32" t="str">
        <f aca="false">IF(OR(C504="",I504="",G504=""),"",IFERROR(VLOOKUP(I504,Setup!$A$9:$B$11,2,0),"???")&amp;"-"&amp;G504&amp;"-"&amp;TEXT(COUNTIFS(I$5:I504,I504,G$5:G504,G504),"0000"))</f>
        <v/>
      </c>
      <c r="C504" s="26"/>
      <c r="D504" s="26"/>
      <c r="E504" s="27"/>
      <c r="F504" s="27"/>
      <c r="G504" s="31" t="str">
        <f aca="false">IF(F504="","",IF(F504&lt;=5,"A",IF(F504&lt;=8,"B",IF(F504&lt;=10,"C","D"))))</f>
        <v/>
      </c>
      <c r="H504" s="28"/>
      <c r="I504" s="27"/>
      <c r="J504" s="26"/>
      <c r="K504" s="27"/>
      <c r="L504" s="27"/>
      <c r="M504" s="27"/>
      <c r="N504" s="27"/>
      <c r="O504" s="31" t="str">
        <f aca="false">IF(G504="","",VLOOKUP(G504,Setup!$A$14:$C$17,3,0))</f>
        <v/>
      </c>
      <c r="P504" s="27"/>
      <c r="Q504" s="33" t="str">
        <f aca="false">IF(OR(P504="",M504&lt;&gt;"Paid",O504=""),"",P504/O504)</f>
        <v/>
      </c>
      <c r="R504" s="34" t="str">
        <f aca="false">IF(Q504="","",Q504+N(H504)*0.000000001)</f>
        <v/>
      </c>
      <c r="S504" s="32" t="str">
        <f aca="false">IF(R504="","",SUMPRODUCT((I$5:I$4004=I504)*ISNUMBER(R$5:R$4004)*(R$5:R$4004&gt;R504))+1)</f>
        <v/>
      </c>
      <c r="T504" s="32" t="str">
        <f aca="false">IF(S504="","",IF(S504&lt;=Setup!$B$5,"🏆 WINNER",""))</f>
        <v/>
      </c>
      <c r="U504" s="31" t="str">
        <f aca="false">IF(S504="","",I504&amp;"|"&amp;S504)</f>
        <v/>
      </c>
    </row>
    <row r="505" customFormat="false" ht="15" hidden="false" customHeight="false" outlineLevel="0" collapsed="false">
      <c r="A505" s="24" t="n">
        <v>501</v>
      </c>
      <c r="B505" s="25" t="str">
        <f aca="false">IF(OR(C505="",I505="",G505=""),"",IFERROR(VLOOKUP(I505,Setup!$A$9:$B$11,2,0),"???")&amp;"-"&amp;G505&amp;"-"&amp;TEXT(COUNTIFS(I$5:I505,I505,G$5:G505,G505),"0000"))</f>
        <v/>
      </c>
      <c r="C505" s="26"/>
      <c r="D505" s="26"/>
      <c r="E505" s="27"/>
      <c r="F505" s="27"/>
      <c r="G505" s="24" t="str">
        <f aca="false">IF(F505="","",IF(F505&lt;=5,"A",IF(F505&lt;=8,"B",IF(F505&lt;=10,"C","D"))))</f>
        <v/>
      </c>
      <c r="H505" s="28"/>
      <c r="I505" s="27"/>
      <c r="J505" s="26"/>
      <c r="K505" s="27"/>
      <c r="L505" s="27"/>
      <c r="M505" s="27"/>
      <c r="N505" s="27"/>
      <c r="O505" s="24" t="str">
        <f aca="false">IF(G505="","",VLOOKUP(G505,Setup!$A$14:$C$17,3,0))</f>
        <v/>
      </c>
      <c r="P505" s="27"/>
      <c r="Q505" s="29" t="str">
        <f aca="false">IF(OR(P505="",M505&lt;&gt;"Paid",O505=""),"",P505/O505)</f>
        <v/>
      </c>
      <c r="R505" s="30" t="str">
        <f aca="false">IF(Q505="","",Q505+N(H505)*0.000000001)</f>
        <v/>
      </c>
      <c r="S505" s="25" t="str">
        <f aca="false">IF(R505="","",SUMPRODUCT((I$5:I$4004=I505)*ISNUMBER(R$5:R$4004)*(R$5:R$4004&gt;R505))+1)</f>
        <v/>
      </c>
      <c r="T505" s="25" t="str">
        <f aca="false">IF(S505="","",IF(S505&lt;=Setup!$B$5,"🏆 WINNER",""))</f>
        <v/>
      </c>
      <c r="U505" s="24" t="str">
        <f aca="false">IF(S505="","",I505&amp;"|"&amp;S505)</f>
        <v/>
      </c>
    </row>
    <row r="506" customFormat="false" ht="15" hidden="false" customHeight="false" outlineLevel="0" collapsed="false">
      <c r="A506" s="31" t="n">
        <v>502</v>
      </c>
      <c r="B506" s="32" t="str">
        <f aca="false">IF(OR(C506="",I506="",G506=""),"",IFERROR(VLOOKUP(I506,Setup!$A$9:$B$11,2,0),"???")&amp;"-"&amp;G506&amp;"-"&amp;TEXT(COUNTIFS(I$5:I506,I506,G$5:G506,G506),"0000"))</f>
        <v/>
      </c>
      <c r="C506" s="26"/>
      <c r="D506" s="26"/>
      <c r="E506" s="27"/>
      <c r="F506" s="27"/>
      <c r="G506" s="31" t="str">
        <f aca="false">IF(F506="","",IF(F506&lt;=5,"A",IF(F506&lt;=8,"B",IF(F506&lt;=10,"C","D"))))</f>
        <v/>
      </c>
      <c r="H506" s="28"/>
      <c r="I506" s="27"/>
      <c r="J506" s="26"/>
      <c r="K506" s="27"/>
      <c r="L506" s="27"/>
      <c r="M506" s="27"/>
      <c r="N506" s="27"/>
      <c r="O506" s="31" t="str">
        <f aca="false">IF(G506="","",VLOOKUP(G506,Setup!$A$14:$C$17,3,0))</f>
        <v/>
      </c>
      <c r="P506" s="27"/>
      <c r="Q506" s="33" t="str">
        <f aca="false">IF(OR(P506="",M506&lt;&gt;"Paid",O506=""),"",P506/O506)</f>
        <v/>
      </c>
      <c r="R506" s="34" t="str">
        <f aca="false">IF(Q506="","",Q506+N(H506)*0.000000001)</f>
        <v/>
      </c>
      <c r="S506" s="32" t="str">
        <f aca="false">IF(R506="","",SUMPRODUCT((I$5:I$4004=I506)*ISNUMBER(R$5:R$4004)*(R$5:R$4004&gt;R506))+1)</f>
        <v/>
      </c>
      <c r="T506" s="32" t="str">
        <f aca="false">IF(S506="","",IF(S506&lt;=Setup!$B$5,"🏆 WINNER",""))</f>
        <v/>
      </c>
      <c r="U506" s="31" t="str">
        <f aca="false">IF(S506="","",I506&amp;"|"&amp;S506)</f>
        <v/>
      </c>
    </row>
    <row r="507" customFormat="false" ht="15" hidden="false" customHeight="false" outlineLevel="0" collapsed="false">
      <c r="A507" s="24" t="n">
        <v>503</v>
      </c>
      <c r="B507" s="25" t="str">
        <f aca="false">IF(OR(C507="",I507="",G507=""),"",IFERROR(VLOOKUP(I507,Setup!$A$9:$B$11,2,0),"???")&amp;"-"&amp;G507&amp;"-"&amp;TEXT(COUNTIFS(I$5:I507,I507,G$5:G507,G507),"0000"))</f>
        <v/>
      </c>
      <c r="C507" s="26"/>
      <c r="D507" s="26"/>
      <c r="E507" s="27"/>
      <c r="F507" s="27"/>
      <c r="G507" s="24" t="str">
        <f aca="false">IF(F507="","",IF(F507&lt;=5,"A",IF(F507&lt;=8,"B",IF(F507&lt;=10,"C","D"))))</f>
        <v/>
      </c>
      <c r="H507" s="28"/>
      <c r="I507" s="27"/>
      <c r="J507" s="26"/>
      <c r="K507" s="27"/>
      <c r="L507" s="27"/>
      <c r="M507" s="27"/>
      <c r="N507" s="27"/>
      <c r="O507" s="24" t="str">
        <f aca="false">IF(G507="","",VLOOKUP(G507,Setup!$A$14:$C$17,3,0))</f>
        <v/>
      </c>
      <c r="P507" s="27"/>
      <c r="Q507" s="29" t="str">
        <f aca="false">IF(OR(P507="",M507&lt;&gt;"Paid",O507=""),"",P507/O507)</f>
        <v/>
      </c>
      <c r="R507" s="30" t="str">
        <f aca="false">IF(Q507="","",Q507+N(H507)*0.000000001)</f>
        <v/>
      </c>
      <c r="S507" s="25" t="str">
        <f aca="false">IF(R507="","",SUMPRODUCT((I$5:I$4004=I507)*ISNUMBER(R$5:R$4004)*(R$5:R$4004&gt;R507))+1)</f>
        <v/>
      </c>
      <c r="T507" s="25" t="str">
        <f aca="false">IF(S507="","",IF(S507&lt;=Setup!$B$5,"🏆 WINNER",""))</f>
        <v/>
      </c>
      <c r="U507" s="24" t="str">
        <f aca="false">IF(S507="","",I507&amp;"|"&amp;S507)</f>
        <v/>
      </c>
    </row>
    <row r="508" customFormat="false" ht="15" hidden="false" customHeight="false" outlineLevel="0" collapsed="false">
      <c r="A508" s="31" t="n">
        <v>504</v>
      </c>
      <c r="B508" s="32" t="str">
        <f aca="false">IF(OR(C508="",I508="",G508=""),"",IFERROR(VLOOKUP(I508,Setup!$A$9:$B$11,2,0),"???")&amp;"-"&amp;G508&amp;"-"&amp;TEXT(COUNTIFS(I$5:I508,I508,G$5:G508,G508),"0000"))</f>
        <v/>
      </c>
      <c r="C508" s="26"/>
      <c r="D508" s="26"/>
      <c r="E508" s="27"/>
      <c r="F508" s="27"/>
      <c r="G508" s="31" t="str">
        <f aca="false">IF(F508="","",IF(F508&lt;=5,"A",IF(F508&lt;=8,"B",IF(F508&lt;=10,"C","D"))))</f>
        <v/>
      </c>
      <c r="H508" s="28"/>
      <c r="I508" s="27"/>
      <c r="J508" s="26"/>
      <c r="K508" s="27"/>
      <c r="L508" s="27"/>
      <c r="M508" s="27"/>
      <c r="N508" s="27"/>
      <c r="O508" s="31" t="str">
        <f aca="false">IF(G508="","",VLOOKUP(G508,Setup!$A$14:$C$17,3,0))</f>
        <v/>
      </c>
      <c r="P508" s="27"/>
      <c r="Q508" s="33" t="str">
        <f aca="false">IF(OR(P508="",M508&lt;&gt;"Paid",O508=""),"",P508/O508)</f>
        <v/>
      </c>
      <c r="R508" s="34" t="str">
        <f aca="false">IF(Q508="","",Q508+N(H508)*0.000000001)</f>
        <v/>
      </c>
      <c r="S508" s="32" t="str">
        <f aca="false">IF(R508="","",SUMPRODUCT((I$5:I$4004=I508)*ISNUMBER(R$5:R$4004)*(R$5:R$4004&gt;R508))+1)</f>
        <v/>
      </c>
      <c r="T508" s="32" t="str">
        <f aca="false">IF(S508="","",IF(S508&lt;=Setup!$B$5,"🏆 WINNER",""))</f>
        <v/>
      </c>
      <c r="U508" s="31" t="str">
        <f aca="false">IF(S508="","",I508&amp;"|"&amp;S508)</f>
        <v/>
      </c>
    </row>
    <row r="509" customFormat="false" ht="15" hidden="false" customHeight="false" outlineLevel="0" collapsed="false">
      <c r="A509" s="24" t="n">
        <v>505</v>
      </c>
      <c r="B509" s="25" t="str">
        <f aca="false">IF(OR(C509="",I509="",G509=""),"",IFERROR(VLOOKUP(I509,Setup!$A$9:$B$11,2,0),"???")&amp;"-"&amp;G509&amp;"-"&amp;TEXT(COUNTIFS(I$5:I509,I509,G$5:G509,G509),"0000"))</f>
        <v/>
      </c>
      <c r="C509" s="26"/>
      <c r="D509" s="26"/>
      <c r="E509" s="27"/>
      <c r="F509" s="27"/>
      <c r="G509" s="24" t="str">
        <f aca="false">IF(F509="","",IF(F509&lt;=5,"A",IF(F509&lt;=8,"B",IF(F509&lt;=10,"C","D"))))</f>
        <v/>
      </c>
      <c r="H509" s="28"/>
      <c r="I509" s="27"/>
      <c r="J509" s="26"/>
      <c r="K509" s="27"/>
      <c r="L509" s="27"/>
      <c r="M509" s="27"/>
      <c r="N509" s="27"/>
      <c r="O509" s="24" t="str">
        <f aca="false">IF(G509="","",VLOOKUP(G509,Setup!$A$14:$C$17,3,0))</f>
        <v/>
      </c>
      <c r="P509" s="27"/>
      <c r="Q509" s="29" t="str">
        <f aca="false">IF(OR(P509="",M509&lt;&gt;"Paid",O509=""),"",P509/O509)</f>
        <v/>
      </c>
      <c r="R509" s="30" t="str">
        <f aca="false">IF(Q509="","",Q509+N(H509)*0.000000001)</f>
        <v/>
      </c>
      <c r="S509" s="25" t="str">
        <f aca="false">IF(R509="","",SUMPRODUCT((I$5:I$4004=I509)*ISNUMBER(R$5:R$4004)*(R$5:R$4004&gt;R509))+1)</f>
        <v/>
      </c>
      <c r="T509" s="25" t="str">
        <f aca="false">IF(S509="","",IF(S509&lt;=Setup!$B$5,"🏆 WINNER",""))</f>
        <v/>
      </c>
      <c r="U509" s="24" t="str">
        <f aca="false">IF(S509="","",I509&amp;"|"&amp;S509)</f>
        <v/>
      </c>
    </row>
    <row r="510" customFormat="false" ht="15" hidden="false" customHeight="false" outlineLevel="0" collapsed="false">
      <c r="A510" s="31" t="n">
        <v>506</v>
      </c>
      <c r="B510" s="32" t="str">
        <f aca="false">IF(OR(C510="",I510="",G510=""),"",IFERROR(VLOOKUP(I510,Setup!$A$9:$B$11,2,0),"???")&amp;"-"&amp;G510&amp;"-"&amp;TEXT(COUNTIFS(I$5:I510,I510,G$5:G510,G510),"0000"))</f>
        <v/>
      </c>
      <c r="C510" s="26"/>
      <c r="D510" s="26"/>
      <c r="E510" s="27"/>
      <c r="F510" s="27"/>
      <c r="G510" s="31" t="str">
        <f aca="false">IF(F510="","",IF(F510&lt;=5,"A",IF(F510&lt;=8,"B",IF(F510&lt;=10,"C","D"))))</f>
        <v/>
      </c>
      <c r="H510" s="28"/>
      <c r="I510" s="27"/>
      <c r="J510" s="26"/>
      <c r="K510" s="27"/>
      <c r="L510" s="27"/>
      <c r="M510" s="27"/>
      <c r="N510" s="27"/>
      <c r="O510" s="31" t="str">
        <f aca="false">IF(G510="","",VLOOKUP(G510,Setup!$A$14:$C$17,3,0))</f>
        <v/>
      </c>
      <c r="P510" s="27"/>
      <c r="Q510" s="33" t="str">
        <f aca="false">IF(OR(P510="",M510&lt;&gt;"Paid",O510=""),"",P510/O510)</f>
        <v/>
      </c>
      <c r="R510" s="34" t="str">
        <f aca="false">IF(Q510="","",Q510+N(H510)*0.000000001)</f>
        <v/>
      </c>
      <c r="S510" s="32" t="str">
        <f aca="false">IF(R510="","",SUMPRODUCT((I$5:I$4004=I510)*ISNUMBER(R$5:R$4004)*(R$5:R$4004&gt;R510))+1)</f>
        <v/>
      </c>
      <c r="T510" s="32" t="str">
        <f aca="false">IF(S510="","",IF(S510&lt;=Setup!$B$5,"🏆 WINNER",""))</f>
        <v/>
      </c>
      <c r="U510" s="31" t="str">
        <f aca="false">IF(S510="","",I510&amp;"|"&amp;S510)</f>
        <v/>
      </c>
    </row>
    <row r="511" customFormat="false" ht="15" hidden="false" customHeight="false" outlineLevel="0" collapsed="false">
      <c r="A511" s="24" t="n">
        <v>507</v>
      </c>
      <c r="B511" s="25" t="str">
        <f aca="false">IF(OR(C511="",I511="",G511=""),"",IFERROR(VLOOKUP(I511,Setup!$A$9:$B$11,2,0),"???")&amp;"-"&amp;G511&amp;"-"&amp;TEXT(COUNTIFS(I$5:I511,I511,G$5:G511,G511),"0000"))</f>
        <v/>
      </c>
      <c r="C511" s="26"/>
      <c r="D511" s="26"/>
      <c r="E511" s="27"/>
      <c r="F511" s="27"/>
      <c r="G511" s="24" t="str">
        <f aca="false">IF(F511="","",IF(F511&lt;=5,"A",IF(F511&lt;=8,"B",IF(F511&lt;=10,"C","D"))))</f>
        <v/>
      </c>
      <c r="H511" s="28"/>
      <c r="I511" s="27"/>
      <c r="J511" s="26"/>
      <c r="K511" s="27"/>
      <c r="L511" s="27"/>
      <c r="M511" s="27"/>
      <c r="N511" s="27"/>
      <c r="O511" s="24" t="str">
        <f aca="false">IF(G511="","",VLOOKUP(G511,Setup!$A$14:$C$17,3,0))</f>
        <v/>
      </c>
      <c r="P511" s="27"/>
      <c r="Q511" s="29" t="str">
        <f aca="false">IF(OR(P511="",M511&lt;&gt;"Paid",O511=""),"",P511/O511)</f>
        <v/>
      </c>
      <c r="R511" s="30" t="str">
        <f aca="false">IF(Q511="","",Q511+N(H511)*0.000000001)</f>
        <v/>
      </c>
      <c r="S511" s="25" t="str">
        <f aca="false">IF(R511="","",SUMPRODUCT((I$5:I$4004=I511)*ISNUMBER(R$5:R$4004)*(R$5:R$4004&gt;R511))+1)</f>
        <v/>
      </c>
      <c r="T511" s="25" t="str">
        <f aca="false">IF(S511="","",IF(S511&lt;=Setup!$B$5,"🏆 WINNER",""))</f>
        <v/>
      </c>
      <c r="U511" s="24" t="str">
        <f aca="false">IF(S511="","",I511&amp;"|"&amp;S511)</f>
        <v/>
      </c>
    </row>
    <row r="512" customFormat="false" ht="15" hidden="false" customHeight="false" outlineLevel="0" collapsed="false">
      <c r="A512" s="31" t="n">
        <v>508</v>
      </c>
      <c r="B512" s="32" t="str">
        <f aca="false">IF(OR(C512="",I512="",G512=""),"",IFERROR(VLOOKUP(I512,Setup!$A$9:$B$11,2,0),"???")&amp;"-"&amp;G512&amp;"-"&amp;TEXT(COUNTIFS(I$5:I512,I512,G$5:G512,G512),"0000"))</f>
        <v/>
      </c>
      <c r="C512" s="26"/>
      <c r="D512" s="26"/>
      <c r="E512" s="27"/>
      <c r="F512" s="27"/>
      <c r="G512" s="31" t="str">
        <f aca="false">IF(F512="","",IF(F512&lt;=5,"A",IF(F512&lt;=8,"B",IF(F512&lt;=10,"C","D"))))</f>
        <v/>
      </c>
      <c r="H512" s="28"/>
      <c r="I512" s="27"/>
      <c r="J512" s="26"/>
      <c r="K512" s="27"/>
      <c r="L512" s="27"/>
      <c r="M512" s="27"/>
      <c r="N512" s="27"/>
      <c r="O512" s="31" t="str">
        <f aca="false">IF(G512="","",VLOOKUP(G512,Setup!$A$14:$C$17,3,0))</f>
        <v/>
      </c>
      <c r="P512" s="27"/>
      <c r="Q512" s="33" t="str">
        <f aca="false">IF(OR(P512="",M512&lt;&gt;"Paid",O512=""),"",P512/O512)</f>
        <v/>
      </c>
      <c r="R512" s="34" t="str">
        <f aca="false">IF(Q512="","",Q512+N(H512)*0.000000001)</f>
        <v/>
      </c>
      <c r="S512" s="32" t="str">
        <f aca="false">IF(R512="","",SUMPRODUCT((I$5:I$4004=I512)*ISNUMBER(R$5:R$4004)*(R$5:R$4004&gt;R512))+1)</f>
        <v/>
      </c>
      <c r="T512" s="32" t="str">
        <f aca="false">IF(S512="","",IF(S512&lt;=Setup!$B$5,"🏆 WINNER",""))</f>
        <v/>
      </c>
      <c r="U512" s="31" t="str">
        <f aca="false">IF(S512="","",I512&amp;"|"&amp;S512)</f>
        <v/>
      </c>
    </row>
    <row r="513" customFormat="false" ht="15" hidden="false" customHeight="false" outlineLevel="0" collapsed="false">
      <c r="A513" s="24" t="n">
        <v>509</v>
      </c>
      <c r="B513" s="25" t="str">
        <f aca="false">IF(OR(C513="",I513="",G513=""),"",IFERROR(VLOOKUP(I513,Setup!$A$9:$B$11,2,0),"???")&amp;"-"&amp;G513&amp;"-"&amp;TEXT(COUNTIFS(I$5:I513,I513,G$5:G513,G513),"0000"))</f>
        <v/>
      </c>
      <c r="C513" s="26"/>
      <c r="D513" s="26"/>
      <c r="E513" s="27"/>
      <c r="F513" s="27"/>
      <c r="G513" s="24" t="str">
        <f aca="false">IF(F513="","",IF(F513&lt;=5,"A",IF(F513&lt;=8,"B",IF(F513&lt;=10,"C","D"))))</f>
        <v/>
      </c>
      <c r="H513" s="28"/>
      <c r="I513" s="27"/>
      <c r="J513" s="26"/>
      <c r="K513" s="27"/>
      <c r="L513" s="27"/>
      <c r="M513" s="27"/>
      <c r="N513" s="27"/>
      <c r="O513" s="24" t="str">
        <f aca="false">IF(G513="","",VLOOKUP(G513,Setup!$A$14:$C$17,3,0))</f>
        <v/>
      </c>
      <c r="P513" s="27"/>
      <c r="Q513" s="29" t="str">
        <f aca="false">IF(OR(P513="",M513&lt;&gt;"Paid",O513=""),"",P513/O513)</f>
        <v/>
      </c>
      <c r="R513" s="30" t="str">
        <f aca="false">IF(Q513="","",Q513+N(H513)*0.000000001)</f>
        <v/>
      </c>
      <c r="S513" s="25" t="str">
        <f aca="false">IF(R513="","",SUMPRODUCT((I$5:I$4004=I513)*ISNUMBER(R$5:R$4004)*(R$5:R$4004&gt;R513))+1)</f>
        <v/>
      </c>
      <c r="T513" s="25" t="str">
        <f aca="false">IF(S513="","",IF(S513&lt;=Setup!$B$5,"🏆 WINNER",""))</f>
        <v/>
      </c>
      <c r="U513" s="24" t="str">
        <f aca="false">IF(S513="","",I513&amp;"|"&amp;S513)</f>
        <v/>
      </c>
    </row>
    <row r="514" customFormat="false" ht="15" hidden="false" customHeight="false" outlineLevel="0" collapsed="false">
      <c r="A514" s="31" t="n">
        <v>510</v>
      </c>
      <c r="B514" s="32" t="str">
        <f aca="false">IF(OR(C514="",I514="",G514=""),"",IFERROR(VLOOKUP(I514,Setup!$A$9:$B$11,2,0),"???")&amp;"-"&amp;G514&amp;"-"&amp;TEXT(COUNTIFS(I$5:I514,I514,G$5:G514,G514),"0000"))</f>
        <v/>
      </c>
      <c r="C514" s="26"/>
      <c r="D514" s="26"/>
      <c r="E514" s="27"/>
      <c r="F514" s="27"/>
      <c r="G514" s="31" t="str">
        <f aca="false">IF(F514="","",IF(F514&lt;=5,"A",IF(F514&lt;=8,"B",IF(F514&lt;=10,"C","D"))))</f>
        <v/>
      </c>
      <c r="H514" s="28"/>
      <c r="I514" s="27"/>
      <c r="J514" s="26"/>
      <c r="K514" s="27"/>
      <c r="L514" s="27"/>
      <c r="M514" s="27"/>
      <c r="N514" s="27"/>
      <c r="O514" s="31" t="str">
        <f aca="false">IF(G514="","",VLOOKUP(G514,Setup!$A$14:$C$17,3,0))</f>
        <v/>
      </c>
      <c r="P514" s="27"/>
      <c r="Q514" s="33" t="str">
        <f aca="false">IF(OR(P514="",M514&lt;&gt;"Paid",O514=""),"",P514/O514)</f>
        <v/>
      </c>
      <c r="R514" s="34" t="str">
        <f aca="false">IF(Q514="","",Q514+N(H514)*0.000000001)</f>
        <v/>
      </c>
      <c r="S514" s="32" t="str">
        <f aca="false">IF(R514="","",SUMPRODUCT((I$5:I$4004=I514)*ISNUMBER(R$5:R$4004)*(R$5:R$4004&gt;R514))+1)</f>
        <v/>
      </c>
      <c r="T514" s="32" t="str">
        <f aca="false">IF(S514="","",IF(S514&lt;=Setup!$B$5,"🏆 WINNER",""))</f>
        <v/>
      </c>
      <c r="U514" s="31" t="str">
        <f aca="false">IF(S514="","",I514&amp;"|"&amp;S514)</f>
        <v/>
      </c>
    </row>
    <row r="515" customFormat="false" ht="15" hidden="false" customHeight="false" outlineLevel="0" collapsed="false">
      <c r="A515" s="24" t="n">
        <v>511</v>
      </c>
      <c r="B515" s="25" t="str">
        <f aca="false">IF(OR(C515="",I515="",G515=""),"",IFERROR(VLOOKUP(I515,Setup!$A$9:$B$11,2,0),"???")&amp;"-"&amp;G515&amp;"-"&amp;TEXT(COUNTIFS(I$5:I515,I515,G$5:G515,G515),"0000"))</f>
        <v/>
      </c>
      <c r="C515" s="26"/>
      <c r="D515" s="26"/>
      <c r="E515" s="27"/>
      <c r="F515" s="27"/>
      <c r="G515" s="24" t="str">
        <f aca="false">IF(F515="","",IF(F515&lt;=5,"A",IF(F515&lt;=8,"B",IF(F515&lt;=10,"C","D"))))</f>
        <v/>
      </c>
      <c r="H515" s="28"/>
      <c r="I515" s="27"/>
      <c r="J515" s="26"/>
      <c r="K515" s="27"/>
      <c r="L515" s="27"/>
      <c r="M515" s="27"/>
      <c r="N515" s="27"/>
      <c r="O515" s="24" t="str">
        <f aca="false">IF(G515="","",VLOOKUP(G515,Setup!$A$14:$C$17,3,0))</f>
        <v/>
      </c>
      <c r="P515" s="27"/>
      <c r="Q515" s="29" t="str">
        <f aca="false">IF(OR(P515="",M515&lt;&gt;"Paid",O515=""),"",P515/O515)</f>
        <v/>
      </c>
      <c r="R515" s="30" t="str">
        <f aca="false">IF(Q515="","",Q515+N(H515)*0.000000001)</f>
        <v/>
      </c>
      <c r="S515" s="25" t="str">
        <f aca="false">IF(R515="","",SUMPRODUCT((I$5:I$4004=I515)*ISNUMBER(R$5:R$4004)*(R$5:R$4004&gt;R515))+1)</f>
        <v/>
      </c>
      <c r="T515" s="25" t="str">
        <f aca="false">IF(S515="","",IF(S515&lt;=Setup!$B$5,"🏆 WINNER",""))</f>
        <v/>
      </c>
      <c r="U515" s="24" t="str">
        <f aca="false">IF(S515="","",I515&amp;"|"&amp;S515)</f>
        <v/>
      </c>
    </row>
    <row r="516" customFormat="false" ht="15" hidden="false" customHeight="false" outlineLevel="0" collapsed="false">
      <c r="A516" s="31" t="n">
        <v>512</v>
      </c>
      <c r="B516" s="32" t="str">
        <f aca="false">IF(OR(C516="",I516="",G516=""),"",IFERROR(VLOOKUP(I516,Setup!$A$9:$B$11,2,0),"???")&amp;"-"&amp;G516&amp;"-"&amp;TEXT(COUNTIFS(I$5:I516,I516,G$5:G516,G516),"0000"))</f>
        <v/>
      </c>
      <c r="C516" s="26"/>
      <c r="D516" s="26"/>
      <c r="E516" s="27"/>
      <c r="F516" s="27"/>
      <c r="G516" s="31" t="str">
        <f aca="false">IF(F516="","",IF(F516&lt;=5,"A",IF(F516&lt;=8,"B",IF(F516&lt;=10,"C","D"))))</f>
        <v/>
      </c>
      <c r="H516" s="28"/>
      <c r="I516" s="27"/>
      <c r="J516" s="26"/>
      <c r="K516" s="27"/>
      <c r="L516" s="27"/>
      <c r="M516" s="27"/>
      <c r="N516" s="27"/>
      <c r="O516" s="31" t="str">
        <f aca="false">IF(G516="","",VLOOKUP(G516,Setup!$A$14:$C$17,3,0))</f>
        <v/>
      </c>
      <c r="P516" s="27"/>
      <c r="Q516" s="33" t="str">
        <f aca="false">IF(OR(P516="",M516&lt;&gt;"Paid",O516=""),"",P516/O516)</f>
        <v/>
      </c>
      <c r="R516" s="34" t="str">
        <f aca="false">IF(Q516="","",Q516+N(H516)*0.000000001)</f>
        <v/>
      </c>
      <c r="S516" s="32" t="str">
        <f aca="false">IF(R516="","",SUMPRODUCT((I$5:I$4004=I516)*ISNUMBER(R$5:R$4004)*(R$5:R$4004&gt;R516))+1)</f>
        <v/>
      </c>
      <c r="T516" s="32" t="str">
        <f aca="false">IF(S516="","",IF(S516&lt;=Setup!$B$5,"🏆 WINNER",""))</f>
        <v/>
      </c>
      <c r="U516" s="31" t="str">
        <f aca="false">IF(S516="","",I516&amp;"|"&amp;S516)</f>
        <v/>
      </c>
    </row>
    <row r="517" customFormat="false" ht="15" hidden="false" customHeight="false" outlineLevel="0" collapsed="false">
      <c r="A517" s="24" t="n">
        <v>513</v>
      </c>
      <c r="B517" s="25" t="str">
        <f aca="false">IF(OR(C517="",I517="",G517=""),"",IFERROR(VLOOKUP(I517,Setup!$A$9:$B$11,2,0),"???")&amp;"-"&amp;G517&amp;"-"&amp;TEXT(COUNTIFS(I$5:I517,I517,G$5:G517,G517),"0000"))</f>
        <v/>
      </c>
      <c r="C517" s="26"/>
      <c r="D517" s="26"/>
      <c r="E517" s="27"/>
      <c r="F517" s="27"/>
      <c r="G517" s="24" t="str">
        <f aca="false">IF(F517="","",IF(F517&lt;=5,"A",IF(F517&lt;=8,"B",IF(F517&lt;=10,"C","D"))))</f>
        <v/>
      </c>
      <c r="H517" s="28"/>
      <c r="I517" s="27"/>
      <c r="J517" s="26"/>
      <c r="K517" s="27"/>
      <c r="L517" s="27"/>
      <c r="M517" s="27"/>
      <c r="N517" s="27"/>
      <c r="O517" s="24" t="str">
        <f aca="false">IF(G517="","",VLOOKUP(G517,Setup!$A$14:$C$17,3,0))</f>
        <v/>
      </c>
      <c r="P517" s="27"/>
      <c r="Q517" s="29" t="str">
        <f aca="false">IF(OR(P517="",M517&lt;&gt;"Paid",O517=""),"",P517/O517)</f>
        <v/>
      </c>
      <c r="R517" s="30" t="str">
        <f aca="false">IF(Q517="","",Q517+N(H517)*0.000000001)</f>
        <v/>
      </c>
      <c r="S517" s="25" t="str">
        <f aca="false">IF(R517="","",SUMPRODUCT((I$5:I$4004=I517)*ISNUMBER(R$5:R$4004)*(R$5:R$4004&gt;R517))+1)</f>
        <v/>
      </c>
      <c r="T517" s="25" t="str">
        <f aca="false">IF(S517="","",IF(S517&lt;=Setup!$B$5,"🏆 WINNER",""))</f>
        <v/>
      </c>
      <c r="U517" s="24" t="str">
        <f aca="false">IF(S517="","",I517&amp;"|"&amp;S517)</f>
        <v/>
      </c>
    </row>
    <row r="518" customFormat="false" ht="15" hidden="false" customHeight="false" outlineLevel="0" collapsed="false">
      <c r="A518" s="31" t="n">
        <v>514</v>
      </c>
      <c r="B518" s="32" t="str">
        <f aca="false">IF(OR(C518="",I518="",G518=""),"",IFERROR(VLOOKUP(I518,Setup!$A$9:$B$11,2,0),"???")&amp;"-"&amp;G518&amp;"-"&amp;TEXT(COUNTIFS(I$5:I518,I518,G$5:G518,G518),"0000"))</f>
        <v/>
      </c>
      <c r="C518" s="26"/>
      <c r="D518" s="26"/>
      <c r="E518" s="27"/>
      <c r="F518" s="27"/>
      <c r="G518" s="31" t="str">
        <f aca="false">IF(F518="","",IF(F518&lt;=5,"A",IF(F518&lt;=8,"B",IF(F518&lt;=10,"C","D"))))</f>
        <v/>
      </c>
      <c r="H518" s="28"/>
      <c r="I518" s="27"/>
      <c r="J518" s="26"/>
      <c r="K518" s="27"/>
      <c r="L518" s="27"/>
      <c r="M518" s="27"/>
      <c r="N518" s="27"/>
      <c r="O518" s="31" t="str">
        <f aca="false">IF(G518="","",VLOOKUP(G518,Setup!$A$14:$C$17,3,0))</f>
        <v/>
      </c>
      <c r="P518" s="27"/>
      <c r="Q518" s="33" t="str">
        <f aca="false">IF(OR(P518="",M518&lt;&gt;"Paid",O518=""),"",P518/O518)</f>
        <v/>
      </c>
      <c r="R518" s="34" t="str">
        <f aca="false">IF(Q518="","",Q518+N(H518)*0.000000001)</f>
        <v/>
      </c>
      <c r="S518" s="32" t="str">
        <f aca="false">IF(R518="","",SUMPRODUCT((I$5:I$4004=I518)*ISNUMBER(R$5:R$4004)*(R$5:R$4004&gt;R518))+1)</f>
        <v/>
      </c>
      <c r="T518" s="32" t="str">
        <f aca="false">IF(S518="","",IF(S518&lt;=Setup!$B$5,"🏆 WINNER",""))</f>
        <v/>
      </c>
      <c r="U518" s="31" t="str">
        <f aca="false">IF(S518="","",I518&amp;"|"&amp;S518)</f>
        <v/>
      </c>
    </row>
    <row r="519" customFormat="false" ht="15" hidden="false" customHeight="false" outlineLevel="0" collapsed="false">
      <c r="A519" s="24" t="n">
        <v>515</v>
      </c>
      <c r="B519" s="25" t="str">
        <f aca="false">IF(OR(C519="",I519="",G519=""),"",IFERROR(VLOOKUP(I519,Setup!$A$9:$B$11,2,0),"???")&amp;"-"&amp;G519&amp;"-"&amp;TEXT(COUNTIFS(I$5:I519,I519,G$5:G519,G519),"0000"))</f>
        <v/>
      </c>
      <c r="C519" s="26"/>
      <c r="D519" s="26"/>
      <c r="E519" s="27"/>
      <c r="F519" s="27"/>
      <c r="G519" s="24" t="str">
        <f aca="false">IF(F519="","",IF(F519&lt;=5,"A",IF(F519&lt;=8,"B",IF(F519&lt;=10,"C","D"))))</f>
        <v/>
      </c>
      <c r="H519" s="28"/>
      <c r="I519" s="27"/>
      <c r="J519" s="26"/>
      <c r="K519" s="27"/>
      <c r="L519" s="27"/>
      <c r="M519" s="27"/>
      <c r="N519" s="27"/>
      <c r="O519" s="24" t="str">
        <f aca="false">IF(G519="","",VLOOKUP(G519,Setup!$A$14:$C$17,3,0))</f>
        <v/>
      </c>
      <c r="P519" s="27"/>
      <c r="Q519" s="29" t="str">
        <f aca="false">IF(OR(P519="",M519&lt;&gt;"Paid",O519=""),"",P519/O519)</f>
        <v/>
      </c>
      <c r="R519" s="30" t="str">
        <f aca="false">IF(Q519="","",Q519+N(H519)*0.000000001)</f>
        <v/>
      </c>
      <c r="S519" s="25" t="str">
        <f aca="false">IF(R519="","",SUMPRODUCT((I$5:I$4004=I519)*ISNUMBER(R$5:R$4004)*(R$5:R$4004&gt;R519))+1)</f>
        <v/>
      </c>
      <c r="T519" s="25" t="str">
        <f aca="false">IF(S519="","",IF(S519&lt;=Setup!$B$5,"🏆 WINNER",""))</f>
        <v/>
      </c>
      <c r="U519" s="24" t="str">
        <f aca="false">IF(S519="","",I519&amp;"|"&amp;S519)</f>
        <v/>
      </c>
    </row>
    <row r="520" customFormat="false" ht="15" hidden="false" customHeight="false" outlineLevel="0" collapsed="false">
      <c r="A520" s="31" t="n">
        <v>516</v>
      </c>
      <c r="B520" s="32" t="str">
        <f aca="false">IF(OR(C520="",I520="",G520=""),"",IFERROR(VLOOKUP(I520,Setup!$A$9:$B$11,2,0),"???")&amp;"-"&amp;G520&amp;"-"&amp;TEXT(COUNTIFS(I$5:I520,I520,G$5:G520,G520),"0000"))</f>
        <v/>
      </c>
      <c r="C520" s="26"/>
      <c r="D520" s="26"/>
      <c r="E520" s="27"/>
      <c r="F520" s="27"/>
      <c r="G520" s="31" t="str">
        <f aca="false">IF(F520="","",IF(F520&lt;=5,"A",IF(F520&lt;=8,"B",IF(F520&lt;=10,"C","D"))))</f>
        <v/>
      </c>
      <c r="H520" s="28"/>
      <c r="I520" s="27"/>
      <c r="J520" s="26"/>
      <c r="K520" s="27"/>
      <c r="L520" s="27"/>
      <c r="M520" s="27"/>
      <c r="N520" s="27"/>
      <c r="O520" s="31" t="str">
        <f aca="false">IF(G520="","",VLOOKUP(G520,Setup!$A$14:$C$17,3,0))</f>
        <v/>
      </c>
      <c r="P520" s="27"/>
      <c r="Q520" s="33" t="str">
        <f aca="false">IF(OR(P520="",M520&lt;&gt;"Paid",O520=""),"",P520/O520)</f>
        <v/>
      </c>
      <c r="R520" s="34" t="str">
        <f aca="false">IF(Q520="","",Q520+N(H520)*0.000000001)</f>
        <v/>
      </c>
      <c r="S520" s="32" t="str">
        <f aca="false">IF(R520="","",SUMPRODUCT((I$5:I$4004=I520)*ISNUMBER(R$5:R$4004)*(R$5:R$4004&gt;R520))+1)</f>
        <v/>
      </c>
      <c r="T520" s="32" t="str">
        <f aca="false">IF(S520="","",IF(S520&lt;=Setup!$B$5,"🏆 WINNER",""))</f>
        <v/>
      </c>
      <c r="U520" s="31" t="str">
        <f aca="false">IF(S520="","",I520&amp;"|"&amp;S520)</f>
        <v/>
      </c>
    </row>
    <row r="521" customFormat="false" ht="15" hidden="false" customHeight="false" outlineLevel="0" collapsed="false">
      <c r="A521" s="24" t="n">
        <v>517</v>
      </c>
      <c r="B521" s="25" t="str">
        <f aca="false">IF(OR(C521="",I521="",G521=""),"",IFERROR(VLOOKUP(I521,Setup!$A$9:$B$11,2,0),"???")&amp;"-"&amp;G521&amp;"-"&amp;TEXT(COUNTIFS(I$5:I521,I521,G$5:G521,G521),"0000"))</f>
        <v/>
      </c>
      <c r="C521" s="26"/>
      <c r="D521" s="26"/>
      <c r="E521" s="27"/>
      <c r="F521" s="27"/>
      <c r="G521" s="24" t="str">
        <f aca="false">IF(F521="","",IF(F521&lt;=5,"A",IF(F521&lt;=8,"B",IF(F521&lt;=10,"C","D"))))</f>
        <v/>
      </c>
      <c r="H521" s="28"/>
      <c r="I521" s="27"/>
      <c r="J521" s="26"/>
      <c r="K521" s="27"/>
      <c r="L521" s="27"/>
      <c r="M521" s="27"/>
      <c r="N521" s="27"/>
      <c r="O521" s="24" t="str">
        <f aca="false">IF(G521="","",VLOOKUP(G521,Setup!$A$14:$C$17,3,0))</f>
        <v/>
      </c>
      <c r="P521" s="27"/>
      <c r="Q521" s="29" t="str">
        <f aca="false">IF(OR(P521="",M521&lt;&gt;"Paid",O521=""),"",P521/O521)</f>
        <v/>
      </c>
      <c r="R521" s="30" t="str">
        <f aca="false">IF(Q521="","",Q521+N(H521)*0.000000001)</f>
        <v/>
      </c>
      <c r="S521" s="25" t="str">
        <f aca="false">IF(R521="","",SUMPRODUCT((I$5:I$4004=I521)*ISNUMBER(R$5:R$4004)*(R$5:R$4004&gt;R521))+1)</f>
        <v/>
      </c>
      <c r="T521" s="25" t="str">
        <f aca="false">IF(S521="","",IF(S521&lt;=Setup!$B$5,"🏆 WINNER",""))</f>
        <v/>
      </c>
      <c r="U521" s="24" t="str">
        <f aca="false">IF(S521="","",I521&amp;"|"&amp;S521)</f>
        <v/>
      </c>
    </row>
    <row r="522" customFormat="false" ht="15" hidden="false" customHeight="false" outlineLevel="0" collapsed="false">
      <c r="A522" s="31" t="n">
        <v>518</v>
      </c>
      <c r="B522" s="32" t="str">
        <f aca="false">IF(OR(C522="",I522="",G522=""),"",IFERROR(VLOOKUP(I522,Setup!$A$9:$B$11,2,0),"???")&amp;"-"&amp;G522&amp;"-"&amp;TEXT(COUNTIFS(I$5:I522,I522,G$5:G522,G522),"0000"))</f>
        <v/>
      </c>
      <c r="C522" s="26"/>
      <c r="D522" s="26"/>
      <c r="E522" s="27"/>
      <c r="F522" s="27"/>
      <c r="G522" s="31" t="str">
        <f aca="false">IF(F522="","",IF(F522&lt;=5,"A",IF(F522&lt;=8,"B",IF(F522&lt;=10,"C","D"))))</f>
        <v/>
      </c>
      <c r="H522" s="28"/>
      <c r="I522" s="27"/>
      <c r="J522" s="26"/>
      <c r="K522" s="27"/>
      <c r="L522" s="27"/>
      <c r="M522" s="27"/>
      <c r="N522" s="27"/>
      <c r="O522" s="31" t="str">
        <f aca="false">IF(G522="","",VLOOKUP(G522,Setup!$A$14:$C$17,3,0))</f>
        <v/>
      </c>
      <c r="P522" s="27"/>
      <c r="Q522" s="33" t="str">
        <f aca="false">IF(OR(P522="",M522&lt;&gt;"Paid",O522=""),"",P522/O522)</f>
        <v/>
      </c>
      <c r="R522" s="34" t="str">
        <f aca="false">IF(Q522="","",Q522+N(H522)*0.000000001)</f>
        <v/>
      </c>
      <c r="S522" s="32" t="str">
        <f aca="false">IF(R522="","",SUMPRODUCT((I$5:I$4004=I522)*ISNUMBER(R$5:R$4004)*(R$5:R$4004&gt;R522))+1)</f>
        <v/>
      </c>
      <c r="T522" s="32" t="str">
        <f aca="false">IF(S522="","",IF(S522&lt;=Setup!$B$5,"🏆 WINNER",""))</f>
        <v/>
      </c>
      <c r="U522" s="31" t="str">
        <f aca="false">IF(S522="","",I522&amp;"|"&amp;S522)</f>
        <v/>
      </c>
    </row>
    <row r="523" customFormat="false" ht="15" hidden="false" customHeight="false" outlineLevel="0" collapsed="false">
      <c r="A523" s="24" t="n">
        <v>519</v>
      </c>
      <c r="B523" s="25" t="str">
        <f aca="false">IF(OR(C523="",I523="",G523=""),"",IFERROR(VLOOKUP(I523,Setup!$A$9:$B$11,2,0),"???")&amp;"-"&amp;G523&amp;"-"&amp;TEXT(COUNTIFS(I$5:I523,I523,G$5:G523,G523),"0000"))</f>
        <v/>
      </c>
      <c r="C523" s="26"/>
      <c r="D523" s="26"/>
      <c r="E523" s="27"/>
      <c r="F523" s="27"/>
      <c r="G523" s="24" t="str">
        <f aca="false">IF(F523="","",IF(F523&lt;=5,"A",IF(F523&lt;=8,"B",IF(F523&lt;=10,"C","D"))))</f>
        <v/>
      </c>
      <c r="H523" s="28"/>
      <c r="I523" s="27"/>
      <c r="J523" s="26"/>
      <c r="K523" s="27"/>
      <c r="L523" s="27"/>
      <c r="M523" s="27"/>
      <c r="N523" s="27"/>
      <c r="O523" s="24" t="str">
        <f aca="false">IF(G523="","",VLOOKUP(G523,Setup!$A$14:$C$17,3,0))</f>
        <v/>
      </c>
      <c r="P523" s="27"/>
      <c r="Q523" s="29" t="str">
        <f aca="false">IF(OR(P523="",M523&lt;&gt;"Paid",O523=""),"",P523/O523)</f>
        <v/>
      </c>
      <c r="R523" s="30" t="str">
        <f aca="false">IF(Q523="","",Q523+N(H523)*0.000000001)</f>
        <v/>
      </c>
      <c r="S523" s="25" t="str">
        <f aca="false">IF(R523="","",SUMPRODUCT((I$5:I$4004=I523)*ISNUMBER(R$5:R$4004)*(R$5:R$4004&gt;R523))+1)</f>
        <v/>
      </c>
      <c r="T523" s="25" t="str">
        <f aca="false">IF(S523="","",IF(S523&lt;=Setup!$B$5,"🏆 WINNER",""))</f>
        <v/>
      </c>
      <c r="U523" s="24" t="str">
        <f aca="false">IF(S523="","",I523&amp;"|"&amp;S523)</f>
        <v/>
      </c>
    </row>
    <row r="524" customFormat="false" ht="15" hidden="false" customHeight="false" outlineLevel="0" collapsed="false">
      <c r="A524" s="31" t="n">
        <v>520</v>
      </c>
      <c r="B524" s="32" t="str">
        <f aca="false">IF(OR(C524="",I524="",G524=""),"",IFERROR(VLOOKUP(I524,Setup!$A$9:$B$11,2,0),"???")&amp;"-"&amp;G524&amp;"-"&amp;TEXT(COUNTIFS(I$5:I524,I524,G$5:G524,G524),"0000"))</f>
        <v/>
      </c>
      <c r="C524" s="26"/>
      <c r="D524" s="26"/>
      <c r="E524" s="27"/>
      <c r="F524" s="27"/>
      <c r="G524" s="31" t="str">
        <f aca="false">IF(F524="","",IF(F524&lt;=5,"A",IF(F524&lt;=8,"B",IF(F524&lt;=10,"C","D"))))</f>
        <v/>
      </c>
      <c r="H524" s="28"/>
      <c r="I524" s="27"/>
      <c r="J524" s="26"/>
      <c r="K524" s="27"/>
      <c r="L524" s="27"/>
      <c r="M524" s="27"/>
      <c r="N524" s="27"/>
      <c r="O524" s="31" t="str">
        <f aca="false">IF(G524="","",VLOOKUP(G524,Setup!$A$14:$C$17,3,0))</f>
        <v/>
      </c>
      <c r="P524" s="27"/>
      <c r="Q524" s="33" t="str">
        <f aca="false">IF(OR(P524="",M524&lt;&gt;"Paid",O524=""),"",P524/O524)</f>
        <v/>
      </c>
      <c r="R524" s="34" t="str">
        <f aca="false">IF(Q524="","",Q524+N(H524)*0.000000001)</f>
        <v/>
      </c>
      <c r="S524" s="32" t="str">
        <f aca="false">IF(R524="","",SUMPRODUCT((I$5:I$4004=I524)*ISNUMBER(R$5:R$4004)*(R$5:R$4004&gt;R524))+1)</f>
        <v/>
      </c>
      <c r="T524" s="32" t="str">
        <f aca="false">IF(S524="","",IF(S524&lt;=Setup!$B$5,"🏆 WINNER",""))</f>
        <v/>
      </c>
      <c r="U524" s="31" t="str">
        <f aca="false">IF(S524="","",I524&amp;"|"&amp;S524)</f>
        <v/>
      </c>
    </row>
    <row r="525" customFormat="false" ht="15" hidden="false" customHeight="false" outlineLevel="0" collapsed="false">
      <c r="A525" s="24" t="n">
        <v>521</v>
      </c>
      <c r="B525" s="25" t="str">
        <f aca="false">IF(OR(C525="",I525="",G525=""),"",IFERROR(VLOOKUP(I525,Setup!$A$9:$B$11,2,0),"???")&amp;"-"&amp;G525&amp;"-"&amp;TEXT(COUNTIFS(I$5:I525,I525,G$5:G525,G525),"0000"))</f>
        <v/>
      </c>
      <c r="C525" s="26"/>
      <c r="D525" s="26"/>
      <c r="E525" s="27"/>
      <c r="F525" s="27"/>
      <c r="G525" s="24" t="str">
        <f aca="false">IF(F525="","",IF(F525&lt;=5,"A",IF(F525&lt;=8,"B",IF(F525&lt;=10,"C","D"))))</f>
        <v/>
      </c>
      <c r="H525" s="28"/>
      <c r="I525" s="27"/>
      <c r="J525" s="26"/>
      <c r="K525" s="27"/>
      <c r="L525" s="27"/>
      <c r="M525" s="27"/>
      <c r="N525" s="27"/>
      <c r="O525" s="24" t="str">
        <f aca="false">IF(G525="","",VLOOKUP(G525,Setup!$A$14:$C$17,3,0))</f>
        <v/>
      </c>
      <c r="P525" s="27"/>
      <c r="Q525" s="29" t="str">
        <f aca="false">IF(OR(P525="",M525&lt;&gt;"Paid",O525=""),"",P525/O525)</f>
        <v/>
      </c>
      <c r="R525" s="30" t="str">
        <f aca="false">IF(Q525="","",Q525+N(H525)*0.000000001)</f>
        <v/>
      </c>
      <c r="S525" s="25" t="str">
        <f aca="false">IF(R525="","",SUMPRODUCT((I$5:I$4004=I525)*ISNUMBER(R$5:R$4004)*(R$5:R$4004&gt;R525))+1)</f>
        <v/>
      </c>
      <c r="T525" s="25" t="str">
        <f aca="false">IF(S525="","",IF(S525&lt;=Setup!$B$5,"🏆 WINNER",""))</f>
        <v/>
      </c>
      <c r="U525" s="24" t="str">
        <f aca="false">IF(S525="","",I525&amp;"|"&amp;S525)</f>
        <v/>
      </c>
    </row>
    <row r="526" customFormat="false" ht="15" hidden="false" customHeight="false" outlineLevel="0" collapsed="false">
      <c r="A526" s="31" t="n">
        <v>522</v>
      </c>
      <c r="B526" s="32" t="str">
        <f aca="false">IF(OR(C526="",I526="",G526=""),"",IFERROR(VLOOKUP(I526,Setup!$A$9:$B$11,2,0),"???")&amp;"-"&amp;G526&amp;"-"&amp;TEXT(COUNTIFS(I$5:I526,I526,G$5:G526,G526),"0000"))</f>
        <v/>
      </c>
      <c r="C526" s="26"/>
      <c r="D526" s="26"/>
      <c r="E526" s="27"/>
      <c r="F526" s="27"/>
      <c r="G526" s="31" t="str">
        <f aca="false">IF(F526="","",IF(F526&lt;=5,"A",IF(F526&lt;=8,"B",IF(F526&lt;=10,"C","D"))))</f>
        <v/>
      </c>
      <c r="H526" s="28"/>
      <c r="I526" s="27"/>
      <c r="J526" s="26"/>
      <c r="K526" s="27"/>
      <c r="L526" s="27"/>
      <c r="M526" s="27"/>
      <c r="N526" s="27"/>
      <c r="O526" s="31" t="str">
        <f aca="false">IF(G526="","",VLOOKUP(G526,Setup!$A$14:$C$17,3,0))</f>
        <v/>
      </c>
      <c r="P526" s="27"/>
      <c r="Q526" s="33" t="str">
        <f aca="false">IF(OR(P526="",M526&lt;&gt;"Paid",O526=""),"",P526/O526)</f>
        <v/>
      </c>
      <c r="R526" s="34" t="str">
        <f aca="false">IF(Q526="","",Q526+N(H526)*0.000000001)</f>
        <v/>
      </c>
      <c r="S526" s="32" t="str">
        <f aca="false">IF(R526="","",SUMPRODUCT((I$5:I$4004=I526)*ISNUMBER(R$5:R$4004)*(R$5:R$4004&gt;R526))+1)</f>
        <v/>
      </c>
      <c r="T526" s="32" t="str">
        <f aca="false">IF(S526="","",IF(S526&lt;=Setup!$B$5,"🏆 WINNER",""))</f>
        <v/>
      </c>
      <c r="U526" s="31" t="str">
        <f aca="false">IF(S526="","",I526&amp;"|"&amp;S526)</f>
        <v/>
      </c>
    </row>
    <row r="527" customFormat="false" ht="15" hidden="false" customHeight="false" outlineLevel="0" collapsed="false">
      <c r="A527" s="24" t="n">
        <v>523</v>
      </c>
      <c r="B527" s="25" t="str">
        <f aca="false">IF(OR(C527="",I527="",G527=""),"",IFERROR(VLOOKUP(I527,Setup!$A$9:$B$11,2,0),"???")&amp;"-"&amp;G527&amp;"-"&amp;TEXT(COUNTIFS(I$5:I527,I527,G$5:G527,G527),"0000"))</f>
        <v/>
      </c>
      <c r="C527" s="26"/>
      <c r="D527" s="26"/>
      <c r="E527" s="27"/>
      <c r="F527" s="27"/>
      <c r="G527" s="24" t="str">
        <f aca="false">IF(F527="","",IF(F527&lt;=5,"A",IF(F527&lt;=8,"B",IF(F527&lt;=10,"C","D"))))</f>
        <v/>
      </c>
      <c r="H527" s="28"/>
      <c r="I527" s="27"/>
      <c r="J527" s="26"/>
      <c r="K527" s="27"/>
      <c r="L527" s="27"/>
      <c r="M527" s="27"/>
      <c r="N527" s="27"/>
      <c r="O527" s="24" t="str">
        <f aca="false">IF(G527="","",VLOOKUP(G527,Setup!$A$14:$C$17,3,0))</f>
        <v/>
      </c>
      <c r="P527" s="27"/>
      <c r="Q527" s="29" t="str">
        <f aca="false">IF(OR(P527="",M527&lt;&gt;"Paid",O527=""),"",P527/O527)</f>
        <v/>
      </c>
      <c r="R527" s="30" t="str">
        <f aca="false">IF(Q527="","",Q527+N(H527)*0.000000001)</f>
        <v/>
      </c>
      <c r="S527" s="25" t="str">
        <f aca="false">IF(R527="","",SUMPRODUCT((I$5:I$4004=I527)*ISNUMBER(R$5:R$4004)*(R$5:R$4004&gt;R527))+1)</f>
        <v/>
      </c>
      <c r="T527" s="25" t="str">
        <f aca="false">IF(S527="","",IF(S527&lt;=Setup!$B$5,"🏆 WINNER",""))</f>
        <v/>
      </c>
      <c r="U527" s="24" t="str">
        <f aca="false">IF(S527="","",I527&amp;"|"&amp;S527)</f>
        <v/>
      </c>
    </row>
    <row r="528" customFormat="false" ht="15" hidden="false" customHeight="false" outlineLevel="0" collapsed="false">
      <c r="A528" s="31" t="n">
        <v>524</v>
      </c>
      <c r="B528" s="32" t="str">
        <f aca="false">IF(OR(C528="",I528="",G528=""),"",IFERROR(VLOOKUP(I528,Setup!$A$9:$B$11,2,0),"???")&amp;"-"&amp;G528&amp;"-"&amp;TEXT(COUNTIFS(I$5:I528,I528,G$5:G528,G528),"0000"))</f>
        <v/>
      </c>
      <c r="C528" s="26"/>
      <c r="D528" s="26"/>
      <c r="E528" s="27"/>
      <c r="F528" s="27"/>
      <c r="G528" s="31" t="str">
        <f aca="false">IF(F528="","",IF(F528&lt;=5,"A",IF(F528&lt;=8,"B",IF(F528&lt;=10,"C","D"))))</f>
        <v/>
      </c>
      <c r="H528" s="28"/>
      <c r="I528" s="27"/>
      <c r="J528" s="26"/>
      <c r="K528" s="27"/>
      <c r="L528" s="27"/>
      <c r="M528" s="27"/>
      <c r="N528" s="27"/>
      <c r="O528" s="31" t="str">
        <f aca="false">IF(G528="","",VLOOKUP(G528,Setup!$A$14:$C$17,3,0))</f>
        <v/>
      </c>
      <c r="P528" s="27"/>
      <c r="Q528" s="33" t="str">
        <f aca="false">IF(OR(P528="",M528&lt;&gt;"Paid",O528=""),"",P528/O528)</f>
        <v/>
      </c>
      <c r="R528" s="34" t="str">
        <f aca="false">IF(Q528="","",Q528+N(H528)*0.000000001)</f>
        <v/>
      </c>
      <c r="S528" s="32" t="str">
        <f aca="false">IF(R528="","",SUMPRODUCT((I$5:I$4004=I528)*ISNUMBER(R$5:R$4004)*(R$5:R$4004&gt;R528))+1)</f>
        <v/>
      </c>
      <c r="T528" s="32" t="str">
        <f aca="false">IF(S528="","",IF(S528&lt;=Setup!$B$5,"🏆 WINNER",""))</f>
        <v/>
      </c>
      <c r="U528" s="31" t="str">
        <f aca="false">IF(S528="","",I528&amp;"|"&amp;S528)</f>
        <v/>
      </c>
    </row>
    <row r="529" customFormat="false" ht="15" hidden="false" customHeight="false" outlineLevel="0" collapsed="false">
      <c r="A529" s="24" t="n">
        <v>525</v>
      </c>
      <c r="B529" s="25" t="str">
        <f aca="false">IF(OR(C529="",I529="",G529=""),"",IFERROR(VLOOKUP(I529,Setup!$A$9:$B$11,2,0),"???")&amp;"-"&amp;G529&amp;"-"&amp;TEXT(COUNTIFS(I$5:I529,I529,G$5:G529,G529),"0000"))</f>
        <v/>
      </c>
      <c r="C529" s="26"/>
      <c r="D529" s="26"/>
      <c r="E529" s="27"/>
      <c r="F529" s="27"/>
      <c r="G529" s="24" t="str">
        <f aca="false">IF(F529="","",IF(F529&lt;=5,"A",IF(F529&lt;=8,"B",IF(F529&lt;=10,"C","D"))))</f>
        <v/>
      </c>
      <c r="H529" s="28"/>
      <c r="I529" s="27"/>
      <c r="J529" s="26"/>
      <c r="K529" s="27"/>
      <c r="L529" s="27"/>
      <c r="M529" s="27"/>
      <c r="N529" s="27"/>
      <c r="O529" s="24" t="str">
        <f aca="false">IF(G529="","",VLOOKUP(G529,Setup!$A$14:$C$17,3,0))</f>
        <v/>
      </c>
      <c r="P529" s="27"/>
      <c r="Q529" s="29" t="str">
        <f aca="false">IF(OR(P529="",M529&lt;&gt;"Paid",O529=""),"",P529/O529)</f>
        <v/>
      </c>
      <c r="R529" s="30" t="str">
        <f aca="false">IF(Q529="","",Q529+N(H529)*0.000000001)</f>
        <v/>
      </c>
      <c r="S529" s="25" t="str">
        <f aca="false">IF(R529="","",SUMPRODUCT((I$5:I$4004=I529)*ISNUMBER(R$5:R$4004)*(R$5:R$4004&gt;R529))+1)</f>
        <v/>
      </c>
      <c r="T529" s="25" t="str">
        <f aca="false">IF(S529="","",IF(S529&lt;=Setup!$B$5,"🏆 WINNER",""))</f>
        <v/>
      </c>
      <c r="U529" s="24" t="str">
        <f aca="false">IF(S529="","",I529&amp;"|"&amp;S529)</f>
        <v/>
      </c>
    </row>
    <row r="530" customFormat="false" ht="15" hidden="false" customHeight="false" outlineLevel="0" collapsed="false">
      <c r="A530" s="31" t="n">
        <v>526</v>
      </c>
      <c r="B530" s="32" t="str">
        <f aca="false">IF(OR(C530="",I530="",G530=""),"",IFERROR(VLOOKUP(I530,Setup!$A$9:$B$11,2,0),"???")&amp;"-"&amp;G530&amp;"-"&amp;TEXT(COUNTIFS(I$5:I530,I530,G$5:G530,G530),"0000"))</f>
        <v/>
      </c>
      <c r="C530" s="26"/>
      <c r="D530" s="26"/>
      <c r="E530" s="27"/>
      <c r="F530" s="27"/>
      <c r="G530" s="31" t="str">
        <f aca="false">IF(F530="","",IF(F530&lt;=5,"A",IF(F530&lt;=8,"B",IF(F530&lt;=10,"C","D"))))</f>
        <v/>
      </c>
      <c r="H530" s="28"/>
      <c r="I530" s="27"/>
      <c r="J530" s="26"/>
      <c r="K530" s="27"/>
      <c r="L530" s="27"/>
      <c r="M530" s="27"/>
      <c r="N530" s="27"/>
      <c r="O530" s="31" t="str">
        <f aca="false">IF(G530="","",VLOOKUP(G530,Setup!$A$14:$C$17,3,0))</f>
        <v/>
      </c>
      <c r="P530" s="27"/>
      <c r="Q530" s="33" t="str">
        <f aca="false">IF(OR(P530="",M530&lt;&gt;"Paid",O530=""),"",P530/O530)</f>
        <v/>
      </c>
      <c r="R530" s="34" t="str">
        <f aca="false">IF(Q530="","",Q530+N(H530)*0.000000001)</f>
        <v/>
      </c>
      <c r="S530" s="32" t="str">
        <f aca="false">IF(R530="","",SUMPRODUCT((I$5:I$4004=I530)*ISNUMBER(R$5:R$4004)*(R$5:R$4004&gt;R530))+1)</f>
        <v/>
      </c>
      <c r="T530" s="32" t="str">
        <f aca="false">IF(S530="","",IF(S530&lt;=Setup!$B$5,"🏆 WINNER",""))</f>
        <v/>
      </c>
      <c r="U530" s="31" t="str">
        <f aca="false">IF(S530="","",I530&amp;"|"&amp;S530)</f>
        <v/>
      </c>
    </row>
    <row r="531" customFormat="false" ht="15" hidden="false" customHeight="false" outlineLevel="0" collapsed="false">
      <c r="A531" s="24" t="n">
        <v>527</v>
      </c>
      <c r="B531" s="25" t="str">
        <f aca="false">IF(OR(C531="",I531="",G531=""),"",IFERROR(VLOOKUP(I531,Setup!$A$9:$B$11,2,0),"???")&amp;"-"&amp;G531&amp;"-"&amp;TEXT(COUNTIFS(I$5:I531,I531,G$5:G531,G531),"0000"))</f>
        <v/>
      </c>
      <c r="C531" s="26"/>
      <c r="D531" s="26"/>
      <c r="E531" s="27"/>
      <c r="F531" s="27"/>
      <c r="G531" s="24" t="str">
        <f aca="false">IF(F531="","",IF(F531&lt;=5,"A",IF(F531&lt;=8,"B",IF(F531&lt;=10,"C","D"))))</f>
        <v/>
      </c>
      <c r="H531" s="28"/>
      <c r="I531" s="27"/>
      <c r="J531" s="26"/>
      <c r="K531" s="27"/>
      <c r="L531" s="27"/>
      <c r="M531" s="27"/>
      <c r="N531" s="27"/>
      <c r="O531" s="24" t="str">
        <f aca="false">IF(G531="","",VLOOKUP(G531,Setup!$A$14:$C$17,3,0))</f>
        <v/>
      </c>
      <c r="P531" s="27"/>
      <c r="Q531" s="29" t="str">
        <f aca="false">IF(OR(P531="",M531&lt;&gt;"Paid",O531=""),"",P531/O531)</f>
        <v/>
      </c>
      <c r="R531" s="30" t="str">
        <f aca="false">IF(Q531="","",Q531+N(H531)*0.000000001)</f>
        <v/>
      </c>
      <c r="S531" s="25" t="str">
        <f aca="false">IF(R531="","",SUMPRODUCT((I$5:I$4004=I531)*ISNUMBER(R$5:R$4004)*(R$5:R$4004&gt;R531))+1)</f>
        <v/>
      </c>
      <c r="T531" s="25" t="str">
        <f aca="false">IF(S531="","",IF(S531&lt;=Setup!$B$5,"🏆 WINNER",""))</f>
        <v/>
      </c>
      <c r="U531" s="24" t="str">
        <f aca="false">IF(S531="","",I531&amp;"|"&amp;S531)</f>
        <v/>
      </c>
    </row>
    <row r="532" customFormat="false" ht="15" hidden="false" customHeight="false" outlineLevel="0" collapsed="false">
      <c r="A532" s="31" t="n">
        <v>528</v>
      </c>
      <c r="B532" s="32" t="str">
        <f aca="false">IF(OR(C532="",I532="",G532=""),"",IFERROR(VLOOKUP(I532,Setup!$A$9:$B$11,2,0),"???")&amp;"-"&amp;G532&amp;"-"&amp;TEXT(COUNTIFS(I$5:I532,I532,G$5:G532,G532),"0000"))</f>
        <v/>
      </c>
      <c r="C532" s="26"/>
      <c r="D532" s="26"/>
      <c r="E532" s="27"/>
      <c r="F532" s="27"/>
      <c r="G532" s="31" t="str">
        <f aca="false">IF(F532="","",IF(F532&lt;=5,"A",IF(F532&lt;=8,"B",IF(F532&lt;=10,"C","D"))))</f>
        <v/>
      </c>
      <c r="H532" s="28"/>
      <c r="I532" s="27"/>
      <c r="J532" s="26"/>
      <c r="K532" s="27"/>
      <c r="L532" s="27"/>
      <c r="M532" s="27"/>
      <c r="N532" s="27"/>
      <c r="O532" s="31" t="str">
        <f aca="false">IF(G532="","",VLOOKUP(G532,Setup!$A$14:$C$17,3,0))</f>
        <v/>
      </c>
      <c r="P532" s="27"/>
      <c r="Q532" s="33" t="str">
        <f aca="false">IF(OR(P532="",M532&lt;&gt;"Paid",O532=""),"",P532/O532)</f>
        <v/>
      </c>
      <c r="R532" s="34" t="str">
        <f aca="false">IF(Q532="","",Q532+N(H532)*0.000000001)</f>
        <v/>
      </c>
      <c r="S532" s="32" t="str">
        <f aca="false">IF(R532="","",SUMPRODUCT((I$5:I$4004=I532)*ISNUMBER(R$5:R$4004)*(R$5:R$4004&gt;R532))+1)</f>
        <v/>
      </c>
      <c r="T532" s="32" t="str">
        <f aca="false">IF(S532="","",IF(S532&lt;=Setup!$B$5,"🏆 WINNER",""))</f>
        <v/>
      </c>
      <c r="U532" s="31" t="str">
        <f aca="false">IF(S532="","",I532&amp;"|"&amp;S532)</f>
        <v/>
      </c>
    </row>
    <row r="533" customFormat="false" ht="15" hidden="false" customHeight="false" outlineLevel="0" collapsed="false">
      <c r="A533" s="24" t="n">
        <v>529</v>
      </c>
      <c r="B533" s="25" t="str">
        <f aca="false">IF(OR(C533="",I533="",G533=""),"",IFERROR(VLOOKUP(I533,Setup!$A$9:$B$11,2,0),"???")&amp;"-"&amp;G533&amp;"-"&amp;TEXT(COUNTIFS(I$5:I533,I533,G$5:G533,G533),"0000"))</f>
        <v/>
      </c>
      <c r="C533" s="26"/>
      <c r="D533" s="26"/>
      <c r="E533" s="27"/>
      <c r="F533" s="27"/>
      <c r="G533" s="24" t="str">
        <f aca="false">IF(F533="","",IF(F533&lt;=5,"A",IF(F533&lt;=8,"B",IF(F533&lt;=10,"C","D"))))</f>
        <v/>
      </c>
      <c r="H533" s="28"/>
      <c r="I533" s="27"/>
      <c r="J533" s="26"/>
      <c r="K533" s="27"/>
      <c r="L533" s="27"/>
      <c r="M533" s="27"/>
      <c r="N533" s="27"/>
      <c r="O533" s="24" t="str">
        <f aca="false">IF(G533="","",VLOOKUP(G533,Setup!$A$14:$C$17,3,0))</f>
        <v/>
      </c>
      <c r="P533" s="27"/>
      <c r="Q533" s="29" t="str">
        <f aca="false">IF(OR(P533="",M533&lt;&gt;"Paid",O533=""),"",P533/O533)</f>
        <v/>
      </c>
      <c r="R533" s="30" t="str">
        <f aca="false">IF(Q533="","",Q533+N(H533)*0.000000001)</f>
        <v/>
      </c>
      <c r="S533" s="25" t="str">
        <f aca="false">IF(R533="","",SUMPRODUCT((I$5:I$4004=I533)*ISNUMBER(R$5:R$4004)*(R$5:R$4004&gt;R533))+1)</f>
        <v/>
      </c>
      <c r="T533" s="25" t="str">
        <f aca="false">IF(S533="","",IF(S533&lt;=Setup!$B$5,"🏆 WINNER",""))</f>
        <v/>
      </c>
      <c r="U533" s="24" t="str">
        <f aca="false">IF(S533="","",I533&amp;"|"&amp;S533)</f>
        <v/>
      </c>
    </row>
    <row r="534" customFormat="false" ht="15" hidden="false" customHeight="false" outlineLevel="0" collapsed="false">
      <c r="A534" s="31" t="n">
        <v>530</v>
      </c>
      <c r="B534" s="32" t="str">
        <f aca="false">IF(OR(C534="",I534="",G534=""),"",IFERROR(VLOOKUP(I534,Setup!$A$9:$B$11,2,0),"???")&amp;"-"&amp;G534&amp;"-"&amp;TEXT(COUNTIFS(I$5:I534,I534,G$5:G534,G534),"0000"))</f>
        <v/>
      </c>
      <c r="C534" s="26"/>
      <c r="D534" s="26"/>
      <c r="E534" s="27"/>
      <c r="F534" s="27"/>
      <c r="G534" s="31" t="str">
        <f aca="false">IF(F534="","",IF(F534&lt;=5,"A",IF(F534&lt;=8,"B",IF(F534&lt;=10,"C","D"))))</f>
        <v/>
      </c>
      <c r="H534" s="28"/>
      <c r="I534" s="27"/>
      <c r="J534" s="26"/>
      <c r="K534" s="27"/>
      <c r="L534" s="27"/>
      <c r="M534" s="27"/>
      <c r="N534" s="27"/>
      <c r="O534" s="31" t="str">
        <f aca="false">IF(G534="","",VLOOKUP(G534,Setup!$A$14:$C$17,3,0))</f>
        <v/>
      </c>
      <c r="P534" s="27"/>
      <c r="Q534" s="33" t="str">
        <f aca="false">IF(OR(P534="",M534&lt;&gt;"Paid",O534=""),"",P534/O534)</f>
        <v/>
      </c>
      <c r="R534" s="34" t="str">
        <f aca="false">IF(Q534="","",Q534+N(H534)*0.000000001)</f>
        <v/>
      </c>
      <c r="S534" s="32" t="str">
        <f aca="false">IF(R534="","",SUMPRODUCT((I$5:I$4004=I534)*ISNUMBER(R$5:R$4004)*(R$5:R$4004&gt;R534))+1)</f>
        <v/>
      </c>
      <c r="T534" s="32" t="str">
        <f aca="false">IF(S534="","",IF(S534&lt;=Setup!$B$5,"🏆 WINNER",""))</f>
        <v/>
      </c>
      <c r="U534" s="31" t="str">
        <f aca="false">IF(S534="","",I534&amp;"|"&amp;S534)</f>
        <v/>
      </c>
    </row>
    <row r="535" customFormat="false" ht="15" hidden="false" customHeight="false" outlineLevel="0" collapsed="false">
      <c r="A535" s="24" t="n">
        <v>531</v>
      </c>
      <c r="B535" s="25" t="str">
        <f aca="false">IF(OR(C535="",I535="",G535=""),"",IFERROR(VLOOKUP(I535,Setup!$A$9:$B$11,2,0),"???")&amp;"-"&amp;G535&amp;"-"&amp;TEXT(COUNTIFS(I$5:I535,I535,G$5:G535,G535),"0000"))</f>
        <v/>
      </c>
      <c r="C535" s="26"/>
      <c r="D535" s="26"/>
      <c r="E535" s="27"/>
      <c r="F535" s="27"/>
      <c r="G535" s="24" t="str">
        <f aca="false">IF(F535="","",IF(F535&lt;=5,"A",IF(F535&lt;=8,"B",IF(F535&lt;=10,"C","D"))))</f>
        <v/>
      </c>
      <c r="H535" s="28"/>
      <c r="I535" s="27"/>
      <c r="J535" s="26"/>
      <c r="K535" s="27"/>
      <c r="L535" s="27"/>
      <c r="M535" s="27"/>
      <c r="N535" s="27"/>
      <c r="O535" s="24" t="str">
        <f aca="false">IF(G535="","",VLOOKUP(G535,Setup!$A$14:$C$17,3,0))</f>
        <v/>
      </c>
      <c r="P535" s="27"/>
      <c r="Q535" s="29" t="str">
        <f aca="false">IF(OR(P535="",M535&lt;&gt;"Paid",O535=""),"",P535/O535)</f>
        <v/>
      </c>
      <c r="R535" s="30" t="str">
        <f aca="false">IF(Q535="","",Q535+N(H535)*0.000000001)</f>
        <v/>
      </c>
      <c r="S535" s="25" t="str">
        <f aca="false">IF(R535="","",SUMPRODUCT((I$5:I$4004=I535)*ISNUMBER(R$5:R$4004)*(R$5:R$4004&gt;R535))+1)</f>
        <v/>
      </c>
      <c r="T535" s="25" t="str">
        <f aca="false">IF(S535="","",IF(S535&lt;=Setup!$B$5,"🏆 WINNER",""))</f>
        <v/>
      </c>
      <c r="U535" s="24" t="str">
        <f aca="false">IF(S535="","",I535&amp;"|"&amp;S535)</f>
        <v/>
      </c>
    </row>
    <row r="536" customFormat="false" ht="15" hidden="false" customHeight="false" outlineLevel="0" collapsed="false">
      <c r="A536" s="31" t="n">
        <v>532</v>
      </c>
      <c r="B536" s="32" t="str">
        <f aca="false">IF(OR(C536="",I536="",G536=""),"",IFERROR(VLOOKUP(I536,Setup!$A$9:$B$11,2,0),"???")&amp;"-"&amp;G536&amp;"-"&amp;TEXT(COUNTIFS(I$5:I536,I536,G$5:G536,G536),"0000"))</f>
        <v/>
      </c>
      <c r="C536" s="26"/>
      <c r="D536" s="26"/>
      <c r="E536" s="27"/>
      <c r="F536" s="27"/>
      <c r="G536" s="31" t="str">
        <f aca="false">IF(F536="","",IF(F536&lt;=5,"A",IF(F536&lt;=8,"B",IF(F536&lt;=10,"C","D"))))</f>
        <v/>
      </c>
      <c r="H536" s="28"/>
      <c r="I536" s="27"/>
      <c r="J536" s="26"/>
      <c r="K536" s="27"/>
      <c r="L536" s="27"/>
      <c r="M536" s="27"/>
      <c r="N536" s="27"/>
      <c r="O536" s="31" t="str">
        <f aca="false">IF(G536="","",VLOOKUP(G536,Setup!$A$14:$C$17,3,0))</f>
        <v/>
      </c>
      <c r="P536" s="27"/>
      <c r="Q536" s="33" t="str">
        <f aca="false">IF(OR(P536="",M536&lt;&gt;"Paid",O536=""),"",P536/O536)</f>
        <v/>
      </c>
      <c r="R536" s="34" t="str">
        <f aca="false">IF(Q536="","",Q536+N(H536)*0.000000001)</f>
        <v/>
      </c>
      <c r="S536" s="32" t="str">
        <f aca="false">IF(R536="","",SUMPRODUCT((I$5:I$4004=I536)*ISNUMBER(R$5:R$4004)*(R$5:R$4004&gt;R536))+1)</f>
        <v/>
      </c>
      <c r="T536" s="32" t="str">
        <f aca="false">IF(S536="","",IF(S536&lt;=Setup!$B$5,"🏆 WINNER",""))</f>
        <v/>
      </c>
      <c r="U536" s="31" t="str">
        <f aca="false">IF(S536="","",I536&amp;"|"&amp;S536)</f>
        <v/>
      </c>
    </row>
    <row r="537" customFormat="false" ht="15" hidden="false" customHeight="false" outlineLevel="0" collapsed="false">
      <c r="A537" s="24" t="n">
        <v>533</v>
      </c>
      <c r="B537" s="25" t="str">
        <f aca="false">IF(OR(C537="",I537="",G537=""),"",IFERROR(VLOOKUP(I537,Setup!$A$9:$B$11,2,0),"???")&amp;"-"&amp;G537&amp;"-"&amp;TEXT(COUNTIFS(I$5:I537,I537,G$5:G537,G537),"0000"))</f>
        <v/>
      </c>
      <c r="C537" s="26"/>
      <c r="D537" s="26"/>
      <c r="E537" s="27"/>
      <c r="F537" s="27"/>
      <c r="G537" s="24" t="str">
        <f aca="false">IF(F537="","",IF(F537&lt;=5,"A",IF(F537&lt;=8,"B",IF(F537&lt;=10,"C","D"))))</f>
        <v/>
      </c>
      <c r="H537" s="28"/>
      <c r="I537" s="27"/>
      <c r="J537" s="26"/>
      <c r="K537" s="27"/>
      <c r="L537" s="27"/>
      <c r="M537" s="27"/>
      <c r="N537" s="27"/>
      <c r="O537" s="24" t="str">
        <f aca="false">IF(G537="","",VLOOKUP(G537,Setup!$A$14:$C$17,3,0))</f>
        <v/>
      </c>
      <c r="P537" s="27"/>
      <c r="Q537" s="29" t="str">
        <f aca="false">IF(OR(P537="",M537&lt;&gt;"Paid",O537=""),"",P537/O537)</f>
        <v/>
      </c>
      <c r="R537" s="30" t="str">
        <f aca="false">IF(Q537="","",Q537+N(H537)*0.000000001)</f>
        <v/>
      </c>
      <c r="S537" s="25" t="str">
        <f aca="false">IF(R537="","",SUMPRODUCT((I$5:I$4004=I537)*ISNUMBER(R$5:R$4004)*(R$5:R$4004&gt;R537))+1)</f>
        <v/>
      </c>
      <c r="T537" s="25" t="str">
        <f aca="false">IF(S537="","",IF(S537&lt;=Setup!$B$5,"🏆 WINNER",""))</f>
        <v/>
      </c>
      <c r="U537" s="24" t="str">
        <f aca="false">IF(S537="","",I537&amp;"|"&amp;S537)</f>
        <v/>
      </c>
    </row>
    <row r="538" customFormat="false" ht="15" hidden="false" customHeight="false" outlineLevel="0" collapsed="false">
      <c r="A538" s="31" t="n">
        <v>534</v>
      </c>
      <c r="B538" s="32" t="str">
        <f aca="false">IF(OR(C538="",I538="",G538=""),"",IFERROR(VLOOKUP(I538,Setup!$A$9:$B$11,2,0),"???")&amp;"-"&amp;G538&amp;"-"&amp;TEXT(COUNTIFS(I$5:I538,I538,G$5:G538,G538),"0000"))</f>
        <v/>
      </c>
      <c r="C538" s="26"/>
      <c r="D538" s="26"/>
      <c r="E538" s="27"/>
      <c r="F538" s="27"/>
      <c r="G538" s="31" t="str">
        <f aca="false">IF(F538="","",IF(F538&lt;=5,"A",IF(F538&lt;=8,"B",IF(F538&lt;=10,"C","D"))))</f>
        <v/>
      </c>
      <c r="H538" s="28"/>
      <c r="I538" s="27"/>
      <c r="J538" s="26"/>
      <c r="K538" s="27"/>
      <c r="L538" s="27"/>
      <c r="M538" s="27"/>
      <c r="N538" s="27"/>
      <c r="O538" s="31" t="str">
        <f aca="false">IF(G538="","",VLOOKUP(G538,Setup!$A$14:$C$17,3,0))</f>
        <v/>
      </c>
      <c r="P538" s="27"/>
      <c r="Q538" s="33" t="str">
        <f aca="false">IF(OR(P538="",M538&lt;&gt;"Paid",O538=""),"",P538/O538)</f>
        <v/>
      </c>
      <c r="R538" s="34" t="str">
        <f aca="false">IF(Q538="","",Q538+N(H538)*0.000000001)</f>
        <v/>
      </c>
      <c r="S538" s="32" t="str">
        <f aca="false">IF(R538="","",SUMPRODUCT((I$5:I$4004=I538)*ISNUMBER(R$5:R$4004)*(R$5:R$4004&gt;R538))+1)</f>
        <v/>
      </c>
      <c r="T538" s="32" t="str">
        <f aca="false">IF(S538="","",IF(S538&lt;=Setup!$B$5,"🏆 WINNER",""))</f>
        <v/>
      </c>
      <c r="U538" s="31" t="str">
        <f aca="false">IF(S538="","",I538&amp;"|"&amp;S538)</f>
        <v/>
      </c>
    </row>
    <row r="539" customFormat="false" ht="15" hidden="false" customHeight="false" outlineLevel="0" collapsed="false">
      <c r="A539" s="24" t="n">
        <v>535</v>
      </c>
      <c r="B539" s="25" t="str">
        <f aca="false">IF(OR(C539="",I539="",G539=""),"",IFERROR(VLOOKUP(I539,Setup!$A$9:$B$11,2,0),"???")&amp;"-"&amp;G539&amp;"-"&amp;TEXT(COUNTIFS(I$5:I539,I539,G$5:G539,G539),"0000"))</f>
        <v/>
      </c>
      <c r="C539" s="26"/>
      <c r="D539" s="26"/>
      <c r="E539" s="27"/>
      <c r="F539" s="27"/>
      <c r="G539" s="24" t="str">
        <f aca="false">IF(F539="","",IF(F539&lt;=5,"A",IF(F539&lt;=8,"B",IF(F539&lt;=10,"C","D"))))</f>
        <v/>
      </c>
      <c r="H539" s="28"/>
      <c r="I539" s="27"/>
      <c r="J539" s="26"/>
      <c r="K539" s="27"/>
      <c r="L539" s="27"/>
      <c r="M539" s="27"/>
      <c r="N539" s="27"/>
      <c r="O539" s="24" t="str">
        <f aca="false">IF(G539="","",VLOOKUP(G539,Setup!$A$14:$C$17,3,0))</f>
        <v/>
      </c>
      <c r="P539" s="27"/>
      <c r="Q539" s="29" t="str">
        <f aca="false">IF(OR(P539="",M539&lt;&gt;"Paid",O539=""),"",P539/O539)</f>
        <v/>
      </c>
      <c r="R539" s="30" t="str">
        <f aca="false">IF(Q539="","",Q539+N(H539)*0.000000001)</f>
        <v/>
      </c>
      <c r="S539" s="25" t="str">
        <f aca="false">IF(R539="","",SUMPRODUCT((I$5:I$4004=I539)*ISNUMBER(R$5:R$4004)*(R$5:R$4004&gt;R539))+1)</f>
        <v/>
      </c>
      <c r="T539" s="25" t="str">
        <f aca="false">IF(S539="","",IF(S539&lt;=Setup!$B$5,"🏆 WINNER",""))</f>
        <v/>
      </c>
      <c r="U539" s="24" t="str">
        <f aca="false">IF(S539="","",I539&amp;"|"&amp;S539)</f>
        <v/>
      </c>
    </row>
    <row r="540" customFormat="false" ht="15" hidden="false" customHeight="false" outlineLevel="0" collapsed="false">
      <c r="A540" s="31" t="n">
        <v>536</v>
      </c>
      <c r="B540" s="32" t="str">
        <f aca="false">IF(OR(C540="",I540="",G540=""),"",IFERROR(VLOOKUP(I540,Setup!$A$9:$B$11,2,0),"???")&amp;"-"&amp;G540&amp;"-"&amp;TEXT(COUNTIFS(I$5:I540,I540,G$5:G540,G540),"0000"))</f>
        <v/>
      </c>
      <c r="C540" s="26"/>
      <c r="D540" s="26"/>
      <c r="E540" s="27"/>
      <c r="F540" s="27"/>
      <c r="G540" s="31" t="str">
        <f aca="false">IF(F540="","",IF(F540&lt;=5,"A",IF(F540&lt;=8,"B",IF(F540&lt;=10,"C","D"))))</f>
        <v/>
      </c>
      <c r="H540" s="28"/>
      <c r="I540" s="27"/>
      <c r="J540" s="26"/>
      <c r="K540" s="27"/>
      <c r="L540" s="27"/>
      <c r="M540" s="27"/>
      <c r="N540" s="27"/>
      <c r="O540" s="31" t="str">
        <f aca="false">IF(G540="","",VLOOKUP(G540,Setup!$A$14:$C$17,3,0))</f>
        <v/>
      </c>
      <c r="P540" s="27"/>
      <c r="Q540" s="33" t="str">
        <f aca="false">IF(OR(P540="",M540&lt;&gt;"Paid",O540=""),"",P540/O540)</f>
        <v/>
      </c>
      <c r="R540" s="34" t="str">
        <f aca="false">IF(Q540="","",Q540+N(H540)*0.000000001)</f>
        <v/>
      </c>
      <c r="S540" s="32" t="str">
        <f aca="false">IF(R540="","",SUMPRODUCT((I$5:I$4004=I540)*ISNUMBER(R$5:R$4004)*(R$5:R$4004&gt;R540))+1)</f>
        <v/>
      </c>
      <c r="T540" s="32" t="str">
        <f aca="false">IF(S540="","",IF(S540&lt;=Setup!$B$5,"🏆 WINNER",""))</f>
        <v/>
      </c>
      <c r="U540" s="31" t="str">
        <f aca="false">IF(S540="","",I540&amp;"|"&amp;S540)</f>
        <v/>
      </c>
    </row>
    <row r="541" customFormat="false" ht="15" hidden="false" customHeight="false" outlineLevel="0" collapsed="false">
      <c r="A541" s="24" t="n">
        <v>537</v>
      </c>
      <c r="B541" s="25" t="str">
        <f aca="false">IF(OR(C541="",I541="",G541=""),"",IFERROR(VLOOKUP(I541,Setup!$A$9:$B$11,2,0),"???")&amp;"-"&amp;G541&amp;"-"&amp;TEXT(COUNTIFS(I$5:I541,I541,G$5:G541,G541),"0000"))</f>
        <v/>
      </c>
      <c r="C541" s="26"/>
      <c r="D541" s="26"/>
      <c r="E541" s="27"/>
      <c r="F541" s="27"/>
      <c r="G541" s="24" t="str">
        <f aca="false">IF(F541="","",IF(F541&lt;=5,"A",IF(F541&lt;=8,"B",IF(F541&lt;=10,"C","D"))))</f>
        <v/>
      </c>
      <c r="H541" s="28"/>
      <c r="I541" s="27"/>
      <c r="J541" s="26"/>
      <c r="K541" s="27"/>
      <c r="L541" s="27"/>
      <c r="M541" s="27"/>
      <c r="N541" s="27"/>
      <c r="O541" s="24" t="str">
        <f aca="false">IF(G541="","",VLOOKUP(G541,Setup!$A$14:$C$17,3,0))</f>
        <v/>
      </c>
      <c r="P541" s="27"/>
      <c r="Q541" s="29" t="str">
        <f aca="false">IF(OR(P541="",M541&lt;&gt;"Paid",O541=""),"",P541/O541)</f>
        <v/>
      </c>
      <c r="R541" s="30" t="str">
        <f aca="false">IF(Q541="","",Q541+N(H541)*0.000000001)</f>
        <v/>
      </c>
      <c r="S541" s="25" t="str">
        <f aca="false">IF(R541="","",SUMPRODUCT((I$5:I$4004=I541)*ISNUMBER(R$5:R$4004)*(R$5:R$4004&gt;R541))+1)</f>
        <v/>
      </c>
      <c r="T541" s="25" t="str">
        <f aca="false">IF(S541="","",IF(S541&lt;=Setup!$B$5,"🏆 WINNER",""))</f>
        <v/>
      </c>
      <c r="U541" s="24" t="str">
        <f aca="false">IF(S541="","",I541&amp;"|"&amp;S541)</f>
        <v/>
      </c>
    </row>
    <row r="542" customFormat="false" ht="15" hidden="false" customHeight="false" outlineLevel="0" collapsed="false">
      <c r="A542" s="31" t="n">
        <v>538</v>
      </c>
      <c r="B542" s="32" t="str">
        <f aca="false">IF(OR(C542="",I542="",G542=""),"",IFERROR(VLOOKUP(I542,Setup!$A$9:$B$11,2,0),"???")&amp;"-"&amp;G542&amp;"-"&amp;TEXT(COUNTIFS(I$5:I542,I542,G$5:G542,G542),"0000"))</f>
        <v/>
      </c>
      <c r="C542" s="26"/>
      <c r="D542" s="26"/>
      <c r="E542" s="27"/>
      <c r="F542" s="27"/>
      <c r="G542" s="31" t="str">
        <f aca="false">IF(F542="","",IF(F542&lt;=5,"A",IF(F542&lt;=8,"B",IF(F542&lt;=10,"C","D"))))</f>
        <v/>
      </c>
      <c r="H542" s="28"/>
      <c r="I542" s="27"/>
      <c r="J542" s="26"/>
      <c r="K542" s="27"/>
      <c r="L542" s="27"/>
      <c r="M542" s="27"/>
      <c r="N542" s="27"/>
      <c r="O542" s="31" t="str">
        <f aca="false">IF(G542="","",VLOOKUP(G542,Setup!$A$14:$C$17,3,0))</f>
        <v/>
      </c>
      <c r="P542" s="27"/>
      <c r="Q542" s="33" t="str">
        <f aca="false">IF(OR(P542="",M542&lt;&gt;"Paid",O542=""),"",P542/O542)</f>
        <v/>
      </c>
      <c r="R542" s="34" t="str">
        <f aca="false">IF(Q542="","",Q542+N(H542)*0.000000001)</f>
        <v/>
      </c>
      <c r="S542" s="32" t="str">
        <f aca="false">IF(R542="","",SUMPRODUCT((I$5:I$4004=I542)*ISNUMBER(R$5:R$4004)*(R$5:R$4004&gt;R542))+1)</f>
        <v/>
      </c>
      <c r="T542" s="32" t="str">
        <f aca="false">IF(S542="","",IF(S542&lt;=Setup!$B$5,"🏆 WINNER",""))</f>
        <v/>
      </c>
      <c r="U542" s="31" t="str">
        <f aca="false">IF(S542="","",I542&amp;"|"&amp;S542)</f>
        <v/>
      </c>
    </row>
    <row r="543" customFormat="false" ht="15" hidden="false" customHeight="false" outlineLevel="0" collapsed="false">
      <c r="A543" s="24" t="n">
        <v>539</v>
      </c>
      <c r="B543" s="25" t="str">
        <f aca="false">IF(OR(C543="",I543="",G543=""),"",IFERROR(VLOOKUP(I543,Setup!$A$9:$B$11,2,0),"???")&amp;"-"&amp;G543&amp;"-"&amp;TEXT(COUNTIFS(I$5:I543,I543,G$5:G543,G543),"0000"))</f>
        <v/>
      </c>
      <c r="C543" s="26"/>
      <c r="D543" s="26"/>
      <c r="E543" s="27"/>
      <c r="F543" s="27"/>
      <c r="G543" s="24" t="str">
        <f aca="false">IF(F543="","",IF(F543&lt;=5,"A",IF(F543&lt;=8,"B",IF(F543&lt;=10,"C","D"))))</f>
        <v/>
      </c>
      <c r="H543" s="28"/>
      <c r="I543" s="27"/>
      <c r="J543" s="26"/>
      <c r="K543" s="27"/>
      <c r="L543" s="27"/>
      <c r="M543" s="27"/>
      <c r="N543" s="27"/>
      <c r="O543" s="24" t="str">
        <f aca="false">IF(G543="","",VLOOKUP(G543,Setup!$A$14:$C$17,3,0))</f>
        <v/>
      </c>
      <c r="P543" s="27"/>
      <c r="Q543" s="29" t="str">
        <f aca="false">IF(OR(P543="",M543&lt;&gt;"Paid",O543=""),"",P543/O543)</f>
        <v/>
      </c>
      <c r="R543" s="30" t="str">
        <f aca="false">IF(Q543="","",Q543+N(H543)*0.000000001)</f>
        <v/>
      </c>
      <c r="S543" s="25" t="str">
        <f aca="false">IF(R543="","",SUMPRODUCT((I$5:I$4004=I543)*ISNUMBER(R$5:R$4004)*(R$5:R$4004&gt;R543))+1)</f>
        <v/>
      </c>
      <c r="T543" s="25" t="str">
        <f aca="false">IF(S543="","",IF(S543&lt;=Setup!$B$5,"🏆 WINNER",""))</f>
        <v/>
      </c>
      <c r="U543" s="24" t="str">
        <f aca="false">IF(S543="","",I543&amp;"|"&amp;S543)</f>
        <v/>
      </c>
    </row>
    <row r="544" customFormat="false" ht="15" hidden="false" customHeight="false" outlineLevel="0" collapsed="false">
      <c r="A544" s="31" t="n">
        <v>540</v>
      </c>
      <c r="B544" s="32" t="str">
        <f aca="false">IF(OR(C544="",I544="",G544=""),"",IFERROR(VLOOKUP(I544,Setup!$A$9:$B$11,2,0),"???")&amp;"-"&amp;G544&amp;"-"&amp;TEXT(COUNTIFS(I$5:I544,I544,G$5:G544,G544),"0000"))</f>
        <v/>
      </c>
      <c r="C544" s="26"/>
      <c r="D544" s="26"/>
      <c r="E544" s="27"/>
      <c r="F544" s="27"/>
      <c r="G544" s="31" t="str">
        <f aca="false">IF(F544="","",IF(F544&lt;=5,"A",IF(F544&lt;=8,"B",IF(F544&lt;=10,"C","D"))))</f>
        <v/>
      </c>
      <c r="H544" s="28"/>
      <c r="I544" s="27"/>
      <c r="J544" s="26"/>
      <c r="K544" s="27"/>
      <c r="L544" s="27"/>
      <c r="M544" s="27"/>
      <c r="N544" s="27"/>
      <c r="O544" s="31" t="str">
        <f aca="false">IF(G544="","",VLOOKUP(G544,Setup!$A$14:$C$17,3,0))</f>
        <v/>
      </c>
      <c r="P544" s="27"/>
      <c r="Q544" s="33" t="str">
        <f aca="false">IF(OR(P544="",M544&lt;&gt;"Paid",O544=""),"",P544/O544)</f>
        <v/>
      </c>
      <c r="R544" s="34" t="str">
        <f aca="false">IF(Q544="","",Q544+N(H544)*0.000000001)</f>
        <v/>
      </c>
      <c r="S544" s="32" t="str">
        <f aca="false">IF(R544="","",SUMPRODUCT((I$5:I$4004=I544)*ISNUMBER(R$5:R$4004)*(R$5:R$4004&gt;R544))+1)</f>
        <v/>
      </c>
      <c r="T544" s="32" t="str">
        <f aca="false">IF(S544="","",IF(S544&lt;=Setup!$B$5,"🏆 WINNER",""))</f>
        <v/>
      </c>
      <c r="U544" s="31" t="str">
        <f aca="false">IF(S544="","",I544&amp;"|"&amp;S544)</f>
        <v/>
      </c>
    </row>
    <row r="545" customFormat="false" ht="15" hidden="false" customHeight="false" outlineLevel="0" collapsed="false">
      <c r="A545" s="24" t="n">
        <v>541</v>
      </c>
      <c r="B545" s="25" t="str">
        <f aca="false">IF(OR(C545="",I545="",G545=""),"",IFERROR(VLOOKUP(I545,Setup!$A$9:$B$11,2,0),"???")&amp;"-"&amp;G545&amp;"-"&amp;TEXT(COUNTIFS(I$5:I545,I545,G$5:G545,G545),"0000"))</f>
        <v/>
      </c>
      <c r="C545" s="26"/>
      <c r="D545" s="26"/>
      <c r="E545" s="27"/>
      <c r="F545" s="27"/>
      <c r="G545" s="24" t="str">
        <f aca="false">IF(F545="","",IF(F545&lt;=5,"A",IF(F545&lt;=8,"B",IF(F545&lt;=10,"C","D"))))</f>
        <v/>
      </c>
      <c r="H545" s="28"/>
      <c r="I545" s="27"/>
      <c r="J545" s="26"/>
      <c r="K545" s="27"/>
      <c r="L545" s="27"/>
      <c r="M545" s="27"/>
      <c r="N545" s="27"/>
      <c r="O545" s="24" t="str">
        <f aca="false">IF(G545="","",VLOOKUP(G545,Setup!$A$14:$C$17,3,0))</f>
        <v/>
      </c>
      <c r="P545" s="27"/>
      <c r="Q545" s="29" t="str">
        <f aca="false">IF(OR(P545="",M545&lt;&gt;"Paid",O545=""),"",P545/O545)</f>
        <v/>
      </c>
      <c r="R545" s="30" t="str">
        <f aca="false">IF(Q545="","",Q545+N(H545)*0.000000001)</f>
        <v/>
      </c>
      <c r="S545" s="25" t="str">
        <f aca="false">IF(R545="","",SUMPRODUCT((I$5:I$4004=I545)*ISNUMBER(R$5:R$4004)*(R$5:R$4004&gt;R545))+1)</f>
        <v/>
      </c>
      <c r="T545" s="25" t="str">
        <f aca="false">IF(S545="","",IF(S545&lt;=Setup!$B$5,"🏆 WINNER",""))</f>
        <v/>
      </c>
      <c r="U545" s="24" t="str">
        <f aca="false">IF(S545="","",I545&amp;"|"&amp;S545)</f>
        <v/>
      </c>
    </row>
    <row r="546" customFormat="false" ht="15" hidden="false" customHeight="false" outlineLevel="0" collapsed="false">
      <c r="A546" s="31" t="n">
        <v>542</v>
      </c>
      <c r="B546" s="32" t="str">
        <f aca="false">IF(OR(C546="",I546="",G546=""),"",IFERROR(VLOOKUP(I546,Setup!$A$9:$B$11,2,0),"???")&amp;"-"&amp;G546&amp;"-"&amp;TEXT(COUNTIFS(I$5:I546,I546,G$5:G546,G546),"0000"))</f>
        <v/>
      </c>
      <c r="C546" s="26"/>
      <c r="D546" s="26"/>
      <c r="E546" s="27"/>
      <c r="F546" s="27"/>
      <c r="G546" s="31" t="str">
        <f aca="false">IF(F546="","",IF(F546&lt;=5,"A",IF(F546&lt;=8,"B",IF(F546&lt;=10,"C","D"))))</f>
        <v/>
      </c>
      <c r="H546" s="28"/>
      <c r="I546" s="27"/>
      <c r="J546" s="26"/>
      <c r="K546" s="27"/>
      <c r="L546" s="27"/>
      <c r="M546" s="27"/>
      <c r="N546" s="27"/>
      <c r="O546" s="31" t="str">
        <f aca="false">IF(G546="","",VLOOKUP(G546,Setup!$A$14:$C$17,3,0))</f>
        <v/>
      </c>
      <c r="P546" s="27"/>
      <c r="Q546" s="33" t="str">
        <f aca="false">IF(OR(P546="",M546&lt;&gt;"Paid",O546=""),"",P546/O546)</f>
        <v/>
      </c>
      <c r="R546" s="34" t="str">
        <f aca="false">IF(Q546="","",Q546+N(H546)*0.000000001)</f>
        <v/>
      </c>
      <c r="S546" s="32" t="str">
        <f aca="false">IF(R546="","",SUMPRODUCT((I$5:I$4004=I546)*ISNUMBER(R$5:R$4004)*(R$5:R$4004&gt;R546))+1)</f>
        <v/>
      </c>
      <c r="T546" s="32" t="str">
        <f aca="false">IF(S546="","",IF(S546&lt;=Setup!$B$5,"🏆 WINNER",""))</f>
        <v/>
      </c>
      <c r="U546" s="31" t="str">
        <f aca="false">IF(S546="","",I546&amp;"|"&amp;S546)</f>
        <v/>
      </c>
    </row>
    <row r="547" customFormat="false" ht="15" hidden="false" customHeight="false" outlineLevel="0" collapsed="false">
      <c r="A547" s="24" t="n">
        <v>543</v>
      </c>
      <c r="B547" s="25" t="str">
        <f aca="false">IF(OR(C547="",I547="",G547=""),"",IFERROR(VLOOKUP(I547,Setup!$A$9:$B$11,2,0),"???")&amp;"-"&amp;G547&amp;"-"&amp;TEXT(COUNTIFS(I$5:I547,I547,G$5:G547,G547),"0000"))</f>
        <v/>
      </c>
      <c r="C547" s="26"/>
      <c r="D547" s="26"/>
      <c r="E547" s="27"/>
      <c r="F547" s="27"/>
      <c r="G547" s="24" t="str">
        <f aca="false">IF(F547="","",IF(F547&lt;=5,"A",IF(F547&lt;=8,"B",IF(F547&lt;=10,"C","D"))))</f>
        <v/>
      </c>
      <c r="H547" s="28"/>
      <c r="I547" s="27"/>
      <c r="J547" s="26"/>
      <c r="K547" s="27"/>
      <c r="L547" s="27"/>
      <c r="M547" s="27"/>
      <c r="N547" s="27"/>
      <c r="O547" s="24" t="str">
        <f aca="false">IF(G547="","",VLOOKUP(G547,Setup!$A$14:$C$17,3,0))</f>
        <v/>
      </c>
      <c r="P547" s="27"/>
      <c r="Q547" s="29" t="str">
        <f aca="false">IF(OR(P547="",M547&lt;&gt;"Paid",O547=""),"",P547/O547)</f>
        <v/>
      </c>
      <c r="R547" s="30" t="str">
        <f aca="false">IF(Q547="","",Q547+N(H547)*0.000000001)</f>
        <v/>
      </c>
      <c r="S547" s="25" t="str">
        <f aca="false">IF(R547="","",SUMPRODUCT((I$5:I$4004=I547)*ISNUMBER(R$5:R$4004)*(R$5:R$4004&gt;R547))+1)</f>
        <v/>
      </c>
      <c r="T547" s="25" t="str">
        <f aca="false">IF(S547="","",IF(S547&lt;=Setup!$B$5,"🏆 WINNER",""))</f>
        <v/>
      </c>
      <c r="U547" s="24" t="str">
        <f aca="false">IF(S547="","",I547&amp;"|"&amp;S547)</f>
        <v/>
      </c>
    </row>
    <row r="548" customFormat="false" ht="15" hidden="false" customHeight="false" outlineLevel="0" collapsed="false">
      <c r="A548" s="31" t="n">
        <v>544</v>
      </c>
      <c r="B548" s="32" t="str">
        <f aca="false">IF(OR(C548="",I548="",G548=""),"",IFERROR(VLOOKUP(I548,Setup!$A$9:$B$11,2,0),"???")&amp;"-"&amp;G548&amp;"-"&amp;TEXT(COUNTIFS(I$5:I548,I548,G$5:G548,G548),"0000"))</f>
        <v/>
      </c>
      <c r="C548" s="26"/>
      <c r="D548" s="26"/>
      <c r="E548" s="27"/>
      <c r="F548" s="27"/>
      <c r="G548" s="31" t="str">
        <f aca="false">IF(F548="","",IF(F548&lt;=5,"A",IF(F548&lt;=8,"B",IF(F548&lt;=10,"C","D"))))</f>
        <v/>
      </c>
      <c r="H548" s="28"/>
      <c r="I548" s="27"/>
      <c r="J548" s="26"/>
      <c r="K548" s="27"/>
      <c r="L548" s="27"/>
      <c r="M548" s="27"/>
      <c r="N548" s="27"/>
      <c r="O548" s="31" t="str">
        <f aca="false">IF(G548="","",VLOOKUP(G548,Setup!$A$14:$C$17,3,0))</f>
        <v/>
      </c>
      <c r="P548" s="27"/>
      <c r="Q548" s="33" t="str">
        <f aca="false">IF(OR(P548="",M548&lt;&gt;"Paid",O548=""),"",P548/O548)</f>
        <v/>
      </c>
      <c r="R548" s="34" t="str">
        <f aca="false">IF(Q548="","",Q548+N(H548)*0.000000001)</f>
        <v/>
      </c>
      <c r="S548" s="32" t="str">
        <f aca="false">IF(R548="","",SUMPRODUCT((I$5:I$4004=I548)*ISNUMBER(R$5:R$4004)*(R$5:R$4004&gt;R548))+1)</f>
        <v/>
      </c>
      <c r="T548" s="32" t="str">
        <f aca="false">IF(S548="","",IF(S548&lt;=Setup!$B$5,"🏆 WINNER",""))</f>
        <v/>
      </c>
      <c r="U548" s="31" t="str">
        <f aca="false">IF(S548="","",I548&amp;"|"&amp;S548)</f>
        <v/>
      </c>
    </row>
    <row r="549" customFormat="false" ht="15" hidden="false" customHeight="false" outlineLevel="0" collapsed="false">
      <c r="A549" s="24" t="n">
        <v>545</v>
      </c>
      <c r="B549" s="25" t="str">
        <f aca="false">IF(OR(C549="",I549="",G549=""),"",IFERROR(VLOOKUP(I549,Setup!$A$9:$B$11,2,0),"???")&amp;"-"&amp;G549&amp;"-"&amp;TEXT(COUNTIFS(I$5:I549,I549,G$5:G549,G549),"0000"))</f>
        <v/>
      </c>
      <c r="C549" s="26"/>
      <c r="D549" s="26"/>
      <c r="E549" s="27"/>
      <c r="F549" s="27"/>
      <c r="G549" s="24" t="str">
        <f aca="false">IF(F549="","",IF(F549&lt;=5,"A",IF(F549&lt;=8,"B",IF(F549&lt;=10,"C","D"))))</f>
        <v/>
      </c>
      <c r="H549" s="28"/>
      <c r="I549" s="27"/>
      <c r="J549" s="26"/>
      <c r="K549" s="27"/>
      <c r="L549" s="27"/>
      <c r="M549" s="27"/>
      <c r="N549" s="27"/>
      <c r="O549" s="24" t="str">
        <f aca="false">IF(G549="","",VLOOKUP(G549,Setup!$A$14:$C$17,3,0))</f>
        <v/>
      </c>
      <c r="P549" s="27"/>
      <c r="Q549" s="29" t="str">
        <f aca="false">IF(OR(P549="",M549&lt;&gt;"Paid",O549=""),"",P549/O549)</f>
        <v/>
      </c>
      <c r="R549" s="30" t="str">
        <f aca="false">IF(Q549="","",Q549+N(H549)*0.000000001)</f>
        <v/>
      </c>
      <c r="S549" s="25" t="str">
        <f aca="false">IF(R549="","",SUMPRODUCT((I$5:I$4004=I549)*ISNUMBER(R$5:R$4004)*(R$5:R$4004&gt;R549))+1)</f>
        <v/>
      </c>
      <c r="T549" s="25" t="str">
        <f aca="false">IF(S549="","",IF(S549&lt;=Setup!$B$5,"🏆 WINNER",""))</f>
        <v/>
      </c>
      <c r="U549" s="24" t="str">
        <f aca="false">IF(S549="","",I549&amp;"|"&amp;S549)</f>
        <v/>
      </c>
    </row>
    <row r="550" customFormat="false" ht="15" hidden="false" customHeight="false" outlineLevel="0" collapsed="false">
      <c r="A550" s="31" t="n">
        <v>546</v>
      </c>
      <c r="B550" s="32" t="str">
        <f aca="false">IF(OR(C550="",I550="",G550=""),"",IFERROR(VLOOKUP(I550,Setup!$A$9:$B$11,2,0),"???")&amp;"-"&amp;G550&amp;"-"&amp;TEXT(COUNTIFS(I$5:I550,I550,G$5:G550,G550),"0000"))</f>
        <v/>
      </c>
      <c r="C550" s="26"/>
      <c r="D550" s="26"/>
      <c r="E550" s="27"/>
      <c r="F550" s="27"/>
      <c r="G550" s="31" t="str">
        <f aca="false">IF(F550="","",IF(F550&lt;=5,"A",IF(F550&lt;=8,"B",IF(F550&lt;=10,"C","D"))))</f>
        <v/>
      </c>
      <c r="H550" s="28"/>
      <c r="I550" s="27"/>
      <c r="J550" s="26"/>
      <c r="K550" s="27"/>
      <c r="L550" s="27"/>
      <c r="M550" s="27"/>
      <c r="N550" s="27"/>
      <c r="O550" s="31" t="str">
        <f aca="false">IF(G550="","",VLOOKUP(G550,Setup!$A$14:$C$17,3,0))</f>
        <v/>
      </c>
      <c r="P550" s="27"/>
      <c r="Q550" s="33" t="str">
        <f aca="false">IF(OR(P550="",M550&lt;&gt;"Paid",O550=""),"",P550/O550)</f>
        <v/>
      </c>
      <c r="R550" s="34" t="str">
        <f aca="false">IF(Q550="","",Q550+N(H550)*0.000000001)</f>
        <v/>
      </c>
      <c r="S550" s="32" t="str">
        <f aca="false">IF(R550="","",SUMPRODUCT((I$5:I$4004=I550)*ISNUMBER(R$5:R$4004)*(R$5:R$4004&gt;R550))+1)</f>
        <v/>
      </c>
      <c r="T550" s="32" t="str">
        <f aca="false">IF(S550="","",IF(S550&lt;=Setup!$B$5,"🏆 WINNER",""))</f>
        <v/>
      </c>
      <c r="U550" s="31" t="str">
        <f aca="false">IF(S550="","",I550&amp;"|"&amp;S550)</f>
        <v/>
      </c>
    </row>
    <row r="551" customFormat="false" ht="15" hidden="false" customHeight="false" outlineLevel="0" collapsed="false">
      <c r="A551" s="24" t="n">
        <v>547</v>
      </c>
      <c r="B551" s="25" t="str">
        <f aca="false">IF(OR(C551="",I551="",G551=""),"",IFERROR(VLOOKUP(I551,Setup!$A$9:$B$11,2,0),"???")&amp;"-"&amp;G551&amp;"-"&amp;TEXT(COUNTIFS(I$5:I551,I551,G$5:G551,G551),"0000"))</f>
        <v/>
      </c>
      <c r="C551" s="26"/>
      <c r="D551" s="26"/>
      <c r="E551" s="27"/>
      <c r="F551" s="27"/>
      <c r="G551" s="24" t="str">
        <f aca="false">IF(F551="","",IF(F551&lt;=5,"A",IF(F551&lt;=8,"B",IF(F551&lt;=10,"C","D"))))</f>
        <v/>
      </c>
      <c r="H551" s="28"/>
      <c r="I551" s="27"/>
      <c r="J551" s="26"/>
      <c r="K551" s="27"/>
      <c r="L551" s="27"/>
      <c r="M551" s="27"/>
      <c r="N551" s="27"/>
      <c r="O551" s="24" t="str">
        <f aca="false">IF(G551="","",VLOOKUP(G551,Setup!$A$14:$C$17,3,0))</f>
        <v/>
      </c>
      <c r="P551" s="27"/>
      <c r="Q551" s="29" t="str">
        <f aca="false">IF(OR(P551="",M551&lt;&gt;"Paid",O551=""),"",P551/O551)</f>
        <v/>
      </c>
      <c r="R551" s="30" t="str">
        <f aca="false">IF(Q551="","",Q551+N(H551)*0.000000001)</f>
        <v/>
      </c>
      <c r="S551" s="25" t="str">
        <f aca="false">IF(R551="","",SUMPRODUCT((I$5:I$4004=I551)*ISNUMBER(R$5:R$4004)*(R$5:R$4004&gt;R551))+1)</f>
        <v/>
      </c>
      <c r="T551" s="25" t="str">
        <f aca="false">IF(S551="","",IF(S551&lt;=Setup!$B$5,"🏆 WINNER",""))</f>
        <v/>
      </c>
      <c r="U551" s="24" t="str">
        <f aca="false">IF(S551="","",I551&amp;"|"&amp;S551)</f>
        <v/>
      </c>
    </row>
    <row r="552" customFormat="false" ht="15" hidden="false" customHeight="false" outlineLevel="0" collapsed="false">
      <c r="A552" s="31" t="n">
        <v>548</v>
      </c>
      <c r="B552" s="32" t="str">
        <f aca="false">IF(OR(C552="",I552="",G552=""),"",IFERROR(VLOOKUP(I552,Setup!$A$9:$B$11,2,0),"???")&amp;"-"&amp;G552&amp;"-"&amp;TEXT(COUNTIFS(I$5:I552,I552,G$5:G552,G552),"0000"))</f>
        <v/>
      </c>
      <c r="C552" s="26"/>
      <c r="D552" s="26"/>
      <c r="E552" s="27"/>
      <c r="F552" s="27"/>
      <c r="G552" s="31" t="str">
        <f aca="false">IF(F552="","",IF(F552&lt;=5,"A",IF(F552&lt;=8,"B",IF(F552&lt;=10,"C","D"))))</f>
        <v/>
      </c>
      <c r="H552" s="28"/>
      <c r="I552" s="27"/>
      <c r="J552" s="26"/>
      <c r="K552" s="27"/>
      <c r="L552" s="27"/>
      <c r="M552" s="27"/>
      <c r="N552" s="27"/>
      <c r="O552" s="31" t="str">
        <f aca="false">IF(G552="","",VLOOKUP(G552,Setup!$A$14:$C$17,3,0))</f>
        <v/>
      </c>
      <c r="P552" s="27"/>
      <c r="Q552" s="33" t="str">
        <f aca="false">IF(OR(P552="",M552&lt;&gt;"Paid",O552=""),"",P552/O552)</f>
        <v/>
      </c>
      <c r="R552" s="34" t="str">
        <f aca="false">IF(Q552="","",Q552+N(H552)*0.000000001)</f>
        <v/>
      </c>
      <c r="S552" s="32" t="str">
        <f aca="false">IF(R552="","",SUMPRODUCT((I$5:I$4004=I552)*ISNUMBER(R$5:R$4004)*(R$5:R$4004&gt;R552))+1)</f>
        <v/>
      </c>
      <c r="T552" s="32" t="str">
        <f aca="false">IF(S552="","",IF(S552&lt;=Setup!$B$5,"🏆 WINNER",""))</f>
        <v/>
      </c>
      <c r="U552" s="31" t="str">
        <f aca="false">IF(S552="","",I552&amp;"|"&amp;S552)</f>
        <v/>
      </c>
    </row>
    <row r="553" customFormat="false" ht="15" hidden="false" customHeight="false" outlineLevel="0" collapsed="false">
      <c r="A553" s="24" t="n">
        <v>549</v>
      </c>
      <c r="B553" s="25" t="str">
        <f aca="false">IF(OR(C553="",I553="",G553=""),"",IFERROR(VLOOKUP(I553,Setup!$A$9:$B$11,2,0),"???")&amp;"-"&amp;G553&amp;"-"&amp;TEXT(COUNTIFS(I$5:I553,I553,G$5:G553,G553),"0000"))</f>
        <v/>
      </c>
      <c r="C553" s="26"/>
      <c r="D553" s="26"/>
      <c r="E553" s="27"/>
      <c r="F553" s="27"/>
      <c r="G553" s="24" t="str">
        <f aca="false">IF(F553="","",IF(F553&lt;=5,"A",IF(F553&lt;=8,"B",IF(F553&lt;=10,"C","D"))))</f>
        <v/>
      </c>
      <c r="H553" s="28"/>
      <c r="I553" s="27"/>
      <c r="J553" s="26"/>
      <c r="K553" s="27"/>
      <c r="L553" s="27"/>
      <c r="M553" s="27"/>
      <c r="N553" s="27"/>
      <c r="O553" s="24" t="str">
        <f aca="false">IF(G553="","",VLOOKUP(G553,Setup!$A$14:$C$17,3,0))</f>
        <v/>
      </c>
      <c r="P553" s="27"/>
      <c r="Q553" s="29" t="str">
        <f aca="false">IF(OR(P553="",M553&lt;&gt;"Paid",O553=""),"",P553/O553)</f>
        <v/>
      </c>
      <c r="R553" s="30" t="str">
        <f aca="false">IF(Q553="","",Q553+N(H553)*0.000000001)</f>
        <v/>
      </c>
      <c r="S553" s="25" t="str">
        <f aca="false">IF(R553="","",SUMPRODUCT((I$5:I$4004=I553)*ISNUMBER(R$5:R$4004)*(R$5:R$4004&gt;R553))+1)</f>
        <v/>
      </c>
      <c r="T553" s="25" t="str">
        <f aca="false">IF(S553="","",IF(S553&lt;=Setup!$B$5,"🏆 WINNER",""))</f>
        <v/>
      </c>
      <c r="U553" s="24" t="str">
        <f aca="false">IF(S553="","",I553&amp;"|"&amp;S553)</f>
        <v/>
      </c>
    </row>
    <row r="554" customFormat="false" ht="15" hidden="false" customHeight="false" outlineLevel="0" collapsed="false">
      <c r="A554" s="31" t="n">
        <v>550</v>
      </c>
      <c r="B554" s="32" t="str">
        <f aca="false">IF(OR(C554="",I554="",G554=""),"",IFERROR(VLOOKUP(I554,Setup!$A$9:$B$11,2,0),"???")&amp;"-"&amp;G554&amp;"-"&amp;TEXT(COUNTIFS(I$5:I554,I554,G$5:G554,G554),"0000"))</f>
        <v/>
      </c>
      <c r="C554" s="26"/>
      <c r="D554" s="26"/>
      <c r="E554" s="27"/>
      <c r="F554" s="27"/>
      <c r="G554" s="31" t="str">
        <f aca="false">IF(F554="","",IF(F554&lt;=5,"A",IF(F554&lt;=8,"B",IF(F554&lt;=10,"C","D"))))</f>
        <v/>
      </c>
      <c r="H554" s="28"/>
      <c r="I554" s="27"/>
      <c r="J554" s="26"/>
      <c r="K554" s="27"/>
      <c r="L554" s="27"/>
      <c r="M554" s="27"/>
      <c r="N554" s="27"/>
      <c r="O554" s="31" t="str">
        <f aca="false">IF(G554="","",VLOOKUP(G554,Setup!$A$14:$C$17,3,0))</f>
        <v/>
      </c>
      <c r="P554" s="27"/>
      <c r="Q554" s="33" t="str">
        <f aca="false">IF(OR(P554="",M554&lt;&gt;"Paid",O554=""),"",P554/O554)</f>
        <v/>
      </c>
      <c r="R554" s="34" t="str">
        <f aca="false">IF(Q554="","",Q554+N(H554)*0.000000001)</f>
        <v/>
      </c>
      <c r="S554" s="32" t="str">
        <f aca="false">IF(R554="","",SUMPRODUCT((I$5:I$4004=I554)*ISNUMBER(R$5:R$4004)*(R$5:R$4004&gt;R554))+1)</f>
        <v/>
      </c>
      <c r="T554" s="32" t="str">
        <f aca="false">IF(S554="","",IF(S554&lt;=Setup!$B$5,"🏆 WINNER",""))</f>
        <v/>
      </c>
      <c r="U554" s="31" t="str">
        <f aca="false">IF(S554="","",I554&amp;"|"&amp;S554)</f>
        <v/>
      </c>
    </row>
    <row r="555" customFormat="false" ht="15" hidden="false" customHeight="false" outlineLevel="0" collapsed="false">
      <c r="A555" s="24" t="n">
        <v>551</v>
      </c>
      <c r="B555" s="25" t="str">
        <f aca="false">IF(OR(C555="",I555="",G555=""),"",IFERROR(VLOOKUP(I555,Setup!$A$9:$B$11,2,0),"???")&amp;"-"&amp;G555&amp;"-"&amp;TEXT(COUNTIFS(I$5:I555,I555,G$5:G555,G555),"0000"))</f>
        <v/>
      </c>
      <c r="C555" s="26"/>
      <c r="D555" s="26"/>
      <c r="E555" s="27"/>
      <c r="F555" s="27"/>
      <c r="G555" s="24" t="str">
        <f aca="false">IF(F555="","",IF(F555&lt;=5,"A",IF(F555&lt;=8,"B",IF(F555&lt;=10,"C","D"))))</f>
        <v/>
      </c>
      <c r="H555" s="28"/>
      <c r="I555" s="27"/>
      <c r="J555" s="26"/>
      <c r="K555" s="27"/>
      <c r="L555" s="27"/>
      <c r="M555" s="27"/>
      <c r="N555" s="27"/>
      <c r="O555" s="24" t="str">
        <f aca="false">IF(G555="","",VLOOKUP(G555,Setup!$A$14:$C$17,3,0))</f>
        <v/>
      </c>
      <c r="P555" s="27"/>
      <c r="Q555" s="29" t="str">
        <f aca="false">IF(OR(P555="",M555&lt;&gt;"Paid",O555=""),"",P555/O555)</f>
        <v/>
      </c>
      <c r="R555" s="30" t="str">
        <f aca="false">IF(Q555="","",Q555+N(H555)*0.000000001)</f>
        <v/>
      </c>
      <c r="S555" s="25" t="str">
        <f aca="false">IF(R555="","",SUMPRODUCT((I$5:I$4004=I555)*ISNUMBER(R$5:R$4004)*(R$5:R$4004&gt;R555))+1)</f>
        <v/>
      </c>
      <c r="T555" s="25" t="str">
        <f aca="false">IF(S555="","",IF(S555&lt;=Setup!$B$5,"🏆 WINNER",""))</f>
        <v/>
      </c>
      <c r="U555" s="24" t="str">
        <f aca="false">IF(S555="","",I555&amp;"|"&amp;S555)</f>
        <v/>
      </c>
    </row>
    <row r="556" customFormat="false" ht="15" hidden="false" customHeight="false" outlineLevel="0" collapsed="false">
      <c r="A556" s="31" t="n">
        <v>552</v>
      </c>
      <c r="B556" s="32" t="str">
        <f aca="false">IF(OR(C556="",I556="",G556=""),"",IFERROR(VLOOKUP(I556,Setup!$A$9:$B$11,2,0),"???")&amp;"-"&amp;G556&amp;"-"&amp;TEXT(COUNTIFS(I$5:I556,I556,G$5:G556,G556),"0000"))</f>
        <v/>
      </c>
      <c r="C556" s="26"/>
      <c r="D556" s="26"/>
      <c r="E556" s="27"/>
      <c r="F556" s="27"/>
      <c r="G556" s="31" t="str">
        <f aca="false">IF(F556="","",IF(F556&lt;=5,"A",IF(F556&lt;=8,"B",IF(F556&lt;=10,"C","D"))))</f>
        <v/>
      </c>
      <c r="H556" s="28"/>
      <c r="I556" s="27"/>
      <c r="J556" s="26"/>
      <c r="K556" s="27"/>
      <c r="L556" s="27"/>
      <c r="M556" s="27"/>
      <c r="N556" s="27"/>
      <c r="O556" s="31" t="str">
        <f aca="false">IF(G556="","",VLOOKUP(G556,Setup!$A$14:$C$17,3,0))</f>
        <v/>
      </c>
      <c r="P556" s="27"/>
      <c r="Q556" s="33" t="str">
        <f aca="false">IF(OR(P556="",M556&lt;&gt;"Paid",O556=""),"",P556/O556)</f>
        <v/>
      </c>
      <c r="R556" s="34" t="str">
        <f aca="false">IF(Q556="","",Q556+N(H556)*0.000000001)</f>
        <v/>
      </c>
      <c r="S556" s="32" t="str">
        <f aca="false">IF(R556="","",SUMPRODUCT((I$5:I$4004=I556)*ISNUMBER(R$5:R$4004)*(R$5:R$4004&gt;R556))+1)</f>
        <v/>
      </c>
      <c r="T556" s="32" t="str">
        <f aca="false">IF(S556="","",IF(S556&lt;=Setup!$B$5,"🏆 WINNER",""))</f>
        <v/>
      </c>
      <c r="U556" s="31" t="str">
        <f aca="false">IF(S556="","",I556&amp;"|"&amp;S556)</f>
        <v/>
      </c>
    </row>
    <row r="557" customFormat="false" ht="15" hidden="false" customHeight="false" outlineLevel="0" collapsed="false">
      <c r="A557" s="24" t="n">
        <v>553</v>
      </c>
      <c r="B557" s="25" t="str">
        <f aca="false">IF(OR(C557="",I557="",G557=""),"",IFERROR(VLOOKUP(I557,Setup!$A$9:$B$11,2,0),"???")&amp;"-"&amp;G557&amp;"-"&amp;TEXT(COUNTIFS(I$5:I557,I557,G$5:G557,G557),"0000"))</f>
        <v/>
      </c>
      <c r="C557" s="26"/>
      <c r="D557" s="26"/>
      <c r="E557" s="27"/>
      <c r="F557" s="27"/>
      <c r="G557" s="24" t="str">
        <f aca="false">IF(F557="","",IF(F557&lt;=5,"A",IF(F557&lt;=8,"B",IF(F557&lt;=10,"C","D"))))</f>
        <v/>
      </c>
      <c r="H557" s="28"/>
      <c r="I557" s="27"/>
      <c r="J557" s="26"/>
      <c r="K557" s="27"/>
      <c r="L557" s="27"/>
      <c r="M557" s="27"/>
      <c r="N557" s="27"/>
      <c r="O557" s="24" t="str">
        <f aca="false">IF(G557="","",VLOOKUP(G557,Setup!$A$14:$C$17,3,0))</f>
        <v/>
      </c>
      <c r="P557" s="27"/>
      <c r="Q557" s="29" t="str">
        <f aca="false">IF(OR(P557="",M557&lt;&gt;"Paid",O557=""),"",P557/O557)</f>
        <v/>
      </c>
      <c r="R557" s="30" t="str">
        <f aca="false">IF(Q557="","",Q557+N(H557)*0.000000001)</f>
        <v/>
      </c>
      <c r="S557" s="25" t="str">
        <f aca="false">IF(R557="","",SUMPRODUCT((I$5:I$4004=I557)*ISNUMBER(R$5:R$4004)*(R$5:R$4004&gt;R557))+1)</f>
        <v/>
      </c>
      <c r="T557" s="25" t="str">
        <f aca="false">IF(S557="","",IF(S557&lt;=Setup!$B$5,"🏆 WINNER",""))</f>
        <v/>
      </c>
      <c r="U557" s="24" t="str">
        <f aca="false">IF(S557="","",I557&amp;"|"&amp;S557)</f>
        <v/>
      </c>
    </row>
    <row r="558" customFormat="false" ht="15" hidden="false" customHeight="false" outlineLevel="0" collapsed="false">
      <c r="A558" s="31" t="n">
        <v>554</v>
      </c>
      <c r="B558" s="32" t="str">
        <f aca="false">IF(OR(C558="",I558="",G558=""),"",IFERROR(VLOOKUP(I558,Setup!$A$9:$B$11,2,0),"???")&amp;"-"&amp;G558&amp;"-"&amp;TEXT(COUNTIFS(I$5:I558,I558,G$5:G558,G558),"0000"))</f>
        <v/>
      </c>
      <c r="C558" s="26"/>
      <c r="D558" s="26"/>
      <c r="E558" s="27"/>
      <c r="F558" s="27"/>
      <c r="G558" s="31" t="str">
        <f aca="false">IF(F558="","",IF(F558&lt;=5,"A",IF(F558&lt;=8,"B",IF(F558&lt;=10,"C","D"))))</f>
        <v/>
      </c>
      <c r="H558" s="28"/>
      <c r="I558" s="27"/>
      <c r="J558" s="26"/>
      <c r="K558" s="27"/>
      <c r="L558" s="27"/>
      <c r="M558" s="27"/>
      <c r="N558" s="27"/>
      <c r="O558" s="31" t="str">
        <f aca="false">IF(G558="","",VLOOKUP(G558,Setup!$A$14:$C$17,3,0))</f>
        <v/>
      </c>
      <c r="P558" s="27"/>
      <c r="Q558" s="33" t="str">
        <f aca="false">IF(OR(P558="",M558&lt;&gt;"Paid",O558=""),"",P558/O558)</f>
        <v/>
      </c>
      <c r="R558" s="34" t="str">
        <f aca="false">IF(Q558="","",Q558+N(H558)*0.000000001)</f>
        <v/>
      </c>
      <c r="S558" s="32" t="str">
        <f aca="false">IF(R558="","",SUMPRODUCT((I$5:I$4004=I558)*ISNUMBER(R$5:R$4004)*(R$5:R$4004&gt;R558))+1)</f>
        <v/>
      </c>
      <c r="T558" s="32" t="str">
        <f aca="false">IF(S558="","",IF(S558&lt;=Setup!$B$5,"🏆 WINNER",""))</f>
        <v/>
      </c>
      <c r="U558" s="31" t="str">
        <f aca="false">IF(S558="","",I558&amp;"|"&amp;S558)</f>
        <v/>
      </c>
    </row>
    <row r="559" customFormat="false" ht="15" hidden="false" customHeight="false" outlineLevel="0" collapsed="false">
      <c r="A559" s="24" t="n">
        <v>555</v>
      </c>
      <c r="B559" s="25" t="str">
        <f aca="false">IF(OR(C559="",I559="",G559=""),"",IFERROR(VLOOKUP(I559,Setup!$A$9:$B$11,2,0),"???")&amp;"-"&amp;G559&amp;"-"&amp;TEXT(COUNTIFS(I$5:I559,I559,G$5:G559,G559),"0000"))</f>
        <v/>
      </c>
      <c r="C559" s="26"/>
      <c r="D559" s="26"/>
      <c r="E559" s="27"/>
      <c r="F559" s="27"/>
      <c r="G559" s="24" t="str">
        <f aca="false">IF(F559="","",IF(F559&lt;=5,"A",IF(F559&lt;=8,"B",IF(F559&lt;=10,"C","D"))))</f>
        <v/>
      </c>
      <c r="H559" s="28"/>
      <c r="I559" s="27"/>
      <c r="J559" s="26"/>
      <c r="K559" s="27"/>
      <c r="L559" s="27"/>
      <c r="M559" s="27"/>
      <c r="N559" s="27"/>
      <c r="O559" s="24" t="str">
        <f aca="false">IF(G559="","",VLOOKUP(G559,Setup!$A$14:$C$17,3,0))</f>
        <v/>
      </c>
      <c r="P559" s="27"/>
      <c r="Q559" s="29" t="str">
        <f aca="false">IF(OR(P559="",M559&lt;&gt;"Paid",O559=""),"",P559/O559)</f>
        <v/>
      </c>
      <c r="R559" s="30" t="str">
        <f aca="false">IF(Q559="","",Q559+N(H559)*0.000000001)</f>
        <v/>
      </c>
      <c r="S559" s="25" t="str">
        <f aca="false">IF(R559="","",SUMPRODUCT((I$5:I$4004=I559)*ISNUMBER(R$5:R$4004)*(R$5:R$4004&gt;R559))+1)</f>
        <v/>
      </c>
      <c r="T559" s="25" t="str">
        <f aca="false">IF(S559="","",IF(S559&lt;=Setup!$B$5,"🏆 WINNER",""))</f>
        <v/>
      </c>
      <c r="U559" s="24" t="str">
        <f aca="false">IF(S559="","",I559&amp;"|"&amp;S559)</f>
        <v/>
      </c>
    </row>
    <row r="560" customFormat="false" ht="15" hidden="false" customHeight="false" outlineLevel="0" collapsed="false">
      <c r="A560" s="31" t="n">
        <v>556</v>
      </c>
      <c r="B560" s="32" t="str">
        <f aca="false">IF(OR(C560="",I560="",G560=""),"",IFERROR(VLOOKUP(I560,Setup!$A$9:$B$11,2,0),"???")&amp;"-"&amp;G560&amp;"-"&amp;TEXT(COUNTIFS(I$5:I560,I560,G$5:G560,G560),"0000"))</f>
        <v/>
      </c>
      <c r="C560" s="26"/>
      <c r="D560" s="26"/>
      <c r="E560" s="27"/>
      <c r="F560" s="27"/>
      <c r="G560" s="31" t="str">
        <f aca="false">IF(F560="","",IF(F560&lt;=5,"A",IF(F560&lt;=8,"B",IF(F560&lt;=10,"C","D"))))</f>
        <v/>
      </c>
      <c r="H560" s="28"/>
      <c r="I560" s="27"/>
      <c r="J560" s="26"/>
      <c r="K560" s="27"/>
      <c r="L560" s="27"/>
      <c r="M560" s="27"/>
      <c r="N560" s="27"/>
      <c r="O560" s="31" t="str">
        <f aca="false">IF(G560="","",VLOOKUP(G560,Setup!$A$14:$C$17,3,0))</f>
        <v/>
      </c>
      <c r="P560" s="27"/>
      <c r="Q560" s="33" t="str">
        <f aca="false">IF(OR(P560="",M560&lt;&gt;"Paid",O560=""),"",P560/O560)</f>
        <v/>
      </c>
      <c r="R560" s="34" t="str">
        <f aca="false">IF(Q560="","",Q560+N(H560)*0.000000001)</f>
        <v/>
      </c>
      <c r="S560" s="32" t="str">
        <f aca="false">IF(R560="","",SUMPRODUCT((I$5:I$4004=I560)*ISNUMBER(R$5:R$4004)*(R$5:R$4004&gt;R560))+1)</f>
        <v/>
      </c>
      <c r="T560" s="32" t="str">
        <f aca="false">IF(S560="","",IF(S560&lt;=Setup!$B$5,"🏆 WINNER",""))</f>
        <v/>
      </c>
      <c r="U560" s="31" t="str">
        <f aca="false">IF(S560="","",I560&amp;"|"&amp;S560)</f>
        <v/>
      </c>
    </row>
    <row r="561" customFormat="false" ht="15" hidden="false" customHeight="false" outlineLevel="0" collapsed="false">
      <c r="A561" s="24" t="n">
        <v>557</v>
      </c>
      <c r="B561" s="25" t="str">
        <f aca="false">IF(OR(C561="",I561="",G561=""),"",IFERROR(VLOOKUP(I561,Setup!$A$9:$B$11,2,0),"???")&amp;"-"&amp;G561&amp;"-"&amp;TEXT(COUNTIFS(I$5:I561,I561,G$5:G561,G561),"0000"))</f>
        <v/>
      </c>
      <c r="C561" s="26"/>
      <c r="D561" s="26"/>
      <c r="E561" s="27"/>
      <c r="F561" s="27"/>
      <c r="G561" s="24" t="str">
        <f aca="false">IF(F561="","",IF(F561&lt;=5,"A",IF(F561&lt;=8,"B",IF(F561&lt;=10,"C","D"))))</f>
        <v/>
      </c>
      <c r="H561" s="28"/>
      <c r="I561" s="27"/>
      <c r="J561" s="26"/>
      <c r="K561" s="27"/>
      <c r="L561" s="27"/>
      <c r="M561" s="27"/>
      <c r="N561" s="27"/>
      <c r="O561" s="24" t="str">
        <f aca="false">IF(G561="","",VLOOKUP(G561,Setup!$A$14:$C$17,3,0))</f>
        <v/>
      </c>
      <c r="P561" s="27"/>
      <c r="Q561" s="29" t="str">
        <f aca="false">IF(OR(P561="",M561&lt;&gt;"Paid",O561=""),"",P561/O561)</f>
        <v/>
      </c>
      <c r="R561" s="30" t="str">
        <f aca="false">IF(Q561="","",Q561+N(H561)*0.000000001)</f>
        <v/>
      </c>
      <c r="S561" s="25" t="str">
        <f aca="false">IF(R561="","",SUMPRODUCT((I$5:I$4004=I561)*ISNUMBER(R$5:R$4004)*(R$5:R$4004&gt;R561))+1)</f>
        <v/>
      </c>
      <c r="T561" s="25" t="str">
        <f aca="false">IF(S561="","",IF(S561&lt;=Setup!$B$5,"🏆 WINNER",""))</f>
        <v/>
      </c>
      <c r="U561" s="24" t="str">
        <f aca="false">IF(S561="","",I561&amp;"|"&amp;S561)</f>
        <v/>
      </c>
    </row>
    <row r="562" customFormat="false" ht="15" hidden="false" customHeight="false" outlineLevel="0" collapsed="false">
      <c r="A562" s="31" t="n">
        <v>558</v>
      </c>
      <c r="B562" s="32" t="str">
        <f aca="false">IF(OR(C562="",I562="",G562=""),"",IFERROR(VLOOKUP(I562,Setup!$A$9:$B$11,2,0),"???")&amp;"-"&amp;G562&amp;"-"&amp;TEXT(COUNTIFS(I$5:I562,I562,G$5:G562,G562),"0000"))</f>
        <v/>
      </c>
      <c r="C562" s="26"/>
      <c r="D562" s="26"/>
      <c r="E562" s="27"/>
      <c r="F562" s="27"/>
      <c r="G562" s="31" t="str">
        <f aca="false">IF(F562="","",IF(F562&lt;=5,"A",IF(F562&lt;=8,"B",IF(F562&lt;=10,"C","D"))))</f>
        <v/>
      </c>
      <c r="H562" s="28"/>
      <c r="I562" s="27"/>
      <c r="J562" s="26"/>
      <c r="K562" s="27"/>
      <c r="L562" s="27"/>
      <c r="M562" s="27"/>
      <c r="N562" s="27"/>
      <c r="O562" s="31" t="str">
        <f aca="false">IF(G562="","",VLOOKUP(G562,Setup!$A$14:$C$17,3,0))</f>
        <v/>
      </c>
      <c r="P562" s="27"/>
      <c r="Q562" s="33" t="str">
        <f aca="false">IF(OR(P562="",M562&lt;&gt;"Paid",O562=""),"",P562/O562)</f>
        <v/>
      </c>
      <c r="R562" s="34" t="str">
        <f aca="false">IF(Q562="","",Q562+N(H562)*0.000000001)</f>
        <v/>
      </c>
      <c r="S562" s="32" t="str">
        <f aca="false">IF(R562="","",SUMPRODUCT((I$5:I$4004=I562)*ISNUMBER(R$5:R$4004)*(R$5:R$4004&gt;R562))+1)</f>
        <v/>
      </c>
      <c r="T562" s="32" t="str">
        <f aca="false">IF(S562="","",IF(S562&lt;=Setup!$B$5,"🏆 WINNER",""))</f>
        <v/>
      </c>
      <c r="U562" s="31" t="str">
        <f aca="false">IF(S562="","",I562&amp;"|"&amp;S562)</f>
        <v/>
      </c>
    </row>
    <row r="563" customFormat="false" ht="15" hidden="false" customHeight="false" outlineLevel="0" collapsed="false">
      <c r="A563" s="24" t="n">
        <v>559</v>
      </c>
      <c r="B563" s="25" t="str">
        <f aca="false">IF(OR(C563="",I563="",G563=""),"",IFERROR(VLOOKUP(I563,Setup!$A$9:$B$11,2,0),"???")&amp;"-"&amp;G563&amp;"-"&amp;TEXT(COUNTIFS(I$5:I563,I563,G$5:G563,G563),"0000"))</f>
        <v/>
      </c>
      <c r="C563" s="26"/>
      <c r="D563" s="26"/>
      <c r="E563" s="27"/>
      <c r="F563" s="27"/>
      <c r="G563" s="24" t="str">
        <f aca="false">IF(F563="","",IF(F563&lt;=5,"A",IF(F563&lt;=8,"B",IF(F563&lt;=10,"C","D"))))</f>
        <v/>
      </c>
      <c r="H563" s="28"/>
      <c r="I563" s="27"/>
      <c r="J563" s="26"/>
      <c r="K563" s="27"/>
      <c r="L563" s="27"/>
      <c r="M563" s="27"/>
      <c r="N563" s="27"/>
      <c r="O563" s="24" t="str">
        <f aca="false">IF(G563="","",VLOOKUP(G563,Setup!$A$14:$C$17,3,0))</f>
        <v/>
      </c>
      <c r="P563" s="27"/>
      <c r="Q563" s="29" t="str">
        <f aca="false">IF(OR(P563="",M563&lt;&gt;"Paid",O563=""),"",P563/O563)</f>
        <v/>
      </c>
      <c r="R563" s="30" t="str">
        <f aca="false">IF(Q563="","",Q563+N(H563)*0.000000001)</f>
        <v/>
      </c>
      <c r="S563" s="25" t="str">
        <f aca="false">IF(R563="","",SUMPRODUCT((I$5:I$4004=I563)*ISNUMBER(R$5:R$4004)*(R$5:R$4004&gt;R563))+1)</f>
        <v/>
      </c>
      <c r="T563" s="25" t="str">
        <f aca="false">IF(S563="","",IF(S563&lt;=Setup!$B$5,"🏆 WINNER",""))</f>
        <v/>
      </c>
      <c r="U563" s="24" t="str">
        <f aca="false">IF(S563="","",I563&amp;"|"&amp;S563)</f>
        <v/>
      </c>
    </row>
    <row r="564" customFormat="false" ht="15" hidden="false" customHeight="false" outlineLevel="0" collapsed="false">
      <c r="A564" s="31" t="n">
        <v>560</v>
      </c>
      <c r="B564" s="32" t="str">
        <f aca="false">IF(OR(C564="",I564="",G564=""),"",IFERROR(VLOOKUP(I564,Setup!$A$9:$B$11,2,0),"???")&amp;"-"&amp;G564&amp;"-"&amp;TEXT(COUNTIFS(I$5:I564,I564,G$5:G564,G564),"0000"))</f>
        <v/>
      </c>
      <c r="C564" s="26"/>
      <c r="D564" s="26"/>
      <c r="E564" s="27"/>
      <c r="F564" s="27"/>
      <c r="G564" s="31" t="str">
        <f aca="false">IF(F564="","",IF(F564&lt;=5,"A",IF(F564&lt;=8,"B",IF(F564&lt;=10,"C","D"))))</f>
        <v/>
      </c>
      <c r="H564" s="28"/>
      <c r="I564" s="27"/>
      <c r="J564" s="26"/>
      <c r="K564" s="27"/>
      <c r="L564" s="27"/>
      <c r="M564" s="27"/>
      <c r="N564" s="27"/>
      <c r="O564" s="31" t="str">
        <f aca="false">IF(G564="","",VLOOKUP(G564,Setup!$A$14:$C$17,3,0))</f>
        <v/>
      </c>
      <c r="P564" s="27"/>
      <c r="Q564" s="33" t="str">
        <f aca="false">IF(OR(P564="",M564&lt;&gt;"Paid",O564=""),"",P564/O564)</f>
        <v/>
      </c>
      <c r="R564" s="34" t="str">
        <f aca="false">IF(Q564="","",Q564+N(H564)*0.000000001)</f>
        <v/>
      </c>
      <c r="S564" s="32" t="str">
        <f aca="false">IF(R564="","",SUMPRODUCT((I$5:I$4004=I564)*ISNUMBER(R$5:R$4004)*(R$5:R$4004&gt;R564))+1)</f>
        <v/>
      </c>
      <c r="T564" s="32" t="str">
        <f aca="false">IF(S564="","",IF(S564&lt;=Setup!$B$5,"🏆 WINNER",""))</f>
        <v/>
      </c>
      <c r="U564" s="31" t="str">
        <f aca="false">IF(S564="","",I564&amp;"|"&amp;S564)</f>
        <v/>
      </c>
    </row>
    <row r="565" customFormat="false" ht="15" hidden="false" customHeight="false" outlineLevel="0" collapsed="false">
      <c r="A565" s="24" t="n">
        <v>561</v>
      </c>
      <c r="B565" s="25" t="str">
        <f aca="false">IF(OR(C565="",I565="",G565=""),"",IFERROR(VLOOKUP(I565,Setup!$A$9:$B$11,2,0),"???")&amp;"-"&amp;G565&amp;"-"&amp;TEXT(COUNTIFS(I$5:I565,I565,G$5:G565,G565),"0000"))</f>
        <v/>
      </c>
      <c r="C565" s="26"/>
      <c r="D565" s="26"/>
      <c r="E565" s="27"/>
      <c r="F565" s="27"/>
      <c r="G565" s="24" t="str">
        <f aca="false">IF(F565="","",IF(F565&lt;=5,"A",IF(F565&lt;=8,"B",IF(F565&lt;=10,"C","D"))))</f>
        <v/>
      </c>
      <c r="H565" s="28"/>
      <c r="I565" s="27"/>
      <c r="J565" s="26"/>
      <c r="K565" s="27"/>
      <c r="L565" s="27"/>
      <c r="M565" s="27"/>
      <c r="N565" s="27"/>
      <c r="O565" s="24" t="str">
        <f aca="false">IF(G565="","",VLOOKUP(G565,Setup!$A$14:$C$17,3,0))</f>
        <v/>
      </c>
      <c r="P565" s="27"/>
      <c r="Q565" s="29" t="str">
        <f aca="false">IF(OR(P565="",M565&lt;&gt;"Paid",O565=""),"",P565/O565)</f>
        <v/>
      </c>
      <c r="R565" s="30" t="str">
        <f aca="false">IF(Q565="","",Q565+N(H565)*0.000000001)</f>
        <v/>
      </c>
      <c r="S565" s="25" t="str">
        <f aca="false">IF(R565="","",SUMPRODUCT((I$5:I$4004=I565)*ISNUMBER(R$5:R$4004)*(R$5:R$4004&gt;R565))+1)</f>
        <v/>
      </c>
      <c r="T565" s="25" t="str">
        <f aca="false">IF(S565="","",IF(S565&lt;=Setup!$B$5,"🏆 WINNER",""))</f>
        <v/>
      </c>
      <c r="U565" s="24" t="str">
        <f aca="false">IF(S565="","",I565&amp;"|"&amp;S565)</f>
        <v/>
      </c>
    </row>
    <row r="566" customFormat="false" ht="15" hidden="false" customHeight="false" outlineLevel="0" collapsed="false">
      <c r="A566" s="31" t="n">
        <v>562</v>
      </c>
      <c r="B566" s="32" t="str">
        <f aca="false">IF(OR(C566="",I566="",G566=""),"",IFERROR(VLOOKUP(I566,Setup!$A$9:$B$11,2,0),"???")&amp;"-"&amp;G566&amp;"-"&amp;TEXT(COUNTIFS(I$5:I566,I566,G$5:G566,G566),"0000"))</f>
        <v/>
      </c>
      <c r="C566" s="26"/>
      <c r="D566" s="26"/>
      <c r="E566" s="27"/>
      <c r="F566" s="27"/>
      <c r="G566" s="31" t="str">
        <f aca="false">IF(F566="","",IF(F566&lt;=5,"A",IF(F566&lt;=8,"B",IF(F566&lt;=10,"C","D"))))</f>
        <v/>
      </c>
      <c r="H566" s="28"/>
      <c r="I566" s="27"/>
      <c r="J566" s="26"/>
      <c r="K566" s="27"/>
      <c r="L566" s="27"/>
      <c r="M566" s="27"/>
      <c r="N566" s="27"/>
      <c r="O566" s="31" t="str">
        <f aca="false">IF(G566="","",VLOOKUP(G566,Setup!$A$14:$C$17,3,0))</f>
        <v/>
      </c>
      <c r="P566" s="27"/>
      <c r="Q566" s="33" t="str">
        <f aca="false">IF(OR(P566="",M566&lt;&gt;"Paid",O566=""),"",P566/O566)</f>
        <v/>
      </c>
      <c r="R566" s="34" t="str">
        <f aca="false">IF(Q566="","",Q566+N(H566)*0.000000001)</f>
        <v/>
      </c>
      <c r="S566" s="32" t="str">
        <f aca="false">IF(R566="","",SUMPRODUCT((I$5:I$4004=I566)*ISNUMBER(R$5:R$4004)*(R$5:R$4004&gt;R566))+1)</f>
        <v/>
      </c>
      <c r="T566" s="32" t="str">
        <f aca="false">IF(S566="","",IF(S566&lt;=Setup!$B$5,"🏆 WINNER",""))</f>
        <v/>
      </c>
      <c r="U566" s="31" t="str">
        <f aca="false">IF(S566="","",I566&amp;"|"&amp;S566)</f>
        <v/>
      </c>
    </row>
    <row r="567" customFormat="false" ht="15" hidden="false" customHeight="false" outlineLevel="0" collapsed="false">
      <c r="A567" s="24" t="n">
        <v>563</v>
      </c>
      <c r="B567" s="25" t="str">
        <f aca="false">IF(OR(C567="",I567="",G567=""),"",IFERROR(VLOOKUP(I567,Setup!$A$9:$B$11,2,0),"???")&amp;"-"&amp;G567&amp;"-"&amp;TEXT(COUNTIFS(I$5:I567,I567,G$5:G567,G567),"0000"))</f>
        <v/>
      </c>
      <c r="C567" s="26"/>
      <c r="D567" s="26"/>
      <c r="E567" s="27"/>
      <c r="F567" s="27"/>
      <c r="G567" s="24" t="str">
        <f aca="false">IF(F567="","",IF(F567&lt;=5,"A",IF(F567&lt;=8,"B",IF(F567&lt;=10,"C","D"))))</f>
        <v/>
      </c>
      <c r="H567" s="28"/>
      <c r="I567" s="27"/>
      <c r="J567" s="26"/>
      <c r="K567" s="27"/>
      <c r="L567" s="27"/>
      <c r="M567" s="27"/>
      <c r="N567" s="27"/>
      <c r="O567" s="24" t="str">
        <f aca="false">IF(G567="","",VLOOKUP(G567,Setup!$A$14:$C$17,3,0))</f>
        <v/>
      </c>
      <c r="P567" s="27"/>
      <c r="Q567" s="29" t="str">
        <f aca="false">IF(OR(P567="",M567&lt;&gt;"Paid",O567=""),"",P567/O567)</f>
        <v/>
      </c>
      <c r="R567" s="30" t="str">
        <f aca="false">IF(Q567="","",Q567+N(H567)*0.000000001)</f>
        <v/>
      </c>
      <c r="S567" s="25" t="str">
        <f aca="false">IF(R567="","",SUMPRODUCT((I$5:I$4004=I567)*ISNUMBER(R$5:R$4004)*(R$5:R$4004&gt;R567))+1)</f>
        <v/>
      </c>
      <c r="T567" s="25" t="str">
        <f aca="false">IF(S567="","",IF(S567&lt;=Setup!$B$5,"🏆 WINNER",""))</f>
        <v/>
      </c>
      <c r="U567" s="24" t="str">
        <f aca="false">IF(S567="","",I567&amp;"|"&amp;S567)</f>
        <v/>
      </c>
    </row>
    <row r="568" customFormat="false" ht="15" hidden="false" customHeight="false" outlineLevel="0" collapsed="false">
      <c r="A568" s="31" t="n">
        <v>564</v>
      </c>
      <c r="B568" s="32" t="str">
        <f aca="false">IF(OR(C568="",I568="",G568=""),"",IFERROR(VLOOKUP(I568,Setup!$A$9:$B$11,2,0),"???")&amp;"-"&amp;G568&amp;"-"&amp;TEXT(COUNTIFS(I$5:I568,I568,G$5:G568,G568),"0000"))</f>
        <v/>
      </c>
      <c r="C568" s="26"/>
      <c r="D568" s="26"/>
      <c r="E568" s="27"/>
      <c r="F568" s="27"/>
      <c r="G568" s="31" t="str">
        <f aca="false">IF(F568="","",IF(F568&lt;=5,"A",IF(F568&lt;=8,"B",IF(F568&lt;=10,"C","D"))))</f>
        <v/>
      </c>
      <c r="H568" s="28"/>
      <c r="I568" s="27"/>
      <c r="J568" s="26"/>
      <c r="K568" s="27"/>
      <c r="L568" s="27"/>
      <c r="M568" s="27"/>
      <c r="N568" s="27"/>
      <c r="O568" s="31" t="str">
        <f aca="false">IF(G568="","",VLOOKUP(G568,Setup!$A$14:$C$17,3,0))</f>
        <v/>
      </c>
      <c r="P568" s="27"/>
      <c r="Q568" s="33" t="str">
        <f aca="false">IF(OR(P568="",M568&lt;&gt;"Paid",O568=""),"",P568/O568)</f>
        <v/>
      </c>
      <c r="R568" s="34" t="str">
        <f aca="false">IF(Q568="","",Q568+N(H568)*0.000000001)</f>
        <v/>
      </c>
      <c r="S568" s="32" t="str">
        <f aca="false">IF(R568="","",SUMPRODUCT((I$5:I$4004=I568)*ISNUMBER(R$5:R$4004)*(R$5:R$4004&gt;R568))+1)</f>
        <v/>
      </c>
      <c r="T568" s="32" t="str">
        <f aca="false">IF(S568="","",IF(S568&lt;=Setup!$B$5,"🏆 WINNER",""))</f>
        <v/>
      </c>
      <c r="U568" s="31" t="str">
        <f aca="false">IF(S568="","",I568&amp;"|"&amp;S568)</f>
        <v/>
      </c>
    </row>
    <row r="569" customFormat="false" ht="15" hidden="false" customHeight="false" outlineLevel="0" collapsed="false">
      <c r="A569" s="24" t="n">
        <v>565</v>
      </c>
      <c r="B569" s="25" t="str">
        <f aca="false">IF(OR(C569="",I569="",G569=""),"",IFERROR(VLOOKUP(I569,Setup!$A$9:$B$11,2,0),"???")&amp;"-"&amp;G569&amp;"-"&amp;TEXT(COUNTIFS(I$5:I569,I569,G$5:G569,G569),"0000"))</f>
        <v/>
      </c>
      <c r="C569" s="26"/>
      <c r="D569" s="26"/>
      <c r="E569" s="27"/>
      <c r="F569" s="27"/>
      <c r="G569" s="24" t="str">
        <f aca="false">IF(F569="","",IF(F569&lt;=5,"A",IF(F569&lt;=8,"B",IF(F569&lt;=10,"C","D"))))</f>
        <v/>
      </c>
      <c r="H569" s="28"/>
      <c r="I569" s="27"/>
      <c r="J569" s="26"/>
      <c r="K569" s="27"/>
      <c r="L569" s="27"/>
      <c r="M569" s="27"/>
      <c r="N569" s="27"/>
      <c r="O569" s="24" t="str">
        <f aca="false">IF(G569="","",VLOOKUP(G569,Setup!$A$14:$C$17,3,0))</f>
        <v/>
      </c>
      <c r="P569" s="27"/>
      <c r="Q569" s="29" t="str">
        <f aca="false">IF(OR(P569="",M569&lt;&gt;"Paid",O569=""),"",P569/O569)</f>
        <v/>
      </c>
      <c r="R569" s="30" t="str">
        <f aca="false">IF(Q569="","",Q569+N(H569)*0.000000001)</f>
        <v/>
      </c>
      <c r="S569" s="25" t="str">
        <f aca="false">IF(R569="","",SUMPRODUCT((I$5:I$4004=I569)*ISNUMBER(R$5:R$4004)*(R$5:R$4004&gt;R569))+1)</f>
        <v/>
      </c>
      <c r="T569" s="25" t="str">
        <f aca="false">IF(S569="","",IF(S569&lt;=Setup!$B$5,"🏆 WINNER",""))</f>
        <v/>
      </c>
      <c r="U569" s="24" t="str">
        <f aca="false">IF(S569="","",I569&amp;"|"&amp;S569)</f>
        <v/>
      </c>
    </row>
    <row r="570" customFormat="false" ht="15" hidden="false" customHeight="false" outlineLevel="0" collapsed="false">
      <c r="A570" s="31" t="n">
        <v>566</v>
      </c>
      <c r="B570" s="32" t="str">
        <f aca="false">IF(OR(C570="",I570="",G570=""),"",IFERROR(VLOOKUP(I570,Setup!$A$9:$B$11,2,0),"???")&amp;"-"&amp;G570&amp;"-"&amp;TEXT(COUNTIFS(I$5:I570,I570,G$5:G570,G570),"0000"))</f>
        <v/>
      </c>
      <c r="C570" s="26"/>
      <c r="D570" s="26"/>
      <c r="E570" s="27"/>
      <c r="F570" s="27"/>
      <c r="G570" s="31" t="str">
        <f aca="false">IF(F570="","",IF(F570&lt;=5,"A",IF(F570&lt;=8,"B",IF(F570&lt;=10,"C","D"))))</f>
        <v/>
      </c>
      <c r="H570" s="28"/>
      <c r="I570" s="27"/>
      <c r="J570" s="26"/>
      <c r="K570" s="27"/>
      <c r="L570" s="27"/>
      <c r="M570" s="27"/>
      <c r="N570" s="27"/>
      <c r="O570" s="31" t="str">
        <f aca="false">IF(G570="","",VLOOKUP(G570,Setup!$A$14:$C$17,3,0))</f>
        <v/>
      </c>
      <c r="P570" s="27"/>
      <c r="Q570" s="33" t="str">
        <f aca="false">IF(OR(P570="",M570&lt;&gt;"Paid",O570=""),"",P570/O570)</f>
        <v/>
      </c>
      <c r="R570" s="34" t="str">
        <f aca="false">IF(Q570="","",Q570+N(H570)*0.000000001)</f>
        <v/>
      </c>
      <c r="S570" s="32" t="str">
        <f aca="false">IF(R570="","",SUMPRODUCT((I$5:I$4004=I570)*ISNUMBER(R$5:R$4004)*(R$5:R$4004&gt;R570))+1)</f>
        <v/>
      </c>
      <c r="T570" s="32" t="str">
        <f aca="false">IF(S570="","",IF(S570&lt;=Setup!$B$5,"🏆 WINNER",""))</f>
        <v/>
      </c>
      <c r="U570" s="31" t="str">
        <f aca="false">IF(S570="","",I570&amp;"|"&amp;S570)</f>
        <v/>
      </c>
    </row>
    <row r="571" customFormat="false" ht="15" hidden="false" customHeight="false" outlineLevel="0" collapsed="false">
      <c r="A571" s="24" t="n">
        <v>567</v>
      </c>
      <c r="B571" s="25" t="str">
        <f aca="false">IF(OR(C571="",I571="",G571=""),"",IFERROR(VLOOKUP(I571,Setup!$A$9:$B$11,2,0),"???")&amp;"-"&amp;G571&amp;"-"&amp;TEXT(COUNTIFS(I$5:I571,I571,G$5:G571,G571),"0000"))</f>
        <v/>
      </c>
      <c r="C571" s="26"/>
      <c r="D571" s="26"/>
      <c r="E571" s="27"/>
      <c r="F571" s="27"/>
      <c r="G571" s="24" t="str">
        <f aca="false">IF(F571="","",IF(F571&lt;=5,"A",IF(F571&lt;=8,"B",IF(F571&lt;=10,"C","D"))))</f>
        <v/>
      </c>
      <c r="H571" s="28"/>
      <c r="I571" s="27"/>
      <c r="J571" s="26"/>
      <c r="K571" s="27"/>
      <c r="L571" s="27"/>
      <c r="M571" s="27"/>
      <c r="N571" s="27"/>
      <c r="O571" s="24" t="str">
        <f aca="false">IF(G571="","",VLOOKUP(G571,Setup!$A$14:$C$17,3,0))</f>
        <v/>
      </c>
      <c r="P571" s="27"/>
      <c r="Q571" s="29" t="str">
        <f aca="false">IF(OR(P571="",M571&lt;&gt;"Paid",O571=""),"",P571/O571)</f>
        <v/>
      </c>
      <c r="R571" s="30" t="str">
        <f aca="false">IF(Q571="","",Q571+N(H571)*0.000000001)</f>
        <v/>
      </c>
      <c r="S571" s="25" t="str">
        <f aca="false">IF(R571="","",SUMPRODUCT((I$5:I$4004=I571)*ISNUMBER(R$5:R$4004)*(R$5:R$4004&gt;R571))+1)</f>
        <v/>
      </c>
      <c r="T571" s="25" t="str">
        <f aca="false">IF(S571="","",IF(S571&lt;=Setup!$B$5,"🏆 WINNER",""))</f>
        <v/>
      </c>
      <c r="U571" s="24" t="str">
        <f aca="false">IF(S571="","",I571&amp;"|"&amp;S571)</f>
        <v/>
      </c>
    </row>
    <row r="572" customFormat="false" ht="15" hidden="false" customHeight="false" outlineLevel="0" collapsed="false">
      <c r="A572" s="31" t="n">
        <v>568</v>
      </c>
      <c r="B572" s="32" t="str">
        <f aca="false">IF(OR(C572="",I572="",G572=""),"",IFERROR(VLOOKUP(I572,Setup!$A$9:$B$11,2,0),"???")&amp;"-"&amp;G572&amp;"-"&amp;TEXT(COUNTIFS(I$5:I572,I572,G$5:G572,G572),"0000"))</f>
        <v/>
      </c>
      <c r="C572" s="26"/>
      <c r="D572" s="26"/>
      <c r="E572" s="27"/>
      <c r="F572" s="27"/>
      <c r="G572" s="31" t="str">
        <f aca="false">IF(F572="","",IF(F572&lt;=5,"A",IF(F572&lt;=8,"B",IF(F572&lt;=10,"C","D"))))</f>
        <v/>
      </c>
      <c r="H572" s="28"/>
      <c r="I572" s="27"/>
      <c r="J572" s="26"/>
      <c r="K572" s="27"/>
      <c r="L572" s="27"/>
      <c r="M572" s="27"/>
      <c r="N572" s="27"/>
      <c r="O572" s="31" t="str">
        <f aca="false">IF(G572="","",VLOOKUP(G572,Setup!$A$14:$C$17,3,0))</f>
        <v/>
      </c>
      <c r="P572" s="27"/>
      <c r="Q572" s="33" t="str">
        <f aca="false">IF(OR(P572="",M572&lt;&gt;"Paid",O572=""),"",P572/O572)</f>
        <v/>
      </c>
      <c r="R572" s="34" t="str">
        <f aca="false">IF(Q572="","",Q572+N(H572)*0.000000001)</f>
        <v/>
      </c>
      <c r="S572" s="32" t="str">
        <f aca="false">IF(R572="","",SUMPRODUCT((I$5:I$4004=I572)*ISNUMBER(R$5:R$4004)*(R$5:R$4004&gt;R572))+1)</f>
        <v/>
      </c>
      <c r="T572" s="32" t="str">
        <f aca="false">IF(S572="","",IF(S572&lt;=Setup!$B$5,"🏆 WINNER",""))</f>
        <v/>
      </c>
      <c r="U572" s="31" t="str">
        <f aca="false">IF(S572="","",I572&amp;"|"&amp;S572)</f>
        <v/>
      </c>
    </row>
    <row r="573" customFormat="false" ht="15" hidden="false" customHeight="false" outlineLevel="0" collapsed="false">
      <c r="A573" s="24" t="n">
        <v>569</v>
      </c>
      <c r="B573" s="25" t="str">
        <f aca="false">IF(OR(C573="",I573="",G573=""),"",IFERROR(VLOOKUP(I573,Setup!$A$9:$B$11,2,0),"???")&amp;"-"&amp;G573&amp;"-"&amp;TEXT(COUNTIFS(I$5:I573,I573,G$5:G573,G573),"0000"))</f>
        <v/>
      </c>
      <c r="C573" s="26"/>
      <c r="D573" s="26"/>
      <c r="E573" s="27"/>
      <c r="F573" s="27"/>
      <c r="G573" s="24" t="str">
        <f aca="false">IF(F573="","",IF(F573&lt;=5,"A",IF(F573&lt;=8,"B",IF(F573&lt;=10,"C","D"))))</f>
        <v/>
      </c>
      <c r="H573" s="28"/>
      <c r="I573" s="27"/>
      <c r="J573" s="26"/>
      <c r="K573" s="27"/>
      <c r="L573" s="27"/>
      <c r="M573" s="27"/>
      <c r="N573" s="27"/>
      <c r="O573" s="24" t="str">
        <f aca="false">IF(G573="","",VLOOKUP(G573,Setup!$A$14:$C$17,3,0))</f>
        <v/>
      </c>
      <c r="P573" s="27"/>
      <c r="Q573" s="29" t="str">
        <f aca="false">IF(OR(P573="",M573&lt;&gt;"Paid",O573=""),"",P573/O573)</f>
        <v/>
      </c>
      <c r="R573" s="30" t="str">
        <f aca="false">IF(Q573="","",Q573+N(H573)*0.000000001)</f>
        <v/>
      </c>
      <c r="S573" s="25" t="str">
        <f aca="false">IF(R573="","",SUMPRODUCT((I$5:I$4004=I573)*ISNUMBER(R$5:R$4004)*(R$5:R$4004&gt;R573))+1)</f>
        <v/>
      </c>
      <c r="T573" s="25" t="str">
        <f aca="false">IF(S573="","",IF(S573&lt;=Setup!$B$5,"🏆 WINNER",""))</f>
        <v/>
      </c>
      <c r="U573" s="24" t="str">
        <f aca="false">IF(S573="","",I573&amp;"|"&amp;S573)</f>
        <v/>
      </c>
    </row>
    <row r="574" customFormat="false" ht="15" hidden="false" customHeight="false" outlineLevel="0" collapsed="false">
      <c r="A574" s="31" t="n">
        <v>570</v>
      </c>
      <c r="B574" s="32" t="str">
        <f aca="false">IF(OR(C574="",I574="",G574=""),"",IFERROR(VLOOKUP(I574,Setup!$A$9:$B$11,2,0),"???")&amp;"-"&amp;G574&amp;"-"&amp;TEXT(COUNTIFS(I$5:I574,I574,G$5:G574,G574),"0000"))</f>
        <v/>
      </c>
      <c r="C574" s="26"/>
      <c r="D574" s="26"/>
      <c r="E574" s="27"/>
      <c r="F574" s="27"/>
      <c r="G574" s="31" t="str">
        <f aca="false">IF(F574="","",IF(F574&lt;=5,"A",IF(F574&lt;=8,"B",IF(F574&lt;=10,"C","D"))))</f>
        <v/>
      </c>
      <c r="H574" s="28"/>
      <c r="I574" s="27"/>
      <c r="J574" s="26"/>
      <c r="K574" s="27"/>
      <c r="L574" s="27"/>
      <c r="M574" s="27"/>
      <c r="N574" s="27"/>
      <c r="O574" s="31" t="str">
        <f aca="false">IF(G574="","",VLOOKUP(G574,Setup!$A$14:$C$17,3,0))</f>
        <v/>
      </c>
      <c r="P574" s="27"/>
      <c r="Q574" s="33" t="str">
        <f aca="false">IF(OR(P574="",M574&lt;&gt;"Paid",O574=""),"",P574/O574)</f>
        <v/>
      </c>
      <c r="R574" s="34" t="str">
        <f aca="false">IF(Q574="","",Q574+N(H574)*0.000000001)</f>
        <v/>
      </c>
      <c r="S574" s="32" t="str">
        <f aca="false">IF(R574="","",SUMPRODUCT((I$5:I$4004=I574)*ISNUMBER(R$5:R$4004)*(R$5:R$4004&gt;R574))+1)</f>
        <v/>
      </c>
      <c r="T574" s="32" t="str">
        <f aca="false">IF(S574="","",IF(S574&lt;=Setup!$B$5,"🏆 WINNER",""))</f>
        <v/>
      </c>
      <c r="U574" s="31" t="str">
        <f aca="false">IF(S574="","",I574&amp;"|"&amp;S574)</f>
        <v/>
      </c>
    </row>
    <row r="575" customFormat="false" ht="15" hidden="false" customHeight="false" outlineLevel="0" collapsed="false">
      <c r="A575" s="24" t="n">
        <v>571</v>
      </c>
      <c r="B575" s="25" t="str">
        <f aca="false">IF(OR(C575="",I575="",G575=""),"",IFERROR(VLOOKUP(I575,Setup!$A$9:$B$11,2,0),"???")&amp;"-"&amp;G575&amp;"-"&amp;TEXT(COUNTIFS(I$5:I575,I575,G$5:G575,G575),"0000"))</f>
        <v/>
      </c>
      <c r="C575" s="26"/>
      <c r="D575" s="26"/>
      <c r="E575" s="27"/>
      <c r="F575" s="27"/>
      <c r="G575" s="24" t="str">
        <f aca="false">IF(F575="","",IF(F575&lt;=5,"A",IF(F575&lt;=8,"B",IF(F575&lt;=10,"C","D"))))</f>
        <v/>
      </c>
      <c r="H575" s="28"/>
      <c r="I575" s="27"/>
      <c r="J575" s="26"/>
      <c r="K575" s="27"/>
      <c r="L575" s="27"/>
      <c r="M575" s="27"/>
      <c r="N575" s="27"/>
      <c r="O575" s="24" t="str">
        <f aca="false">IF(G575="","",VLOOKUP(G575,Setup!$A$14:$C$17,3,0))</f>
        <v/>
      </c>
      <c r="P575" s="27"/>
      <c r="Q575" s="29" t="str">
        <f aca="false">IF(OR(P575="",M575&lt;&gt;"Paid",O575=""),"",P575/O575)</f>
        <v/>
      </c>
      <c r="R575" s="30" t="str">
        <f aca="false">IF(Q575="","",Q575+N(H575)*0.000000001)</f>
        <v/>
      </c>
      <c r="S575" s="25" t="str">
        <f aca="false">IF(R575="","",SUMPRODUCT((I$5:I$4004=I575)*ISNUMBER(R$5:R$4004)*(R$5:R$4004&gt;R575))+1)</f>
        <v/>
      </c>
      <c r="T575" s="25" t="str">
        <f aca="false">IF(S575="","",IF(S575&lt;=Setup!$B$5,"🏆 WINNER",""))</f>
        <v/>
      </c>
      <c r="U575" s="24" t="str">
        <f aca="false">IF(S575="","",I575&amp;"|"&amp;S575)</f>
        <v/>
      </c>
    </row>
    <row r="576" customFormat="false" ht="15" hidden="false" customHeight="false" outlineLevel="0" collapsed="false">
      <c r="A576" s="31" t="n">
        <v>572</v>
      </c>
      <c r="B576" s="32" t="str">
        <f aca="false">IF(OR(C576="",I576="",G576=""),"",IFERROR(VLOOKUP(I576,Setup!$A$9:$B$11,2,0),"???")&amp;"-"&amp;G576&amp;"-"&amp;TEXT(COUNTIFS(I$5:I576,I576,G$5:G576,G576),"0000"))</f>
        <v/>
      </c>
      <c r="C576" s="26"/>
      <c r="D576" s="26"/>
      <c r="E576" s="27"/>
      <c r="F576" s="27"/>
      <c r="G576" s="31" t="str">
        <f aca="false">IF(F576="","",IF(F576&lt;=5,"A",IF(F576&lt;=8,"B",IF(F576&lt;=10,"C","D"))))</f>
        <v/>
      </c>
      <c r="H576" s="28"/>
      <c r="I576" s="27"/>
      <c r="J576" s="26"/>
      <c r="K576" s="27"/>
      <c r="L576" s="27"/>
      <c r="M576" s="27"/>
      <c r="N576" s="27"/>
      <c r="O576" s="31" t="str">
        <f aca="false">IF(G576="","",VLOOKUP(G576,Setup!$A$14:$C$17,3,0))</f>
        <v/>
      </c>
      <c r="P576" s="27"/>
      <c r="Q576" s="33" t="str">
        <f aca="false">IF(OR(P576="",M576&lt;&gt;"Paid",O576=""),"",P576/O576)</f>
        <v/>
      </c>
      <c r="R576" s="34" t="str">
        <f aca="false">IF(Q576="","",Q576+N(H576)*0.000000001)</f>
        <v/>
      </c>
      <c r="S576" s="32" t="str">
        <f aca="false">IF(R576="","",SUMPRODUCT((I$5:I$4004=I576)*ISNUMBER(R$5:R$4004)*(R$5:R$4004&gt;R576))+1)</f>
        <v/>
      </c>
      <c r="T576" s="32" t="str">
        <f aca="false">IF(S576="","",IF(S576&lt;=Setup!$B$5,"🏆 WINNER",""))</f>
        <v/>
      </c>
      <c r="U576" s="31" t="str">
        <f aca="false">IF(S576="","",I576&amp;"|"&amp;S576)</f>
        <v/>
      </c>
    </row>
    <row r="577" customFormat="false" ht="15" hidden="false" customHeight="false" outlineLevel="0" collapsed="false">
      <c r="A577" s="24" t="n">
        <v>573</v>
      </c>
      <c r="B577" s="25" t="str">
        <f aca="false">IF(OR(C577="",I577="",G577=""),"",IFERROR(VLOOKUP(I577,Setup!$A$9:$B$11,2,0),"???")&amp;"-"&amp;G577&amp;"-"&amp;TEXT(COUNTIFS(I$5:I577,I577,G$5:G577,G577),"0000"))</f>
        <v/>
      </c>
      <c r="C577" s="26"/>
      <c r="D577" s="26"/>
      <c r="E577" s="27"/>
      <c r="F577" s="27"/>
      <c r="G577" s="24" t="str">
        <f aca="false">IF(F577="","",IF(F577&lt;=5,"A",IF(F577&lt;=8,"B",IF(F577&lt;=10,"C","D"))))</f>
        <v/>
      </c>
      <c r="H577" s="28"/>
      <c r="I577" s="27"/>
      <c r="J577" s="26"/>
      <c r="K577" s="27"/>
      <c r="L577" s="27"/>
      <c r="M577" s="27"/>
      <c r="N577" s="27"/>
      <c r="O577" s="24" t="str">
        <f aca="false">IF(G577="","",VLOOKUP(G577,Setup!$A$14:$C$17,3,0))</f>
        <v/>
      </c>
      <c r="P577" s="27"/>
      <c r="Q577" s="29" t="str">
        <f aca="false">IF(OR(P577="",M577&lt;&gt;"Paid",O577=""),"",P577/O577)</f>
        <v/>
      </c>
      <c r="R577" s="30" t="str">
        <f aca="false">IF(Q577="","",Q577+N(H577)*0.000000001)</f>
        <v/>
      </c>
      <c r="S577" s="25" t="str">
        <f aca="false">IF(R577="","",SUMPRODUCT((I$5:I$4004=I577)*ISNUMBER(R$5:R$4004)*(R$5:R$4004&gt;R577))+1)</f>
        <v/>
      </c>
      <c r="T577" s="25" t="str">
        <f aca="false">IF(S577="","",IF(S577&lt;=Setup!$B$5,"🏆 WINNER",""))</f>
        <v/>
      </c>
      <c r="U577" s="24" t="str">
        <f aca="false">IF(S577="","",I577&amp;"|"&amp;S577)</f>
        <v/>
      </c>
    </row>
    <row r="578" customFormat="false" ht="15" hidden="false" customHeight="false" outlineLevel="0" collapsed="false">
      <c r="A578" s="31" t="n">
        <v>574</v>
      </c>
      <c r="B578" s="32" t="str">
        <f aca="false">IF(OR(C578="",I578="",G578=""),"",IFERROR(VLOOKUP(I578,Setup!$A$9:$B$11,2,0),"???")&amp;"-"&amp;G578&amp;"-"&amp;TEXT(COUNTIFS(I$5:I578,I578,G$5:G578,G578),"0000"))</f>
        <v/>
      </c>
      <c r="C578" s="26"/>
      <c r="D578" s="26"/>
      <c r="E578" s="27"/>
      <c r="F578" s="27"/>
      <c r="G578" s="31" t="str">
        <f aca="false">IF(F578="","",IF(F578&lt;=5,"A",IF(F578&lt;=8,"B",IF(F578&lt;=10,"C","D"))))</f>
        <v/>
      </c>
      <c r="H578" s="28"/>
      <c r="I578" s="27"/>
      <c r="J578" s="26"/>
      <c r="K578" s="27"/>
      <c r="L578" s="27"/>
      <c r="M578" s="27"/>
      <c r="N578" s="27"/>
      <c r="O578" s="31" t="str">
        <f aca="false">IF(G578="","",VLOOKUP(G578,Setup!$A$14:$C$17,3,0))</f>
        <v/>
      </c>
      <c r="P578" s="27"/>
      <c r="Q578" s="33" t="str">
        <f aca="false">IF(OR(P578="",M578&lt;&gt;"Paid",O578=""),"",P578/O578)</f>
        <v/>
      </c>
      <c r="R578" s="34" t="str">
        <f aca="false">IF(Q578="","",Q578+N(H578)*0.000000001)</f>
        <v/>
      </c>
      <c r="S578" s="32" t="str">
        <f aca="false">IF(R578="","",SUMPRODUCT((I$5:I$4004=I578)*ISNUMBER(R$5:R$4004)*(R$5:R$4004&gt;R578))+1)</f>
        <v/>
      </c>
      <c r="T578" s="32" t="str">
        <f aca="false">IF(S578="","",IF(S578&lt;=Setup!$B$5,"🏆 WINNER",""))</f>
        <v/>
      </c>
      <c r="U578" s="31" t="str">
        <f aca="false">IF(S578="","",I578&amp;"|"&amp;S578)</f>
        <v/>
      </c>
    </row>
    <row r="579" customFormat="false" ht="15" hidden="false" customHeight="false" outlineLevel="0" collapsed="false">
      <c r="A579" s="24" t="n">
        <v>575</v>
      </c>
      <c r="B579" s="25" t="str">
        <f aca="false">IF(OR(C579="",I579="",G579=""),"",IFERROR(VLOOKUP(I579,Setup!$A$9:$B$11,2,0),"???")&amp;"-"&amp;G579&amp;"-"&amp;TEXT(COUNTIFS(I$5:I579,I579,G$5:G579,G579),"0000"))</f>
        <v/>
      </c>
      <c r="C579" s="26"/>
      <c r="D579" s="26"/>
      <c r="E579" s="27"/>
      <c r="F579" s="27"/>
      <c r="G579" s="24" t="str">
        <f aca="false">IF(F579="","",IF(F579&lt;=5,"A",IF(F579&lt;=8,"B",IF(F579&lt;=10,"C","D"))))</f>
        <v/>
      </c>
      <c r="H579" s="28"/>
      <c r="I579" s="27"/>
      <c r="J579" s="26"/>
      <c r="K579" s="27"/>
      <c r="L579" s="27"/>
      <c r="M579" s="27"/>
      <c r="N579" s="27"/>
      <c r="O579" s="24" t="str">
        <f aca="false">IF(G579="","",VLOOKUP(G579,Setup!$A$14:$C$17,3,0))</f>
        <v/>
      </c>
      <c r="P579" s="27"/>
      <c r="Q579" s="29" t="str">
        <f aca="false">IF(OR(P579="",M579&lt;&gt;"Paid",O579=""),"",P579/O579)</f>
        <v/>
      </c>
      <c r="R579" s="30" t="str">
        <f aca="false">IF(Q579="","",Q579+N(H579)*0.000000001)</f>
        <v/>
      </c>
      <c r="S579" s="25" t="str">
        <f aca="false">IF(R579="","",SUMPRODUCT((I$5:I$4004=I579)*ISNUMBER(R$5:R$4004)*(R$5:R$4004&gt;R579))+1)</f>
        <v/>
      </c>
      <c r="T579" s="25" t="str">
        <f aca="false">IF(S579="","",IF(S579&lt;=Setup!$B$5,"🏆 WINNER",""))</f>
        <v/>
      </c>
      <c r="U579" s="24" t="str">
        <f aca="false">IF(S579="","",I579&amp;"|"&amp;S579)</f>
        <v/>
      </c>
    </row>
    <row r="580" customFormat="false" ht="15" hidden="false" customHeight="false" outlineLevel="0" collapsed="false">
      <c r="A580" s="31" t="n">
        <v>576</v>
      </c>
      <c r="B580" s="32" t="str">
        <f aca="false">IF(OR(C580="",I580="",G580=""),"",IFERROR(VLOOKUP(I580,Setup!$A$9:$B$11,2,0),"???")&amp;"-"&amp;G580&amp;"-"&amp;TEXT(COUNTIFS(I$5:I580,I580,G$5:G580,G580),"0000"))</f>
        <v/>
      </c>
      <c r="C580" s="26"/>
      <c r="D580" s="26"/>
      <c r="E580" s="27"/>
      <c r="F580" s="27"/>
      <c r="G580" s="31" t="str">
        <f aca="false">IF(F580="","",IF(F580&lt;=5,"A",IF(F580&lt;=8,"B",IF(F580&lt;=10,"C","D"))))</f>
        <v/>
      </c>
      <c r="H580" s="28"/>
      <c r="I580" s="27"/>
      <c r="J580" s="26"/>
      <c r="K580" s="27"/>
      <c r="L580" s="27"/>
      <c r="M580" s="27"/>
      <c r="N580" s="27"/>
      <c r="O580" s="31" t="str">
        <f aca="false">IF(G580="","",VLOOKUP(G580,Setup!$A$14:$C$17,3,0))</f>
        <v/>
      </c>
      <c r="P580" s="27"/>
      <c r="Q580" s="33" t="str">
        <f aca="false">IF(OR(P580="",M580&lt;&gt;"Paid",O580=""),"",P580/O580)</f>
        <v/>
      </c>
      <c r="R580" s="34" t="str">
        <f aca="false">IF(Q580="","",Q580+N(H580)*0.000000001)</f>
        <v/>
      </c>
      <c r="S580" s="32" t="str">
        <f aca="false">IF(R580="","",SUMPRODUCT((I$5:I$4004=I580)*ISNUMBER(R$5:R$4004)*(R$5:R$4004&gt;R580))+1)</f>
        <v/>
      </c>
      <c r="T580" s="32" t="str">
        <f aca="false">IF(S580="","",IF(S580&lt;=Setup!$B$5,"🏆 WINNER",""))</f>
        <v/>
      </c>
      <c r="U580" s="31" t="str">
        <f aca="false">IF(S580="","",I580&amp;"|"&amp;S580)</f>
        <v/>
      </c>
    </row>
    <row r="581" customFormat="false" ht="15" hidden="false" customHeight="false" outlineLevel="0" collapsed="false">
      <c r="A581" s="24" t="n">
        <v>577</v>
      </c>
      <c r="B581" s="25" t="str">
        <f aca="false">IF(OR(C581="",I581="",G581=""),"",IFERROR(VLOOKUP(I581,Setup!$A$9:$B$11,2,0),"???")&amp;"-"&amp;G581&amp;"-"&amp;TEXT(COUNTIFS(I$5:I581,I581,G$5:G581,G581),"0000"))</f>
        <v/>
      </c>
      <c r="C581" s="26"/>
      <c r="D581" s="26"/>
      <c r="E581" s="27"/>
      <c r="F581" s="27"/>
      <c r="G581" s="24" t="str">
        <f aca="false">IF(F581="","",IF(F581&lt;=5,"A",IF(F581&lt;=8,"B",IF(F581&lt;=10,"C","D"))))</f>
        <v/>
      </c>
      <c r="H581" s="28"/>
      <c r="I581" s="27"/>
      <c r="J581" s="26"/>
      <c r="K581" s="27"/>
      <c r="L581" s="27"/>
      <c r="M581" s="27"/>
      <c r="N581" s="27"/>
      <c r="O581" s="24" t="str">
        <f aca="false">IF(G581="","",VLOOKUP(G581,Setup!$A$14:$C$17,3,0))</f>
        <v/>
      </c>
      <c r="P581" s="27"/>
      <c r="Q581" s="29" t="str">
        <f aca="false">IF(OR(P581="",M581&lt;&gt;"Paid",O581=""),"",P581/O581)</f>
        <v/>
      </c>
      <c r="R581" s="30" t="str">
        <f aca="false">IF(Q581="","",Q581+N(H581)*0.000000001)</f>
        <v/>
      </c>
      <c r="S581" s="25" t="str">
        <f aca="false">IF(R581="","",SUMPRODUCT((I$5:I$4004=I581)*ISNUMBER(R$5:R$4004)*(R$5:R$4004&gt;R581))+1)</f>
        <v/>
      </c>
      <c r="T581" s="25" t="str">
        <f aca="false">IF(S581="","",IF(S581&lt;=Setup!$B$5,"🏆 WINNER",""))</f>
        <v/>
      </c>
      <c r="U581" s="24" t="str">
        <f aca="false">IF(S581="","",I581&amp;"|"&amp;S581)</f>
        <v/>
      </c>
    </row>
    <row r="582" customFormat="false" ht="15" hidden="false" customHeight="false" outlineLevel="0" collapsed="false">
      <c r="A582" s="31" t="n">
        <v>578</v>
      </c>
      <c r="B582" s="32" t="str">
        <f aca="false">IF(OR(C582="",I582="",G582=""),"",IFERROR(VLOOKUP(I582,Setup!$A$9:$B$11,2,0),"???")&amp;"-"&amp;G582&amp;"-"&amp;TEXT(COUNTIFS(I$5:I582,I582,G$5:G582,G582),"0000"))</f>
        <v/>
      </c>
      <c r="C582" s="26"/>
      <c r="D582" s="26"/>
      <c r="E582" s="27"/>
      <c r="F582" s="27"/>
      <c r="G582" s="31" t="str">
        <f aca="false">IF(F582="","",IF(F582&lt;=5,"A",IF(F582&lt;=8,"B",IF(F582&lt;=10,"C","D"))))</f>
        <v/>
      </c>
      <c r="H582" s="28"/>
      <c r="I582" s="27"/>
      <c r="J582" s="26"/>
      <c r="K582" s="27"/>
      <c r="L582" s="27"/>
      <c r="M582" s="27"/>
      <c r="N582" s="27"/>
      <c r="O582" s="31" t="str">
        <f aca="false">IF(G582="","",VLOOKUP(G582,Setup!$A$14:$C$17,3,0))</f>
        <v/>
      </c>
      <c r="P582" s="27"/>
      <c r="Q582" s="33" t="str">
        <f aca="false">IF(OR(P582="",M582&lt;&gt;"Paid",O582=""),"",P582/O582)</f>
        <v/>
      </c>
      <c r="R582" s="34" t="str">
        <f aca="false">IF(Q582="","",Q582+N(H582)*0.000000001)</f>
        <v/>
      </c>
      <c r="S582" s="32" t="str">
        <f aca="false">IF(R582="","",SUMPRODUCT((I$5:I$4004=I582)*ISNUMBER(R$5:R$4004)*(R$5:R$4004&gt;R582))+1)</f>
        <v/>
      </c>
      <c r="T582" s="32" t="str">
        <f aca="false">IF(S582="","",IF(S582&lt;=Setup!$B$5,"🏆 WINNER",""))</f>
        <v/>
      </c>
      <c r="U582" s="31" t="str">
        <f aca="false">IF(S582="","",I582&amp;"|"&amp;S582)</f>
        <v/>
      </c>
    </row>
    <row r="583" customFormat="false" ht="15" hidden="false" customHeight="false" outlineLevel="0" collapsed="false">
      <c r="A583" s="24" t="n">
        <v>579</v>
      </c>
      <c r="B583" s="25" t="str">
        <f aca="false">IF(OR(C583="",I583="",G583=""),"",IFERROR(VLOOKUP(I583,Setup!$A$9:$B$11,2,0),"???")&amp;"-"&amp;G583&amp;"-"&amp;TEXT(COUNTIFS(I$5:I583,I583,G$5:G583,G583),"0000"))</f>
        <v/>
      </c>
      <c r="C583" s="26"/>
      <c r="D583" s="26"/>
      <c r="E583" s="27"/>
      <c r="F583" s="27"/>
      <c r="G583" s="24" t="str">
        <f aca="false">IF(F583="","",IF(F583&lt;=5,"A",IF(F583&lt;=8,"B",IF(F583&lt;=10,"C","D"))))</f>
        <v/>
      </c>
      <c r="H583" s="28"/>
      <c r="I583" s="27"/>
      <c r="J583" s="26"/>
      <c r="K583" s="27"/>
      <c r="L583" s="27"/>
      <c r="M583" s="27"/>
      <c r="N583" s="27"/>
      <c r="O583" s="24" t="str">
        <f aca="false">IF(G583="","",VLOOKUP(G583,Setup!$A$14:$C$17,3,0))</f>
        <v/>
      </c>
      <c r="P583" s="27"/>
      <c r="Q583" s="29" t="str">
        <f aca="false">IF(OR(P583="",M583&lt;&gt;"Paid",O583=""),"",P583/O583)</f>
        <v/>
      </c>
      <c r="R583" s="30" t="str">
        <f aca="false">IF(Q583="","",Q583+N(H583)*0.000000001)</f>
        <v/>
      </c>
      <c r="S583" s="25" t="str">
        <f aca="false">IF(R583="","",SUMPRODUCT((I$5:I$4004=I583)*ISNUMBER(R$5:R$4004)*(R$5:R$4004&gt;R583))+1)</f>
        <v/>
      </c>
      <c r="T583" s="25" t="str">
        <f aca="false">IF(S583="","",IF(S583&lt;=Setup!$B$5,"🏆 WINNER",""))</f>
        <v/>
      </c>
      <c r="U583" s="24" t="str">
        <f aca="false">IF(S583="","",I583&amp;"|"&amp;S583)</f>
        <v/>
      </c>
    </row>
    <row r="584" customFormat="false" ht="15" hidden="false" customHeight="false" outlineLevel="0" collapsed="false">
      <c r="A584" s="31" t="n">
        <v>580</v>
      </c>
      <c r="B584" s="32" t="str">
        <f aca="false">IF(OR(C584="",I584="",G584=""),"",IFERROR(VLOOKUP(I584,Setup!$A$9:$B$11,2,0),"???")&amp;"-"&amp;G584&amp;"-"&amp;TEXT(COUNTIFS(I$5:I584,I584,G$5:G584,G584),"0000"))</f>
        <v/>
      </c>
      <c r="C584" s="26"/>
      <c r="D584" s="26"/>
      <c r="E584" s="27"/>
      <c r="F584" s="27"/>
      <c r="G584" s="31" t="str">
        <f aca="false">IF(F584="","",IF(F584&lt;=5,"A",IF(F584&lt;=8,"B",IF(F584&lt;=10,"C","D"))))</f>
        <v/>
      </c>
      <c r="H584" s="28"/>
      <c r="I584" s="27"/>
      <c r="J584" s="26"/>
      <c r="K584" s="27"/>
      <c r="L584" s="27"/>
      <c r="M584" s="27"/>
      <c r="N584" s="27"/>
      <c r="O584" s="31" t="str">
        <f aca="false">IF(G584="","",VLOOKUP(G584,Setup!$A$14:$C$17,3,0))</f>
        <v/>
      </c>
      <c r="P584" s="27"/>
      <c r="Q584" s="33" t="str">
        <f aca="false">IF(OR(P584="",M584&lt;&gt;"Paid",O584=""),"",P584/O584)</f>
        <v/>
      </c>
      <c r="R584" s="34" t="str">
        <f aca="false">IF(Q584="","",Q584+N(H584)*0.000000001)</f>
        <v/>
      </c>
      <c r="S584" s="32" t="str">
        <f aca="false">IF(R584="","",SUMPRODUCT((I$5:I$4004=I584)*ISNUMBER(R$5:R$4004)*(R$5:R$4004&gt;R584))+1)</f>
        <v/>
      </c>
      <c r="T584" s="32" t="str">
        <f aca="false">IF(S584="","",IF(S584&lt;=Setup!$B$5,"🏆 WINNER",""))</f>
        <v/>
      </c>
      <c r="U584" s="31" t="str">
        <f aca="false">IF(S584="","",I584&amp;"|"&amp;S584)</f>
        <v/>
      </c>
    </row>
    <row r="585" customFormat="false" ht="15" hidden="false" customHeight="false" outlineLevel="0" collapsed="false">
      <c r="A585" s="24" t="n">
        <v>581</v>
      </c>
      <c r="B585" s="25" t="str">
        <f aca="false">IF(OR(C585="",I585="",G585=""),"",IFERROR(VLOOKUP(I585,Setup!$A$9:$B$11,2,0),"???")&amp;"-"&amp;G585&amp;"-"&amp;TEXT(COUNTIFS(I$5:I585,I585,G$5:G585,G585),"0000"))</f>
        <v/>
      </c>
      <c r="C585" s="26"/>
      <c r="D585" s="26"/>
      <c r="E585" s="27"/>
      <c r="F585" s="27"/>
      <c r="G585" s="24" t="str">
        <f aca="false">IF(F585="","",IF(F585&lt;=5,"A",IF(F585&lt;=8,"B",IF(F585&lt;=10,"C","D"))))</f>
        <v/>
      </c>
      <c r="H585" s="28"/>
      <c r="I585" s="27"/>
      <c r="J585" s="26"/>
      <c r="K585" s="27"/>
      <c r="L585" s="27"/>
      <c r="M585" s="27"/>
      <c r="N585" s="27"/>
      <c r="O585" s="24" t="str">
        <f aca="false">IF(G585="","",VLOOKUP(G585,Setup!$A$14:$C$17,3,0))</f>
        <v/>
      </c>
      <c r="P585" s="27"/>
      <c r="Q585" s="29" t="str">
        <f aca="false">IF(OR(P585="",M585&lt;&gt;"Paid",O585=""),"",P585/O585)</f>
        <v/>
      </c>
      <c r="R585" s="30" t="str">
        <f aca="false">IF(Q585="","",Q585+N(H585)*0.000000001)</f>
        <v/>
      </c>
      <c r="S585" s="25" t="str">
        <f aca="false">IF(R585="","",SUMPRODUCT((I$5:I$4004=I585)*ISNUMBER(R$5:R$4004)*(R$5:R$4004&gt;R585))+1)</f>
        <v/>
      </c>
      <c r="T585" s="25" t="str">
        <f aca="false">IF(S585="","",IF(S585&lt;=Setup!$B$5,"🏆 WINNER",""))</f>
        <v/>
      </c>
      <c r="U585" s="24" t="str">
        <f aca="false">IF(S585="","",I585&amp;"|"&amp;S585)</f>
        <v/>
      </c>
    </row>
    <row r="586" customFormat="false" ht="15" hidden="false" customHeight="false" outlineLevel="0" collapsed="false">
      <c r="A586" s="31" t="n">
        <v>582</v>
      </c>
      <c r="B586" s="32" t="str">
        <f aca="false">IF(OR(C586="",I586="",G586=""),"",IFERROR(VLOOKUP(I586,Setup!$A$9:$B$11,2,0),"???")&amp;"-"&amp;G586&amp;"-"&amp;TEXT(COUNTIFS(I$5:I586,I586,G$5:G586,G586),"0000"))</f>
        <v/>
      </c>
      <c r="C586" s="26"/>
      <c r="D586" s="26"/>
      <c r="E586" s="27"/>
      <c r="F586" s="27"/>
      <c r="G586" s="31" t="str">
        <f aca="false">IF(F586="","",IF(F586&lt;=5,"A",IF(F586&lt;=8,"B",IF(F586&lt;=10,"C","D"))))</f>
        <v/>
      </c>
      <c r="H586" s="28"/>
      <c r="I586" s="27"/>
      <c r="J586" s="26"/>
      <c r="K586" s="27"/>
      <c r="L586" s="27"/>
      <c r="M586" s="27"/>
      <c r="N586" s="27"/>
      <c r="O586" s="31" t="str">
        <f aca="false">IF(G586="","",VLOOKUP(G586,Setup!$A$14:$C$17,3,0))</f>
        <v/>
      </c>
      <c r="P586" s="27"/>
      <c r="Q586" s="33" t="str">
        <f aca="false">IF(OR(P586="",M586&lt;&gt;"Paid",O586=""),"",P586/O586)</f>
        <v/>
      </c>
      <c r="R586" s="34" t="str">
        <f aca="false">IF(Q586="","",Q586+N(H586)*0.000000001)</f>
        <v/>
      </c>
      <c r="S586" s="32" t="str">
        <f aca="false">IF(R586="","",SUMPRODUCT((I$5:I$4004=I586)*ISNUMBER(R$5:R$4004)*(R$5:R$4004&gt;R586))+1)</f>
        <v/>
      </c>
      <c r="T586" s="32" t="str">
        <f aca="false">IF(S586="","",IF(S586&lt;=Setup!$B$5,"🏆 WINNER",""))</f>
        <v/>
      </c>
      <c r="U586" s="31" t="str">
        <f aca="false">IF(S586="","",I586&amp;"|"&amp;S586)</f>
        <v/>
      </c>
    </row>
    <row r="587" customFormat="false" ht="15" hidden="false" customHeight="false" outlineLevel="0" collapsed="false">
      <c r="A587" s="24" t="n">
        <v>583</v>
      </c>
      <c r="B587" s="25" t="str">
        <f aca="false">IF(OR(C587="",I587="",G587=""),"",IFERROR(VLOOKUP(I587,Setup!$A$9:$B$11,2,0),"???")&amp;"-"&amp;G587&amp;"-"&amp;TEXT(COUNTIFS(I$5:I587,I587,G$5:G587,G587),"0000"))</f>
        <v/>
      </c>
      <c r="C587" s="26"/>
      <c r="D587" s="26"/>
      <c r="E587" s="27"/>
      <c r="F587" s="27"/>
      <c r="G587" s="24" t="str">
        <f aca="false">IF(F587="","",IF(F587&lt;=5,"A",IF(F587&lt;=8,"B",IF(F587&lt;=10,"C","D"))))</f>
        <v/>
      </c>
      <c r="H587" s="28"/>
      <c r="I587" s="27"/>
      <c r="J587" s="26"/>
      <c r="K587" s="27"/>
      <c r="L587" s="27"/>
      <c r="M587" s="27"/>
      <c r="N587" s="27"/>
      <c r="O587" s="24" t="str">
        <f aca="false">IF(G587="","",VLOOKUP(G587,Setup!$A$14:$C$17,3,0))</f>
        <v/>
      </c>
      <c r="P587" s="27"/>
      <c r="Q587" s="29" t="str">
        <f aca="false">IF(OR(P587="",M587&lt;&gt;"Paid",O587=""),"",P587/O587)</f>
        <v/>
      </c>
      <c r="R587" s="30" t="str">
        <f aca="false">IF(Q587="","",Q587+N(H587)*0.000000001)</f>
        <v/>
      </c>
      <c r="S587" s="25" t="str">
        <f aca="false">IF(R587="","",SUMPRODUCT((I$5:I$4004=I587)*ISNUMBER(R$5:R$4004)*(R$5:R$4004&gt;R587))+1)</f>
        <v/>
      </c>
      <c r="T587" s="25" t="str">
        <f aca="false">IF(S587="","",IF(S587&lt;=Setup!$B$5,"🏆 WINNER",""))</f>
        <v/>
      </c>
      <c r="U587" s="24" t="str">
        <f aca="false">IF(S587="","",I587&amp;"|"&amp;S587)</f>
        <v/>
      </c>
    </row>
    <row r="588" customFormat="false" ht="15" hidden="false" customHeight="false" outlineLevel="0" collapsed="false">
      <c r="A588" s="31" t="n">
        <v>584</v>
      </c>
      <c r="B588" s="32" t="str">
        <f aca="false">IF(OR(C588="",I588="",G588=""),"",IFERROR(VLOOKUP(I588,Setup!$A$9:$B$11,2,0),"???")&amp;"-"&amp;G588&amp;"-"&amp;TEXT(COUNTIFS(I$5:I588,I588,G$5:G588,G588),"0000"))</f>
        <v/>
      </c>
      <c r="C588" s="26"/>
      <c r="D588" s="26"/>
      <c r="E588" s="27"/>
      <c r="F588" s="27"/>
      <c r="G588" s="31" t="str">
        <f aca="false">IF(F588="","",IF(F588&lt;=5,"A",IF(F588&lt;=8,"B",IF(F588&lt;=10,"C","D"))))</f>
        <v/>
      </c>
      <c r="H588" s="28"/>
      <c r="I588" s="27"/>
      <c r="J588" s="26"/>
      <c r="K588" s="27"/>
      <c r="L588" s="27"/>
      <c r="M588" s="27"/>
      <c r="N588" s="27"/>
      <c r="O588" s="31" t="str">
        <f aca="false">IF(G588="","",VLOOKUP(G588,Setup!$A$14:$C$17,3,0))</f>
        <v/>
      </c>
      <c r="P588" s="27"/>
      <c r="Q588" s="33" t="str">
        <f aca="false">IF(OR(P588="",M588&lt;&gt;"Paid",O588=""),"",P588/O588)</f>
        <v/>
      </c>
      <c r="R588" s="34" t="str">
        <f aca="false">IF(Q588="","",Q588+N(H588)*0.000000001)</f>
        <v/>
      </c>
      <c r="S588" s="32" t="str">
        <f aca="false">IF(R588="","",SUMPRODUCT((I$5:I$4004=I588)*ISNUMBER(R$5:R$4004)*(R$5:R$4004&gt;R588))+1)</f>
        <v/>
      </c>
      <c r="T588" s="32" t="str">
        <f aca="false">IF(S588="","",IF(S588&lt;=Setup!$B$5,"🏆 WINNER",""))</f>
        <v/>
      </c>
      <c r="U588" s="31" t="str">
        <f aca="false">IF(S588="","",I588&amp;"|"&amp;S588)</f>
        <v/>
      </c>
    </row>
    <row r="589" customFormat="false" ht="15" hidden="false" customHeight="false" outlineLevel="0" collapsed="false">
      <c r="A589" s="24" t="n">
        <v>585</v>
      </c>
      <c r="B589" s="25" t="str">
        <f aca="false">IF(OR(C589="",I589="",G589=""),"",IFERROR(VLOOKUP(I589,Setup!$A$9:$B$11,2,0),"???")&amp;"-"&amp;G589&amp;"-"&amp;TEXT(COUNTIFS(I$5:I589,I589,G$5:G589,G589),"0000"))</f>
        <v/>
      </c>
      <c r="C589" s="26"/>
      <c r="D589" s="26"/>
      <c r="E589" s="27"/>
      <c r="F589" s="27"/>
      <c r="G589" s="24" t="str">
        <f aca="false">IF(F589="","",IF(F589&lt;=5,"A",IF(F589&lt;=8,"B",IF(F589&lt;=10,"C","D"))))</f>
        <v/>
      </c>
      <c r="H589" s="28"/>
      <c r="I589" s="27"/>
      <c r="J589" s="26"/>
      <c r="K589" s="27"/>
      <c r="L589" s="27"/>
      <c r="M589" s="27"/>
      <c r="N589" s="27"/>
      <c r="O589" s="24" t="str">
        <f aca="false">IF(G589="","",VLOOKUP(G589,Setup!$A$14:$C$17,3,0))</f>
        <v/>
      </c>
      <c r="P589" s="27"/>
      <c r="Q589" s="29" t="str">
        <f aca="false">IF(OR(P589="",M589&lt;&gt;"Paid",O589=""),"",P589/O589)</f>
        <v/>
      </c>
      <c r="R589" s="30" t="str">
        <f aca="false">IF(Q589="","",Q589+N(H589)*0.000000001)</f>
        <v/>
      </c>
      <c r="S589" s="25" t="str">
        <f aca="false">IF(R589="","",SUMPRODUCT((I$5:I$4004=I589)*ISNUMBER(R$5:R$4004)*(R$5:R$4004&gt;R589))+1)</f>
        <v/>
      </c>
      <c r="T589" s="25" t="str">
        <f aca="false">IF(S589="","",IF(S589&lt;=Setup!$B$5,"🏆 WINNER",""))</f>
        <v/>
      </c>
      <c r="U589" s="24" t="str">
        <f aca="false">IF(S589="","",I589&amp;"|"&amp;S589)</f>
        <v/>
      </c>
    </row>
    <row r="590" customFormat="false" ht="15" hidden="false" customHeight="false" outlineLevel="0" collapsed="false">
      <c r="A590" s="31" t="n">
        <v>586</v>
      </c>
      <c r="B590" s="32" t="str">
        <f aca="false">IF(OR(C590="",I590="",G590=""),"",IFERROR(VLOOKUP(I590,Setup!$A$9:$B$11,2,0),"???")&amp;"-"&amp;G590&amp;"-"&amp;TEXT(COUNTIFS(I$5:I590,I590,G$5:G590,G590),"0000"))</f>
        <v/>
      </c>
      <c r="C590" s="26"/>
      <c r="D590" s="26"/>
      <c r="E590" s="27"/>
      <c r="F590" s="27"/>
      <c r="G590" s="31" t="str">
        <f aca="false">IF(F590="","",IF(F590&lt;=5,"A",IF(F590&lt;=8,"B",IF(F590&lt;=10,"C","D"))))</f>
        <v/>
      </c>
      <c r="H590" s="28"/>
      <c r="I590" s="27"/>
      <c r="J590" s="26"/>
      <c r="K590" s="27"/>
      <c r="L590" s="27"/>
      <c r="M590" s="27"/>
      <c r="N590" s="27"/>
      <c r="O590" s="31" t="str">
        <f aca="false">IF(G590="","",VLOOKUP(G590,Setup!$A$14:$C$17,3,0))</f>
        <v/>
      </c>
      <c r="P590" s="27"/>
      <c r="Q590" s="33" t="str">
        <f aca="false">IF(OR(P590="",M590&lt;&gt;"Paid",O590=""),"",P590/O590)</f>
        <v/>
      </c>
      <c r="R590" s="34" t="str">
        <f aca="false">IF(Q590="","",Q590+N(H590)*0.000000001)</f>
        <v/>
      </c>
      <c r="S590" s="32" t="str">
        <f aca="false">IF(R590="","",SUMPRODUCT((I$5:I$4004=I590)*ISNUMBER(R$5:R$4004)*(R$5:R$4004&gt;R590))+1)</f>
        <v/>
      </c>
      <c r="T590" s="32" t="str">
        <f aca="false">IF(S590="","",IF(S590&lt;=Setup!$B$5,"🏆 WINNER",""))</f>
        <v/>
      </c>
      <c r="U590" s="31" t="str">
        <f aca="false">IF(S590="","",I590&amp;"|"&amp;S590)</f>
        <v/>
      </c>
    </row>
    <row r="591" customFormat="false" ht="15" hidden="false" customHeight="false" outlineLevel="0" collapsed="false">
      <c r="A591" s="24" t="n">
        <v>587</v>
      </c>
      <c r="B591" s="25" t="str">
        <f aca="false">IF(OR(C591="",I591="",G591=""),"",IFERROR(VLOOKUP(I591,Setup!$A$9:$B$11,2,0),"???")&amp;"-"&amp;G591&amp;"-"&amp;TEXT(COUNTIFS(I$5:I591,I591,G$5:G591,G591),"0000"))</f>
        <v/>
      </c>
      <c r="C591" s="26"/>
      <c r="D591" s="26"/>
      <c r="E591" s="27"/>
      <c r="F591" s="27"/>
      <c r="G591" s="24" t="str">
        <f aca="false">IF(F591="","",IF(F591&lt;=5,"A",IF(F591&lt;=8,"B",IF(F591&lt;=10,"C","D"))))</f>
        <v/>
      </c>
      <c r="H591" s="28"/>
      <c r="I591" s="27"/>
      <c r="J591" s="26"/>
      <c r="K591" s="27"/>
      <c r="L591" s="27"/>
      <c r="M591" s="27"/>
      <c r="N591" s="27"/>
      <c r="O591" s="24" t="str">
        <f aca="false">IF(G591="","",VLOOKUP(G591,Setup!$A$14:$C$17,3,0))</f>
        <v/>
      </c>
      <c r="P591" s="27"/>
      <c r="Q591" s="29" t="str">
        <f aca="false">IF(OR(P591="",M591&lt;&gt;"Paid",O591=""),"",P591/O591)</f>
        <v/>
      </c>
      <c r="R591" s="30" t="str">
        <f aca="false">IF(Q591="","",Q591+N(H591)*0.000000001)</f>
        <v/>
      </c>
      <c r="S591" s="25" t="str">
        <f aca="false">IF(R591="","",SUMPRODUCT((I$5:I$4004=I591)*ISNUMBER(R$5:R$4004)*(R$5:R$4004&gt;R591))+1)</f>
        <v/>
      </c>
      <c r="T591" s="25" t="str">
        <f aca="false">IF(S591="","",IF(S591&lt;=Setup!$B$5,"🏆 WINNER",""))</f>
        <v/>
      </c>
      <c r="U591" s="24" t="str">
        <f aca="false">IF(S591="","",I591&amp;"|"&amp;S591)</f>
        <v/>
      </c>
    </row>
    <row r="592" customFormat="false" ht="15" hidden="false" customHeight="false" outlineLevel="0" collapsed="false">
      <c r="A592" s="31" t="n">
        <v>588</v>
      </c>
      <c r="B592" s="32" t="str">
        <f aca="false">IF(OR(C592="",I592="",G592=""),"",IFERROR(VLOOKUP(I592,Setup!$A$9:$B$11,2,0),"???")&amp;"-"&amp;G592&amp;"-"&amp;TEXT(COUNTIFS(I$5:I592,I592,G$5:G592,G592),"0000"))</f>
        <v/>
      </c>
      <c r="C592" s="26"/>
      <c r="D592" s="26"/>
      <c r="E592" s="27"/>
      <c r="F592" s="27"/>
      <c r="G592" s="31" t="str">
        <f aca="false">IF(F592="","",IF(F592&lt;=5,"A",IF(F592&lt;=8,"B",IF(F592&lt;=10,"C","D"))))</f>
        <v/>
      </c>
      <c r="H592" s="28"/>
      <c r="I592" s="27"/>
      <c r="J592" s="26"/>
      <c r="K592" s="27"/>
      <c r="L592" s="27"/>
      <c r="M592" s="27"/>
      <c r="N592" s="27"/>
      <c r="O592" s="31" t="str">
        <f aca="false">IF(G592="","",VLOOKUP(G592,Setup!$A$14:$C$17,3,0))</f>
        <v/>
      </c>
      <c r="P592" s="27"/>
      <c r="Q592" s="33" t="str">
        <f aca="false">IF(OR(P592="",M592&lt;&gt;"Paid",O592=""),"",P592/O592)</f>
        <v/>
      </c>
      <c r="R592" s="34" t="str">
        <f aca="false">IF(Q592="","",Q592+N(H592)*0.000000001)</f>
        <v/>
      </c>
      <c r="S592" s="32" t="str">
        <f aca="false">IF(R592="","",SUMPRODUCT((I$5:I$4004=I592)*ISNUMBER(R$5:R$4004)*(R$5:R$4004&gt;R592))+1)</f>
        <v/>
      </c>
      <c r="T592" s="32" t="str">
        <f aca="false">IF(S592="","",IF(S592&lt;=Setup!$B$5,"🏆 WINNER",""))</f>
        <v/>
      </c>
      <c r="U592" s="31" t="str">
        <f aca="false">IF(S592="","",I592&amp;"|"&amp;S592)</f>
        <v/>
      </c>
    </row>
    <row r="593" customFormat="false" ht="15" hidden="false" customHeight="false" outlineLevel="0" collapsed="false">
      <c r="A593" s="24" t="n">
        <v>589</v>
      </c>
      <c r="B593" s="25" t="str">
        <f aca="false">IF(OR(C593="",I593="",G593=""),"",IFERROR(VLOOKUP(I593,Setup!$A$9:$B$11,2,0),"???")&amp;"-"&amp;G593&amp;"-"&amp;TEXT(COUNTIFS(I$5:I593,I593,G$5:G593,G593),"0000"))</f>
        <v/>
      </c>
      <c r="C593" s="26"/>
      <c r="D593" s="26"/>
      <c r="E593" s="27"/>
      <c r="F593" s="27"/>
      <c r="G593" s="24" t="str">
        <f aca="false">IF(F593="","",IF(F593&lt;=5,"A",IF(F593&lt;=8,"B",IF(F593&lt;=10,"C","D"))))</f>
        <v/>
      </c>
      <c r="H593" s="28"/>
      <c r="I593" s="27"/>
      <c r="J593" s="26"/>
      <c r="K593" s="27"/>
      <c r="L593" s="27"/>
      <c r="M593" s="27"/>
      <c r="N593" s="27"/>
      <c r="O593" s="24" t="str">
        <f aca="false">IF(G593="","",VLOOKUP(G593,Setup!$A$14:$C$17,3,0))</f>
        <v/>
      </c>
      <c r="P593" s="27"/>
      <c r="Q593" s="29" t="str">
        <f aca="false">IF(OR(P593="",M593&lt;&gt;"Paid",O593=""),"",P593/O593)</f>
        <v/>
      </c>
      <c r="R593" s="30" t="str">
        <f aca="false">IF(Q593="","",Q593+N(H593)*0.000000001)</f>
        <v/>
      </c>
      <c r="S593" s="25" t="str">
        <f aca="false">IF(R593="","",SUMPRODUCT((I$5:I$4004=I593)*ISNUMBER(R$5:R$4004)*(R$5:R$4004&gt;R593))+1)</f>
        <v/>
      </c>
      <c r="T593" s="25" t="str">
        <f aca="false">IF(S593="","",IF(S593&lt;=Setup!$B$5,"🏆 WINNER",""))</f>
        <v/>
      </c>
      <c r="U593" s="24" t="str">
        <f aca="false">IF(S593="","",I593&amp;"|"&amp;S593)</f>
        <v/>
      </c>
    </row>
    <row r="594" customFormat="false" ht="15" hidden="false" customHeight="false" outlineLevel="0" collapsed="false">
      <c r="A594" s="31" t="n">
        <v>590</v>
      </c>
      <c r="B594" s="32" t="str">
        <f aca="false">IF(OR(C594="",I594="",G594=""),"",IFERROR(VLOOKUP(I594,Setup!$A$9:$B$11,2,0),"???")&amp;"-"&amp;G594&amp;"-"&amp;TEXT(COUNTIFS(I$5:I594,I594,G$5:G594,G594),"0000"))</f>
        <v/>
      </c>
      <c r="C594" s="26"/>
      <c r="D594" s="26"/>
      <c r="E594" s="27"/>
      <c r="F594" s="27"/>
      <c r="G594" s="31" t="str">
        <f aca="false">IF(F594="","",IF(F594&lt;=5,"A",IF(F594&lt;=8,"B",IF(F594&lt;=10,"C","D"))))</f>
        <v/>
      </c>
      <c r="H594" s="28"/>
      <c r="I594" s="27"/>
      <c r="J594" s="26"/>
      <c r="K594" s="27"/>
      <c r="L594" s="27"/>
      <c r="M594" s="27"/>
      <c r="N594" s="27"/>
      <c r="O594" s="31" t="str">
        <f aca="false">IF(G594="","",VLOOKUP(G594,Setup!$A$14:$C$17,3,0))</f>
        <v/>
      </c>
      <c r="P594" s="27"/>
      <c r="Q594" s="33" t="str">
        <f aca="false">IF(OR(P594="",M594&lt;&gt;"Paid",O594=""),"",P594/O594)</f>
        <v/>
      </c>
      <c r="R594" s="34" t="str">
        <f aca="false">IF(Q594="","",Q594+N(H594)*0.000000001)</f>
        <v/>
      </c>
      <c r="S594" s="32" t="str">
        <f aca="false">IF(R594="","",SUMPRODUCT((I$5:I$4004=I594)*ISNUMBER(R$5:R$4004)*(R$5:R$4004&gt;R594))+1)</f>
        <v/>
      </c>
      <c r="T594" s="32" t="str">
        <f aca="false">IF(S594="","",IF(S594&lt;=Setup!$B$5,"🏆 WINNER",""))</f>
        <v/>
      </c>
      <c r="U594" s="31" t="str">
        <f aca="false">IF(S594="","",I594&amp;"|"&amp;S594)</f>
        <v/>
      </c>
    </row>
    <row r="595" customFormat="false" ht="15" hidden="false" customHeight="false" outlineLevel="0" collapsed="false">
      <c r="A595" s="24" t="n">
        <v>591</v>
      </c>
      <c r="B595" s="25" t="str">
        <f aca="false">IF(OR(C595="",I595="",G595=""),"",IFERROR(VLOOKUP(I595,Setup!$A$9:$B$11,2,0),"???")&amp;"-"&amp;G595&amp;"-"&amp;TEXT(COUNTIFS(I$5:I595,I595,G$5:G595,G595),"0000"))</f>
        <v/>
      </c>
      <c r="C595" s="26"/>
      <c r="D595" s="26"/>
      <c r="E595" s="27"/>
      <c r="F595" s="27"/>
      <c r="G595" s="24" t="str">
        <f aca="false">IF(F595="","",IF(F595&lt;=5,"A",IF(F595&lt;=8,"B",IF(F595&lt;=10,"C","D"))))</f>
        <v/>
      </c>
      <c r="H595" s="28"/>
      <c r="I595" s="27"/>
      <c r="J595" s="26"/>
      <c r="K595" s="27"/>
      <c r="L595" s="27"/>
      <c r="M595" s="27"/>
      <c r="N595" s="27"/>
      <c r="O595" s="24" t="str">
        <f aca="false">IF(G595="","",VLOOKUP(G595,Setup!$A$14:$C$17,3,0))</f>
        <v/>
      </c>
      <c r="P595" s="27"/>
      <c r="Q595" s="29" t="str">
        <f aca="false">IF(OR(P595="",M595&lt;&gt;"Paid",O595=""),"",P595/O595)</f>
        <v/>
      </c>
      <c r="R595" s="30" t="str">
        <f aca="false">IF(Q595="","",Q595+N(H595)*0.000000001)</f>
        <v/>
      </c>
      <c r="S595" s="25" t="str">
        <f aca="false">IF(R595="","",SUMPRODUCT((I$5:I$4004=I595)*ISNUMBER(R$5:R$4004)*(R$5:R$4004&gt;R595))+1)</f>
        <v/>
      </c>
      <c r="T595" s="25" t="str">
        <f aca="false">IF(S595="","",IF(S595&lt;=Setup!$B$5,"🏆 WINNER",""))</f>
        <v/>
      </c>
      <c r="U595" s="24" t="str">
        <f aca="false">IF(S595="","",I595&amp;"|"&amp;S595)</f>
        <v/>
      </c>
    </row>
    <row r="596" customFormat="false" ht="15" hidden="false" customHeight="false" outlineLevel="0" collapsed="false">
      <c r="A596" s="31" t="n">
        <v>592</v>
      </c>
      <c r="B596" s="32" t="str">
        <f aca="false">IF(OR(C596="",I596="",G596=""),"",IFERROR(VLOOKUP(I596,Setup!$A$9:$B$11,2,0),"???")&amp;"-"&amp;G596&amp;"-"&amp;TEXT(COUNTIFS(I$5:I596,I596,G$5:G596,G596),"0000"))</f>
        <v/>
      </c>
      <c r="C596" s="26"/>
      <c r="D596" s="26"/>
      <c r="E596" s="27"/>
      <c r="F596" s="27"/>
      <c r="G596" s="31" t="str">
        <f aca="false">IF(F596="","",IF(F596&lt;=5,"A",IF(F596&lt;=8,"B",IF(F596&lt;=10,"C","D"))))</f>
        <v/>
      </c>
      <c r="H596" s="28"/>
      <c r="I596" s="27"/>
      <c r="J596" s="26"/>
      <c r="K596" s="27"/>
      <c r="L596" s="27"/>
      <c r="M596" s="27"/>
      <c r="N596" s="27"/>
      <c r="O596" s="31" t="str">
        <f aca="false">IF(G596="","",VLOOKUP(G596,Setup!$A$14:$C$17,3,0))</f>
        <v/>
      </c>
      <c r="P596" s="27"/>
      <c r="Q596" s="33" t="str">
        <f aca="false">IF(OR(P596="",M596&lt;&gt;"Paid",O596=""),"",P596/O596)</f>
        <v/>
      </c>
      <c r="R596" s="34" t="str">
        <f aca="false">IF(Q596="","",Q596+N(H596)*0.000000001)</f>
        <v/>
      </c>
      <c r="S596" s="32" t="str">
        <f aca="false">IF(R596="","",SUMPRODUCT((I$5:I$4004=I596)*ISNUMBER(R$5:R$4004)*(R$5:R$4004&gt;R596))+1)</f>
        <v/>
      </c>
      <c r="T596" s="32" t="str">
        <f aca="false">IF(S596="","",IF(S596&lt;=Setup!$B$5,"🏆 WINNER",""))</f>
        <v/>
      </c>
      <c r="U596" s="31" t="str">
        <f aca="false">IF(S596="","",I596&amp;"|"&amp;S596)</f>
        <v/>
      </c>
    </row>
    <row r="597" customFormat="false" ht="15" hidden="false" customHeight="false" outlineLevel="0" collapsed="false">
      <c r="A597" s="24" t="n">
        <v>593</v>
      </c>
      <c r="B597" s="25" t="str">
        <f aca="false">IF(OR(C597="",I597="",G597=""),"",IFERROR(VLOOKUP(I597,Setup!$A$9:$B$11,2,0),"???")&amp;"-"&amp;G597&amp;"-"&amp;TEXT(COUNTIFS(I$5:I597,I597,G$5:G597,G597),"0000"))</f>
        <v/>
      </c>
      <c r="C597" s="26"/>
      <c r="D597" s="26"/>
      <c r="E597" s="27"/>
      <c r="F597" s="27"/>
      <c r="G597" s="24" t="str">
        <f aca="false">IF(F597="","",IF(F597&lt;=5,"A",IF(F597&lt;=8,"B",IF(F597&lt;=10,"C","D"))))</f>
        <v/>
      </c>
      <c r="H597" s="28"/>
      <c r="I597" s="27"/>
      <c r="J597" s="26"/>
      <c r="K597" s="27"/>
      <c r="L597" s="27"/>
      <c r="M597" s="27"/>
      <c r="N597" s="27"/>
      <c r="O597" s="24" t="str">
        <f aca="false">IF(G597="","",VLOOKUP(G597,Setup!$A$14:$C$17,3,0))</f>
        <v/>
      </c>
      <c r="P597" s="27"/>
      <c r="Q597" s="29" t="str">
        <f aca="false">IF(OR(P597="",M597&lt;&gt;"Paid",O597=""),"",P597/O597)</f>
        <v/>
      </c>
      <c r="R597" s="30" t="str">
        <f aca="false">IF(Q597="","",Q597+N(H597)*0.000000001)</f>
        <v/>
      </c>
      <c r="S597" s="25" t="str">
        <f aca="false">IF(R597="","",SUMPRODUCT((I$5:I$4004=I597)*ISNUMBER(R$5:R$4004)*(R$5:R$4004&gt;R597))+1)</f>
        <v/>
      </c>
      <c r="T597" s="25" t="str">
        <f aca="false">IF(S597="","",IF(S597&lt;=Setup!$B$5,"🏆 WINNER",""))</f>
        <v/>
      </c>
      <c r="U597" s="24" t="str">
        <f aca="false">IF(S597="","",I597&amp;"|"&amp;S597)</f>
        <v/>
      </c>
    </row>
    <row r="598" customFormat="false" ht="15" hidden="false" customHeight="false" outlineLevel="0" collapsed="false">
      <c r="A598" s="31" t="n">
        <v>594</v>
      </c>
      <c r="B598" s="32" t="str">
        <f aca="false">IF(OR(C598="",I598="",G598=""),"",IFERROR(VLOOKUP(I598,Setup!$A$9:$B$11,2,0),"???")&amp;"-"&amp;G598&amp;"-"&amp;TEXT(COUNTIFS(I$5:I598,I598,G$5:G598,G598),"0000"))</f>
        <v/>
      </c>
      <c r="C598" s="26"/>
      <c r="D598" s="26"/>
      <c r="E598" s="27"/>
      <c r="F598" s="27"/>
      <c r="G598" s="31" t="str">
        <f aca="false">IF(F598="","",IF(F598&lt;=5,"A",IF(F598&lt;=8,"B",IF(F598&lt;=10,"C","D"))))</f>
        <v/>
      </c>
      <c r="H598" s="28"/>
      <c r="I598" s="27"/>
      <c r="J598" s="26"/>
      <c r="K598" s="27"/>
      <c r="L598" s="27"/>
      <c r="M598" s="27"/>
      <c r="N598" s="27"/>
      <c r="O598" s="31" t="str">
        <f aca="false">IF(G598="","",VLOOKUP(G598,Setup!$A$14:$C$17,3,0))</f>
        <v/>
      </c>
      <c r="P598" s="27"/>
      <c r="Q598" s="33" t="str">
        <f aca="false">IF(OR(P598="",M598&lt;&gt;"Paid",O598=""),"",P598/O598)</f>
        <v/>
      </c>
      <c r="R598" s="34" t="str">
        <f aca="false">IF(Q598="","",Q598+N(H598)*0.000000001)</f>
        <v/>
      </c>
      <c r="S598" s="32" t="str">
        <f aca="false">IF(R598="","",SUMPRODUCT((I$5:I$4004=I598)*ISNUMBER(R$5:R$4004)*(R$5:R$4004&gt;R598))+1)</f>
        <v/>
      </c>
      <c r="T598" s="32" t="str">
        <f aca="false">IF(S598="","",IF(S598&lt;=Setup!$B$5,"🏆 WINNER",""))</f>
        <v/>
      </c>
      <c r="U598" s="31" t="str">
        <f aca="false">IF(S598="","",I598&amp;"|"&amp;S598)</f>
        <v/>
      </c>
    </row>
    <row r="599" customFormat="false" ht="15" hidden="false" customHeight="false" outlineLevel="0" collapsed="false">
      <c r="A599" s="24" t="n">
        <v>595</v>
      </c>
      <c r="B599" s="25" t="str">
        <f aca="false">IF(OR(C599="",I599="",G599=""),"",IFERROR(VLOOKUP(I599,Setup!$A$9:$B$11,2,0),"???")&amp;"-"&amp;G599&amp;"-"&amp;TEXT(COUNTIFS(I$5:I599,I599,G$5:G599,G599),"0000"))</f>
        <v/>
      </c>
      <c r="C599" s="26"/>
      <c r="D599" s="26"/>
      <c r="E599" s="27"/>
      <c r="F599" s="27"/>
      <c r="G599" s="24" t="str">
        <f aca="false">IF(F599="","",IF(F599&lt;=5,"A",IF(F599&lt;=8,"B",IF(F599&lt;=10,"C","D"))))</f>
        <v/>
      </c>
      <c r="H599" s="28"/>
      <c r="I599" s="27"/>
      <c r="J599" s="26"/>
      <c r="K599" s="27"/>
      <c r="L599" s="27"/>
      <c r="M599" s="27"/>
      <c r="N599" s="27"/>
      <c r="O599" s="24" t="str">
        <f aca="false">IF(G599="","",VLOOKUP(G599,Setup!$A$14:$C$17,3,0))</f>
        <v/>
      </c>
      <c r="P599" s="27"/>
      <c r="Q599" s="29" t="str">
        <f aca="false">IF(OR(P599="",M599&lt;&gt;"Paid",O599=""),"",P599/O599)</f>
        <v/>
      </c>
      <c r="R599" s="30" t="str">
        <f aca="false">IF(Q599="","",Q599+N(H599)*0.000000001)</f>
        <v/>
      </c>
      <c r="S599" s="25" t="str">
        <f aca="false">IF(R599="","",SUMPRODUCT((I$5:I$4004=I599)*ISNUMBER(R$5:R$4004)*(R$5:R$4004&gt;R599))+1)</f>
        <v/>
      </c>
      <c r="T599" s="25" t="str">
        <f aca="false">IF(S599="","",IF(S599&lt;=Setup!$B$5,"🏆 WINNER",""))</f>
        <v/>
      </c>
      <c r="U599" s="24" t="str">
        <f aca="false">IF(S599="","",I599&amp;"|"&amp;S599)</f>
        <v/>
      </c>
    </row>
    <row r="600" customFormat="false" ht="15" hidden="false" customHeight="false" outlineLevel="0" collapsed="false">
      <c r="A600" s="31" t="n">
        <v>596</v>
      </c>
      <c r="B600" s="32" t="str">
        <f aca="false">IF(OR(C600="",I600="",G600=""),"",IFERROR(VLOOKUP(I600,Setup!$A$9:$B$11,2,0),"???")&amp;"-"&amp;G600&amp;"-"&amp;TEXT(COUNTIFS(I$5:I600,I600,G$5:G600,G600),"0000"))</f>
        <v/>
      </c>
      <c r="C600" s="26"/>
      <c r="D600" s="26"/>
      <c r="E600" s="27"/>
      <c r="F600" s="27"/>
      <c r="G600" s="31" t="str">
        <f aca="false">IF(F600="","",IF(F600&lt;=5,"A",IF(F600&lt;=8,"B",IF(F600&lt;=10,"C","D"))))</f>
        <v/>
      </c>
      <c r="H600" s="28"/>
      <c r="I600" s="27"/>
      <c r="J600" s="26"/>
      <c r="K600" s="27"/>
      <c r="L600" s="27"/>
      <c r="M600" s="27"/>
      <c r="N600" s="27"/>
      <c r="O600" s="31" t="str">
        <f aca="false">IF(G600="","",VLOOKUP(G600,Setup!$A$14:$C$17,3,0))</f>
        <v/>
      </c>
      <c r="P600" s="27"/>
      <c r="Q600" s="33" t="str">
        <f aca="false">IF(OR(P600="",M600&lt;&gt;"Paid",O600=""),"",P600/O600)</f>
        <v/>
      </c>
      <c r="R600" s="34" t="str">
        <f aca="false">IF(Q600="","",Q600+N(H600)*0.000000001)</f>
        <v/>
      </c>
      <c r="S600" s="32" t="str">
        <f aca="false">IF(R600="","",SUMPRODUCT((I$5:I$4004=I600)*ISNUMBER(R$5:R$4004)*(R$5:R$4004&gt;R600))+1)</f>
        <v/>
      </c>
      <c r="T600" s="32" t="str">
        <f aca="false">IF(S600="","",IF(S600&lt;=Setup!$B$5,"🏆 WINNER",""))</f>
        <v/>
      </c>
      <c r="U600" s="31" t="str">
        <f aca="false">IF(S600="","",I600&amp;"|"&amp;S600)</f>
        <v/>
      </c>
    </row>
    <row r="601" customFormat="false" ht="15" hidden="false" customHeight="false" outlineLevel="0" collapsed="false">
      <c r="A601" s="24" t="n">
        <v>597</v>
      </c>
      <c r="B601" s="25" t="str">
        <f aca="false">IF(OR(C601="",I601="",G601=""),"",IFERROR(VLOOKUP(I601,Setup!$A$9:$B$11,2,0),"???")&amp;"-"&amp;G601&amp;"-"&amp;TEXT(COUNTIFS(I$5:I601,I601,G$5:G601,G601),"0000"))</f>
        <v/>
      </c>
      <c r="C601" s="26"/>
      <c r="D601" s="26"/>
      <c r="E601" s="27"/>
      <c r="F601" s="27"/>
      <c r="G601" s="24" t="str">
        <f aca="false">IF(F601="","",IF(F601&lt;=5,"A",IF(F601&lt;=8,"B",IF(F601&lt;=10,"C","D"))))</f>
        <v/>
      </c>
      <c r="H601" s="28"/>
      <c r="I601" s="27"/>
      <c r="J601" s="26"/>
      <c r="K601" s="27"/>
      <c r="L601" s="27"/>
      <c r="M601" s="27"/>
      <c r="N601" s="27"/>
      <c r="O601" s="24" t="str">
        <f aca="false">IF(G601="","",VLOOKUP(G601,Setup!$A$14:$C$17,3,0))</f>
        <v/>
      </c>
      <c r="P601" s="27"/>
      <c r="Q601" s="29" t="str">
        <f aca="false">IF(OR(P601="",M601&lt;&gt;"Paid",O601=""),"",P601/O601)</f>
        <v/>
      </c>
      <c r="R601" s="30" t="str">
        <f aca="false">IF(Q601="","",Q601+N(H601)*0.000000001)</f>
        <v/>
      </c>
      <c r="S601" s="25" t="str">
        <f aca="false">IF(R601="","",SUMPRODUCT((I$5:I$4004=I601)*ISNUMBER(R$5:R$4004)*(R$5:R$4004&gt;R601))+1)</f>
        <v/>
      </c>
      <c r="T601" s="25" t="str">
        <f aca="false">IF(S601="","",IF(S601&lt;=Setup!$B$5,"🏆 WINNER",""))</f>
        <v/>
      </c>
      <c r="U601" s="24" t="str">
        <f aca="false">IF(S601="","",I601&amp;"|"&amp;S601)</f>
        <v/>
      </c>
    </row>
    <row r="602" customFormat="false" ht="15" hidden="false" customHeight="false" outlineLevel="0" collapsed="false">
      <c r="A602" s="31" t="n">
        <v>598</v>
      </c>
      <c r="B602" s="32" t="str">
        <f aca="false">IF(OR(C602="",I602="",G602=""),"",IFERROR(VLOOKUP(I602,Setup!$A$9:$B$11,2,0),"???")&amp;"-"&amp;G602&amp;"-"&amp;TEXT(COUNTIFS(I$5:I602,I602,G$5:G602,G602),"0000"))</f>
        <v/>
      </c>
      <c r="C602" s="26"/>
      <c r="D602" s="26"/>
      <c r="E602" s="27"/>
      <c r="F602" s="27"/>
      <c r="G602" s="31" t="str">
        <f aca="false">IF(F602="","",IF(F602&lt;=5,"A",IF(F602&lt;=8,"B",IF(F602&lt;=10,"C","D"))))</f>
        <v/>
      </c>
      <c r="H602" s="28"/>
      <c r="I602" s="27"/>
      <c r="J602" s="26"/>
      <c r="K602" s="27"/>
      <c r="L602" s="27"/>
      <c r="M602" s="27"/>
      <c r="N602" s="27"/>
      <c r="O602" s="31" t="str">
        <f aca="false">IF(G602="","",VLOOKUP(G602,Setup!$A$14:$C$17,3,0))</f>
        <v/>
      </c>
      <c r="P602" s="27"/>
      <c r="Q602" s="33" t="str">
        <f aca="false">IF(OR(P602="",M602&lt;&gt;"Paid",O602=""),"",P602/O602)</f>
        <v/>
      </c>
      <c r="R602" s="34" t="str">
        <f aca="false">IF(Q602="","",Q602+N(H602)*0.000000001)</f>
        <v/>
      </c>
      <c r="S602" s="32" t="str">
        <f aca="false">IF(R602="","",SUMPRODUCT((I$5:I$4004=I602)*ISNUMBER(R$5:R$4004)*(R$5:R$4004&gt;R602))+1)</f>
        <v/>
      </c>
      <c r="T602" s="32" t="str">
        <f aca="false">IF(S602="","",IF(S602&lt;=Setup!$B$5,"🏆 WINNER",""))</f>
        <v/>
      </c>
      <c r="U602" s="31" t="str">
        <f aca="false">IF(S602="","",I602&amp;"|"&amp;S602)</f>
        <v/>
      </c>
    </row>
    <row r="603" customFormat="false" ht="15" hidden="false" customHeight="false" outlineLevel="0" collapsed="false">
      <c r="A603" s="24" t="n">
        <v>599</v>
      </c>
      <c r="B603" s="25" t="str">
        <f aca="false">IF(OR(C603="",I603="",G603=""),"",IFERROR(VLOOKUP(I603,Setup!$A$9:$B$11,2,0),"???")&amp;"-"&amp;G603&amp;"-"&amp;TEXT(COUNTIFS(I$5:I603,I603,G$5:G603,G603),"0000"))</f>
        <v/>
      </c>
      <c r="C603" s="26"/>
      <c r="D603" s="26"/>
      <c r="E603" s="27"/>
      <c r="F603" s="27"/>
      <c r="G603" s="24" t="str">
        <f aca="false">IF(F603="","",IF(F603&lt;=5,"A",IF(F603&lt;=8,"B",IF(F603&lt;=10,"C","D"))))</f>
        <v/>
      </c>
      <c r="H603" s="28"/>
      <c r="I603" s="27"/>
      <c r="J603" s="26"/>
      <c r="K603" s="27"/>
      <c r="L603" s="27"/>
      <c r="M603" s="27"/>
      <c r="N603" s="27"/>
      <c r="O603" s="24" t="str">
        <f aca="false">IF(G603="","",VLOOKUP(G603,Setup!$A$14:$C$17,3,0))</f>
        <v/>
      </c>
      <c r="P603" s="27"/>
      <c r="Q603" s="29" t="str">
        <f aca="false">IF(OR(P603="",M603&lt;&gt;"Paid",O603=""),"",P603/O603)</f>
        <v/>
      </c>
      <c r="R603" s="30" t="str">
        <f aca="false">IF(Q603="","",Q603+N(H603)*0.000000001)</f>
        <v/>
      </c>
      <c r="S603" s="25" t="str">
        <f aca="false">IF(R603="","",SUMPRODUCT((I$5:I$4004=I603)*ISNUMBER(R$5:R$4004)*(R$5:R$4004&gt;R603))+1)</f>
        <v/>
      </c>
      <c r="T603" s="25" t="str">
        <f aca="false">IF(S603="","",IF(S603&lt;=Setup!$B$5,"🏆 WINNER",""))</f>
        <v/>
      </c>
      <c r="U603" s="24" t="str">
        <f aca="false">IF(S603="","",I603&amp;"|"&amp;S603)</f>
        <v/>
      </c>
    </row>
    <row r="604" customFormat="false" ht="15" hidden="false" customHeight="false" outlineLevel="0" collapsed="false">
      <c r="A604" s="31" t="n">
        <v>600</v>
      </c>
      <c r="B604" s="32" t="str">
        <f aca="false">IF(OR(C604="",I604="",G604=""),"",IFERROR(VLOOKUP(I604,Setup!$A$9:$B$11,2,0),"???")&amp;"-"&amp;G604&amp;"-"&amp;TEXT(COUNTIFS(I$5:I604,I604,G$5:G604,G604),"0000"))</f>
        <v/>
      </c>
      <c r="C604" s="26"/>
      <c r="D604" s="26"/>
      <c r="E604" s="27"/>
      <c r="F604" s="27"/>
      <c r="G604" s="31" t="str">
        <f aca="false">IF(F604="","",IF(F604&lt;=5,"A",IF(F604&lt;=8,"B",IF(F604&lt;=10,"C","D"))))</f>
        <v/>
      </c>
      <c r="H604" s="28"/>
      <c r="I604" s="27"/>
      <c r="J604" s="26"/>
      <c r="K604" s="27"/>
      <c r="L604" s="27"/>
      <c r="M604" s="27"/>
      <c r="N604" s="27"/>
      <c r="O604" s="31" t="str">
        <f aca="false">IF(G604="","",VLOOKUP(G604,Setup!$A$14:$C$17,3,0))</f>
        <v/>
      </c>
      <c r="P604" s="27"/>
      <c r="Q604" s="33" t="str">
        <f aca="false">IF(OR(P604="",M604&lt;&gt;"Paid",O604=""),"",P604/O604)</f>
        <v/>
      </c>
      <c r="R604" s="34" t="str">
        <f aca="false">IF(Q604="","",Q604+N(H604)*0.000000001)</f>
        <v/>
      </c>
      <c r="S604" s="32" t="str">
        <f aca="false">IF(R604="","",SUMPRODUCT((I$5:I$4004=I604)*ISNUMBER(R$5:R$4004)*(R$5:R$4004&gt;R604))+1)</f>
        <v/>
      </c>
      <c r="T604" s="32" t="str">
        <f aca="false">IF(S604="","",IF(S604&lt;=Setup!$B$5,"🏆 WINNER",""))</f>
        <v/>
      </c>
      <c r="U604" s="31" t="str">
        <f aca="false">IF(S604="","",I604&amp;"|"&amp;S604)</f>
        <v/>
      </c>
    </row>
    <row r="605" customFormat="false" ht="15" hidden="false" customHeight="false" outlineLevel="0" collapsed="false">
      <c r="A605" s="24" t="n">
        <v>601</v>
      </c>
      <c r="B605" s="25" t="str">
        <f aca="false">IF(OR(C605="",I605="",G605=""),"",IFERROR(VLOOKUP(I605,Setup!$A$9:$B$11,2,0),"???")&amp;"-"&amp;G605&amp;"-"&amp;TEXT(COUNTIFS(I$5:I605,I605,G$5:G605,G605),"0000"))</f>
        <v/>
      </c>
      <c r="C605" s="26"/>
      <c r="D605" s="26"/>
      <c r="E605" s="27"/>
      <c r="F605" s="27"/>
      <c r="G605" s="24" t="str">
        <f aca="false">IF(F605="","",IF(F605&lt;=5,"A",IF(F605&lt;=8,"B",IF(F605&lt;=10,"C","D"))))</f>
        <v/>
      </c>
      <c r="H605" s="28"/>
      <c r="I605" s="27"/>
      <c r="J605" s="26"/>
      <c r="K605" s="27"/>
      <c r="L605" s="27"/>
      <c r="M605" s="27"/>
      <c r="N605" s="27"/>
      <c r="O605" s="24" t="str">
        <f aca="false">IF(G605="","",VLOOKUP(G605,Setup!$A$14:$C$17,3,0))</f>
        <v/>
      </c>
      <c r="P605" s="27"/>
      <c r="Q605" s="29" t="str">
        <f aca="false">IF(OR(P605="",M605&lt;&gt;"Paid",O605=""),"",P605/O605)</f>
        <v/>
      </c>
      <c r="R605" s="30" t="str">
        <f aca="false">IF(Q605="","",Q605+N(H605)*0.000000001)</f>
        <v/>
      </c>
      <c r="S605" s="25" t="str">
        <f aca="false">IF(R605="","",SUMPRODUCT((I$5:I$4004=I605)*ISNUMBER(R$5:R$4004)*(R$5:R$4004&gt;R605))+1)</f>
        <v/>
      </c>
      <c r="T605" s="25" t="str">
        <f aca="false">IF(S605="","",IF(S605&lt;=Setup!$B$5,"🏆 WINNER",""))</f>
        <v/>
      </c>
      <c r="U605" s="24" t="str">
        <f aca="false">IF(S605="","",I605&amp;"|"&amp;S605)</f>
        <v/>
      </c>
    </row>
    <row r="606" customFormat="false" ht="15" hidden="false" customHeight="false" outlineLevel="0" collapsed="false">
      <c r="A606" s="31" t="n">
        <v>602</v>
      </c>
      <c r="B606" s="32" t="str">
        <f aca="false">IF(OR(C606="",I606="",G606=""),"",IFERROR(VLOOKUP(I606,Setup!$A$9:$B$11,2,0),"???")&amp;"-"&amp;G606&amp;"-"&amp;TEXT(COUNTIFS(I$5:I606,I606,G$5:G606,G606),"0000"))</f>
        <v/>
      </c>
      <c r="C606" s="26"/>
      <c r="D606" s="26"/>
      <c r="E606" s="27"/>
      <c r="F606" s="27"/>
      <c r="G606" s="31" t="str">
        <f aca="false">IF(F606="","",IF(F606&lt;=5,"A",IF(F606&lt;=8,"B",IF(F606&lt;=10,"C","D"))))</f>
        <v/>
      </c>
      <c r="H606" s="28"/>
      <c r="I606" s="27"/>
      <c r="J606" s="26"/>
      <c r="K606" s="27"/>
      <c r="L606" s="27"/>
      <c r="M606" s="27"/>
      <c r="N606" s="27"/>
      <c r="O606" s="31" t="str">
        <f aca="false">IF(G606="","",VLOOKUP(G606,Setup!$A$14:$C$17,3,0))</f>
        <v/>
      </c>
      <c r="P606" s="27"/>
      <c r="Q606" s="33" t="str">
        <f aca="false">IF(OR(P606="",M606&lt;&gt;"Paid",O606=""),"",P606/O606)</f>
        <v/>
      </c>
      <c r="R606" s="34" t="str">
        <f aca="false">IF(Q606="","",Q606+N(H606)*0.000000001)</f>
        <v/>
      </c>
      <c r="S606" s="32" t="str">
        <f aca="false">IF(R606="","",SUMPRODUCT((I$5:I$4004=I606)*ISNUMBER(R$5:R$4004)*(R$5:R$4004&gt;R606))+1)</f>
        <v/>
      </c>
      <c r="T606" s="32" t="str">
        <f aca="false">IF(S606="","",IF(S606&lt;=Setup!$B$5,"🏆 WINNER",""))</f>
        <v/>
      </c>
      <c r="U606" s="31" t="str">
        <f aca="false">IF(S606="","",I606&amp;"|"&amp;S606)</f>
        <v/>
      </c>
    </row>
    <row r="607" customFormat="false" ht="15" hidden="false" customHeight="false" outlineLevel="0" collapsed="false">
      <c r="A607" s="24" t="n">
        <v>603</v>
      </c>
      <c r="B607" s="25" t="str">
        <f aca="false">IF(OR(C607="",I607="",G607=""),"",IFERROR(VLOOKUP(I607,Setup!$A$9:$B$11,2,0),"???")&amp;"-"&amp;G607&amp;"-"&amp;TEXT(COUNTIFS(I$5:I607,I607,G$5:G607,G607),"0000"))</f>
        <v/>
      </c>
      <c r="C607" s="26"/>
      <c r="D607" s="26"/>
      <c r="E607" s="27"/>
      <c r="F607" s="27"/>
      <c r="G607" s="24" t="str">
        <f aca="false">IF(F607="","",IF(F607&lt;=5,"A",IF(F607&lt;=8,"B",IF(F607&lt;=10,"C","D"))))</f>
        <v/>
      </c>
      <c r="H607" s="28"/>
      <c r="I607" s="27"/>
      <c r="J607" s="26"/>
      <c r="K607" s="27"/>
      <c r="L607" s="27"/>
      <c r="M607" s="27"/>
      <c r="N607" s="27"/>
      <c r="O607" s="24" t="str">
        <f aca="false">IF(G607="","",VLOOKUP(G607,Setup!$A$14:$C$17,3,0))</f>
        <v/>
      </c>
      <c r="P607" s="27"/>
      <c r="Q607" s="29" t="str">
        <f aca="false">IF(OR(P607="",M607&lt;&gt;"Paid",O607=""),"",P607/O607)</f>
        <v/>
      </c>
      <c r="R607" s="30" t="str">
        <f aca="false">IF(Q607="","",Q607+N(H607)*0.000000001)</f>
        <v/>
      </c>
      <c r="S607" s="25" t="str">
        <f aca="false">IF(R607="","",SUMPRODUCT((I$5:I$4004=I607)*ISNUMBER(R$5:R$4004)*(R$5:R$4004&gt;R607))+1)</f>
        <v/>
      </c>
      <c r="T607" s="25" t="str">
        <f aca="false">IF(S607="","",IF(S607&lt;=Setup!$B$5,"🏆 WINNER",""))</f>
        <v/>
      </c>
      <c r="U607" s="24" t="str">
        <f aca="false">IF(S607="","",I607&amp;"|"&amp;S607)</f>
        <v/>
      </c>
    </row>
    <row r="608" customFormat="false" ht="15" hidden="false" customHeight="false" outlineLevel="0" collapsed="false">
      <c r="A608" s="31" t="n">
        <v>604</v>
      </c>
      <c r="B608" s="32" t="str">
        <f aca="false">IF(OR(C608="",I608="",G608=""),"",IFERROR(VLOOKUP(I608,Setup!$A$9:$B$11,2,0),"???")&amp;"-"&amp;G608&amp;"-"&amp;TEXT(COUNTIFS(I$5:I608,I608,G$5:G608,G608),"0000"))</f>
        <v/>
      </c>
      <c r="C608" s="26"/>
      <c r="D608" s="26"/>
      <c r="E608" s="27"/>
      <c r="F608" s="27"/>
      <c r="G608" s="31" t="str">
        <f aca="false">IF(F608="","",IF(F608&lt;=5,"A",IF(F608&lt;=8,"B",IF(F608&lt;=10,"C","D"))))</f>
        <v/>
      </c>
      <c r="H608" s="28"/>
      <c r="I608" s="27"/>
      <c r="J608" s="26"/>
      <c r="K608" s="27"/>
      <c r="L608" s="27"/>
      <c r="M608" s="27"/>
      <c r="N608" s="27"/>
      <c r="O608" s="31" t="str">
        <f aca="false">IF(G608="","",VLOOKUP(G608,Setup!$A$14:$C$17,3,0))</f>
        <v/>
      </c>
      <c r="P608" s="27"/>
      <c r="Q608" s="33" t="str">
        <f aca="false">IF(OR(P608="",M608&lt;&gt;"Paid",O608=""),"",P608/O608)</f>
        <v/>
      </c>
      <c r="R608" s="34" t="str">
        <f aca="false">IF(Q608="","",Q608+N(H608)*0.000000001)</f>
        <v/>
      </c>
      <c r="S608" s="32" t="str">
        <f aca="false">IF(R608="","",SUMPRODUCT((I$5:I$4004=I608)*ISNUMBER(R$5:R$4004)*(R$5:R$4004&gt;R608))+1)</f>
        <v/>
      </c>
      <c r="T608" s="32" t="str">
        <f aca="false">IF(S608="","",IF(S608&lt;=Setup!$B$5,"🏆 WINNER",""))</f>
        <v/>
      </c>
      <c r="U608" s="31" t="str">
        <f aca="false">IF(S608="","",I608&amp;"|"&amp;S608)</f>
        <v/>
      </c>
    </row>
    <row r="609" customFormat="false" ht="15" hidden="false" customHeight="false" outlineLevel="0" collapsed="false">
      <c r="A609" s="24" t="n">
        <v>605</v>
      </c>
      <c r="B609" s="25" t="str">
        <f aca="false">IF(OR(C609="",I609="",G609=""),"",IFERROR(VLOOKUP(I609,Setup!$A$9:$B$11,2,0),"???")&amp;"-"&amp;G609&amp;"-"&amp;TEXT(COUNTIFS(I$5:I609,I609,G$5:G609,G609),"0000"))</f>
        <v/>
      </c>
      <c r="C609" s="26"/>
      <c r="D609" s="26"/>
      <c r="E609" s="27"/>
      <c r="F609" s="27"/>
      <c r="G609" s="24" t="str">
        <f aca="false">IF(F609="","",IF(F609&lt;=5,"A",IF(F609&lt;=8,"B",IF(F609&lt;=10,"C","D"))))</f>
        <v/>
      </c>
      <c r="H609" s="28"/>
      <c r="I609" s="27"/>
      <c r="J609" s="26"/>
      <c r="K609" s="27"/>
      <c r="L609" s="27"/>
      <c r="M609" s="27"/>
      <c r="N609" s="27"/>
      <c r="O609" s="24" t="str">
        <f aca="false">IF(G609="","",VLOOKUP(G609,Setup!$A$14:$C$17,3,0))</f>
        <v/>
      </c>
      <c r="P609" s="27"/>
      <c r="Q609" s="29" t="str">
        <f aca="false">IF(OR(P609="",M609&lt;&gt;"Paid",O609=""),"",P609/O609)</f>
        <v/>
      </c>
      <c r="R609" s="30" t="str">
        <f aca="false">IF(Q609="","",Q609+N(H609)*0.000000001)</f>
        <v/>
      </c>
      <c r="S609" s="25" t="str">
        <f aca="false">IF(R609="","",SUMPRODUCT((I$5:I$4004=I609)*ISNUMBER(R$5:R$4004)*(R$5:R$4004&gt;R609))+1)</f>
        <v/>
      </c>
      <c r="T609" s="25" t="str">
        <f aca="false">IF(S609="","",IF(S609&lt;=Setup!$B$5,"🏆 WINNER",""))</f>
        <v/>
      </c>
      <c r="U609" s="24" t="str">
        <f aca="false">IF(S609="","",I609&amp;"|"&amp;S609)</f>
        <v/>
      </c>
    </row>
    <row r="610" customFormat="false" ht="15" hidden="false" customHeight="false" outlineLevel="0" collapsed="false">
      <c r="A610" s="31" t="n">
        <v>606</v>
      </c>
      <c r="B610" s="32" t="str">
        <f aca="false">IF(OR(C610="",I610="",G610=""),"",IFERROR(VLOOKUP(I610,Setup!$A$9:$B$11,2,0),"???")&amp;"-"&amp;G610&amp;"-"&amp;TEXT(COUNTIFS(I$5:I610,I610,G$5:G610,G610),"0000"))</f>
        <v/>
      </c>
      <c r="C610" s="26"/>
      <c r="D610" s="26"/>
      <c r="E610" s="27"/>
      <c r="F610" s="27"/>
      <c r="G610" s="31" t="str">
        <f aca="false">IF(F610="","",IF(F610&lt;=5,"A",IF(F610&lt;=8,"B",IF(F610&lt;=10,"C","D"))))</f>
        <v/>
      </c>
      <c r="H610" s="28"/>
      <c r="I610" s="27"/>
      <c r="J610" s="26"/>
      <c r="K610" s="27"/>
      <c r="L610" s="27"/>
      <c r="M610" s="27"/>
      <c r="N610" s="27"/>
      <c r="O610" s="31" t="str">
        <f aca="false">IF(G610="","",VLOOKUP(G610,Setup!$A$14:$C$17,3,0))</f>
        <v/>
      </c>
      <c r="P610" s="27"/>
      <c r="Q610" s="33" t="str">
        <f aca="false">IF(OR(P610="",M610&lt;&gt;"Paid",O610=""),"",P610/O610)</f>
        <v/>
      </c>
      <c r="R610" s="34" t="str">
        <f aca="false">IF(Q610="","",Q610+N(H610)*0.000000001)</f>
        <v/>
      </c>
      <c r="S610" s="32" t="str">
        <f aca="false">IF(R610="","",SUMPRODUCT((I$5:I$4004=I610)*ISNUMBER(R$5:R$4004)*(R$5:R$4004&gt;R610))+1)</f>
        <v/>
      </c>
      <c r="T610" s="32" t="str">
        <f aca="false">IF(S610="","",IF(S610&lt;=Setup!$B$5,"🏆 WINNER",""))</f>
        <v/>
      </c>
      <c r="U610" s="31" t="str">
        <f aca="false">IF(S610="","",I610&amp;"|"&amp;S610)</f>
        <v/>
      </c>
    </row>
    <row r="611" customFormat="false" ht="15" hidden="false" customHeight="false" outlineLevel="0" collapsed="false">
      <c r="A611" s="24" t="n">
        <v>607</v>
      </c>
      <c r="B611" s="25" t="str">
        <f aca="false">IF(OR(C611="",I611="",G611=""),"",IFERROR(VLOOKUP(I611,Setup!$A$9:$B$11,2,0),"???")&amp;"-"&amp;G611&amp;"-"&amp;TEXT(COUNTIFS(I$5:I611,I611,G$5:G611,G611),"0000"))</f>
        <v/>
      </c>
      <c r="C611" s="26"/>
      <c r="D611" s="26"/>
      <c r="E611" s="27"/>
      <c r="F611" s="27"/>
      <c r="G611" s="24" t="str">
        <f aca="false">IF(F611="","",IF(F611&lt;=5,"A",IF(F611&lt;=8,"B",IF(F611&lt;=10,"C","D"))))</f>
        <v/>
      </c>
      <c r="H611" s="28"/>
      <c r="I611" s="27"/>
      <c r="J611" s="26"/>
      <c r="K611" s="27"/>
      <c r="L611" s="27"/>
      <c r="M611" s="27"/>
      <c r="N611" s="27"/>
      <c r="O611" s="24" t="str">
        <f aca="false">IF(G611="","",VLOOKUP(G611,Setup!$A$14:$C$17,3,0))</f>
        <v/>
      </c>
      <c r="P611" s="27"/>
      <c r="Q611" s="29" t="str">
        <f aca="false">IF(OR(P611="",M611&lt;&gt;"Paid",O611=""),"",P611/O611)</f>
        <v/>
      </c>
      <c r="R611" s="30" t="str">
        <f aca="false">IF(Q611="","",Q611+N(H611)*0.000000001)</f>
        <v/>
      </c>
      <c r="S611" s="25" t="str">
        <f aca="false">IF(R611="","",SUMPRODUCT((I$5:I$4004=I611)*ISNUMBER(R$5:R$4004)*(R$5:R$4004&gt;R611))+1)</f>
        <v/>
      </c>
      <c r="T611" s="25" t="str">
        <f aca="false">IF(S611="","",IF(S611&lt;=Setup!$B$5,"🏆 WINNER",""))</f>
        <v/>
      </c>
      <c r="U611" s="24" t="str">
        <f aca="false">IF(S611="","",I611&amp;"|"&amp;S611)</f>
        <v/>
      </c>
    </row>
    <row r="612" customFormat="false" ht="15" hidden="false" customHeight="false" outlineLevel="0" collapsed="false">
      <c r="A612" s="31" t="n">
        <v>608</v>
      </c>
      <c r="B612" s="32" t="str">
        <f aca="false">IF(OR(C612="",I612="",G612=""),"",IFERROR(VLOOKUP(I612,Setup!$A$9:$B$11,2,0),"???")&amp;"-"&amp;G612&amp;"-"&amp;TEXT(COUNTIFS(I$5:I612,I612,G$5:G612,G612),"0000"))</f>
        <v/>
      </c>
      <c r="C612" s="26"/>
      <c r="D612" s="26"/>
      <c r="E612" s="27"/>
      <c r="F612" s="27"/>
      <c r="G612" s="31" t="str">
        <f aca="false">IF(F612="","",IF(F612&lt;=5,"A",IF(F612&lt;=8,"B",IF(F612&lt;=10,"C","D"))))</f>
        <v/>
      </c>
      <c r="H612" s="28"/>
      <c r="I612" s="27"/>
      <c r="J612" s="26"/>
      <c r="K612" s="27"/>
      <c r="L612" s="27"/>
      <c r="M612" s="27"/>
      <c r="N612" s="27"/>
      <c r="O612" s="31" t="str">
        <f aca="false">IF(G612="","",VLOOKUP(G612,Setup!$A$14:$C$17,3,0))</f>
        <v/>
      </c>
      <c r="P612" s="27"/>
      <c r="Q612" s="33" t="str">
        <f aca="false">IF(OR(P612="",M612&lt;&gt;"Paid",O612=""),"",P612/O612)</f>
        <v/>
      </c>
      <c r="R612" s="34" t="str">
        <f aca="false">IF(Q612="","",Q612+N(H612)*0.000000001)</f>
        <v/>
      </c>
      <c r="S612" s="32" t="str">
        <f aca="false">IF(R612="","",SUMPRODUCT((I$5:I$4004=I612)*ISNUMBER(R$5:R$4004)*(R$5:R$4004&gt;R612))+1)</f>
        <v/>
      </c>
      <c r="T612" s="32" t="str">
        <f aca="false">IF(S612="","",IF(S612&lt;=Setup!$B$5,"🏆 WINNER",""))</f>
        <v/>
      </c>
      <c r="U612" s="31" t="str">
        <f aca="false">IF(S612="","",I612&amp;"|"&amp;S612)</f>
        <v/>
      </c>
    </row>
    <row r="613" customFormat="false" ht="15" hidden="false" customHeight="false" outlineLevel="0" collapsed="false">
      <c r="A613" s="24" t="n">
        <v>609</v>
      </c>
      <c r="B613" s="25" t="str">
        <f aca="false">IF(OR(C613="",I613="",G613=""),"",IFERROR(VLOOKUP(I613,Setup!$A$9:$B$11,2,0),"???")&amp;"-"&amp;G613&amp;"-"&amp;TEXT(COUNTIFS(I$5:I613,I613,G$5:G613,G613),"0000"))</f>
        <v/>
      </c>
      <c r="C613" s="26"/>
      <c r="D613" s="26"/>
      <c r="E613" s="27"/>
      <c r="F613" s="27"/>
      <c r="G613" s="24" t="str">
        <f aca="false">IF(F613="","",IF(F613&lt;=5,"A",IF(F613&lt;=8,"B",IF(F613&lt;=10,"C","D"))))</f>
        <v/>
      </c>
      <c r="H613" s="28"/>
      <c r="I613" s="27"/>
      <c r="J613" s="26"/>
      <c r="K613" s="27"/>
      <c r="L613" s="27"/>
      <c r="M613" s="27"/>
      <c r="N613" s="27"/>
      <c r="O613" s="24" t="str">
        <f aca="false">IF(G613="","",VLOOKUP(G613,Setup!$A$14:$C$17,3,0))</f>
        <v/>
      </c>
      <c r="P613" s="27"/>
      <c r="Q613" s="29" t="str">
        <f aca="false">IF(OR(P613="",M613&lt;&gt;"Paid",O613=""),"",P613/O613)</f>
        <v/>
      </c>
      <c r="R613" s="30" t="str">
        <f aca="false">IF(Q613="","",Q613+N(H613)*0.000000001)</f>
        <v/>
      </c>
      <c r="S613" s="25" t="str">
        <f aca="false">IF(R613="","",SUMPRODUCT((I$5:I$4004=I613)*ISNUMBER(R$5:R$4004)*(R$5:R$4004&gt;R613))+1)</f>
        <v/>
      </c>
      <c r="T613" s="25" t="str">
        <f aca="false">IF(S613="","",IF(S613&lt;=Setup!$B$5,"🏆 WINNER",""))</f>
        <v/>
      </c>
      <c r="U613" s="24" t="str">
        <f aca="false">IF(S613="","",I613&amp;"|"&amp;S613)</f>
        <v/>
      </c>
    </row>
    <row r="614" customFormat="false" ht="15" hidden="false" customHeight="false" outlineLevel="0" collapsed="false">
      <c r="A614" s="31" t="n">
        <v>610</v>
      </c>
      <c r="B614" s="32" t="str">
        <f aca="false">IF(OR(C614="",I614="",G614=""),"",IFERROR(VLOOKUP(I614,Setup!$A$9:$B$11,2,0),"???")&amp;"-"&amp;G614&amp;"-"&amp;TEXT(COUNTIFS(I$5:I614,I614,G$5:G614,G614),"0000"))</f>
        <v/>
      </c>
      <c r="C614" s="26"/>
      <c r="D614" s="26"/>
      <c r="E614" s="27"/>
      <c r="F614" s="27"/>
      <c r="G614" s="31" t="str">
        <f aca="false">IF(F614="","",IF(F614&lt;=5,"A",IF(F614&lt;=8,"B",IF(F614&lt;=10,"C","D"))))</f>
        <v/>
      </c>
      <c r="H614" s="28"/>
      <c r="I614" s="27"/>
      <c r="J614" s="26"/>
      <c r="K614" s="27"/>
      <c r="L614" s="27"/>
      <c r="M614" s="27"/>
      <c r="N614" s="27"/>
      <c r="O614" s="31" t="str">
        <f aca="false">IF(G614="","",VLOOKUP(G614,Setup!$A$14:$C$17,3,0))</f>
        <v/>
      </c>
      <c r="P614" s="27"/>
      <c r="Q614" s="33" t="str">
        <f aca="false">IF(OR(P614="",M614&lt;&gt;"Paid",O614=""),"",P614/O614)</f>
        <v/>
      </c>
      <c r="R614" s="34" t="str">
        <f aca="false">IF(Q614="","",Q614+N(H614)*0.000000001)</f>
        <v/>
      </c>
      <c r="S614" s="32" t="str">
        <f aca="false">IF(R614="","",SUMPRODUCT((I$5:I$4004=I614)*ISNUMBER(R$5:R$4004)*(R$5:R$4004&gt;R614))+1)</f>
        <v/>
      </c>
      <c r="T614" s="32" t="str">
        <f aca="false">IF(S614="","",IF(S614&lt;=Setup!$B$5,"🏆 WINNER",""))</f>
        <v/>
      </c>
      <c r="U614" s="31" t="str">
        <f aca="false">IF(S614="","",I614&amp;"|"&amp;S614)</f>
        <v/>
      </c>
    </row>
    <row r="615" customFormat="false" ht="15" hidden="false" customHeight="false" outlineLevel="0" collapsed="false">
      <c r="A615" s="24" t="n">
        <v>611</v>
      </c>
      <c r="B615" s="25" t="str">
        <f aca="false">IF(OR(C615="",I615="",G615=""),"",IFERROR(VLOOKUP(I615,Setup!$A$9:$B$11,2,0),"???")&amp;"-"&amp;G615&amp;"-"&amp;TEXT(COUNTIFS(I$5:I615,I615,G$5:G615,G615),"0000"))</f>
        <v/>
      </c>
      <c r="C615" s="26"/>
      <c r="D615" s="26"/>
      <c r="E615" s="27"/>
      <c r="F615" s="27"/>
      <c r="G615" s="24" t="str">
        <f aca="false">IF(F615="","",IF(F615&lt;=5,"A",IF(F615&lt;=8,"B",IF(F615&lt;=10,"C","D"))))</f>
        <v/>
      </c>
      <c r="H615" s="28"/>
      <c r="I615" s="27"/>
      <c r="J615" s="26"/>
      <c r="K615" s="27"/>
      <c r="L615" s="27"/>
      <c r="M615" s="27"/>
      <c r="N615" s="27"/>
      <c r="O615" s="24" t="str">
        <f aca="false">IF(G615="","",VLOOKUP(G615,Setup!$A$14:$C$17,3,0))</f>
        <v/>
      </c>
      <c r="P615" s="27"/>
      <c r="Q615" s="29" t="str">
        <f aca="false">IF(OR(P615="",M615&lt;&gt;"Paid",O615=""),"",P615/O615)</f>
        <v/>
      </c>
      <c r="R615" s="30" t="str">
        <f aca="false">IF(Q615="","",Q615+N(H615)*0.000000001)</f>
        <v/>
      </c>
      <c r="S615" s="25" t="str">
        <f aca="false">IF(R615="","",SUMPRODUCT((I$5:I$4004=I615)*ISNUMBER(R$5:R$4004)*(R$5:R$4004&gt;R615))+1)</f>
        <v/>
      </c>
      <c r="T615" s="25" t="str">
        <f aca="false">IF(S615="","",IF(S615&lt;=Setup!$B$5,"🏆 WINNER",""))</f>
        <v/>
      </c>
      <c r="U615" s="24" t="str">
        <f aca="false">IF(S615="","",I615&amp;"|"&amp;S615)</f>
        <v/>
      </c>
    </row>
    <row r="616" customFormat="false" ht="15" hidden="false" customHeight="false" outlineLevel="0" collapsed="false">
      <c r="A616" s="31" t="n">
        <v>612</v>
      </c>
      <c r="B616" s="32" t="str">
        <f aca="false">IF(OR(C616="",I616="",G616=""),"",IFERROR(VLOOKUP(I616,Setup!$A$9:$B$11,2,0),"???")&amp;"-"&amp;G616&amp;"-"&amp;TEXT(COUNTIFS(I$5:I616,I616,G$5:G616,G616),"0000"))</f>
        <v/>
      </c>
      <c r="C616" s="26"/>
      <c r="D616" s="26"/>
      <c r="E616" s="27"/>
      <c r="F616" s="27"/>
      <c r="G616" s="31" t="str">
        <f aca="false">IF(F616="","",IF(F616&lt;=5,"A",IF(F616&lt;=8,"B",IF(F616&lt;=10,"C","D"))))</f>
        <v/>
      </c>
      <c r="H616" s="28"/>
      <c r="I616" s="27"/>
      <c r="J616" s="26"/>
      <c r="K616" s="27"/>
      <c r="L616" s="27"/>
      <c r="M616" s="27"/>
      <c r="N616" s="27"/>
      <c r="O616" s="31" t="str">
        <f aca="false">IF(G616="","",VLOOKUP(G616,Setup!$A$14:$C$17,3,0))</f>
        <v/>
      </c>
      <c r="P616" s="27"/>
      <c r="Q616" s="33" t="str">
        <f aca="false">IF(OR(P616="",M616&lt;&gt;"Paid",O616=""),"",P616/O616)</f>
        <v/>
      </c>
      <c r="R616" s="34" t="str">
        <f aca="false">IF(Q616="","",Q616+N(H616)*0.000000001)</f>
        <v/>
      </c>
      <c r="S616" s="32" t="str">
        <f aca="false">IF(R616="","",SUMPRODUCT((I$5:I$4004=I616)*ISNUMBER(R$5:R$4004)*(R$5:R$4004&gt;R616))+1)</f>
        <v/>
      </c>
      <c r="T616" s="32" t="str">
        <f aca="false">IF(S616="","",IF(S616&lt;=Setup!$B$5,"🏆 WINNER",""))</f>
        <v/>
      </c>
      <c r="U616" s="31" t="str">
        <f aca="false">IF(S616="","",I616&amp;"|"&amp;S616)</f>
        <v/>
      </c>
    </row>
    <row r="617" customFormat="false" ht="15" hidden="false" customHeight="false" outlineLevel="0" collapsed="false">
      <c r="A617" s="24" t="n">
        <v>613</v>
      </c>
      <c r="B617" s="25" t="str">
        <f aca="false">IF(OR(C617="",I617="",G617=""),"",IFERROR(VLOOKUP(I617,Setup!$A$9:$B$11,2,0),"???")&amp;"-"&amp;G617&amp;"-"&amp;TEXT(COUNTIFS(I$5:I617,I617,G$5:G617,G617),"0000"))</f>
        <v/>
      </c>
      <c r="C617" s="26"/>
      <c r="D617" s="26"/>
      <c r="E617" s="27"/>
      <c r="F617" s="27"/>
      <c r="G617" s="24" t="str">
        <f aca="false">IF(F617="","",IF(F617&lt;=5,"A",IF(F617&lt;=8,"B",IF(F617&lt;=10,"C","D"))))</f>
        <v/>
      </c>
      <c r="H617" s="28"/>
      <c r="I617" s="27"/>
      <c r="J617" s="26"/>
      <c r="K617" s="27"/>
      <c r="L617" s="27"/>
      <c r="M617" s="27"/>
      <c r="N617" s="27"/>
      <c r="O617" s="24" t="str">
        <f aca="false">IF(G617="","",VLOOKUP(G617,Setup!$A$14:$C$17,3,0))</f>
        <v/>
      </c>
      <c r="P617" s="27"/>
      <c r="Q617" s="29" t="str">
        <f aca="false">IF(OR(P617="",M617&lt;&gt;"Paid",O617=""),"",P617/O617)</f>
        <v/>
      </c>
      <c r="R617" s="30" t="str">
        <f aca="false">IF(Q617="","",Q617+N(H617)*0.000000001)</f>
        <v/>
      </c>
      <c r="S617" s="25" t="str">
        <f aca="false">IF(R617="","",SUMPRODUCT((I$5:I$4004=I617)*ISNUMBER(R$5:R$4004)*(R$5:R$4004&gt;R617))+1)</f>
        <v/>
      </c>
      <c r="T617" s="25" t="str">
        <f aca="false">IF(S617="","",IF(S617&lt;=Setup!$B$5,"🏆 WINNER",""))</f>
        <v/>
      </c>
      <c r="U617" s="24" t="str">
        <f aca="false">IF(S617="","",I617&amp;"|"&amp;S617)</f>
        <v/>
      </c>
    </row>
    <row r="618" customFormat="false" ht="15" hidden="false" customHeight="false" outlineLevel="0" collapsed="false">
      <c r="A618" s="31" t="n">
        <v>614</v>
      </c>
      <c r="B618" s="32" t="str">
        <f aca="false">IF(OR(C618="",I618="",G618=""),"",IFERROR(VLOOKUP(I618,Setup!$A$9:$B$11,2,0),"???")&amp;"-"&amp;G618&amp;"-"&amp;TEXT(COUNTIFS(I$5:I618,I618,G$5:G618,G618),"0000"))</f>
        <v/>
      </c>
      <c r="C618" s="26"/>
      <c r="D618" s="26"/>
      <c r="E618" s="27"/>
      <c r="F618" s="27"/>
      <c r="G618" s="31" t="str">
        <f aca="false">IF(F618="","",IF(F618&lt;=5,"A",IF(F618&lt;=8,"B",IF(F618&lt;=10,"C","D"))))</f>
        <v/>
      </c>
      <c r="H618" s="28"/>
      <c r="I618" s="27"/>
      <c r="J618" s="26"/>
      <c r="K618" s="27"/>
      <c r="L618" s="27"/>
      <c r="M618" s="27"/>
      <c r="N618" s="27"/>
      <c r="O618" s="31" t="str">
        <f aca="false">IF(G618="","",VLOOKUP(G618,Setup!$A$14:$C$17,3,0))</f>
        <v/>
      </c>
      <c r="P618" s="27"/>
      <c r="Q618" s="33" t="str">
        <f aca="false">IF(OR(P618="",M618&lt;&gt;"Paid",O618=""),"",P618/O618)</f>
        <v/>
      </c>
      <c r="R618" s="34" t="str">
        <f aca="false">IF(Q618="","",Q618+N(H618)*0.000000001)</f>
        <v/>
      </c>
      <c r="S618" s="32" t="str">
        <f aca="false">IF(R618="","",SUMPRODUCT((I$5:I$4004=I618)*ISNUMBER(R$5:R$4004)*(R$5:R$4004&gt;R618))+1)</f>
        <v/>
      </c>
      <c r="T618" s="32" t="str">
        <f aca="false">IF(S618="","",IF(S618&lt;=Setup!$B$5,"🏆 WINNER",""))</f>
        <v/>
      </c>
      <c r="U618" s="31" t="str">
        <f aca="false">IF(S618="","",I618&amp;"|"&amp;S618)</f>
        <v/>
      </c>
    </row>
    <row r="619" customFormat="false" ht="15" hidden="false" customHeight="false" outlineLevel="0" collapsed="false">
      <c r="A619" s="24" t="n">
        <v>615</v>
      </c>
      <c r="B619" s="25" t="str">
        <f aca="false">IF(OR(C619="",I619="",G619=""),"",IFERROR(VLOOKUP(I619,Setup!$A$9:$B$11,2,0),"???")&amp;"-"&amp;G619&amp;"-"&amp;TEXT(COUNTIFS(I$5:I619,I619,G$5:G619,G619),"0000"))</f>
        <v/>
      </c>
      <c r="C619" s="26"/>
      <c r="D619" s="26"/>
      <c r="E619" s="27"/>
      <c r="F619" s="27"/>
      <c r="G619" s="24" t="str">
        <f aca="false">IF(F619="","",IF(F619&lt;=5,"A",IF(F619&lt;=8,"B",IF(F619&lt;=10,"C","D"))))</f>
        <v/>
      </c>
      <c r="H619" s="28"/>
      <c r="I619" s="27"/>
      <c r="J619" s="26"/>
      <c r="K619" s="27"/>
      <c r="L619" s="27"/>
      <c r="M619" s="27"/>
      <c r="N619" s="27"/>
      <c r="O619" s="24" t="str">
        <f aca="false">IF(G619="","",VLOOKUP(G619,Setup!$A$14:$C$17,3,0))</f>
        <v/>
      </c>
      <c r="P619" s="27"/>
      <c r="Q619" s="29" t="str">
        <f aca="false">IF(OR(P619="",M619&lt;&gt;"Paid",O619=""),"",P619/O619)</f>
        <v/>
      </c>
      <c r="R619" s="30" t="str">
        <f aca="false">IF(Q619="","",Q619+N(H619)*0.000000001)</f>
        <v/>
      </c>
      <c r="S619" s="25" t="str">
        <f aca="false">IF(R619="","",SUMPRODUCT((I$5:I$4004=I619)*ISNUMBER(R$5:R$4004)*(R$5:R$4004&gt;R619))+1)</f>
        <v/>
      </c>
      <c r="T619" s="25" t="str">
        <f aca="false">IF(S619="","",IF(S619&lt;=Setup!$B$5,"🏆 WINNER",""))</f>
        <v/>
      </c>
      <c r="U619" s="24" t="str">
        <f aca="false">IF(S619="","",I619&amp;"|"&amp;S619)</f>
        <v/>
      </c>
    </row>
    <row r="620" customFormat="false" ht="15" hidden="false" customHeight="false" outlineLevel="0" collapsed="false">
      <c r="A620" s="31" t="n">
        <v>616</v>
      </c>
      <c r="B620" s="32" t="str">
        <f aca="false">IF(OR(C620="",I620="",G620=""),"",IFERROR(VLOOKUP(I620,Setup!$A$9:$B$11,2,0),"???")&amp;"-"&amp;G620&amp;"-"&amp;TEXT(COUNTIFS(I$5:I620,I620,G$5:G620,G620),"0000"))</f>
        <v/>
      </c>
      <c r="C620" s="26"/>
      <c r="D620" s="26"/>
      <c r="E620" s="27"/>
      <c r="F620" s="27"/>
      <c r="G620" s="31" t="str">
        <f aca="false">IF(F620="","",IF(F620&lt;=5,"A",IF(F620&lt;=8,"B",IF(F620&lt;=10,"C","D"))))</f>
        <v/>
      </c>
      <c r="H620" s="28"/>
      <c r="I620" s="27"/>
      <c r="J620" s="26"/>
      <c r="K620" s="27"/>
      <c r="L620" s="27"/>
      <c r="M620" s="27"/>
      <c r="N620" s="27"/>
      <c r="O620" s="31" t="str">
        <f aca="false">IF(G620="","",VLOOKUP(G620,Setup!$A$14:$C$17,3,0))</f>
        <v/>
      </c>
      <c r="P620" s="27"/>
      <c r="Q620" s="33" t="str">
        <f aca="false">IF(OR(P620="",M620&lt;&gt;"Paid",O620=""),"",P620/O620)</f>
        <v/>
      </c>
      <c r="R620" s="34" t="str">
        <f aca="false">IF(Q620="","",Q620+N(H620)*0.000000001)</f>
        <v/>
      </c>
      <c r="S620" s="32" t="str">
        <f aca="false">IF(R620="","",SUMPRODUCT((I$5:I$4004=I620)*ISNUMBER(R$5:R$4004)*(R$5:R$4004&gt;R620))+1)</f>
        <v/>
      </c>
      <c r="T620" s="32" t="str">
        <f aca="false">IF(S620="","",IF(S620&lt;=Setup!$B$5,"🏆 WINNER",""))</f>
        <v/>
      </c>
      <c r="U620" s="31" t="str">
        <f aca="false">IF(S620="","",I620&amp;"|"&amp;S620)</f>
        <v/>
      </c>
    </row>
    <row r="621" customFormat="false" ht="15" hidden="false" customHeight="false" outlineLevel="0" collapsed="false">
      <c r="A621" s="24" t="n">
        <v>617</v>
      </c>
      <c r="B621" s="25" t="str">
        <f aca="false">IF(OR(C621="",I621="",G621=""),"",IFERROR(VLOOKUP(I621,Setup!$A$9:$B$11,2,0),"???")&amp;"-"&amp;G621&amp;"-"&amp;TEXT(COUNTIFS(I$5:I621,I621,G$5:G621,G621),"0000"))</f>
        <v/>
      </c>
      <c r="C621" s="26"/>
      <c r="D621" s="26"/>
      <c r="E621" s="27"/>
      <c r="F621" s="27"/>
      <c r="G621" s="24" t="str">
        <f aca="false">IF(F621="","",IF(F621&lt;=5,"A",IF(F621&lt;=8,"B",IF(F621&lt;=10,"C","D"))))</f>
        <v/>
      </c>
      <c r="H621" s="28"/>
      <c r="I621" s="27"/>
      <c r="J621" s="26"/>
      <c r="K621" s="27"/>
      <c r="L621" s="27"/>
      <c r="M621" s="27"/>
      <c r="N621" s="27"/>
      <c r="O621" s="24" t="str">
        <f aca="false">IF(G621="","",VLOOKUP(G621,Setup!$A$14:$C$17,3,0))</f>
        <v/>
      </c>
      <c r="P621" s="27"/>
      <c r="Q621" s="29" t="str">
        <f aca="false">IF(OR(P621="",M621&lt;&gt;"Paid",O621=""),"",P621/O621)</f>
        <v/>
      </c>
      <c r="R621" s="30" t="str">
        <f aca="false">IF(Q621="","",Q621+N(H621)*0.000000001)</f>
        <v/>
      </c>
      <c r="S621" s="25" t="str">
        <f aca="false">IF(R621="","",SUMPRODUCT((I$5:I$4004=I621)*ISNUMBER(R$5:R$4004)*(R$5:R$4004&gt;R621))+1)</f>
        <v/>
      </c>
      <c r="T621" s="25" t="str">
        <f aca="false">IF(S621="","",IF(S621&lt;=Setup!$B$5,"🏆 WINNER",""))</f>
        <v/>
      </c>
      <c r="U621" s="24" t="str">
        <f aca="false">IF(S621="","",I621&amp;"|"&amp;S621)</f>
        <v/>
      </c>
    </row>
    <row r="622" customFormat="false" ht="15" hidden="false" customHeight="false" outlineLevel="0" collapsed="false">
      <c r="A622" s="31" t="n">
        <v>618</v>
      </c>
      <c r="B622" s="32" t="str">
        <f aca="false">IF(OR(C622="",I622="",G622=""),"",IFERROR(VLOOKUP(I622,Setup!$A$9:$B$11,2,0),"???")&amp;"-"&amp;G622&amp;"-"&amp;TEXT(COUNTIFS(I$5:I622,I622,G$5:G622,G622),"0000"))</f>
        <v/>
      </c>
      <c r="C622" s="26"/>
      <c r="D622" s="26"/>
      <c r="E622" s="27"/>
      <c r="F622" s="27"/>
      <c r="G622" s="31" t="str">
        <f aca="false">IF(F622="","",IF(F622&lt;=5,"A",IF(F622&lt;=8,"B",IF(F622&lt;=10,"C","D"))))</f>
        <v/>
      </c>
      <c r="H622" s="28"/>
      <c r="I622" s="27"/>
      <c r="J622" s="26"/>
      <c r="K622" s="27"/>
      <c r="L622" s="27"/>
      <c r="M622" s="27"/>
      <c r="N622" s="27"/>
      <c r="O622" s="31" t="str">
        <f aca="false">IF(G622="","",VLOOKUP(G622,Setup!$A$14:$C$17,3,0))</f>
        <v/>
      </c>
      <c r="P622" s="27"/>
      <c r="Q622" s="33" t="str">
        <f aca="false">IF(OR(P622="",M622&lt;&gt;"Paid",O622=""),"",P622/O622)</f>
        <v/>
      </c>
      <c r="R622" s="34" t="str">
        <f aca="false">IF(Q622="","",Q622+N(H622)*0.000000001)</f>
        <v/>
      </c>
      <c r="S622" s="32" t="str">
        <f aca="false">IF(R622="","",SUMPRODUCT((I$5:I$4004=I622)*ISNUMBER(R$5:R$4004)*(R$5:R$4004&gt;R622))+1)</f>
        <v/>
      </c>
      <c r="T622" s="32" t="str">
        <f aca="false">IF(S622="","",IF(S622&lt;=Setup!$B$5,"🏆 WINNER",""))</f>
        <v/>
      </c>
      <c r="U622" s="31" t="str">
        <f aca="false">IF(S622="","",I622&amp;"|"&amp;S622)</f>
        <v/>
      </c>
    </row>
    <row r="623" customFormat="false" ht="15" hidden="false" customHeight="false" outlineLevel="0" collapsed="false">
      <c r="A623" s="24" t="n">
        <v>619</v>
      </c>
      <c r="B623" s="25" t="str">
        <f aca="false">IF(OR(C623="",I623="",G623=""),"",IFERROR(VLOOKUP(I623,Setup!$A$9:$B$11,2,0),"???")&amp;"-"&amp;G623&amp;"-"&amp;TEXT(COUNTIFS(I$5:I623,I623,G$5:G623,G623),"0000"))</f>
        <v/>
      </c>
      <c r="C623" s="26"/>
      <c r="D623" s="26"/>
      <c r="E623" s="27"/>
      <c r="F623" s="27"/>
      <c r="G623" s="24" t="str">
        <f aca="false">IF(F623="","",IF(F623&lt;=5,"A",IF(F623&lt;=8,"B",IF(F623&lt;=10,"C","D"))))</f>
        <v/>
      </c>
      <c r="H623" s="28"/>
      <c r="I623" s="27"/>
      <c r="J623" s="26"/>
      <c r="K623" s="27"/>
      <c r="L623" s="27"/>
      <c r="M623" s="27"/>
      <c r="N623" s="27"/>
      <c r="O623" s="24" t="str">
        <f aca="false">IF(G623="","",VLOOKUP(G623,Setup!$A$14:$C$17,3,0))</f>
        <v/>
      </c>
      <c r="P623" s="27"/>
      <c r="Q623" s="29" t="str">
        <f aca="false">IF(OR(P623="",M623&lt;&gt;"Paid",O623=""),"",P623/O623)</f>
        <v/>
      </c>
      <c r="R623" s="30" t="str">
        <f aca="false">IF(Q623="","",Q623+N(H623)*0.000000001)</f>
        <v/>
      </c>
      <c r="S623" s="25" t="str">
        <f aca="false">IF(R623="","",SUMPRODUCT((I$5:I$4004=I623)*ISNUMBER(R$5:R$4004)*(R$5:R$4004&gt;R623))+1)</f>
        <v/>
      </c>
      <c r="T623" s="25" t="str">
        <f aca="false">IF(S623="","",IF(S623&lt;=Setup!$B$5,"🏆 WINNER",""))</f>
        <v/>
      </c>
      <c r="U623" s="24" t="str">
        <f aca="false">IF(S623="","",I623&amp;"|"&amp;S623)</f>
        <v/>
      </c>
    </row>
    <row r="624" customFormat="false" ht="15" hidden="false" customHeight="false" outlineLevel="0" collapsed="false">
      <c r="A624" s="31" t="n">
        <v>620</v>
      </c>
      <c r="B624" s="32" t="str">
        <f aca="false">IF(OR(C624="",I624="",G624=""),"",IFERROR(VLOOKUP(I624,Setup!$A$9:$B$11,2,0),"???")&amp;"-"&amp;G624&amp;"-"&amp;TEXT(COUNTIFS(I$5:I624,I624,G$5:G624,G624),"0000"))</f>
        <v/>
      </c>
      <c r="C624" s="26"/>
      <c r="D624" s="26"/>
      <c r="E624" s="27"/>
      <c r="F624" s="27"/>
      <c r="G624" s="31" t="str">
        <f aca="false">IF(F624="","",IF(F624&lt;=5,"A",IF(F624&lt;=8,"B",IF(F624&lt;=10,"C","D"))))</f>
        <v/>
      </c>
      <c r="H624" s="28"/>
      <c r="I624" s="27"/>
      <c r="J624" s="26"/>
      <c r="K624" s="27"/>
      <c r="L624" s="27"/>
      <c r="M624" s="27"/>
      <c r="N624" s="27"/>
      <c r="O624" s="31" t="str">
        <f aca="false">IF(G624="","",VLOOKUP(G624,Setup!$A$14:$C$17,3,0))</f>
        <v/>
      </c>
      <c r="P624" s="27"/>
      <c r="Q624" s="33" t="str">
        <f aca="false">IF(OR(P624="",M624&lt;&gt;"Paid",O624=""),"",P624/O624)</f>
        <v/>
      </c>
      <c r="R624" s="34" t="str">
        <f aca="false">IF(Q624="","",Q624+N(H624)*0.000000001)</f>
        <v/>
      </c>
      <c r="S624" s="32" t="str">
        <f aca="false">IF(R624="","",SUMPRODUCT((I$5:I$4004=I624)*ISNUMBER(R$5:R$4004)*(R$5:R$4004&gt;R624))+1)</f>
        <v/>
      </c>
      <c r="T624" s="32" t="str">
        <f aca="false">IF(S624="","",IF(S624&lt;=Setup!$B$5,"🏆 WINNER",""))</f>
        <v/>
      </c>
      <c r="U624" s="31" t="str">
        <f aca="false">IF(S624="","",I624&amp;"|"&amp;S624)</f>
        <v/>
      </c>
    </row>
    <row r="625" customFormat="false" ht="15" hidden="false" customHeight="false" outlineLevel="0" collapsed="false">
      <c r="A625" s="24" t="n">
        <v>621</v>
      </c>
      <c r="B625" s="25" t="str">
        <f aca="false">IF(OR(C625="",I625="",G625=""),"",IFERROR(VLOOKUP(I625,Setup!$A$9:$B$11,2,0),"???")&amp;"-"&amp;G625&amp;"-"&amp;TEXT(COUNTIFS(I$5:I625,I625,G$5:G625,G625),"0000"))</f>
        <v/>
      </c>
      <c r="C625" s="26"/>
      <c r="D625" s="26"/>
      <c r="E625" s="27"/>
      <c r="F625" s="27"/>
      <c r="G625" s="24" t="str">
        <f aca="false">IF(F625="","",IF(F625&lt;=5,"A",IF(F625&lt;=8,"B",IF(F625&lt;=10,"C","D"))))</f>
        <v/>
      </c>
      <c r="H625" s="28"/>
      <c r="I625" s="27"/>
      <c r="J625" s="26"/>
      <c r="K625" s="27"/>
      <c r="L625" s="27"/>
      <c r="M625" s="27"/>
      <c r="N625" s="27"/>
      <c r="O625" s="24" t="str">
        <f aca="false">IF(G625="","",VLOOKUP(G625,Setup!$A$14:$C$17,3,0))</f>
        <v/>
      </c>
      <c r="P625" s="27"/>
      <c r="Q625" s="29" t="str">
        <f aca="false">IF(OR(P625="",M625&lt;&gt;"Paid",O625=""),"",P625/O625)</f>
        <v/>
      </c>
      <c r="R625" s="30" t="str">
        <f aca="false">IF(Q625="","",Q625+N(H625)*0.000000001)</f>
        <v/>
      </c>
      <c r="S625" s="25" t="str">
        <f aca="false">IF(R625="","",SUMPRODUCT((I$5:I$4004=I625)*ISNUMBER(R$5:R$4004)*(R$5:R$4004&gt;R625))+1)</f>
        <v/>
      </c>
      <c r="T625" s="25" t="str">
        <f aca="false">IF(S625="","",IF(S625&lt;=Setup!$B$5,"🏆 WINNER",""))</f>
        <v/>
      </c>
      <c r="U625" s="24" t="str">
        <f aca="false">IF(S625="","",I625&amp;"|"&amp;S625)</f>
        <v/>
      </c>
    </row>
    <row r="626" customFormat="false" ht="15" hidden="false" customHeight="false" outlineLevel="0" collapsed="false">
      <c r="A626" s="31" t="n">
        <v>622</v>
      </c>
      <c r="B626" s="32" t="str">
        <f aca="false">IF(OR(C626="",I626="",G626=""),"",IFERROR(VLOOKUP(I626,Setup!$A$9:$B$11,2,0),"???")&amp;"-"&amp;G626&amp;"-"&amp;TEXT(COUNTIFS(I$5:I626,I626,G$5:G626,G626),"0000"))</f>
        <v/>
      </c>
      <c r="C626" s="26"/>
      <c r="D626" s="26"/>
      <c r="E626" s="27"/>
      <c r="F626" s="27"/>
      <c r="G626" s="31" t="str">
        <f aca="false">IF(F626="","",IF(F626&lt;=5,"A",IF(F626&lt;=8,"B",IF(F626&lt;=10,"C","D"))))</f>
        <v/>
      </c>
      <c r="H626" s="28"/>
      <c r="I626" s="27"/>
      <c r="J626" s="26"/>
      <c r="K626" s="27"/>
      <c r="L626" s="27"/>
      <c r="M626" s="27"/>
      <c r="N626" s="27"/>
      <c r="O626" s="31" t="str">
        <f aca="false">IF(G626="","",VLOOKUP(G626,Setup!$A$14:$C$17,3,0))</f>
        <v/>
      </c>
      <c r="P626" s="27"/>
      <c r="Q626" s="33" t="str">
        <f aca="false">IF(OR(P626="",M626&lt;&gt;"Paid",O626=""),"",P626/O626)</f>
        <v/>
      </c>
      <c r="R626" s="34" t="str">
        <f aca="false">IF(Q626="","",Q626+N(H626)*0.000000001)</f>
        <v/>
      </c>
      <c r="S626" s="32" t="str">
        <f aca="false">IF(R626="","",SUMPRODUCT((I$5:I$4004=I626)*ISNUMBER(R$5:R$4004)*(R$5:R$4004&gt;R626))+1)</f>
        <v/>
      </c>
      <c r="T626" s="32" t="str">
        <f aca="false">IF(S626="","",IF(S626&lt;=Setup!$B$5,"🏆 WINNER",""))</f>
        <v/>
      </c>
      <c r="U626" s="31" t="str">
        <f aca="false">IF(S626="","",I626&amp;"|"&amp;S626)</f>
        <v/>
      </c>
    </row>
    <row r="627" customFormat="false" ht="15" hidden="false" customHeight="false" outlineLevel="0" collapsed="false">
      <c r="A627" s="24" t="n">
        <v>623</v>
      </c>
      <c r="B627" s="25" t="str">
        <f aca="false">IF(OR(C627="",I627="",G627=""),"",IFERROR(VLOOKUP(I627,Setup!$A$9:$B$11,2,0),"???")&amp;"-"&amp;G627&amp;"-"&amp;TEXT(COUNTIFS(I$5:I627,I627,G$5:G627,G627),"0000"))</f>
        <v/>
      </c>
      <c r="C627" s="26"/>
      <c r="D627" s="26"/>
      <c r="E627" s="27"/>
      <c r="F627" s="27"/>
      <c r="G627" s="24" t="str">
        <f aca="false">IF(F627="","",IF(F627&lt;=5,"A",IF(F627&lt;=8,"B",IF(F627&lt;=10,"C","D"))))</f>
        <v/>
      </c>
      <c r="H627" s="28"/>
      <c r="I627" s="27"/>
      <c r="J627" s="26"/>
      <c r="K627" s="27"/>
      <c r="L627" s="27"/>
      <c r="M627" s="27"/>
      <c r="N627" s="27"/>
      <c r="O627" s="24" t="str">
        <f aca="false">IF(G627="","",VLOOKUP(G627,Setup!$A$14:$C$17,3,0))</f>
        <v/>
      </c>
      <c r="P627" s="27"/>
      <c r="Q627" s="29" t="str">
        <f aca="false">IF(OR(P627="",M627&lt;&gt;"Paid",O627=""),"",P627/O627)</f>
        <v/>
      </c>
      <c r="R627" s="30" t="str">
        <f aca="false">IF(Q627="","",Q627+N(H627)*0.000000001)</f>
        <v/>
      </c>
      <c r="S627" s="25" t="str">
        <f aca="false">IF(R627="","",SUMPRODUCT((I$5:I$4004=I627)*ISNUMBER(R$5:R$4004)*(R$5:R$4004&gt;R627))+1)</f>
        <v/>
      </c>
      <c r="T627" s="25" t="str">
        <f aca="false">IF(S627="","",IF(S627&lt;=Setup!$B$5,"🏆 WINNER",""))</f>
        <v/>
      </c>
      <c r="U627" s="24" t="str">
        <f aca="false">IF(S627="","",I627&amp;"|"&amp;S627)</f>
        <v/>
      </c>
    </row>
    <row r="628" customFormat="false" ht="15" hidden="false" customHeight="false" outlineLevel="0" collapsed="false">
      <c r="A628" s="31" t="n">
        <v>624</v>
      </c>
      <c r="B628" s="32" t="str">
        <f aca="false">IF(OR(C628="",I628="",G628=""),"",IFERROR(VLOOKUP(I628,Setup!$A$9:$B$11,2,0),"???")&amp;"-"&amp;G628&amp;"-"&amp;TEXT(COUNTIFS(I$5:I628,I628,G$5:G628,G628),"0000"))</f>
        <v/>
      </c>
      <c r="C628" s="26"/>
      <c r="D628" s="26"/>
      <c r="E628" s="27"/>
      <c r="F628" s="27"/>
      <c r="G628" s="31" t="str">
        <f aca="false">IF(F628="","",IF(F628&lt;=5,"A",IF(F628&lt;=8,"B",IF(F628&lt;=10,"C","D"))))</f>
        <v/>
      </c>
      <c r="H628" s="28"/>
      <c r="I628" s="27"/>
      <c r="J628" s="26"/>
      <c r="K628" s="27"/>
      <c r="L628" s="27"/>
      <c r="M628" s="27"/>
      <c r="N628" s="27"/>
      <c r="O628" s="31" t="str">
        <f aca="false">IF(G628="","",VLOOKUP(G628,Setup!$A$14:$C$17,3,0))</f>
        <v/>
      </c>
      <c r="P628" s="27"/>
      <c r="Q628" s="33" t="str">
        <f aca="false">IF(OR(P628="",M628&lt;&gt;"Paid",O628=""),"",P628/O628)</f>
        <v/>
      </c>
      <c r="R628" s="34" t="str">
        <f aca="false">IF(Q628="","",Q628+N(H628)*0.000000001)</f>
        <v/>
      </c>
      <c r="S628" s="32" t="str">
        <f aca="false">IF(R628="","",SUMPRODUCT((I$5:I$4004=I628)*ISNUMBER(R$5:R$4004)*(R$5:R$4004&gt;R628))+1)</f>
        <v/>
      </c>
      <c r="T628" s="32" t="str">
        <f aca="false">IF(S628="","",IF(S628&lt;=Setup!$B$5,"🏆 WINNER",""))</f>
        <v/>
      </c>
      <c r="U628" s="31" t="str">
        <f aca="false">IF(S628="","",I628&amp;"|"&amp;S628)</f>
        <v/>
      </c>
    </row>
    <row r="629" customFormat="false" ht="15" hidden="false" customHeight="false" outlineLevel="0" collapsed="false">
      <c r="A629" s="24" t="n">
        <v>625</v>
      </c>
      <c r="B629" s="25" t="str">
        <f aca="false">IF(OR(C629="",I629="",G629=""),"",IFERROR(VLOOKUP(I629,Setup!$A$9:$B$11,2,0),"???")&amp;"-"&amp;G629&amp;"-"&amp;TEXT(COUNTIFS(I$5:I629,I629,G$5:G629,G629),"0000"))</f>
        <v/>
      </c>
      <c r="C629" s="26"/>
      <c r="D629" s="26"/>
      <c r="E629" s="27"/>
      <c r="F629" s="27"/>
      <c r="G629" s="24" t="str">
        <f aca="false">IF(F629="","",IF(F629&lt;=5,"A",IF(F629&lt;=8,"B",IF(F629&lt;=10,"C","D"))))</f>
        <v/>
      </c>
      <c r="H629" s="28"/>
      <c r="I629" s="27"/>
      <c r="J629" s="26"/>
      <c r="K629" s="27"/>
      <c r="L629" s="27"/>
      <c r="M629" s="27"/>
      <c r="N629" s="27"/>
      <c r="O629" s="24" t="str">
        <f aca="false">IF(G629="","",VLOOKUP(G629,Setup!$A$14:$C$17,3,0))</f>
        <v/>
      </c>
      <c r="P629" s="27"/>
      <c r="Q629" s="29" t="str">
        <f aca="false">IF(OR(P629="",M629&lt;&gt;"Paid",O629=""),"",P629/O629)</f>
        <v/>
      </c>
      <c r="R629" s="30" t="str">
        <f aca="false">IF(Q629="","",Q629+N(H629)*0.000000001)</f>
        <v/>
      </c>
      <c r="S629" s="25" t="str">
        <f aca="false">IF(R629="","",SUMPRODUCT((I$5:I$4004=I629)*ISNUMBER(R$5:R$4004)*(R$5:R$4004&gt;R629))+1)</f>
        <v/>
      </c>
      <c r="T629" s="25" t="str">
        <f aca="false">IF(S629="","",IF(S629&lt;=Setup!$B$5,"🏆 WINNER",""))</f>
        <v/>
      </c>
      <c r="U629" s="24" t="str">
        <f aca="false">IF(S629="","",I629&amp;"|"&amp;S629)</f>
        <v/>
      </c>
    </row>
    <row r="630" customFormat="false" ht="15" hidden="false" customHeight="false" outlineLevel="0" collapsed="false">
      <c r="A630" s="31" t="n">
        <v>626</v>
      </c>
      <c r="B630" s="32" t="str">
        <f aca="false">IF(OR(C630="",I630="",G630=""),"",IFERROR(VLOOKUP(I630,Setup!$A$9:$B$11,2,0),"???")&amp;"-"&amp;G630&amp;"-"&amp;TEXT(COUNTIFS(I$5:I630,I630,G$5:G630,G630),"0000"))</f>
        <v/>
      </c>
      <c r="C630" s="26"/>
      <c r="D630" s="26"/>
      <c r="E630" s="27"/>
      <c r="F630" s="27"/>
      <c r="G630" s="31" t="str">
        <f aca="false">IF(F630="","",IF(F630&lt;=5,"A",IF(F630&lt;=8,"B",IF(F630&lt;=10,"C","D"))))</f>
        <v/>
      </c>
      <c r="H630" s="28"/>
      <c r="I630" s="27"/>
      <c r="J630" s="26"/>
      <c r="K630" s="27"/>
      <c r="L630" s="27"/>
      <c r="M630" s="27"/>
      <c r="N630" s="27"/>
      <c r="O630" s="31" t="str">
        <f aca="false">IF(G630="","",VLOOKUP(G630,Setup!$A$14:$C$17,3,0))</f>
        <v/>
      </c>
      <c r="P630" s="27"/>
      <c r="Q630" s="33" t="str">
        <f aca="false">IF(OR(P630="",M630&lt;&gt;"Paid",O630=""),"",P630/O630)</f>
        <v/>
      </c>
      <c r="R630" s="34" t="str">
        <f aca="false">IF(Q630="","",Q630+N(H630)*0.000000001)</f>
        <v/>
      </c>
      <c r="S630" s="32" t="str">
        <f aca="false">IF(R630="","",SUMPRODUCT((I$5:I$4004=I630)*ISNUMBER(R$5:R$4004)*(R$5:R$4004&gt;R630))+1)</f>
        <v/>
      </c>
      <c r="T630" s="32" t="str">
        <f aca="false">IF(S630="","",IF(S630&lt;=Setup!$B$5,"🏆 WINNER",""))</f>
        <v/>
      </c>
      <c r="U630" s="31" t="str">
        <f aca="false">IF(S630="","",I630&amp;"|"&amp;S630)</f>
        <v/>
      </c>
    </row>
    <row r="631" customFormat="false" ht="15" hidden="false" customHeight="false" outlineLevel="0" collapsed="false">
      <c r="A631" s="24" t="n">
        <v>627</v>
      </c>
      <c r="B631" s="25" t="str">
        <f aca="false">IF(OR(C631="",I631="",G631=""),"",IFERROR(VLOOKUP(I631,Setup!$A$9:$B$11,2,0),"???")&amp;"-"&amp;G631&amp;"-"&amp;TEXT(COUNTIFS(I$5:I631,I631,G$5:G631,G631),"0000"))</f>
        <v/>
      </c>
      <c r="C631" s="26"/>
      <c r="D631" s="26"/>
      <c r="E631" s="27"/>
      <c r="F631" s="27"/>
      <c r="G631" s="24" t="str">
        <f aca="false">IF(F631="","",IF(F631&lt;=5,"A",IF(F631&lt;=8,"B",IF(F631&lt;=10,"C","D"))))</f>
        <v/>
      </c>
      <c r="H631" s="28"/>
      <c r="I631" s="27"/>
      <c r="J631" s="26"/>
      <c r="K631" s="27"/>
      <c r="L631" s="27"/>
      <c r="M631" s="27"/>
      <c r="N631" s="27"/>
      <c r="O631" s="24" t="str">
        <f aca="false">IF(G631="","",VLOOKUP(G631,Setup!$A$14:$C$17,3,0))</f>
        <v/>
      </c>
      <c r="P631" s="27"/>
      <c r="Q631" s="29" t="str">
        <f aca="false">IF(OR(P631="",M631&lt;&gt;"Paid",O631=""),"",P631/O631)</f>
        <v/>
      </c>
      <c r="R631" s="30" t="str">
        <f aca="false">IF(Q631="","",Q631+N(H631)*0.000000001)</f>
        <v/>
      </c>
      <c r="S631" s="25" t="str">
        <f aca="false">IF(R631="","",SUMPRODUCT((I$5:I$4004=I631)*ISNUMBER(R$5:R$4004)*(R$5:R$4004&gt;R631))+1)</f>
        <v/>
      </c>
      <c r="T631" s="25" t="str">
        <f aca="false">IF(S631="","",IF(S631&lt;=Setup!$B$5,"🏆 WINNER",""))</f>
        <v/>
      </c>
      <c r="U631" s="24" t="str">
        <f aca="false">IF(S631="","",I631&amp;"|"&amp;S631)</f>
        <v/>
      </c>
    </row>
    <row r="632" customFormat="false" ht="15" hidden="false" customHeight="false" outlineLevel="0" collapsed="false">
      <c r="A632" s="31" t="n">
        <v>628</v>
      </c>
      <c r="B632" s="32" t="str">
        <f aca="false">IF(OR(C632="",I632="",G632=""),"",IFERROR(VLOOKUP(I632,Setup!$A$9:$B$11,2,0),"???")&amp;"-"&amp;G632&amp;"-"&amp;TEXT(COUNTIFS(I$5:I632,I632,G$5:G632,G632),"0000"))</f>
        <v/>
      </c>
      <c r="C632" s="26"/>
      <c r="D632" s="26"/>
      <c r="E632" s="27"/>
      <c r="F632" s="27"/>
      <c r="G632" s="31" t="str">
        <f aca="false">IF(F632="","",IF(F632&lt;=5,"A",IF(F632&lt;=8,"B",IF(F632&lt;=10,"C","D"))))</f>
        <v/>
      </c>
      <c r="H632" s="28"/>
      <c r="I632" s="27"/>
      <c r="J632" s="26"/>
      <c r="K632" s="27"/>
      <c r="L632" s="27"/>
      <c r="M632" s="27"/>
      <c r="N632" s="27"/>
      <c r="O632" s="31" t="str">
        <f aca="false">IF(G632="","",VLOOKUP(G632,Setup!$A$14:$C$17,3,0))</f>
        <v/>
      </c>
      <c r="P632" s="27"/>
      <c r="Q632" s="33" t="str">
        <f aca="false">IF(OR(P632="",M632&lt;&gt;"Paid",O632=""),"",P632/O632)</f>
        <v/>
      </c>
      <c r="R632" s="34" t="str">
        <f aca="false">IF(Q632="","",Q632+N(H632)*0.000000001)</f>
        <v/>
      </c>
      <c r="S632" s="32" t="str">
        <f aca="false">IF(R632="","",SUMPRODUCT((I$5:I$4004=I632)*ISNUMBER(R$5:R$4004)*(R$5:R$4004&gt;R632))+1)</f>
        <v/>
      </c>
      <c r="T632" s="32" t="str">
        <f aca="false">IF(S632="","",IF(S632&lt;=Setup!$B$5,"🏆 WINNER",""))</f>
        <v/>
      </c>
      <c r="U632" s="31" t="str">
        <f aca="false">IF(S632="","",I632&amp;"|"&amp;S632)</f>
        <v/>
      </c>
    </row>
    <row r="633" customFormat="false" ht="15" hidden="false" customHeight="false" outlineLevel="0" collapsed="false">
      <c r="A633" s="24" t="n">
        <v>629</v>
      </c>
      <c r="B633" s="25" t="str">
        <f aca="false">IF(OR(C633="",I633="",G633=""),"",IFERROR(VLOOKUP(I633,Setup!$A$9:$B$11,2,0),"???")&amp;"-"&amp;G633&amp;"-"&amp;TEXT(COUNTIFS(I$5:I633,I633,G$5:G633,G633),"0000"))</f>
        <v/>
      </c>
      <c r="C633" s="26"/>
      <c r="D633" s="26"/>
      <c r="E633" s="27"/>
      <c r="F633" s="27"/>
      <c r="G633" s="24" t="str">
        <f aca="false">IF(F633="","",IF(F633&lt;=5,"A",IF(F633&lt;=8,"B",IF(F633&lt;=10,"C","D"))))</f>
        <v/>
      </c>
      <c r="H633" s="28"/>
      <c r="I633" s="27"/>
      <c r="J633" s="26"/>
      <c r="K633" s="27"/>
      <c r="L633" s="27"/>
      <c r="M633" s="27"/>
      <c r="N633" s="27"/>
      <c r="O633" s="24" t="str">
        <f aca="false">IF(G633="","",VLOOKUP(G633,Setup!$A$14:$C$17,3,0))</f>
        <v/>
      </c>
      <c r="P633" s="27"/>
      <c r="Q633" s="29" t="str">
        <f aca="false">IF(OR(P633="",M633&lt;&gt;"Paid",O633=""),"",P633/O633)</f>
        <v/>
      </c>
      <c r="R633" s="30" t="str">
        <f aca="false">IF(Q633="","",Q633+N(H633)*0.000000001)</f>
        <v/>
      </c>
      <c r="S633" s="25" t="str">
        <f aca="false">IF(R633="","",SUMPRODUCT((I$5:I$4004=I633)*ISNUMBER(R$5:R$4004)*(R$5:R$4004&gt;R633))+1)</f>
        <v/>
      </c>
      <c r="T633" s="25" t="str">
        <f aca="false">IF(S633="","",IF(S633&lt;=Setup!$B$5,"🏆 WINNER",""))</f>
        <v/>
      </c>
      <c r="U633" s="24" t="str">
        <f aca="false">IF(S633="","",I633&amp;"|"&amp;S633)</f>
        <v/>
      </c>
    </row>
    <row r="634" customFormat="false" ht="15" hidden="false" customHeight="false" outlineLevel="0" collapsed="false">
      <c r="A634" s="31" t="n">
        <v>630</v>
      </c>
      <c r="B634" s="32" t="str">
        <f aca="false">IF(OR(C634="",I634="",G634=""),"",IFERROR(VLOOKUP(I634,Setup!$A$9:$B$11,2,0),"???")&amp;"-"&amp;G634&amp;"-"&amp;TEXT(COUNTIFS(I$5:I634,I634,G$5:G634,G634),"0000"))</f>
        <v/>
      </c>
      <c r="C634" s="26"/>
      <c r="D634" s="26"/>
      <c r="E634" s="27"/>
      <c r="F634" s="27"/>
      <c r="G634" s="31" t="str">
        <f aca="false">IF(F634="","",IF(F634&lt;=5,"A",IF(F634&lt;=8,"B",IF(F634&lt;=10,"C","D"))))</f>
        <v/>
      </c>
      <c r="H634" s="28"/>
      <c r="I634" s="27"/>
      <c r="J634" s="26"/>
      <c r="K634" s="27"/>
      <c r="L634" s="27"/>
      <c r="M634" s="27"/>
      <c r="N634" s="27"/>
      <c r="O634" s="31" t="str">
        <f aca="false">IF(G634="","",VLOOKUP(G634,Setup!$A$14:$C$17,3,0))</f>
        <v/>
      </c>
      <c r="P634" s="27"/>
      <c r="Q634" s="33" t="str">
        <f aca="false">IF(OR(P634="",M634&lt;&gt;"Paid",O634=""),"",P634/O634)</f>
        <v/>
      </c>
      <c r="R634" s="34" t="str">
        <f aca="false">IF(Q634="","",Q634+N(H634)*0.000000001)</f>
        <v/>
      </c>
      <c r="S634" s="32" t="str">
        <f aca="false">IF(R634="","",SUMPRODUCT((I$5:I$4004=I634)*ISNUMBER(R$5:R$4004)*(R$5:R$4004&gt;R634))+1)</f>
        <v/>
      </c>
      <c r="T634" s="32" t="str">
        <f aca="false">IF(S634="","",IF(S634&lt;=Setup!$B$5,"🏆 WINNER",""))</f>
        <v/>
      </c>
      <c r="U634" s="31" t="str">
        <f aca="false">IF(S634="","",I634&amp;"|"&amp;S634)</f>
        <v/>
      </c>
    </row>
    <row r="635" customFormat="false" ht="15" hidden="false" customHeight="false" outlineLevel="0" collapsed="false">
      <c r="A635" s="24" t="n">
        <v>631</v>
      </c>
      <c r="B635" s="25" t="str">
        <f aca="false">IF(OR(C635="",I635="",G635=""),"",IFERROR(VLOOKUP(I635,Setup!$A$9:$B$11,2,0),"???")&amp;"-"&amp;G635&amp;"-"&amp;TEXT(COUNTIFS(I$5:I635,I635,G$5:G635,G635),"0000"))</f>
        <v/>
      </c>
      <c r="C635" s="26"/>
      <c r="D635" s="26"/>
      <c r="E635" s="27"/>
      <c r="F635" s="27"/>
      <c r="G635" s="24" t="str">
        <f aca="false">IF(F635="","",IF(F635&lt;=5,"A",IF(F635&lt;=8,"B",IF(F635&lt;=10,"C","D"))))</f>
        <v/>
      </c>
      <c r="H635" s="28"/>
      <c r="I635" s="27"/>
      <c r="J635" s="26"/>
      <c r="K635" s="27"/>
      <c r="L635" s="27"/>
      <c r="M635" s="27"/>
      <c r="N635" s="27"/>
      <c r="O635" s="24" t="str">
        <f aca="false">IF(G635="","",VLOOKUP(G635,Setup!$A$14:$C$17,3,0))</f>
        <v/>
      </c>
      <c r="P635" s="27"/>
      <c r="Q635" s="29" t="str">
        <f aca="false">IF(OR(P635="",M635&lt;&gt;"Paid",O635=""),"",P635/O635)</f>
        <v/>
      </c>
      <c r="R635" s="30" t="str">
        <f aca="false">IF(Q635="","",Q635+N(H635)*0.000000001)</f>
        <v/>
      </c>
      <c r="S635" s="25" t="str">
        <f aca="false">IF(R635="","",SUMPRODUCT((I$5:I$4004=I635)*ISNUMBER(R$5:R$4004)*(R$5:R$4004&gt;R635))+1)</f>
        <v/>
      </c>
      <c r="T635" s="25" t="str">
        <f aca="false">IF(S635="","",IF(S635&lt;=Setup!$B$5,"🏆 WINNER",""))</f>
        <v/>
      </c>
      <c r="U635" s="24" t="str">
        <f aca="false">IF(S635="","",I635&amp;"|"&amp;S635)</f>
        <v/>
      </c>
    </row>
    <row r="636" customFormat="false" ht="15" hidden="false" customHeight="false" outlineLevel="0" collapsed="false">
      <c r="A636" s="31" t="n">
        <v>632</v>
      </c>
      <c r="B636" s="32" t="str">
        <f aca="false">IF(OR(C636="",I636="",G636=""),"",IFERROR(VLOOKUP(I636,Setup!$A$9:$B$11,2,0),"???")&amp;"-"&amp;G636&amp;"-"&amp;TEXT(COUNTIFS(I$5:I636,I636,G$5:G636,G636),"0000"))</f>
        <v/>
      </c>
      <c r="C636" s="26"/>
      <c r="D636" s="26"/>
      <c r="E636" s="27"/>
      <c r="F636" s="27"/>
      <c r="G636" s="31" t="str">
        <f aca="false">IF(F636="","",IF(F636&lt;=5,"A",IF(F636&lt;=8,"B",IF(F636&lt;=10,"C","D"))))</f>
        <v/>
      </c>
      <c r="H636" s="28"/>
      <c r="I636" s="27"/>
      <c r="J636" s="26"/>
      <c r="K636" s="27"/>
      <c r="L636" s="27"/>
      <c r="M636" s="27"/>
      <c r="N636" s="27"/>
      <c r="O636" s="31" t="str">
        <f aca="false">IF(G636="","",VLOOKUP(G636,Setup!$A$14:$C$17,3,0))</f>
        <v/>
      </c>
      <c r="P636" s="27"/>
      <c r="Q636" s="33" t="str">
        <f aca="false">IF(OR(P636="",M636&lt;&gt;"Paid",O636=""),"",P636/O636)</f>
        <v/>
      </c>
      <c r="R636" s="34" t="str">
        <f aca="false">IF(Q636="","",Q636+N(H636)*0.000000001)</f>
        <v/>
      </c>
      <c r="S636" s="32" t="str">
        <f aca="false">IF(R636="","",SUMPRODUCT((I$5:I$4004=I636)*ISNUMBER(R$5:R$4004)*(R$5:R$4004&gt;R636))+1)</f>
        <v/>
      </c>
      <c r="T636" s="32" t="str">
        <f aca="false">IF(S636="","",IF(S636&lt;=Setup!$B$5,"🏆 WINNER",""))</f>
        <v/>
      </c>
      <c r="U636" s="31" t="str">
        <f aca="false">IF(S636="","",I636&amp;"|"&amp;S636)</f>
        <v/>
      </c>
    </row>
    <row r="637" customFormat="false" ht="15" hidden="false" customHeight="false" outlineLevel="0" collapsed="false">
      <c r="A637" s="24" t="n">
        <v>633</v>
      </c>
      <c r="B637" s="25" t="str">
        <f aca="false">IF(OR(C637="",I637="",G637=""),"",IFERROR(VLOOKUP(I637,Setup!$A$9:$B$11,2,0),"???")&amp;"-"&amp;G637&amp;"-"&amp;TEXT(COUNTIFS(I$5:I637,I637,G$5:G637,G637),"0000"))</f>
        <v/>
      </c>
      <c r="C637" s="26"/>
      <c r="D637" s="26"/>
      <c r="E637" s="27"/>
      <c r="F637" s="27"/>
      <c r="G637" s="24" t="str">
        <f aca="false">IF(F637="","",IF(F637&lt;=5,"A",IF(F637&lt;=8,"B",IF(F637&lt;=10,"C","D"))))</f>
        <v/>
      </c>
      <c r="H637" s="28"/>
      <c r="I637" s="27"/>
      <c r="J637" s="26"/>
      <c r="K637" s="27"/>
      <c r="L637" s="27"/>
      <c r="M637" s="27"/>
      <c r="N637" s="27"/>
      <c r="O637" s="24" t="str">
        <f aca="false">IF(G637="","",VLOOKUP(G637,Setup!$A$14:$C$17,3,0))</f>
        <v/>
      </c>
      <c r="P637" s="27"/>
      <c r="Q637" s="29" t="str">
        <f aca="false">IF(OR(P637="",M637&lt;&gt;"Paid",O637=""),"",P637/O637)</f>
        <v/>
      </c>
      <c r="R637" s="30" t="str">
        <f aca="false">IF(Q637="","",Q637+N(H637)*0.000000001)</f>
        <v/>
      </c>
      <c r="S637" s="25" t="str">
        <f aca="false">IF(R637="","",SUMPRODUCT((I$5:I$4004=I637)*ISNUMBER(R$5:R$4004)*(R$5:R$4004&gt;R637))+1)</f>
        <v/>
      </c>
      <c r="T637" s="25" t="str">
        <f aca="false">IF(S637="","",IF(S637&lt;=Setup!$B$5,"🏆 WINNER",""))</f>
        <v/>
      </c>
      <c r="U637" s="24" t="str">
        <f aca="false">IF(S637="","",I637&amp;"|"&amp;S637)</f>
        <v/>
      </c>
    </row>
    <row r="638" customFormat="false" ht="15" hidden="false" customHeight="false" outlineLevel="0" collapsed="false">
      <c r="A638" s="31" t="n">
        <v>634</v>
      </c>
      <c r="B638" s="32" t="str">
        <f aca="false">IF(OR(C638="",I638="",G638=""),"",IFERROR(VLOOKUP(I638,Setup!$A$9:$B$11,2,0),"???")&amp;"-"&amp;G638&amp;"-"&amp;TEXT(COUNTIFS(I$5:I638,I638,G$5:G638,G638),"0000"))</f>
        <v/>
      </c>
      <c r="C638" s="26"/>
      <c r="D638" s="26"/>
      <c r="E638" s="27"/>
      <c r="F638" s="27"/>
      <c r="G638" s="31" t="str">
        <f aca="false">IF(F638="","",IF(F638&lt;=5,"A",IF(F638&lt;=8,"B",IF(F638&lt;=10,"C","D"))))</f>
        <v/>
      </c>
      <c r="H638" s="28"/>
      <c r="I638" s="27"/>
      <c r="J638" s="26"/>
      <c r="K638" s="27"/>
      <c r="L638" s="27"/>
      <c r="M638" s="27"/>
      <c r="N638" s="27"/>
      <c r="O638" s="31" t="str">
        <f aca="false">IF(G638="","",VLOOKUP(G638,Setup!$A$14:$C$17,3,0))</f>
        <v/>
      </c>
      <c r="P638" s="27"/>
      <c r="Q638" s="33" t="str">
        <f aca="false">IF(OR(P638="",M638&lt;&gt;"Paid",O638=""),"",P638/O638)</f>
        <v/>
      </c>
      <c r="R638" s="34" t="str">
        <f aca="false">IF(Q638="","",Q638+N(H638)*0.000000001)</f>
        <v/>
      </c>
      <c r="S638" s="32" t="str">
        <f aca="false">IF(R638="","",SUMPRODUCT((I$5:I$4004=I638)*ISNUMBER(R$5:R$4004)*(R$5:R$4004&gt;R638))+1)</f>
        <v/>
      </c>
      <c r="T638" s="32" t="str">
        <f aca="false">IF(S638="","",IF(S638&lt;=Setup!$B$5,"🏆 WINNER",""))</f>
        <v/>
      </c>
      <c r="U638" s="31" t="str">
        <f aca="false">IF(S638="","",I638&amp;"|"&amp;S638)</f>
        <v/>
      </c>
    </row>
    <row r="639" customFormat="false" ht="15" hidden="false" customHeight="false" outlineLevel="0" collapsed="false">
      <c r="A639" s="24" t="n">
        <v>635</v>
      </c>
      <c r="B639" s="25" t="str">
        <f aca="false">IF(OR(C639="",I639="",G639=""),"",IFERROR(VLOOKUP(I639,Setup!$A$9:$B$11,2,0),"???")&amp;"-"&amp;G639&amp;"-"&amp;TEXT(COUNTIFS(I$5:I639,I639,G$5:G639,G639),"0000"))</f>
        <v/>
      </c>
      <c r="C639" s="26"/>
      <c r="D639" s="26"/>
      <c r="E639" s="27"/>
      <c r="F639" s="27"/>
      <c r="G639" s="24" t="str">
        <f aca="false">IF(F639="","",IF(F639&lt;=5,"A",IF(F639&lt;=8,"B",IF(F639&lt;=10,"C","D"))))</f>
        <v/>
      </c>
      <c r="H639" s="28"/>
      <c r="I639" s="27"/>
      <c r="J639" s="26"/>
      <c r="K639" s="27"/>
      <c r="L639" s="27"/>
      <c r="M639" s="27"/>
      <c r="N639" s="27"/>
      <c r="O639" s="24" t="str">
        <f aca="false">IF(G639="","",VLOOKUP(G639,Setup!$A$14:$C$17,3,0))</f>
        <v/>
      </c>
      <c r="P639" s="27"/>
      <c r="Q639" s="29" t="str">
        <f aca="false">IF(OR(P639="",M639&lt;&gt;"Paid",O639=""),"",P639/O639)</f>
        <v/>
      </c>
      <c r="R639" s="30" t="str">
        <f aca="false">IF(Q639="","",Q639+N(H639)*0.000000001)</f>
        <v/>
      </c>
      <c r="S639" s="25" t="str">
        <f aca="false">IF(R639="","",SUMPRODUCT((I$5:I$4004=I639)*ISNUMBER(R$5:R$4004)*(R$5:R$4004&gt;R639))+1)</f>
        <v/>
      </c>
      <c r="T639" s="25" t="str">
        <f aca="false">IF(S639="","",IF(S639&lt;=Setup!$B$5,"🏆 WINNER",""))</f>
        <v/>
      </c>
      <c r="U639" s="24" t="str">
        <f aca="false">IF(S639="","",I639&amp;"|"&amp;S639)</f>
        <v/>
      </c>
    </row>
    <row r="640" customFormat="false" ht="15" hidden="false" customHeight="false" outlineLevel="0" collapsed="false">
      <c r="A640" s="31" t="n">
        <v>636</v>
      </c>
      <c r="B640" s="32" t="str">
        <f aca="false">IF(OR(C640="",I640="",G640=""),"",IFERROR(VLOOKUP(I640,Setup!$A$9:$B$11,2,0),"???")&amp;"-"&amp;G640&amp;"-"&amp;TEXT(COUNTIFS(I$5:I640,I640,G$5:G640,G640),"0000"))</f>
        <v/>
      </c>
      <c r="C640" s="26"/>
      <c r="D640" s="26"/>
      <c r="E640" s="27"/>
      <c r="F640" s="27"/>
      <c r="G640" s="31" t="str">
        <f aca="false">IF(F640="","",IF(F640&lt;=5,"A",IF(F640&lt;=8,"B",IF(F640&lt;=10,"C","D"))))</f>
        <v/>
      </c>
      <c r="H640" s="28"/>
      <c r="I640" s="27"/>
      <c r="J640" s="26"/>
      <c r="K640" s="27"/>
      <c r="L640" s="27"/>
      <c r="M640" s="27"/>
      <c r="N640" s="27"/>
      <c r="O640" s="31" t="str">
        <f aca="false">IF(G640="","",VLOOKUP(G640,Setup!$A$14:$C$17,3,0))</f>
        <v/>
      </c>
      <c r="P640" s="27"/>
      <c r="Q640" s="33" t="str">
        <f aca="false">IF(OR(P640="",M640&lt;&gt;"Paid",O640=""),"",P640/O640)</f>
        <v/>
      </c>
      <c r="R640" s="34" t="str">
        <f aca="false">IF(Q640="","",Q640+N(H640)*0.000000001)</f>
        <v/>
      </c>
      <c r="S640" s="32" t="str">
        <f aca="false">IF(R640="","",SUMPRODUCT((I$5:I$4004=I640)*ISNUMBER(R$5:R$4004)*(R$5:R$4004&gt;R640))+1)</f>
        <v/>
      </c>
      <c r="T640" s="32" t="str">
        <f aca="false">IF(S640="","",IF(S640&lt;=Setup!$B$5,"🏆 WINNER",""))</f>
        <v/>
      </c>
      <c r="U640" s="31" t="str">
        <f aca="false">IF(S640="","",I640&amp;"|"&amp;S640)</f>
        <v/>
      </c>
    </row>
    <row r="641" customFormat="false" ht="15" hidden="false" customHeight="false" outlineLevel="0" collapsed="false">
      <c r="A641" s="24" t="n">
        <v>637</v>
      </c>
      <c r="B641" s="25" t="str">
        <f aca="false">IF(OR(C641="",I641="",G641=""),"",IFERROR(VLOOKUP(I641,Setup!$A$9:$B$11,2,0),"???")&amp;"-"&amp;G641&amp;"-"&amp;TEXT(COUNTIFS(I$5:I641,I641,G$5:G641,G641),"0000"))</f>
        <v/>
      </c>
      <c r="C641" s="26"/>
      <c r="D641" s="26"/>
      <c r="E641" s="27"/>
      <c r="F641" s="27"/>
      <c r="G641" s="24" t="str">
        <f aca="false">IF(F641="","",IF(F641&lt;=5,"A",IF(F641&lt;=8,"B",IF(F641&lt;=10,"C","D"))))</f>
        <v/>
      </c>
      <c r="H641" s="28"/>
      <c r="I641" s="27"/>
      <c r="J641" s="26"/>
      <c r="K641" s="27"/>
      <c r="L641" s="27"/>
      <c r="M641" s="27"/>
      <c r="N641" s="27"/>
      <c r="O641" s="24" t="str">
        <f aca="false">IF(G641="","",VLOOKUP(G641,Setup!$A$14:$C$17,3,0))</f>
        <v/>
      </c>
      <c r="P641" s="27"/>
      <c r="Q641" s="29" t="str">
        <f aca="false">IF(OR(P641="",M641&lt;&gt;"Paid",O641=""),"",P641/O641)</f>
        <v/>
      </c>
      <c r="R641" s="30" t="str">
        <f aca="false">IF(Q641="","",Q641+N(H641)*0.000000001)</f>
        <v/>
      </c>
      <c r="S641" s="25" t="str">
        <f aca="false">IF(R641="","",SUMPRODUCT((I$5:I$4004=I641)*ISNUMBER(R$5:R$4004)*(R$5:R$4004&gt;R641))+1)</f>
        <v/>
      </c>
      <c r="T641" s="25" t="str">
        <f aca="false">IF(S641="","",IF(S641&lt;=Setup!$B$5,"🏆 WINNER",""))</f>
        <v/>
      </c>
      <c r="U641" s="24" t="str">
        <f aca="false">IF(S641="","",I641&amp;"|"&amp;S641)</f>
        <v/>
      </c>
    </row>
    <row r="642" customFormat="false" ht="15" hidden="false" customHeight="false" outlineLevel="0" collapsed="false">
      <c r="A642" s="31" t="n">
        <v>638</v>
      </c>
      <c r="B642" s="32" t="str">
        <f aca="false">IF(OR(C642="",I642="",G642=""),"",IFERROR(VLOOKUP(I642,Setup!$A$9:$B$11,2,0),"???")&amp;"-"&amp;G642&amp;"-"&amp;TEXT(COUNTIFS(I$5:I642,I642,G$5:G642,G642),"0000"))</f>
        <v/>
      </c>
      <c r="C642" s="26"/>
      <c r="D642" s="26"/>
      <c r="E642" s="27"/>
      <c r="F642" s="27"/>
      <c r="G642" s="31" t="str">
        <f aca="false">IF(F642="","",IF(F642&lt;=5,"A",IF(F642&lt;=8,"B",IF(F642&lt;=10,"C","D"))))</f>
        <v/>
      </c>
      <c r="H642" s="28"/>
      <c r="I642" s="27"/>
      <c r="J642" s="26"/>
      <c r="K642" s="27"/>
      <c r="L642" s="27"/>
      <c r="M642" s="27"/>
      <c r="N642" s="27"/>
      <c r="O642" s="31" t="str">
        <f aca="false">IF(G642="","",VLOOKUP(G642,Setup!$A$14:$C$17,3,0))</f>
        <v/>
      </c>
      <c r="P642" s="27"/>
      <c r="Q642" s="33" t="str">
        <f aca="false">IF(OR(P642="",M642&lt;&gt;"Paid",O642=""),"",P642/O642)</f>
        <v/>
      </c>
      <c r="R642" s="34" t="str">
        <f aca="false">IF(Q642="","",Q642+N(H642)*0.000000001)</f>
        <v/>
      </c>
      <c r="S642" s="32" t="str">
        <f aca="false">IF(R642="","",SUMPRODUCT((I$5:I$4004=I642)*ISNUMBER(R$5:R$4004)*(R$5:R$4004&gt;R642))+1)</f>
        <v/>
      </c>
      <c r="T642" s="32" t="str">
        <f aca="false">IF(S642="","",IF(S642&lt;=Setup!$B$5,"🏆 WINNER",""))</f>
        <v/>
      </c>
      <c r="U642" s="31" t="str">
        <f aca="false">IF(S642="","",I642&amp;"|"&amp;S642)</f>
        <v/>
      </c>
    </row>
    <row r="643" customFormat="false" ht="15" hidden="false" customHeight="false" outlineLevel="0" collapsed="false">
      <c r="A643" s="24" t="n">
        <v>639</v>
      </c>
      <c r="B643" s="25" t="str">
        <f aca="false">IF(OR(C643="",I643="",G643=""),"",IFERROR(VLOOKUP(I643,Setup!$A$9:$B$11,2,0),"???")&amp;"-"&amp;G643&amp;"-"&amp;TEXT(COUNTIFS(I$5:I643,I643,G$5:G643,G643),"0000"))</f>
        <v/>
      </c>
      <c r="C643" s="26"/>
      <c r="D643" s="26"/>
      <c r="E643" s="27"/>
      <c r="F643" s="27"/>
      <c r="G643" s="24" t="str">
        <f aca="false">IF(F643="","",IF(F643&lt;=5,"A",IF(F643&lt;=8,"B",IF(F643&lt;=10,"C","D"))))</f>
        <v/>
      </c>
      <c r="H643" s="28"/>
      <c r="I643" s="27"/>
      <c r="J643" s="26"/>
      <c r="K643" s="27"/>
      <c r="L643" s="27"/>
      <c r="M643" s="27"/>
      <c r="N643" s="27"/>
      <c r="O643" s="24" t="str">
        <f aca="false">IF(G643="","",VLOOKUP(G643,Setup!$A$14:$C$17,3,0))</f>
        <v/>
      </c>
      <c r="P643" s="27"/>
      <c r="Q643" s="29" t="str">
        <f aca="false">IF(OR(P643="",M643&lt;&gt;"Paid",O643=""),"",P643/O643)</f>
        <v/>
      </c>
      <c r="R643" s="30" t="str">
        <f aca="false">IF(Q643="","",Q643+N(H643)*0.000000001)</f>
        <v/>
      </c>
      <c r="S643" s="25" t="str">
        <f aca="false">IF(R643="","",SUMPRODUCT((I$5:I$4004=I643)*ISNUMBER(R$5:R$4004)*(R$5:R$4004&gt;R643))+1)</f>
        <v/>
      </c>
      <c r="T643" s="25" t="str">
        <f aca="false">IF(S643="","",IF(S643&lt;=Setup!$B$5,"🏆 WINNER",""))</f>
        <v/>
      </c>
      <c r="U643" s="24" t="str">
        <f aca="false">IF(S643="","",I643&amp;"|"&amp;S643)</f>
        <v/>
      </c>
    </row>
    <row r="644" customFormat="false" ht="15" hidden="false" customHeight="false" outlineLevel="0" collapsed="false">
      <c r="A644" s="31" t="n">
        <v>640</v>
      </c>
      <c r="B644" s="32" t="str">
        <f aca="false">IF(OR(C644="",I644="",G644=""),"",IFERROR(VLOOKUP(I644,Setup!$A$9:$B$11,2,0),"???")&amp;"-"&amp;G644&amp;"-"&amp;TEXT(COUNTIFS(I$5:I644,I644,G$5:G644,G644),"0000"))</f>
        <v/>
      </c>
      <c r="C644" s="26"/>
      <c r="D644" s="26"/>
      <c r="E644" s="27"/>
      <c r="F644" s="27"/>
      <c r="G644" s="31" t="str">
        <f aca="false">IF(F644="","",IF(F644&lt;=5,"A",IF(F644&lt;=8,"B",IF(F644&lt;=10,"C","D"))))</f>
        <v/>
      </c>
      <c r="H644" s="28"/>
      <c r="I644" s="27"/>
      <c r="J644" s="26"/>
      <c r="K644" s="27"/>
      <c r="L644" s="27"/>
      <c r="M644" s="27"/>
      <c r="N644" s="27"/>
      <c r="O644" s="31" t="str">
        <f aca="false">IF(G644="","",VLOOKUP(G644,Setup!$A$14:$C$17,3,0))</f>
        <v/>
      </c>
      <c r="P644" s="27"/>
      <c r="Q644" s="33" t="str">
        <f aca="false">IF(OR(P644="",M644&lt;&gt;"Paid",O644=""),"",P644/O644)</f>
        <v/>
      </c>
      <c r="R644" s="34" t="str">
        <f aca="false">IF(Q644="","",Q644+N(H644)*0.000000001)</f>
        <v/>
      </c>
      <c r="S644" s="32" t="str">
        <f aca="false">IF(R644="","",SUMPRODUCT((I$5:I$4004=I644)*ISNUMBER(R$5:R$4004)*(R$5:R$4004&gt;R644))+1)</f>
        <v/>
      </c>
      <c r="T644" s="32" t="str">
        <f aca="false">IF(S644="","",IF(S644&lt;=Setup!$B$5,"🏆 WINNER",""))</f>
        <v/>
      </c>
      <c r="U644" s="31" t="str">
        <f aca="false">IF(S644="","",I644&amp;"|"&amp;S644)</f>
        <v/>
      </c>
    </row>
    <row r="645" customFormat="false" ht="15" hidden="false" customHeight="false" outlineLevel="0" collapsed="false">
      <c r="A645" s="24" t="n">
        <v>641</v>
      </c>
      <c r="B645" s="25" t="str">
        <f aca="false">IF(OR(C645="",I645="",G645=""),"",IFERROR(VLOOKUP(I645,Setup!$A$9:$B$11,2,0),"???")&amp;"-"&amp;G645&amp;"-"&amp;TEXT(COUNTIFS(I$5:I645,I645,G$5:G645,G645),"0000"))</f>
        <v/>
      </c>
      <c r="C645" s="26"/>
      <c r="D645" s="26"/>
      <c r="E645" s="27"/>
      <c r="F645" s="27"/>
      <c r="G645" s="24" t="str">
        <f aca="false">IF(F645="","",IF(F645&lt;=5,"A",IF(F645&lt;=8,"B",IF(F645&lt;=10,"C","D"))))</f>
        <v/>
      </c>
      <c r="H645" s="28"/>
      <c r="I645" s="27"/>
      <c r="J645" s="26"/>
      <c r="K645" s="27"/>
      <c r="L645" s="27"/>
      <c r="M645" s="27"/>
      <c r="N645" s="27"/>
      <c r="O645" s="24" t="str">
        <f aca="false">IF(G645="","",VLOOKUP(G645,Setup!$A$14:$C$17,3,0))</f>
        <v/>
      </c>
      <c r="P645" s="27"/>
      <c r="Q645" s="29" t="str">
        <f aca="false">IF(OR(P645="",M645&lt;&gt;"Paid",O645=""),"",P645/O645)</f>
        <v/>
      </c>
      <c r="R645" s="30" t="str">
        <f aca="false">IF(Q645="","",Q645+N(H645)*0.000000001)</f>
        <v/>
      </c>
      <c r="S645" s="25" t="str">
        <f aca="false">IF(R645="","",SUMPRODUCT((I$5:I$4004=I645)*ISNUMBER(R$5:R$4004)*(R$5:R$4004&gt;R645))+1)</f>
        <v/>
      </c>
      <c r="T645" s="25" t="str">
        <f aca="false">IF(S645="","",IF(S645&lt;=Setup!$B$5,"🏆 WINNER",""))</f>
        <v/>
      </c>
      <c r="U645" s="24" t="str">
        <f aca="false">IF(S645="","",I645&amp;"|"&amp;S645)</f>
        <v/>
      </c>
    </row>
    <row r="646" customFormat="false" ht="15" hidden="false" customHeight="false" outlineLevel="0" collapsed="false">
      <c r="A646" s="31" t="n">
        <v>642</v>
      </c>
      <c r="B646" s="32" t="str">
        <f aca="false">IF(OR(C646="",I646="",G646=""),"",IFERROR(VLOOKUP(I646,Setup!$A$9:$B$11,2,0),"???")&amp;"-"&amp;G646&amp;"-"&amp;TEXT(COUNTIFS(I$5:I646,I646,G$5:G646,G646),"0000"))</f>
        <v/>
      </c>
      <c r="C646" s="26"/>
      <c r="D646" s="26"/>
      <c r="E646" s="27"/>
      <c r="F646" s="27"/>
      <c r="G646" s="31" t="str">
        <f aca="false">IF(F646="","",IF(F646&lt;=5,"A",IF(F646&lt;=8,"B",IF(F646&lt;=10,"C","D"))))</f>
        <v/>
      </c>
      <c r="H646" s="28"/>
      <c r="I646" s="27"/>
      <c r="J646" s="26"/>
      <c r="K646" s="27"/>
      <c r="L646" s="27"/>
      <c r="M646" s="27"/>
      <c r="N646" s="27"/>
      <c r="O646" s="31" t="str">
        <f aca="false">IF(G646="","",VLOOKUP(G646,Setup!$A$14:$C$17,3,0))</f>
        <v/>
      </c>
      <c r="P646" s="27"/>
      <c r="Q646" s="33" t="str">
        <f aca="false">IF(OR(P646="",M646&lt;&gt;"Paid",O646=""),"",P646/O646)</f>
        <v/>
      </c>
      <c r="R646" s="34" t="str">
        <f aca="false">IF(Q646="","",Q646+N(H646)*0.000000001)</f>
        <v/>
      </c>
      <c r="S646" s="32" t="str">
        <f aca="false">IF(R646="","",SUMPRODUCT((I$5:I$4004=I646)*ISNUMBER(R$5:R$4004)*(R$5:R$4004&gt;R646))+1)</f>
        <v/>
      </c>
      <c r="T646" s="32" t="str">
        <f aca="false">IF(S646="","",IF(S646&lt;=Setup!$B$5,"🏆 WINNER",""))</f>
        <v/>
      </c>
      <c r="U646" s="31" t="str">
        <f aca="false">IF(S646="","",I646&amp;"|"&amp;S646)</f>
        <v/>
      </c>
    </row>
    <row r="647" customFormat="false" ht="15" hidden="false" customHeight="false" outlineLevel="0" collapsed="false">
      <c r="A647" s="24" t="n">
        <v>643</v>
      </c>
      <c r="B647" s="25" t="str">
        <f aca="false">IF(OR(C647="",I647="",G647=""),"",IFERROR(VLOOKUP(I647,Setup!$A$9:$B$11,2,0),"???")&amp;"-"&amp;G647&amp;"-"&amp;TEXT(COUNTIFS(I$5:I647,I647,G$5:G647,G647),"0000"))</f>
        <v/>
      </c>
      <c r="C647" s="26"/>
      <c r="D647" s="26"/>
      <c r="E647" s="27"/>
      <c r="F647" s="27"/>
      <c r="G647" s="24" t="str">
        <f aca="false">IF(F647="","",IF(F647&lt;=5,"A",IF(F647&lt;=8,"B",IF(F647&lt;=10,"C","D"))))</f>
        <v/>
      </c>
      <c r="H647" s="28"/>
      <c r="I647" s="27"/>
      <c r="J647" s="26"/>
      <c r="K647" s="27"/>
      <c r="L647" s="27"/>
      <c r="M647" s="27"/>
      <c r="N647" s="27"/>
      <c r="O647" s="24" t="str">
        <f aca="false">IF(G647="","",VLOOKUP(G647,Setup!$A$14:$C$17,3,0))</f>
        <v/>
      </c>
      <c r="P647" s="27"/>
      <c r="Q647" s="29" t="str">
        <f aca="false">IF(OR(P647="",M647&lt;&gt;"Paid",O647=""),"",P647/O647)</f>
        <v/>
      </c>
      <c r="R647" s="30" t="str">
        <f aca="false">IF(Q647="","",Q647+N(H647)*0.000000001)</f>
        <v/>
      </c>
      <c r="S647" s="25" t="str">
        <f aca="false">IF(R647="","",SUMPRODUCT((I$5:I$4004=I647)*ISNUMBER(R$5:R$4004)*(R$5:R$4004&gt;R647))+1)</f>
        <v/>
      </c>
      <c r="T647" s="25" t="str">
        <f aca="false">IF(S647="","",IF(S647&lt;=Setup!$B$5,"🏆 WINNER",""))</f>
        <v/>
      </c>
      <c r="U647" s="24" t="str">
        <f aca="false">IF(S647="","",I647&amp;"|"&amp;S647)</f>
        <v/>
      </c>
    </row>
    <row r="648" customFormat="false" ht="15" hidden="false" customHeight="false" outlineLevel="0" collapsed="false">
      <c r="A648" s="31" t="n">
        <v>644</v>
      </c>
      <c r="B648" s="32" t="str">
        <f aca="false">IF(OR(C648="",I648="",G648=""),"",IFERROR(VLOOKUP(I648,Setup!$A$9:$B$11,2,0),"???")&amp;"-"&amp;G648&amp;"-"&amp;TEXT(COUNTIFS(I$5:I648,I648,G$5:G648,G648),"0000"))</f>
        <v/>
      </c>
      <c r="C648" s="26"/>
      <c r="D648" s="26"/>
      <c r="E648" s="27"/>
      <c r="F648" s="27"/>
      <c r="G648" s="31" t="str">
        <f aca="false">IF(F648="","",IF(F648&lt;=5,"A",IF(F648&lt;=8,"B",IF(F648&lt;=10,"C","D"))))</f>
        <v/>
      </c>
      <c r="H648" s="28"/>
      <c r="I648" s="27"/>
      <c r="J648" s="26"/>
      <c r="K648" s="27"/>
      <c r="L648" s="27"/>
      <c r="M648" s="27"/>
      <c r="N648" s="27"/>
      <c r="O648" s="31" t="str">
        <f aca="false">IF(G648="","",VLOOKUP(G648,Setup!$A$14:$C$17,3,0))</f>
        <v/>
      </c>
      <c r="P648" s="27"/>
      <c r="Q648" s="33" t="str">
        <f aca="false">IF(OR(P648="",M648&lt;&gt;"Paid",O648=""),"",P648/O648)</f>
        <v/>
      </c>
      <c r="R648" s="34" t="str">
        <f aca="false">IF(Q648="","",Q648+N(H648)*0.000000001)</f>
        <v/>
      </c>
      <c r="S648" s="32" t="str">
        <f aca="false">IF(R648="","",SUMPRODUCT((I$5:I$4004=I648)*ISNUMBER(R$5:R$4004)*(R$5:R$4004&gt;R648))+1)</f>
        <v/>
      </c>
      <c r="T648" s="32" t="str">
        <f aca="false">IF(S648="","",IF(S648&lt;=Setup!$B$5,"🏆 WINNER",""))</f>
        <v/>
      </c>
      <c r="U648" s="31" t="str">
        <f aca="false">IF(S648="","",I648&amp;"|"&amp;S648)</f>
        <v/>
      </c>
    </row>
    <row r="649" customFormat="false" ht="15" hidden="false" customHeight="false" outlineLevel="0" collapsed="false">
      <c r="A649" s="24" t="n">
        <v>645</v>
      </c>
      <c r="B649" s="25" t="str">
        <f aca="false">IF(OR(C649="",I649="",G649=""),"",IFERROR(VLOOKUP(I649,Setup!$A$9:$B$11,2,0),"???")&amp;"-"&amp;G649&amp;"-"&amp;TEXT(COUNTIFS(I$5:I649,I649,G$5:G649,G649),"0000"))</f>
        <v/>
      </c>
      <c r="C649" s="26"/>
      <c r="D649" s="26"/>
      <c r="E649" s="27"/>
      <c r="F649" s="27"/>
      <c r="G649" s="24" t="str">
        <f aca="false">IF(F649="","",IF(F649&lt;=5,"A",IF(F649&lt;=8,"B",IF(F649&lt;=10,"C","D"))))</f>
        <v/>
      </c>
      <c r="H649" s="28"/>
      <c r="I649" s="27"/>
      <c r="J649" s="26"/>
      <c r="K649" s="27"/>
      <c r="L649" s="27"/>
      <c r="M649" s="27"/>
      <c r="N649" s="27"/>
      <c r="O649" s="24" t="str">
        <f aca="false">IF(G649="","",VLOOKUP(G649,Setup!$A$14:$C$17,3,0))</f>
        <v/>
      </c>
      <c r="P649" s="27"/>
      <c r="Q649" s="29" t="str">
        <f aca="false">IF(OR(P649="",M649&lt;&gt;"Paid",O649=""),"",P649/O649)</f>
        <v/>
      </c>
      <c r="R649" s="30" t="str">
        <f aca="false">IF(Q649="","",Q649+N(H649)*0.000000001)</f>
        <v/>
      </c>
      <c r="S649" s="25" t="str">
        <f aca="false">IF(R649="","",SUMPRODUCT((I$5:I$4004=I649)*ISNUMBER(R$5:R$4004)*(R$5:R$4004&gt;R649))+1)</f>
        <v/>
      </c>
      <c r="T649" s="25" t="str">
        <f aca="false">IF(S649="","",IF(S649&lt;=Setup!$B$5,"🏆 WINNER",""))</f>
        <v/>
      </c>
      <c r="U649" s="24" t="str">
        <f aca="false">IF(S649="","",I649&amp;"|"&amp;S649)</f>
        <v/>
      </c>
    </row>
    <row r="650" customFormat="false" ht="15" hidden="false" customHeight="false" outlineLevel="0" collapsed="false">
      <c r="A650" s="31" t="n">
        <v>646</v>
      </c>
      <c r="B650" s="32" t="str">
        <f aca="false">IF(OR(C650="",I650="",G650=""),"",IFERROR(VLOOKUP(I650,Setup!$A$9:$B$11,2,0),"???")&amp;"-"&amp;G650&amp;"-"&amp;TEXT(COUNTIFS(I$5:I650,I650,G$5:G650,G650),"0000"))</f>
        <v/>
      </c>
      <c r="C650" s="26"/>
      <c r="D650" s="26"/>
      <c r="E650" s="27"/>
      <c r="F650" s="27"/>
      <c r="G650" s="31" t="str">
        <f aca="false">IF(F650="","",IF(F650&lt;=5,"A",IF(F650&lt;=8,"B",IF(F650&lt;=10,"C","D"))))</f>
        <v/>
      </c>
      <c r="H650" s="28"/>
      <c r="I650" s="27"/>
      <c r="J650" s="26"/>
      <c r="K650" s="27"/>
      <c r="L650" s="27"/>
      <c r="M650" s="27"/>
      <c r="N650" s="27"/>
      <c r="O650" s="31" t="str">
        <f aca="false">IF(G650="","",VLOOKUP(G650,Setup!$A$14:$C$17,3,0))</f>
        <v/>
      </c>
      <c r="P650" s="27"/>
      <c r="Q650" s="33" t="str">
        <f aca="false">IF(OR(P650="",M650&lt;&gt;"Paid",O650=""),"",P650/O650)</f>
        <v/>
      </c>
      <c r="R650" s="34" t="str">
        <f aca="false">IF(Q650="","",Q650+N(H650)*0.000000001)</f>
        <v/>
      </c>
      <c r="S650" s="32" t="str">
        <f aca="false">IF(R650="","",SUMPRODUCT((I$5:I$4004=I650)*ISNUMBER(R$5:R$4004)*(R$5:R$4004&gt;R650))+1)</f>
        <v/>
      </c>
      <c r="T650" s="32" t="str">
        <f aca="false">IF(S650="","",IF(S650&lt;=Setup!$B$5,"🏆 WINNER",""))</f>
        <v/>
      </c>
      <c r="U650" s="31" t="str">
        <f aca="false">IF(S650="","",I650&amp;"|"&amp;S650)</f>
        <v/>
      </c>
    </row>
    <row r="651" customFormat="false" ht="15" hidden="false" customHeight="false" outlineLevel="0" collapsed="false">
      <c r="A651" s="24" t="n">
        <v>647</v>
      </c>
      <c r="B651" s="25" t="str">
        <f aca="false">IF(OR(C651="",I651="",G651=""),"",IFERROR(VLOOKUP(I651,Setup!$A$9:$B$11,2,0),"???")&amp;"-"&amp;G651&amp;"-"&amp;TEXT(COUNTIFS(I$5:I651,I651,G$5:G651,G651),"0000"))</f>
        <v/>
      </c>
      <c r="C651" s="26"/>
      <c r="D651" s="26"/>
      <c r="E651" s="27"/>
      <c r="F651" s="27"/>
      <c r="G651" s="24" t="str">
        <f aca="false">IF(F651="","",IF(F651&lt;=5,"A",IF(F651&lt;=8,"B",IF(F651&lt;=10,"C","D"))))</f>
        <v/>
      </c>
      <c r="H651" s="28"/>
      <c r="I651" s="27"/>
      <c r="J651" s="26"/>
      <c r="K651" s="27"/>
      <c r="L651" s="27"/>
      <c r="M651" s="27"/>
      <c r="N651" s="27"/>
      <c r="O651" s="24" t="str">
        <f aca="false">IF(G651="","",VLOOKUP(G651,Setup!$A$14:$C$17,3,0))</f>
        <v/>
      </c>
      <c r="P651" s="27"/>
      <c r="Q651" s="29" t="str">
        <f aca="false">IF(OR(P651="",M651&lt;&gt;"Paid",O651=""),"",P651/O651)</f>
        <v/>
      </c>
      <c r="R651" s="30" t="str">
        <f aca="false">IF(Q651="","",Q651+N(H651)*0.000000001)</f>
        <v/>
      </c>
      <c r="S651" s="25" t="str">
        <f aca="false">IF(R651="","",SUMPRODUCT((I$5:I$4004=I651)*ISNUMBER(R$5:R$4004)*(R$5:R$4004&gt;R651))+1)</f>
        <v/>
      </c>
      <c r="T651" s="25" t="str">
        <f aca="false">IF(S651="","",IF(S651&lt;=Setup!$B$5,"🏆 WINNER",""))</f>
        <v/>
      </c>
      <c r="U651" s="24" t="str">
        <f aca="false">IF(S651="","",I651&amp;"|"&amp;S651)</f>
        <v/>
      </c>
    </row>
    <row r="652" customFormat="false" ht="15" hidden="false" customHeight="false" outlineLevel="0" collapsed="false">
      <c r="A652" s="31" t="n">
        <v>648</v>
      </c>
      <c r="B652" s="32" t="str">
        <f aca="false">IF(OR(C652="",I652="",G652=""),"",IFERROR(VLOOKUP(I652,Setup!$A$9:$B$11,2,0),"???")&amp;"-"&amp;G652&amp;"-"&amp;TEXT(COUNTIFS(I$5:I652,I652,G$5:G652,G652),"0000"))</f>
        <v/>
      </c>
      <c r="C652" s="26"/>
      <c r="D652" s="26"/>
      <c r="E652" s="27"/>
      <c r="F652" s="27"/>
      <c r="G652" s="31" t="str">
        <f aca="false">IF(F652="","",IF(F652&lt;=5,"A",IF(F652&lt;=8,"B",IF(F652&lt;=10,"C","D"))))</f>
        <v/>
      </c>
      <c r="H652" s="28"/>
      <c r="I652" s="27"/>
      <c r="J652" s="26"/>
      <c r="K652" s="27"/>
      <c r="L652" s="27"/>
      <c r="M652" s="27"/>
      <c r="N652" s="27"/>
      <c r="O652" s="31" t="str">
        <f aca="false">IF(G652="","",VLOOKUP(G652,Setup!$A$14:$C$17,3,0))</f>
        <v/>
      </c>
      <c r="P652" s="27"/>
      <c r="Q652" s="33" t="str">
        <f aca="false">IF(OR(P652="",M652&lt;&gt;"Paid",O652=""),"",P652/O652)</f>
        <v/>
      </c>
      <c r="R652" s="34" t="str">
        <f aca="false">IF(Q652="","",Q652+N(H652)*0.000000001)</f>
        <v/>
      </c>
      <c r="S652" s="32" t="str">
        <f aca="false">IF(R652="","",SUMPRODUCT((I$5:I$4004=I652)*ISNUMBER(R$5:R$4004)*(R$5:R$4004&gt;R652))+1)</f>
        <v/>
      </c>
      <c r="T652" s="32" t="str">
        <f aca="false">IF(S652="","",IF(S652&lt;=Setup!$B$5,"🏆 WINNER",""))</f>
        <v/>
      </c>
      <c r="U652" s="31" t="str">
        <f aca="false">IF(S652="","",I652&amp;"|"&amp;S652)</f>
        <v/>
      </c>
    </row>
    <row r="653" customFormat="false" ht="15" hidden="false" customHeight="false" outlineLevel="0" collapsed="false">
      <c r="A653" s="24" t="n">
        <v>649</v>
      </c>
      <c r="B653" s="25" t="str">
        <f aca="false">IF(OR(C653="",I653="",G653=""),"",IFERROR(VLOOKUP(I653,Setup!$A$9:$B$11,2,0),"???")&amp;"-"&amp;G653&amp;"-"&amp;TEXT(COUNTIFS(I$5:I653,I653,G$5:G653,G653),"0000"))</f>
        <v/>
      </c>
      <c r="C653" s="26"/>
      <c r="D653" s="26"/>
      <c r="E653" s="27"/>
      <c r="F653" s="27"/>
      <c r="G653" s="24" t="str">
        <f aca="false">IF(F653="","",IF(F653&lt;=5,"A",IF(F653&lt;=8,"B",IF(F653&lt;=10,"C","D"))))</f>
        <v/>
      </c>
      <c r="H653" s="28"/>
      <c r="I653" s="27"/>
      <c r="J653" s="26"/>
      <c r="K653" s="27"/>
      <c r="L653" s="27"/>
      <c r="M653" s="27"/>
      <c r="N653" s="27"/>
      <c r="O653" s="24" t="str">
        <f aca="false">IF(G653="","",VLOOKUP(G653,Setup!$A$14:$C$17,3,0))</f>
        <v/>
      </c>
      <c r="P653" s="27"/>
      <c r="Q653" s="29" t="str">
        <f aca="false">IF(OR(P653="",M653&lt;&gt;"Paid",O653=""),"",P653/O653)</f>
        <v/>
      </c>
      <c r="R653" s="30" t="str">
        <f aca="false">IF(Q653="","",Q653+N(H653)*0.000000001)</f>
        <v/>
      </c>
      <c r="S653" s="25" t="str">
        <f aca="false">IF(R653="","",SUMPRODUCT((I$5:I$4004=I653)*ISNUMBER(R$5:R$4004)*(R$5:R$4004&gt;R653))+1)</f>
        <v/>
      </c>
      <c r="T653" s="25" t="str">
        <f aca="false">IF(S653="","",IF(S653&lt;=Setup!$B$5,"🏆 WINNER",""))</f>
        <v/>
      </c>
      <c r="U653" s="24" t="str">
        <f aca="false">IF(S653="","",I653&amp;"|"&amp;S653)</f>
        <v/>
      </c>
    </row>
    <row r="654" customFormat="false" ht="15" hidden="false" customHeight="false" outlineLevel="0" collapsed="false">
      <c r="A654" s="31" t="n">
        <v>650</v>
      </c>
      <c r="B654" s="32" t="str">
        <f aca="false">IF(OR(C654="",I654="",G654=""),"",IFERROR(VLOOKUP(I654,Setup!$A$9:$B$11,2,0),"???")&amp;"-"&amp;G654&amp;"-"&amp;TEXT(COUNTIFS(I$5:I654,I654,G$5:G654,G654),"0000"))</f>
        <v/>
      </c>
      <c r="C654" s="26"/>
      <c r="D654" s="26"/>
      <c r="E654" s="27"/>
      <c r="F654" s="27"/>
      <c r="G654" s="31" t="str">
        <f aca="false">IF(F654="","",IF(F654&lt;=5,"A",IF(F654&lt;=8,"B",IF(F654&lt;=10,"C","D"))))</f>
        <v/>
      </c>
      <c r="H654" s="28"/>
      <c r="I654" s="27"/>
      <c r="J654" s="26"/>
      <c r="K654" s="27"/>
      <c r="L654" s="27"/>
      <c r="M654" s="27"/>
      <c r="N654" s="27"/>
      <c r="O654" s="31" t="str">
        <f aca="false">IF(G654="","",VLOOKUP(G654,Setup!$A$14:$C$17,3,0))</f>
        <v/>
      </c>
      <c r="P654" s="27"/>
      <c r="Q654" s="33" t="str">
        <f aca="false">IF(OR(P654="",M654&lt;&gt;"Paid",O654=""),"",P654/O654)</f>
        <v/>
      </c>
      <c r="R654" s="34" t="str">
        <f aca="false">IF(Q654="","",Q654+N(H654)*0.000000001)</f>
        <v/>
      </c>
      <c r="S654" s="32" t="str">
        <f aca="false">IF(R654="","",SUMPRODUCT((I$5:I$4004=I654)*ISNUMBER(R$5:R$4004)*(R$5:R$4004&gt;R654))+1)</f>
        <v/>
      </c>
      <c r="T654" s="32" t="str">
        <f aca="false">IF(S654="","",IF(S654&lt;=Setup!$B$5,"🏆 WINNER",""))</f>
        <v/>
      </c>
      <c r="U654" s="31" t="str">
        <f aca="false">IF(S654="","",I654&amp;"|"&amp;S654)</f>
        <v/>
      </c>
    </row>
    <row r="655" customFormat="false" ht="15" hidden="false" customHeight="false" outlineLevel="0" collapsed="false">
      <c r="A655" s="24" t="n">
        <v>651</v>
      </c>
      <c r="B655" s="25" t="str">
        <f aca="false">IF(OR(C655="",I655="",G655=""),"",IFERROR(VLOOKUP(I655,Setup!$A$9:$B$11,2,0),"???")&amp;"-"&amp;G655&amp;"-"&amp;TEXT(COUNTIFS(I$5:I655,I655,G$5:G655,G655),"0000"))</f>
        <v/>
      </c>
      <c r="C655" s="26"/>
      <c r="D655" s="26"/>
      <c r="E655" s="27"/>
      <c r="F655" s="27"/>
      <c r="G655" s="24" t="str">
        <f aca="false">IF(F655="","",IF(F655&lt;=5,"A",IF(F655&lt;=8,"B",IF(F655&lt;=10,"C","D"))))</f>
        <v/>
      </c>
      <c r="H655" s="28"/>
      <c r="I655" s="27"/>
      <c r="J655" s="26"/>
      <c r="K655" s="27"/>
      <c r="L655" s="27"/>
      <c r="M655" s="27"/>
      <c r="N655" s="27"/>
      <c r="O655" s="24" t="str">
        <f aca="false">IF(G655="","",VLOOKUP(G655,Setup!$A$14:$C$17,3,0))</f>
        <v/>
      </c>
      <c r="P655" s="27"/>
      <c r="Q655" s="29" t="str">
        <f aca="false">IF(OR(P655="",M655&lt;&gt;"Paid",O655=""),"",P655/O655)</f>
        <v/>
      </c>
      <c r="R655" s="30" t="str">
        <f aca="false">IF(Q655="","",Q655+N(H655)*0.000000001)</f>
        <v/>
      </c>
      <c r="S655" s="25" t="str">
        <f aca="false">IF(R655="","",SUMPRODUCT((I$5:I$4004=I655)*ISNUMBER(R$5:R$4004)*(R$5:R$4004&gt;R655))+1)</f>
        <v/>
      </c>
      <c r="T655" s="25" t="str">
        <f aca="false">IF(S655="","",IF(S655&lt;=Setup!$B$5,"🏆 WINNER",""))</f>
        <v/>
      </c>
      <c r="U655" s="24" t="str">
        <f aca="false">IF(S655="","",I655&amp;"|"&amp;S655)</f>
        <v/>
      </c>
    </row>
    <row r="656" customFormat="false" ht="15" hidden="false" customHeight="false" outlineLevel="0" collapsed="false">
      <c r="A656" s="31" t="n">
        <v>652</v>
      </c>
      <c r="B656" s="32" t="str">
        <f aca="false">IF(OR(C656="",I656="",G656=""),"",IFERROR(VLOOKUP(I656,Setup!$A$9:$B$11,2,0),"???")&amp;"-"&amp;G656&amp;"-"&amp;TEXT(COUNTIFS(I$5:I656,I656,G$5:G656,G656),"0000"))</f>
        <v/>
      </c>
      <c r="C656" s="26"/>
      <c r="D656" s="26"/>
      <c r="E656" s="27"/>
      <c r="F656" s="27"/>
      <c r="G656" s="31" t="str">
        <f aca="false">IF(F656="","",IF(F656&lt;=5,"A",IF(F656&lt;=8,"B",IF(F656&lt;=10,"C","D"))))</f>
        <v/>
      </c>
      <c r="H656" s="28"/>
      <c r="I656" s="27"/>
      <c r="J656" s="26"/>
      <c r="K656" s="27"/>
      <c r="L656" s="27"/>
      <c r="M656" s="27"/>
      <c r="N656" s="27"/>
      <c r="O656" s="31" t="str">
        <f aca="false">IF(G656="","",VLOOKUP(G656,Setup!$A$14:$C$17,3,0))</f>
        <v/>
      </c>
      <c r="P656" s="27"/>
      <c r="Q656" s="33" t="str">
        <f aca="false">IF(OR(P656="",M656&lt;&gt;"Paid",O656=""),"",P656/O656)</f>
        <v/>
      </c>
      <c r="R656" s="34" t="str">
        <f aca="false">IF(Q656="","",Q656+N(H656)*0.000000001)</f>
        <v/>
      </c>
      <c r="S656" s="32" t="str">
        <f aca="false">IF(R656="","",SUMPRODUCT((I$5:I$4004=I656)*ISNUMBER(R$5:R$4004)*(R$5:R$4004&gt;R656))+1)</f>
        <v/>
      </c>
      <c r="T656" s="32" t="str">
        <f aca="false">IF(S656="","",IF(S656&lt;=Setup!$B$5,"🏆 WINNER",""))</f>
        <v/>
      </c>
      <c r="U656" s="31" t="str">
        <f aca="false">IF(S656="","",I656&amp;"|"&amp;S656)</f>
        <v/>
      </c>
    </row>
    <row r="657" customFormat="false" ht="15" hidden="false" customHeight="false" outlineLevel="0" collapsed="false">
      <c r="A657" s="24" t="n">
        <v>653</v>
      </c>
      <c r="B657" s="25" t="str">
        <f aca="false">IF(OR(C657="",I657="",G657=""),"",IFERROR(VLOOKUP(I657,Setup!$A$9:$B$11,2,0),"???")&amp;"-"&amp;G657&amp;"-"&amp;TEXT(COUNTIFS(I$5:I657,I657,G$5:G657,G657),"0000"))</f>
        <v/>
      </c>
      <c r="C657" s="26"/>
      <c r="D657" s="26"/>
      <c r="E657" s="27"/>
      <c r="F657" s="27"/>
      <c r="G657" s="24" t="str">
        <f aca="false">IF(F657="","",IF(F657&lt;=5,"A",IF(F657&lt;=8,"B",IF(F657&lt;=10,"C","D"))))</f>
        <v/>
      </c>
      <c r="H657" s="28"/>
      <c r="I657" s="27"/>
      <c r="J657" s="26"/>
      <c r="K657" s="27"/>
      <c r="L657" s="27"/>
      <c r="M657" s="27"/>
      <c r="N657" s="27"/>
      <c r="O657" s="24" t="str">
        <f aca="false">IF(G657="","",VLOOKUP(G657,Setup!$A$14:$C$17,3,0))</f>
        <v/>
      </c>
      <c r="P657" s="27"/>
      <c r="Q657" s="29" t="str">
        <f aca="false">IF(OR(P657="",M657&lt;&gt;"Paid",O657=""),"",P657/O657)</f>
        <v/>
      </c>
      <c r="R657" s="30" t="str">
        <f aca="false">IF(Q657="","",Q657+N(H657)*0.000000001)</f>
        <v/>
      </c>
      <c r="S657" s="25" t="str">
        <f aca="false">IF(R657="","",SUMPRODUCT((I$5:I$4004=I657)*ISNUMBER(R$5:R$4004)*(R$5:R$4004&gt;R657))+1)</f>
        <v/>
      </c>
      <c r="T657" s="25" t="str">
        <f aca="false">IF(S657="","",IF(S657&lt;=Setup!$B$5,"🏆 WINNER",""))</f>
        <v/>
      </c>
      <c r="U657" s="24" t="str">
        <f aca="false">IF(S657="","",I657&amp;"|"&amp;S657)</f>
        <v/>
      </c>
    </row>
    <row r="658" customFormat="false" ht="15" hidden="false" customHeight="false" outlineLevel="0" collapsed="false">
      <c r="A658" s="31" t="n">
        <v>654</v>
      </c>
      <c r="B658" s="32" t="str">
        <f aca="false">IF(OR(C658="",I658="",G658=""),"",IFERROR(VLOOKUP(I658,Setup!$A$9:$B$11,2,0),"???")&amp;"-"&amp;G658&amp;"-"&amp;TEXT(COUNTIFS(I$5:I658,I658,G$5:G658,G658),"0000"))</f>
        <v/>
      </c>
      <c r="C658" s="26"/>
      <c r="D658" s="26"/>
      <c r="E658" s="27"/>
      <c r="F658" s="27"/>
      <c r="G658" s="31" t="str">
        <f aca="false">IF(F658="","",IF(F658&lt;=5,"A",IF(F658&lt;=8,"B",IF(F658&lt;=10,"C","D"))))</f>
        <v/>
      </c>
      <c r="H658" s="28"/>
      <c r="I658" s="27"/>
      <c r="J658" s="26"/>
      <c r="K658" s="27"/>
      <c r="L658" s="27"/>
      <c r="M658" s="27"/>
      <c r="N658" s="27"/>
      <c r="O658" s="31" t="str">
        <f aca="false">IF(G658="","",VLOOKUP(G658,Setup!$A$14:$C$17,3,0))</f>
        <v/>
      </c>
      <c r="P658" s="27"/>
      <c r="Q658" s="33" t="str">
        <f aca="false">IF(OR(P658="",M658&lt;&gt;"Paid",O658=""),"",P658/O658)</f>
        <v/>
      </c>
      <c r="R658" s="34" t="str">
        <f aca="false">IF(Q658="","",Q658+N(H658)*0.000000001)</f>
        <v/>
      </c>
      <c r="S658" s="32" t="str">
        <f aca="false">IF(R658="","",SUMPRODUCT((I$5:I$4004=I658)*ISNUMBER(R$5:R$4004)*(R$5:R$4004&gt;R658))+1)</f>
        <v/>
      </c>
      <c r="T658" s="32" t="str">
        <f aca="false">IF(S658="","",IF(S658&lt;=Setup!$B$5,"🏆 WINNER",""))</f>
        <v/>
      </c>
      <c r="U658" s="31" t="str">
        <f aca="false">IF(S658="","",I658&amp;"|"&amp;S658)</f>
        <v/>
      </c>
    </row>
    <row r="659" customFormat="false" ht="15" hidden="false" customHeight="false" outlineLevel="0" collapsed="false">
      <c r="A659" s="24" t="n">
        <v>655</v>
      </c>
      <c r="B659" s="25" t="str">
        <f aca="false">IF(OR(C659="",I659="",G659=""),"",IFERROR(VLOOKUP(I659,Setup!$A$9:$B$11,2,0),"???")&amp;"-"&amp;G659&amp;"-"&amp;TEXT(COUNTIFS(I$5:I659,I659,G$5:G659,G659),"0000"))</f>
        <v/>
      </c>
      <c r="C659" s="26"/>
      <c r="D659" s="26"/>
      <c r="E659" s="27"/>
      <c r="F659" s="27"/>
      <c r="G659" s="24" t="str">
        <f aca="false">IF(F659="","",IF(F659&lt;=5,"A",IF(F659&lt;=8,"B",IF(F659&lt;=10,"C","D"))))</f>
        <v/>
      </c>
      <c r="H659" s="28"/>
      <c r="I659" s="27"/>
      <c r="J659" s="26"/>
      <c r="K659" s="27"/>
      <c r="L659" s="27"/>
      <c r="M659" s="27"/>
      <c r="N659" s="27"/>
      <c r="O659" s="24" t="str">
        <f aca="false">IF(G659="","",VLOOKUP(G659,Setup!$A$14:$C$17,3,0))</f>
        <v/>
      </c>
      <c r="P659" s="27"/>
      <c r="Q659" s="29" t="str">
        <f aca="false">IF(OR(P659="",M659&lt;&gt;"Paid",O659=""),"",P659/O659)</f>
        <v/>
      </c>
      <c r="R659" s="30" t="str">
        <f aca="false">IF(Q659="","",Q659+N(H659)*0.000000001)</f>
        <v/>
      </c>
      <c r="S659" s="25" t="str">
        <f aca="false">IF(R659="","",SUMPRODUCT((I$5:I$4004=I659)*ISNUMBER(R$5:R$4004)*(R$5:R$4004&gt;R659))+1)</f>
        <v/>
      </c>
      <c r="T659" s="25" t="str">
        <f aca="false">IF(S659="","",IF(S659&lt;=Setup!$B$5,"🏆 WINNER",""))</f>
        <v/>
      </c>
      <c r="U659" s="24" t="str">
        <f aca="false">IF(S659="","",I659&amp;"|"&amp;S659)</f>
        <v/>
      </c>
    </row>
    <row r="660" customFormat="false" ht="15" hidden="false" customHeight="false" outlineLevel="0" collapsed="false">
      <c r="A660" s="31" t="n">
        <v>656</v>
      </c>
      <c r="B660" s="32" t="str">
        <f aca="false">IF(OR(C660="",I660="",G660=""),"",IFERROR(VLOOKUP(I660,Setup!$A$9:$B$11,2,0),"???")&amp;"-"&amp;G660&amp;"-"&amp;TEXT(COUNTIFS(I$5:I660,I660,G$5:G660,G660),"0000"))</f>
        <v/>
      </c>
      <c r="C660" s="26"/>
      <c r="D660" s="26"/>
      <c r="E660" s="27"/>
      <c r="F660" s="27"/>
      <c r="G660" s="31" t="str">
        <f aca="false">IF(F660="","",IF(F660&lt;=5,"A",IF(F660&lt;=8,"B",IF(F660&lt;=10,"C","D"))))</f>
        <v/>
      </c>
      <c r="H660" s="28"/>
      <c r="I660" s="27"/>
      <c r="J660" s="26"/>
      <c r="K660" s="27"/>
      <c r="L660" s="27"/>
      <c r="M660" s="27"/>
      <c r="N660" s="27"/>
      <c r="O660" s="31" t="str">
        <f aca="false">IF(G660="","",VLOOKUP(G660,Setup!$A$14:$C$17,3,0))</f>
        <v/>
      </c>
      <c r="P660" s="27"/>
      <c r="Q660" s="33" t="str">
        <f aca="false">IF(OR(P660="",M660&lt;&gt;"Paid",O660=""),"",P660/O660)</f>
        <v/>
      </c>
      <c r="R660" s="34" t="str">
        <f aca="false">IF(Q660="","",Q660+N(H660)*0.000000001)</f>
        <v/>
      </c>
      <c r="S660" s="32" t="str">
        <f aca="false">IF(R660="","",SUMPRODUCT((I$5:I$4004=I660)*ISNUMBER(R$5:R$4004)*(R$5:R$4004&gt;R660))+1)</f>
        <v/>
      </c>
      <c r="T660" s="32" t="str">
        <f aca="false">IF(S660="","",IF(S660&lt;=Setup!$B$5,"🏆 WINNER",""))</f>
        <v/>
      </c>
      <c r="U660" s="31" t="str">
        <f aca="false">IF(S660="","",I660&amp;"|"&amp;S660)</f>
        <v/>
      </c>
    </row>
    <row r="661" customFormat="false" ht="15" hidden="false" customHeight="false" outlineLevel="0" collapsed="false">
      <c r="A661" s="24" t="n">
        <v>657</v>
      </c>
      <c r="B661" s="25" t="str">
        <f aca="false">IF(OR(C661="",I661="",G661=""),"",IFERROR(VLOOKUP(I661,Setup!$A$9:$B$11,2,0),"???")&amp;"-"&amp;G661&amp;"-"&amp;TEXT(COUNTIFS(I$5:I661,I661,G$5:G661,G661),"0000"))</f>
        <v/>
      </c>
      <c r="C661" s="26"/>
      <c r="D661" s="26"/>
      <c r="E661" s="27"/>
      <c r="F661" s="27"/>
      <c r="G661" s="24" t="str">
        <f aca="false">IF(F661="","",IF(F661&lt;=5,"A",IF(F661&lt;=8,"B",IF(F661&lt;=10,"C","D"))))</f>
        <v/>
      </c>
      <c r="H661" s="28"/>
      <c r="I661" s="27"/>
      <c r="J661" s="26"/>
      <c r="K661" s="27"/>
      <c r="L661" s="27"/>
      <c r="M661" s="27"/>
      <c r="N661" s="27"/>
      <c r="O661" s="24" t="str">
        <f aca="false">IF(G661="","",VLOOKUP(G661,Setup!$A$14:$C$17,3,0))</f>
        <v/>
      </c>
      <c r="P661" s="27"/>
      <c r="Q661" s="29" t="str">
        <f aca="false">IF(OR(P661="",M661&lt;&gt;"Paid",O661=""),"",P661/O661)</f>
        <v/>
      </c>
      <c r="R661" s="30" t="str">
        <f aca="false">IF(Q661="","",Q661+N(H661)*0.000000001)</f>
        <v/>
      </c>
      <c r="S661" s="25" t="str">
        <f aca="false">IF(R661="","",SUMPRODUCT((I$5:I$4004=I661)*ISNUMBER(R$5:R$4004)*(R$5:R$4004&gt;R661))+1)</f>
        <v/>
      </c>
      <c r="T661" s="25" t="str">
        <f aca="false">IF(S661="","",IF(S661&lt;=Setup!$B$5,"🏆 WINNER",""))</f>
        <v/>
      </c>
      <c r="U661" s="24" t="str">
        <f aca="false">IF(S661="","",I661&amp;"|"&amp;S661)</f>
        <v/>
      </c>
    </row>
    <row r="662" customFormat="false" ht="15" hidden="false" customHeight="false" outlineLevel="0" collapsed="false">
      <c r="A662" s="31" t="n">
        <v>658</v>
      </c>
      <c r="B662" s="32" t="str">
        <f aca="false">IF(OR(C662="",I662="",G662=""),"",IFERROR(VLOOKUP(I662,Setup!$A$9:$B$11,2,0),"???")&amp;"-"&amp;G662&amp;"-"&amp;TEXT(COUNTIFS(I$5:I662,I662,G$5:G662,G662),"0000"))</f>
        <v/>
      </c>
      <c r="C662" s="26"/>
      <c r="D662" s="26"/>
      <c r="E662" s="27"/>
      <c r="F662" s="27"/>
      <c r="G662" s="31" t="str">
        <f aca="false">IF(F662="","",IF(F662&lt;=5,"A",IF(F662&lt;=8,"B",IF(F662&lt;=10,"C","D"))))</f>
        <v/>
      </c>
      <c r="H662" s="28"/>
      <c r="I662" s="27"/>
      <c r="J662" s="26"/>
      <c r="K662" s="27"/>
      <c r="L662" s="27"/>
      <c r="M662" s="27"/>
      <c r="N662" s="27"/>
      <c r="O662" s="31" t="str">
        <f aca="false">IF(G662="","",VLOOKUP(G662,Setup!$A$14:$C$17,3,0))</f>
        <v/>
      </c>
      <c r="P662" s="27"/>
      <c r="Q662" s="33" t="str">
        <f aca="false">IF(OR(P662="",M662&lt;&gt;"Paid",O662=""),"",P662/O662)</f>
        <v/>
      </c>
      <c r="R662" s="34" t="str">
        <f aca="false">IF(Q662="","",Q662+N(H662)*0.000000001)</f>
        <v/>
      </c>
      <c r="S662" s="32" t="str">
        <f aca="false">IF(R662="","",SUMPRODUCT((I$5:I$4004=I662)*ISNUMBER(R$5:R$4004)*(R$5:R$4004&gt;R662))+1)</f>
        <v/>
      </c>
      <c r="T662" s="32" t="str">
        <f aca="false">IF(S662="","",IF(S662&lt;=Setup!$B$5,"🏆 WINNER",""))</f>
        <v/>
      </c>
      <c r="U662" s="31" t="str">
        <f aca="false">IF(S662="","",I662&amp;"|"&amp;S662)</f>
        <v/>
      </c>
    </row>
    <row r="663" customFormat="false" ht="15" hidden="false" customHeight="false" outlineLevel="0" collapsed="false">
      <c r="A663" s="24" t="n">
        <v>659</v>
      </c>
      <c r="B663" s="25" t="str">
        <f aca="false">IF(OR(C663="",I663="",G663=""),"",IFERROR(VLOOKUP(I663,Setup!$A$9:$B$11,2,0),"???")&amp;"-"&amp;G663&amp;"-"&amp;TEXT(COUNTIFS(I$5:I663,I663,G$5:G663,G663),"0000"))</f>
        <v/>
      </c>
      <c r="C663" s="26"/>
      <c r="D663" s="26"/>
      <c r="E663" s="27"/>
      <c r="F663" s="27"/>
      <c r="G663" s="24" t="str">
        <f aca="false">IF(F663="","",IF(F663&lt;=5,"A",IF(F663&lt;=8,"B",IF(F663&lt;=10,"C","D"))))</f>
        <v/>
      </c>
      <c r="H663" s="28"/>
      <c r="I663" s="27"/>
      <c r="J663" s="26"/>
      <c r="K663" s="27"/>
      <c r="L663" s="27"/>
      <c r="M663" s="27"/>
      <c r="N663" s="27"/>
      <c r="O663" s="24" t="str">
        <f aca="false">IF(G663="","",VLOOKUP(G663,Setup!$A$14:$C$17,3,0))</f>
        <v/>
      </c>
      <c r="P663" s="27"/>
      <c r="Q663" s="29" t="str">
        <f aca="false">IF(OR(P663="",M663&lt;&gt;"Paid",O663=""),"",P663/O663)</f>
        <v/>
      </c>
      <c r="R663" s="30" t="str">
        <f aca="false">IF(Q663="","",Q663+N(H663)*0.000000001)</f>
        <v/>
      </c>
      <c r="S663" s="25" t="str">
        <f aca="false">IF(R663="","",SUMPRODUCT((I$5:I$4004=I663)*ISNUMBER(R$5:R$4004)*(R$5:R$4004&gt;R663))+1)</f>
        <v/>
      </c>
      <c r="T663" s="25" t="str">
        <f aca="false">IF(S663="","",IF(S663&lt;=Setup!$B$5,"🏆 WINNER",""))</f>
        <v/>
      </c>
      <c r="U663" s="24" t="str">
        <f aca="false">IF(S663="","",I663&amp;"|"&amp;S663)</f>
        <v/>
      </c>
    </row>
    <row r="664" customFormat="false" ht="15" hidden="false" customHeight="false" outlineLevel="0" collapsed="false">
      <c r="A664" s="31" t="n">
        <v>660</v>
      </c>
      <c r="B664" s="32" t="str">
        <f aca="false">IF(OR(C664="",I664="",G664=""),"",IFERROR(VLOOKUP(I664,Setup!$A$9:$B$11,2,0),"???")&amp;"-"&amp;G664&amp;"-"&amp;TEXT(COUNTIFS(I$5:I664,I664,G$5:G664,G664),"0000"))</f>
        <v/>
      </c>
      <c r="C664" s="26"/>
      <c r="D664" s="26"/>
      <c r="E664" s="27"/>
      <c r="F664" s="27"/>
      <c r="G664" s="31" t="str">
        <f aca="false">IF(F664="","",IF(F664&lt;=5,"A",IF(F664&lt;=8,"B",IF(F664&lt;=10,"C","D"))))</f>
        <v/>
      </c>
      <c r="H664" s="28"/>
      <c r="I664" s="27"/>
      <c r="J664" s="26"/>
      <c r="K664" s="27"/>
      <c r="L664" s="27"/>
      <c r="M664" s="27"/>
      <c r="N664" s="27"/>
      <c r="O664" s="31" t="str">
        <f aca="false">IF(G664="","",VLOOKUP(G664,Setup!$A$14:$C$17,3,0))</f>
        <v/>
      </c>
      <c r="P664" s="27"/>
      <c r="Q664" s="33" t="str">
        <f aca="false">IF(OR(P664="",M664&lt;&gt;"Paid",O664=""),"",P664/O664)</f>
        <v/>
      </c>
      <c r="R664" s="34" t="str">
        <f aca="false">IF(Q664="","",Q664+N(H664)*0.000000001)</f>
        <v/>
      </c>
      <c r="S664" s="32" t="str">
        <f aca="false">IF(R664="","",SUMPRODUCT((I$5:I$4004=I664)*ISNUMBER(R$5:R$4004)*(R$5:R$4004&gt;R664))+1)</f>
        <v/>
      </c>
      <c r="T664" s="32" t="str">
        <f aca="false">IF(S664="","",IF(S664&lt;=Setup!$B$5,"🏆 WINNER",""))</f>
        <v/>
      </c>
      <c r="U664" s="31" t="str">
        <f aca="false">IF(S664="","",I664&amp;"|"&amp;S664)</f>
        <v/>
      </c>
    </row>
    <row r="665" customFormat="false" ht="15" hidden="false" customHeight="false" outlineLevel="0" collapsed="false">
      <c r="A665" s="24" t="n">
        <v>661</v>
      </c>
      <c r="B665" s="25" t="str">
        <f aca="false">IF(OR(C665="",I665="",G665=""),"",IFERROR(VLOOKUP(I665,Setup!$A$9:$B$11,2,0),"???")&amp;"-"&amp;G665&amp;"-"&amp;TEXT(COUNTIFS(I$5:I665,I665,G$5:G665,G665),"0000"))</f>
        <v/>
      </c>
      <c r="C665" s="26"/>
      <c r="D665" s="26"/>
      <c r="E665" s="27"/>
      <c r="F665" s="27"/>
      <c r="G665" s="24" t="str">
        <f aca="false">IF(F665="","",IF(F665&lt;=5,"A",IF(F665&lt;=8,"B",IF(F665&lt;=10,"C","D"))))</f>
        <v/>
      </c>
      <c r="H665" s="28"/>
      <c r="I665" s="27"/>
      <c r="J665" s="26"/>
      <c r="K665" s="27"/>
      <c r="L665" s="27"/>
      <c r="M665" s="27"/>
      <c r="N665" s="27"/>
      <c r="O665" s="24" t="str">
        <f aca="false">IF(G665="","",VLOOKUP(G665,Setup!$A$14:$C$17,3,0))</f>
        <v/>
      </c>
      <c r="P665" s="27"/>
      <c r="Q665" s="29" t="str">
        <f aca="false">IF(OR(P665="",M665&lt;&gt;"Paid",O665=""),"",P665/O665)</f>
        <v/>
      </c>
      <c r="R665" s="30" t="str">
        <f aca="false">IF(Q665="","",Q665+N(H665)*0.000000001)</f>
        <v/>
      </c>
      <c r="S665" s="25" t="str">
        <f aca="false">IF(R665="","",SUMPRODUCT((I$5:I$4004=I665)*ISNUMBER(R$5:R$4004)*(R$5:R$4004&gt;R665))+1)</f>
        <v/>
      </c>
      <c r="T665" s="25" t="str">
        <f aca="false">IF(S665="","",IF(S665&lt;=Setup!$B$5,"🏆 WINNER",""))</f>
        <v/>
      </c>
      <c r="U665" s="24" t="str">
        <f aca="false">IF(S665="","",I665&amp;"|"&amp;S665)</f>
        <v/>
      </c>
    </row>
    <row r="666" customFormat="false" ht="15" hidden="false" customHeight="false" outlineLevel="0" collapsed="false">
      <c r="A666" s="31" t="n">
        <v>662</v>
      </c>
      <c r="B666" s="32" t="str">
        <f aca="false">IF(OR(C666="",I666="",G666=""),"",IFERROR(VLOOKUP(I666,Setup!$A$9:$B$11,2,0),"???")&amp;"-"&amp;G666&amp;"-"&amp;TEXT(COUNTIFS(I$5:I666,I666,G$5:G666,G666),"0000"))</f>
        <v/>
      </c>
      <c r="C666" s="26"/>
      <c r="D666" s="26"/>
      <c r="E666" s="27"/>
      <c r="F666" s="27"/>
      <c r="G666" s="31" t="str">
        <f aca="false">IF(F666="","",IF(F666&lt;=5,"A",IF(F666&lt;=8,"B",IF(F666&lt;=10,"C","D"))))</f>
        <v/>
      </c>
      <c r="H666" s="28"/>
      <c r="I666" s="27"/>
      <c r="J666" s="26"/>
      <c r="K666" s="27"/>
      <c r="L666" s="27"/>
      <c r="M666" s="27"/>
      <c r="N666" s="27"/>
      <c r="O666" s="31" t="str">
        <f aca="false">IF(G666="","",VLOOKUP(G666,Setup!$A$14:$C$17,3,0))</f>
        <v/>
      </c>
      <c r="P666" s="27"/>
      <c r="Q666" s="33" t="str">
        <f aca="false">IF(OR(P666="",M666&lt;&gt;"Paid",O666=""),"",P666/O666)</f>
        <v/>
      </c>
      <c r="R666" s="34" t="str">
        <f aca="false">IF(Q666="","",Q666+N(H666)*0.000000001)</f>
        <v/>
      </c>
      <c r="S666" s="32" t="str">
        <f aca="false">IF(R666="","",SUMPRODUCT((I$5:I$4004=I666)*ISNUMBER(R$5:R$4004)*(R$5:R$4004&gt;R666))+1)</f>
        <v/>
      </c>
      <c r="T666" s="32" t="str">
        <f aca="false">IF(S666="","",IF(S666&lt;=Setup!$B$5,"🏆 WINNER",""))</f>
        <v/>
      </c>
      <c r="U666" s="31" t="str">
        <f aca="false">IF(S666="","",I666&amp;"|"&amp;S666)</f>
        <v/>
      </c>
    </row>
    <row r="667" customFormat="false" ht="15" hidden="false" customHeight="false" outlineLevel="0" collapsed="false">
      <c r="A667" s="24" t="n">
        <v>663</v>
      </c>
      <c r="B667" s="25" t="str">
        <f aca="false">IF(OR(C667="",I667="",G667=""),"",IFERROR(VLOOKUP(I667,Setup!$A$9:$B$11,2,0),"???")&amp;"-"&amp;G667&amp;"-"&amp;TEXT(COUNTIFS(I$5:I667,I667,G$5:G667,G667),"0000"))</f>
        <v/>
      </c>
      <c r="C667" s="26"/>
      <c r="D667" s="26"/>
      <c r="E667" s="27"/>
      <c r="F667" s="27"/>
      <c r="G667" s="24" t="str">
        <f aca="false">IF(F667="","",IF(F667&lt;=5,"A",IF(F667&lt;=8,"B",IF(F667&lt;=10,"C","D"))))</f>
        <v/>
      </c>
      <c r="H667" s="28"/>
      <c r="I667" s="27"/>
      <c r="J667" s="26"/>
      <c r="K667" s="27"/>
      <c r="L667" s="27"/>
      <c r="M667" s="27"/>
      <c r="N667" s="27"/>
      <c r="O667" s="24" t="str">
        <f aca="false">IF(G667="","",VLOOKUP(G667,Setup!$A$14:$C$17,3,0))</f>
        <v/>
      </c>
      <c r="P667" s="27"/>
      <c r="Q667" s="29" t="str">
        <f aca="false">IF(OR(P667="",M667&lt;&gt;"Paid",O667=""),"",P667/O667)</f>
        <v/>
      </c>
      <c r="R667" s="30" t="str">
        <f aca="false">IF(Q667="","",Q667+N(H667)*0.000000001)</f>
        <v/>
      </c>
      <c r="S667" s="25" t="str">
        <f aca="false">IF(R667="","",SUMPRODUCT((I$5:I$4004=I667)*ISNUMBER(R$5:R$4004)*(R$5:R$4004&gt;R667))+1)</f>
        <v/>
      </c>
      <c r="T667" s="25" t="str">
        <f aca="false">IF(S667="","",IF(S667&lt;=Setup!$B$5,"🏆 WINNER",""))</f>
        <v/>
      </c>
      <c r="U667" s="24" t="str">
        <f aca="false">IF(S667="","",I667&amp;"|"&amp;S667)</f>
        <v/>
      </c>
    </row>
    <row r="668" customFormat="false" ht="15" hidden="false" customHeight="false" outlineLevel="0" collapsed="false">
      <c r="A668" s="31" t="n">
        <v>664</v>
      </c>
      <c r="B668" s="32" t="str">
        <f aca="false">IF(OR(C668="",I668="",G668=""),"",IFERROR(VLOOKUP(I668,Setup!$A$9:$B$11,2,0),"???")&amp;"-"&amp;G668&amp;"-"&amp;TEXT(COUNTIFS(I$5:I668,I668,G$5:G668,G668),"0000"))</f>
        <v/>
      </c>
      <c r="C668" s="26"/>
      <c r="D668" s="26"/>
      <c r="E668" s="27"/>
      <c r="F668" s="27"/>
      <c r="G668" s="31" t="str">
        <f aca="false">IF(F668="","",IF(F668&lt;=5,"A",IF(F668&lt;=8,"B",IF(F668&lt;=10,"C","D"))))</f>
        <v/>
      </c>
      <c r="H668" s="28"/>
      <c r="I668" s="27"/>
      <c r="J668" s="26"/>
      <c r="K668" s="27"/>
      <c r="L668" s="27"/>
      <c r="M668" s="27"/>
      <c r="N668" s="27"/>
      <c r="O668" s="31" t="str">
        <f aca="false">IF(G668="","",VLOOKUP(G668,Setup!$A$14:$C$17,3,0))</f>
        <v/>
      </c>
      <c r="P668" s="27"/>
      <c r="Q668" s="33" t="str">
        <f aca="false">IF(OR(P668="",M668&lt;&gt;"Paid",O668=""),"",P668/O668)</f>
        <v/>
      </c>
      <c r="R668" s="34" t="str">
        <f aca="false">IF(Q668="","",Q668+N(H668)*0.000000001)</f>
        <v/>
      </c>
      <c r="S668" s="32" t="str">
        <f aca="false">IF(R668="","",SUMPRODUCT((I$5:I$4004=I668)*ISNUMBER(R$5:R$4004)*(R$5:R$4004&gt;R668))+1)</f>
        <v/>
      </c>
      <c r="T668" s="32" t="str">
        <f aca="false">IF(S668="","",IF(S668&lt;=Setup!$B$5,"🏆 WINNER",""))</f>
        <v/>
      </c>
      <c r="U668" s="31" t="str">
        <f aca="false">IF(S668="","",I668&amp;"|"&amp;S668)</f>
        <v/>
      </c>
    </row>
    <row r="669" customFormat="false" ht="15" hidden="false" customHeight="false" outlineLevel="0" collapsed="false">
      <c r="A669" s="24" t="n">
        <v>665</v>
      </c>
      <c r="B669" s="25" t="str">
        <f aca="false">IF(OR(C669="",I669="",G669=""),"",IFERROR(VLOOKUP(I669,Setup!$A$9:$B$11,2,0),"???")&amp;"-"&amp;G669&amp;"-"&amp;TEXT(COUNTIFS(I$5:I669,I669,G$5:G669,G669),"0000"))</f>
        <v/>
      </c>
      <c r="C669" s="26"/>
      <c r="D669" s="26"/>
      <c r="E669" s="27"/>
      <c r="F669" s="27"/>
      <c r="G669" s="24" t="str">
        <f aca="false">IF(F669="","",IF(F669&lt;=5,"A",IF(F669&lt;=8,"B",IF(F669&lt;=10,"C","D"))))</f>
        <v/>
      </c>
      <c r="H669" s="28"/>
      <c r="I669" s="27"/>
      <c r="J669" s="26"/>
      <c r="K669" s="27"/>
      <c r="L669" s="27"/>
      <c r="M669" s="27"/>
      <c r="N669" s="27"/>
      <c r="O669" s="24" t="str">
        <f aca="false">IF(G669="","",VLOOKUP(G669,Setup!$A$14:$C$17,3,0))</f>
        <v/>
      </c>
      <c r="P669" s="27"/>
      <c r="Q669" s="29" t="str">
        <f aca="false">IF(OR(P669="",M669&lt;&gt;"Paid",O669=""),"",P669/O669)</f>
        <v/>
      </c>
      <c r="R669" s="30" t="str">
        <f aca="false">IF(Q669="","",Q669+N(H669)*0.000000001)</f>
        <v/>
      </c>
      <c r="S669" s="25" t="str">
        <f aca="false">IF(R669="","",SUMPRODUCT((I$5:I$4004=I669)*ISNUMBER(R$5:R$4004)*(R$5:R$4004&gt;R669))+1)</f>
        <v/>
      </c>
      <c r="T669" s="25" t="str">
        <f aca="false">IF(S669="","",IF(S669&lt;=Setup!$B$5,"🏆 WINNER",""))</f>
        <v/>
      </c>
      <c r="U669" s="24" t="str">
        <f aca="false">IF(S669="","",I669&amp;"|"&amp;S669)</f>
        <v/>
      </c>
    </row>
    <row r="670" customFormat="false" ht="15" hidden="false" customHeight="false" outlineLevel="0" collapsed="false">
      <c r="A670" s="31" t="n">
        <v>666</v>
      </c>
      <c r="B670" s="32" t="str">
        <f aca="false">IF(OR(C670="",I670="",G670=""),"",IFERROR(VLOOKUP(I670,Setup!$A$9:$B$11,2,0),"???")&amp;"-"&amp;G670&amp;"-"&amp;TEXT(COUNTIFS(I$5:I670,I670,G$5:G670,G670),"0000"))</f>
        <v/>
      </c>
      <c r="C670" s="26"/>
      <c r="D670" s="26"/>
      <c r="E670" s="27"/>
      <c r="F670" s="27"/>
      <c r="G670" s="31" t="str">
        <f aca="false">IF(F670="","",IF(F670&lt;=5,"A",IF(F670&lt;=8,"B",IF(F670&lt;=10,"C","D"))))</f>
        <v/>
      </c>
      <c r="H670" s="28"/>
      <c r="I670" s="27"/>
      <c r="J670" s="26"/>
      <c r="K670" s="27"/>
      <c r="L670" s="27"/>
      <c r="M670" s="27"/>
      <c r="N670" s="27"/>
      <c r="O670" s="31" t="str">
        <f aca="false">IF(G670="","",VLOOKUP(G670,Setup!$A$14:$C$17,3,0))</f>
        <v/>
      </c>
      <c r="P670" s="27"/>
      <c r="Q670" s="33" t="str">
        <f aca="false">IF(OR(P670="",M670&lt;&gt;"Paid",O670=""),"",P670/O670)</f>
        <v/>
      </c>
      <c r="R670" s="34" t="str">
        <f aca="false">IF(Q670="","",Q670+N(H670)*0.000000001)</f>
        <v/>
      </c>
      <c r="S670" s="32" t="str">
        <f aca="false">IF(R670="","",SUMPRODUCT((I$5:I$4004=I670)*ISNUMBER(R$5:R$4004)*(R$5:R$4004&gt;R670))+1)</f>
        <v/>
      </c>
      <c r="T670" s="32" t="str">
        <f aca="false">IF(S670="","",IF(S670&lt;=Setup!$B$5,"🏆 WINNER",""))</f>
        <v/>
      </c>
      <c r="U670" s="31" t="str">
        <f aca="false">IF(S670="","",I670&amp;"|"&amp;S670)</f>
        <v/>
      </c>
    </row>
    <row r="671" customFormat="false" ht="15" hidden="false" customHeight="false" outlineLevel="0" collapsed="false">
      <c r="A671" s="24" t="n">
        <v>667</v>
      </c>
      <c r="B671" s="25" t="str">
        <f aca="false">IF(OR(C671="",I671="",G671=""),"",IFERROR(VLOOKUP(I671,Setup!$A$9:$B$11,2,0),"???")&amp;"-"&amp;G671&amp;"-"&amp;TEXT(COUNTIFS(I$5:I671,I671,G$5:G671,G671),"0000"))</f>
        <v/>
      </c>
      <c r="C671" s="26"/>
      <c r="D671" s="26"/>
      <c r="E671" s="27"/>
      <c r="F671" s="27"/>
      <c r="G671" s="24" t="str">
        <f aca="false">IF(F671="","",IF(F671&lt;=5,"A",IF(F671&lt;=8,"B",IF(F671&lt;=10,"C","D"))))</f>
        <v/>
      </c>
      <c r="H671" s="28"/>
      <c r="I671" s="27"/>
      <c r="J671" s="26"/>
      <c r="K671" s="27"/>
      <c r="L671" s="27"/>
      <c r="M671" s="27"/>
      <c r="N671" s="27"/>
      <c r="O671" s="24" t="str">
        <f aca="false">IF(G671="","",VLOOKUP(G671,Setup!$A$14:$C$17,3,0))</f>
        <v/>
      </c>
      <c r="P671" s="27"/>
      <c r="Q671" s="29" t="str">
        <f aca="false">IF(OR(P671="",M671&lt;&gt;"Paid",O671=""),"",P671/O671)</f>
        <v/>
      </c>
      <c r="R671" s="30" t="str">
        <f aca="false">IF(Q671="","",Q671+N(H671)*0.000000001)</f>
        <v/>
      </c>
      <c r="S671" s="25" t="str">
        <f aca="false">IF(R671="","",SUMPRODUCT((I$5:I$4004=I671)*ISNUMBER(R$5:R$4004)*(R$5:R$4004&gt;R671))+1)</f>
        <v/>
      </c>
      <c r="T671" s="25" t="str">
        <f aca="false">IF(S671="","",IF(S671&lt;=Setup!$B$5,"🏆 WINNER",""))</f>
        <v/>
      </c>
      <c r="U671" s="24" t="str">
        <f aca="false">IF(S671="","",I671&amp;"|"&amp;S671)</f>
        <v/>
      </c>
    </row>
    <row r="672" customFormat="false" ht="15" hidden="false" customHeight="false" outlineLevel="0" collapsed="false">
      <c r="A672" s="31" t="n">
        <v>668</v>
      </c>
      <c r="B672" s="32" t="str">
        <f aca="false">IF(OR(C672="",I672="",G672=""),"",IFERROR(VLOOKUP(I672,Setup!$A$9:$B$11,2,0),"???")&amp;"-"&amp;G672&amp;"-"&amp;TEXT(COUNTIFS(I$5:I672,I672,G$5:G672,G672),"0000"))</f>
        <v/>
      </c>
      <c r="C672" s="26"/>
      <c r="D672" s="26"/>
      <c r="E672" s="27"/>
      <c r="F672" s="27"/>
      <c r="G672" s="31" t="str">
        <f aca="false">IF(F672="","",IF(F672&lt;=5,"A",IF(F672&lt;=8,"B",IF(F672&lt;=10,"C","D"))))</f>
        <v/>
      </c>
      <c r="H672" s="28"/>
      <c r="I672" s="27"/>
      <c r="J672" s="26"/>
      <c r="K672" s="27"/>
      <c r="L672" s="27"/>
      <c r="M672" s="27"/>
      <c r="N672" s="27"/>
      <c r="O672" s="31" t="str">
        <f aca="false">IF(G672="","",VLOOKUP(G672,Setup!$A$14:$C$17,3,0))</f>
        <v/>
      </c>
      <c r="P672" s="27"/>
      <c r="Q672" s="33" t="str">
        <f aca="false">IF(OR(P672="",M672&lt;&gt;"Paid",O672=""),"",P672/O672)</f>
        <v/>
      </c>
      <c r="R672" s="34" t="str">
        <f aca="false">IF(Q672="","",Q672+N(H672)*0.000000001)</f>
        <v/>
      </c>
      <c r="S672" s="32" t="str">
        <f aca="false">IF(R672="","",SUMPRODUCT((I$5:I$4004=I672)*ISNUMBER(R$5:R$4004)*(R$5:R$4004&gt;R672))+1)</f>
        <v/>
      </c>
      <c r="T672" s="32" t="str">
        <f aca="false">IF(S672="","",IF(S672&lt;=Setup!$B$5,"🏆 WINNER",""))</f>
        <v/>
      </c>
      <c r="U672" s="31" t="str">
        <f aca="false">IF(S672="","",I672&amp;"|"&amp;S672)</f>
        <v/>
      </c>
    </row>
    <row r="673" customFormat="false" ht="15" hidden="false" customHeight="false" outlineLevel="0" collapsed="false">
      <c r="A673" s="24" t="n">
        <v>669</v>
      </c>
      <c r="B673" s="25" t="str">
        <f aca="false">IF(OR(C673="",I673="",G673=""),"",IFERROR(VLOOKUP(I673,Setup!$A$9:$B$11,2,0),"???")&amp;"-"&amp;G673&amp;"-"&amp;TEXT(COUNTIFS(I$5:I673,I673,G$5:G673,G673),"0000"))</f>
        <v/>
      </c>
      <c r="C673" s="26"/>
      <c r="D673" s="26"/>
      <c r="E673" s="27"/>
      <c r="F673" s="27"/>
      <c r="G673" s="24" t="str">
        <f aca="false">IF(F673="","",IF(F673&lt;=5,"A",IF(F673&lt;=8,"B",IF(F673&lt;=10,"C","D"))))</f>
        <v/>
      </c>
      <c r="H673" s="28"/>
      <c r="I673" s="27"/>
      <c r="J673" s="26"/>
      <c r="K673" s="27"/>
      <c r="L673" s="27"/>
      <c r="M673" s="27"/>
      <c r="N673" s="27"/>
      <c r="O673" s="24" t="str">
        <f aca="false">IF(G673="","",VLOOKUP(G673,Setup!$A$14:$C$17,3,0))</f>
        <v/>
      </c>
      <c r="P673" s="27"/>
      <c r="Q673" s="29" t="str">
        <f aca="false">IF(OR(P673="",M673&lt;&gt;"Paid",O673=""),"",P673/O673)</f>
        <v/>
      </c>
      <c r="R673" s="30" t="str">
        <f aca="false">IF(Q673="","",Q673+N(H673)*0.000000001)</f>
        <v/>
      </c>
      <c r="S673" s="25" t="str">
        <f aca="false">IF(R673="","",SUMPRODUCT((I$5:I$4004=I673)*ISNUMBER(R$5:R$4004)*(R$5:R$4004&gt;R673))+1)</f>
        <v/>
      </c>
      <c r="T673" s="25" t="str">
        <f aca="false">IF(S673="","",IF(S673&lt;=Setup!$B$5,"🏆 WINNER",""))</f>
        <v/>
      </c>
      <c r="U673" s="24" t="str">
        <f aca="false">IF(S673="","",I673&amp;"|"&amp;S673)</f>
        <v/>
      </c>
    </row>
    <row r="674" customFormat="false" ht="15" hidden="false" customHeight="false" outlineLevel="0" collapsed="false">
      <c r="A674" s="31" t="n">
        <v>670</v>
      </c>
      <c r="B674" s="32" t="str">
        <f aca="false">IF(OR(C674="",I674="",G674=""),"",IFERROR(VLOOKUP(I674,Setup!$A$9:$B$11,2,0),"???")&amp;"-"&amp;G674&amp;"-"&amp;TEXT(COUNTIFS(I$5:I674,I674,G$5:G674,G674),"0000"))</f>
        <v/>
      </c>
      <c r="C674" s="26"/>
      <c r="D674" s="26"/>
      <c r="E674" s="27"/>
      <c r="F674" s="27"/>
      <c r="G674" s="31" t="str">
        <f aca="false">IF(F674="","",IF(F674&lt;=5,"A",IF(F674&lt;=8,"B",IF(F674&lt;=10,"C","D"))))</f>
        <v/>
      </c>
      <c r="H674" s="28"/>
      <c r="I674" s="27"/>
      <c r="J674" s="26"/>
      <c r="K674" s="27"/>
      <c r="L674" s="27"/>
      <c r="M674" s="27"/>
      <c r="N674" s="27"/>
      <c r="O674" s="31" t="str">
        <f aca="false">IF(G674="","",VLOOKUP(G674,Setup!$A$14:$C$17,3,0))</f>
        <v/>
      </c>
      <c r="P674" s="27"/>
      <c r="Q674" s="33" t="str">
        <f aca="false">IF(OR(P674="",M674&lt;&gt;"Paid",O674=""),"",P674/O674)</f>
        <v/>
      </c>
      <c r="R674" s="34" t="str">
        <f aca="false">IF(Q674="","",Q674+N(H674)*0.000000001)</f>
        <v/>
      </c>
      <c r="S674" s="32" t="str">
        <f aca="false">IF(R674="","",SUMPRODUCT((I$5:I$4004=I674)*ISNUMBER(R$5:R$4004)*(R$5:R$4004&gt;R674))+1)</f>
        <v/>
      </c>
      <c r="T674" s="32" t="str">
        <f aca="false">IF(S674="","",IF(S674&lt;=Setup!$B$5,"🏆 WINNER",""))</f>
        <v/>
      </c>
      <c r="U674" s="31" t="str">
        <f aca="false">IF(S674="","",I674&amp;"|"&amp;S674)</f>
        <v/>
      </c>
    </row>
    <row r="675" customFormat="false" ht="15" hidden="false" customHeight="false" outlineLevel="0" collapsed="false">
      <c r="A675" s="24" t="n">
        <v>671</v>
      </c>
      <c r="B675" s="25" t="str">
        <f aca="false">IF(OR(C675="",I675="",G675=""),"",IFERROR(VLOOKUP(I675,Setup!$A$9:$B$11,2,0),"???")&amp;"-"&amp;G675&amp;"-"&amp;TEXT(COUNTIFS(I$5:I675,I675,G$5:G675,G675),"0000"))</f>
        <v/>
      </c>
      <c r="C675" s="26"/>
      <c r="D675" s="26"/>
      <c r="E675" s="27"/>
      <c r="F675" s="27"/>
      <c r="G675" s="24" t="str">
        <f aca="false">IF(F675="","",IF(F675&lt;=5,"A",IF(F675&lt;=8,"B",IF(F675&lt;=10,"C","D"))))</f>
        <v/>
      </c>
      <c r="H675" s="28"/>
      <c r="I675" s="27"/>
      <c r="J675" s="26"/>
      <c r="K675" s="27"/>
      <c r="L675" s="27"/>
      <c r="M675" s="27"/>
      <c r="N675" s="27"/>
      <c r="O675" s="24" t="str">
        <f aca="false">IF(G675="","",VLOOKUP(G675,Setup!$A$14:$C$17,3,0))</f>
        <v/>
      </c>
      <c r="P675" s="27"/>
      <c r="Q675" s="29" t="str">
        <f aca="false">IF(OR(P675="",M675&lt;&gt;"Paid",O675=""),"",P675/O675)</f>
        <v/>
      </c>
      <c r="R675" s="30" t="str">
        <f aca="false">IF(Q675="","",Q675+N(H675)*0.000000001)</f>
        <v/>
      </c>
      <c r="S675" s="25" t="str">
        <f aca="false">IF(R675="","",SUMPRODUCT((I$5:I$4004=I675)*ISNUMBER(R$5:R$4004)*(R$5:R$4004&gt;R675))+1)</f>
        <v/>
      </c>
      <c r="T675" s="25" t="str">
        <f aca="false">IF(S675="","",IF(S675&lt;=Setup!$B$5,"🏆 WINNER",""))</f>
        <v/>
      </c>
      <c r="U675" s="24" t="str">
        <f aca="false">IF(S675="","",I675&amp;"|"&amp;S675)</f>
        <v/>
      </c>
    </row>
    <row r="676" customFormat="false" ht="15" hidden="false" customHeight="false" outlineLevel="0" collapsed="false">
      <c r="A676" s="31" t="n">
        <v>672</v>
      </c>
      <c r="B676" s="32" t="str">
        <f aca="false">IF(OR(C676="",I676="",G676=""),"",IFERROR(VLOOKUP(I676,Setup!$A$9:$B$11,2,0),"???")&amp;"-"&amp;G676&amp;"-"&amp;TEXT(COUNTIFS(I$5:I676,I676,G$5:G676,G676),"0000"))</f>
        <v/>
      </c>
      <c r="C676" s="26"/>
      <c r="D676" s="26"/>
      <c r="E676" s="27"/>
      <c r="F676" s="27"/>
      <c r="G676" s="31" t="str">
        <f aca="false">IF(F676="","",IF(F676&lt;=5,"A",IF(F676&lt;=8,"B",IF(F676&lt;=10,"C","D"))))</f>
        <v/>
      </c>
      <c r="H676" s="28"/>
      <c r="I676" s="27"/>
      <c r="J676" s="26"/>
      <c r="K676" s="27"/>
      <c r="L676" s="27"/>
      <c r="M676" s="27"/>
      <c r="N676" s="27"/>
      <c r="O676" s="31" t="str">
        <f aca="false">IF(G676="","",VLOOKUP(G676,Setup!$A$14:$C$17,3,0))</f>
        <v/>
      </c>
      <c r="P676" s="27"/>
      <c r="Q676" s="33" t="str">
        <f aca="false">IF(OR(P676="",M676&lt;&gt;"Paid",O676=""),"",P676/O676)</f>
        <v/>
      </c>
      <c r="R676" s="34" t="str">
        <f aca="false">IF(Q676="","",Q676+N(H676)*0.000000001)</f>
        <v/>
      </c>
      <c r="S676" s="32" t="str">
        <f aca="false">IF(R676="","",SUMPRODUCT((I$5:I$4004=I676)*ISNUMBER(R$5:R$4004)*(R$5:R$4004&gt;R676))+1)</f>
        <v/>
      </c>
      <c r="T676" s="32" t="str">
        <f aca="false">IF(S676="","",IF(S676&lt;=Setup!$B$5,"🏆 WINNER",""))</f>
        <v/>
      </c>
      <c r="U676" s="31" t="str">
        <f aca="false">IF(S676="","",I676&amp;"|"&amp;S676)</f>
        <v/>
      </c>
    </row>
    <row r="677" customFormat="false" ht="15" hidden="false" customHeight="false" outlineLevel="0" collapsed="false">
      <c r="A677" s="24" t="n">
        <v>673</v>
      </c>
      <c r="B677" s="25" t="str">
        <f aca="false">IF(OR(C677="",I677="",G677=""),"",IFERROR(VLOOKUP(I677,Setup!$A$9:$B$11,2,0),"???")&amp;"-"&amp;G677&amp;"-"&amp;TEXT(COUNTIFS(I$5:I677,I677,G$5:G677,G677),"0000"))</f>
        <v/>
      </c>
      <c r="C677" s="26"/>
      <c r="D677" s="26"/>
      <c r="E677" s="27"/>
      <c r="F677" s="27"/>
      <c r="G677" s="24" t="str">
        <f aca="false">IF(F677="","",IF(F677&lt;=5,"A",IF(F677&lt;=8,"B",IF(F677&lt;=10,"C","D"))))</f>
        <v/>
      </c>
      <c r="H677" s="28"/>
      <c r="I677" s="27"/>
      <c r="J677" s="26"/>
      <c r="K677" s="27"/>
      <c r="L677" s="27"/>
      <c r="M677" s="27"/>
      <c r="N677" s="27"/>
      <c r="O677" s="24" t="str">
        <f aca="false">IF(G677="","",VLOOKUP(G677,Setup!$A$14:$C$17,3,0))</f>
        <v/>
      </c>
      <c r="P677" s="27"/>
      <c r="Q677" s="29" t="str">
        <f aca="false">IF(OR(P677="",M677&lt;&gt;"Paid",O677=""),"",P677/O677)</f>
        <v/>
      </c>
      <c r="R677" s="30" t="str">
        <f aca="false">IF(Q677="","",Q677+N(H677)*0.000000001)</f>
        <v/>
      </c>
      <c r="S677" s="25" t="str">
        <f aca="false">IF(R677="","",SUMPRODUCT((I$5:I$4004=I677)*ISNUMBER(R$5:R$4004)*(R$5:R$4004&gt;R677))+1)</f>
        <v/>
      </c>
      <c r="T677" s="25" t="str">
        <f aca="false">IF(S677="","",IF(S677&lt;=Setup!$B$5,"🏆 WINNER",""))</f>
        <v/>
      </c>
      <c r="U677" s="24" t="str">
        <f aca="false">IF(S677="","",I677&amp;"|"&amp;S677)</f>
        <v/>
      </c>
    </row>
    <row r="678" customFormat="false" ht="15" hidden="false" customHeight="false" outlineLevel="0" collapsed="false">
      <c r="A678" s="31" t="n">
        <v>674</v>
      </c>
      <c r="B678" s="32" t="str">
        <f aca="false">IF(OR(C678="",I678="",G678=""),"",IFERROR(VLOOKUP(I678,Setup!$A$9:$B$11,2,0),"???")&amp;"-"&amp;G678&amp;"-"&amp;TEXT(COUNTIFS(I$5:I678,I678,G$5:G678,G678),"0000"))</f>
        <v/>
      </c>
      <c r="C678" s="26"/>
      <c r="D678" s="26"/>
      <c r="E678" s="27"/>
      <c r="F678" s="27"/>
      <c r="G678" s="31" t="str">
        <f aca="false">IF(F678="","",IF(F678&lt;=5,"A",IF(F678&lt;=8,"B",IF(F678&lt;=10,"C","D"))))</f>
        <v/>
      </c>
      <c r="H678" s="28"/>
      <c r="I678" s="27"/>
      <c r="J678" s="26"/>
      <c r="K678" s="27"/>
      <c r="L678" s="27"/>
      <c r="M678" s="27"/>
      <c r="N678" s="27"/>
      <c r="O678" s="31" t="str">
        <f aca="false">IF(G678="","",VLOOKUP(G678,Setup!$A$14:$C$17,3,0))</f>
        <v/>
      </c>
      <c r="P678" s="27"/>
      <c r="Q678" s="33" t="str">
        <f aca="false">IF(OR(P678="",M678&lt;&gt;"Paid",O678=""),"",P678/O678)</f>
        <v/>
      </c>
      <c r="R678" s="34" t="str">
        <f aca="false">IF(Q678="","",Q678+N(H678)*0.000000001)</f>
        <v/>
      </c>
      <c r="S678" s="32" t="str">
        <f aca="false">IF(R678="","",SUMPRODUCT((I$5:I$4004=I678)*ISNUMBER(R$5:R$4004)*(R$5:R$4004&gt;R678))+1)</f>
        <v/>
      </c>
      <c r="T678" s="32" t="str">
        <f aca="false">IF(S678="","",IF(S678&lt;=Setup!$B$5,"🏆 WINNER",""))</f>
        <v/>
      </c>
      <c r="U678" s="31" t="str">
        <f aca="false">IF(S678="","",I678&amp;"|"&amp;S678)</f>
        <v/>
      </c>
    </row>
    <row r="679" customFormat="false" ht="15" hidden="false" customHeight="false" outlineLevel="0" collapsed="false">
      <c r="A679" s="24" t="n">
        <v>675</v>
      </c>
      <c r="B679" s="25" t="str">
        <f aca="false">IF(OR(C679="",I679="",G679=""),"",IFERROR(VLOOKUP(I679,Setup!$A$9:$B$11,2,0),"???")&amp;"-"&amp;G679&amp;"-"&amp;TEXT(COUNTIFS(I$5:I679,I679,G$5:G679,G679),"0000"))</f>
        <v/>
      </c>
      <c r="C679" s="26"/>
      <c r="D679" s="26"/>
      <c r="E679" s="27"/>
      <c r="F679" s="27"/>
      <c r="G679" s="24" t="str">
        <f aca="false">IF(F679="","",IF(F679&lt;=5,"A",IF(F679&lt;=8,"B",IF(F679&lt;=10,"C","D"))))</f>
        <v/>
      </c>
      <c r="H679" s="28"/>
      <c r="I679" s="27"/>
      <c r="J679" s="26"/>
      <c r="K679" s="27"/>
      <c r="L679" s="27"/>
      <c r="M679" s="27"/>
      <c r="N679" s="27"/>
      <c r="O679" s="24" t="str">
        <f aca="false">IF(G679="","",VLOOKUP(G679,Setup!$A$14:$C$17,3,0))</f>
        <v/>
      </c>
      <c r="P679" s="27"/>
      <c r="Q679" s="29" t="str">
        <f aca="false">IF(OR(P679="",M679&lt;&gt;"Paid",O679=""),"",P679/O679)</f>
        <v/>
      </c>
      <c r="R679" s="30" t="str">
        <f aca="false">IF(Q679="","",Q679+N(H679)*0.000000001)</f>
        <v/>
      </c>
      <c r="S679" s="25" t="str">
        <f aca="false">IF(R679="","",SUMPRODUCT((I$5:I$4004=I679)*ISNUMBER(R$5:R$4004)*(R$5:R$4004&gt;R679))+1)</f>
        <v/>
      </c>
      <c r="T679" s="25" t="str">
        <f aca="false">IF(S679="","",IF(S679&lt;=Setup!$B$5,"🏆 WINNER",""))</f>
        <v/>
      </c>
      <c r="U679" s="24" t="str">
        <f aca="false">IF(S679="","",I679&amp;"|"&amp;S679)</f>
        <v/>
      </c>
    </row>
    <row r="680" customFormat="false" ht="15" hidden="false" customHeight="false" outlineLevel="0" collapsed="false">
      <c r="A680" s="31" t="n">
        <v>676</v>
      </c>
      <c r="B680" s="32" t="str">
        <f aca="false">IF(OR(C680="",I680="",G680=""),"",IFERROR(VLOOKUP(I680,Setup!$A$9:$B$11,2,0),"???")&amp;"-"&amp;G680&amp;"-"&amp;TEXT(COUNTIFS(I$5:I680,I680,G$5:G680,G680),"0000"))</f>
        <v/>
      </c>
      <c r="C680" s="26"/>
      <c r="D680" s="26"/>
      <c r="E680" s="27"/>
      <c r="F680" s="27"/>
      <c r="G680" s="31" t="str">
        <f aca="false">IF(F680="","",IF(F680&lt;=5,"A",IF(F680&lt;=8,"B",IF(F680&lt;=10,"C","D"))))</f>
        <v/>
      </c>
      <c r="H680" s="28"/>
      <c r="I680" s="27"/>
      <c r="J680" s="26"/>
      <c r="K680" s="27"/>
      <c r="L680" s="27"/>
      <c r="M680" s="27"/>
      <c r="N680" s="27"/>
      <c r="O680" s="31" t="str">
        <f aca="false">IF(G680="","",VLOOKUP(G680,Setup!$A$14:$C$17,3,0))</f>
        <v/>
      </c>
      <c r="P680" s="27"/>
      <c r="Q680" s="33" t="str">
        <f aca="false">IF(OR(P680="",M680&lt;&gt;"Paid",O680=""),"",P680/O680)</f>
        <v/>
      </c>
      <c r="R680" s="34" t="str">
        <f aca="false">IF(Q680="","",Q680+N(H680)*0.000000001)</f>
        <v/>
      </c>
      <c r="S680" s="32" t="str">
        <f aca="false">IF(R680="","",SUMPRODUCT((I$5:I$4004=I680)*ISNUMBER(R$5:R$4004)*(R$5:R$4004&gt;R680))+1)</f>
        <v/>
      </c>
      <c r="T680" s="32" t="str">
        <f aca="false">IF(S680="","",IF(S680&lt;=Setup!$B$5,"🏆 WINNER",""))</f>
        <v/>
      </c>
      <c r="U680" s="31" t="str">
        <f aca="false">IF(S680="","",I680&amp;"|"&amp;S680)</f>
        <v/>
      </c>
    </row>
    <row r="681" customFormat="false" ht="15" hidden="false" customHeight="false" outlineLevel="0" collapsed="false">
      <c r="A681" s="24" t="n">
        <v>677</v>
      </c>
      <c r="B681" s="25" t="str">
        <f aca="false">IF(OR(C681="",I681="",G681=""),"",IFERROR(VLOOKUP(I681,Setup!$A$9:$B$11,2,0),"???")&amp;"-"&amp;G681&amp;"-"&amp;TEXT(COUNTIFS(I$5:I681,I681,G$5:G681,G681),"0000"))</f>
        <v/>
      </c>
      <c r="C681" s="26"/>
      <c r="D681" s="26"/>
      <c r="E681" s="27"/>
      <c r="F681" s="27"/>
      <c r="G681" s="24" t="str">
        <f aca="false">IF(F681="","",IF(F681&lt;=5,"A",IF(F681&lt;=8,"B",IF(F681&lt;=10,"C","D"))))</f>
        <v/>
      </c>
      <c r="H681" s="28"/>
      <c r="I681" s="27"/>
      <c r="J681" s="26"/>
      <c r="K681" s="27"/>
      <c r="L681" s="27"/>
      <c r="M681" s="27"/>
      <c r="N681" s="27"/>
      <c r="O681" s="24" t="str">
        <f aca="false">IF(G681="","",VLOOKUP(G681,Setup!$A$14:$C$17,3,0))</f>
        <v/>
      </c>
      <c r="P681" s="27"/>
      <c r="Q681" s="29" t="str">
        <f aca="false">IF(OR(P681="",M681&lt;&gt;"Paid",O681=""),"",P681/O681)</f>
        <v/>
      </c>
      <c r="R681" s="30" t="str">
        <f aca="false">IF(Q681="","",Q681+N(H681)*0.000000001)</f>
        <v/>
      </c>
      <c r="S681" s="25" t="str">
        <f aca="false">IF(R681="","",SUMPRODUCT((I$5:I$4004=I681)*ISNUMBER(R$5:R$4004)*(R$5:R$4004&gt;R681))+1)</f>
        <v/>
      </c>
      <c r="T681" s="25" t="str">
        <f aca="false">IF(S681="","",IF(S681&lt;=Setup!$B$5,"🏆 WINNER",""))</f>
        <v/>
      </c>
      <c r="U681" s="24" t="str">
        <f aca="false">IF(S681="","",I681&amp;"|"&amp;S681)</f>
        <v/>
      </c>
    </row>
    <row r="682" customFormat="false" ht="15" hidden="false" customHeight="false" outlineLevel="0" collapsed="false">
      <c r="A682" s="31" t="n">
        <v>678</v>
      </c>
      <c r="B682" s="32" t="str">
        <f aca="false">IF(OR(C682="",I682="",G682=""),"",IFERROR(VLOOKUP(I682,Setup!$A$9:$B$11,2,0),"???")&amp;"-"&amp;G682&amp;"-"&amp;TEXT(COUNTIFS(I$5:I682,I682,G$5:G682,G682),"0000"))</f>
        <v/>
      </c>
      <c r="C682" s="26"/>
      <c r="D682" s="26"/>
      <c r="E682" s="27"/>
      <c r="F682" s="27"/>
      <c r="G682" s="31" t="str">
        <f aca="false">IF(F682="","",IF(F682&lt;=5,"A",IF(F682&lt;=8,"B",IF(F682&lt;=10,"C","D"))))</f>
        <v/>
      </c>
      <c r="H682" s="28"/>
      <c r="I682" s="27"/>
      <c r="J682" s="26"/>
      <c r="K682" s="27"/>
      <c r="L682" s="27"/>
      <c r="M682" s="27"/>
      <c r="N682" s="27"/>
      <c r="O682" s="31" t="str">
        <f aca="false">IF(G682="","",VLOOKUP(G682,Setup!$A$14:$C$17,3,0))</f>
        <v/>
      </c>
      <c r="P682" s="27"/>
      <c r="Q682" s="33" t="str">
        <f aca="false">IF(OR(P682="",M682&lt;&gt;"Paid",O682=""),"",P682/O682)</f>
        <v/>
      </c>
      <c r="R682" s="34" t="str">
        <f aca="false">IF(Q682="","",Q682+N(H682)*0.000000001)</f>
        <v/>
      </c>
      <c r="S682" s="32" t="str">
        <f aca="false">IF(R682="","",SUMPRODUCT((I$5:I$4004=I682)*ISNUMBER(R$5:R$4004)*(R$5:R$4004&gt;R682))+1)</f>
        <v/>
      </c>
      <c r="T682" s="32" t="str">
        <f aca="false">IF(S682="","",IF(S682&lt;=Setup!$B$5,"🏆 WINNER",""))</f>
        <v/>
      </c>
      <c r="U682" s="31" t="str">
        <f aca="false">IF(S682="","",I682&amp;"|"&amp;S682)</f>
        <v/>
      </c>
    </row>
    <row r="683" customFormat="false" ht="15" hidden="false" customHeight="false" outlineLevel="0" collapsed="false">
      <c r="A683" s="24" t="n">
        <v>679</v>
      </c>
      <c r="B683" s="25" t="str">
        <f aca="false">IF(OR(C683="",I683="",G683=""),"",IFERROR(VLOOKUP(I683,Setup!$A$9:$B$11,2,0),"???")&amp;"-"&amp;G683&amp;"-"&amp;TEXT(COUNTIFS(I$5:I683,I683,G$5:G683,G683),"0000"))</f>
        <v/>
      </c>
      <c r="C683" s="26"/>
      <c r="D683" s="26"/>
      <c r="E683" s="27"/>
      <c r="F683" s="27"/>
      <c r="G683" s="24" t="str">
        <f aca="false">IF(F683="","",IF(F683&lt;=5,"A",IF(F683&lt;=8,"B",IF(F683&lt;=10,"C","D"))))</f>
        <v/>
      </c>
      <c r="H683" s="28"/>
      <c r="I683" s="27"/>
      <c r="J683" s="26"/>
      <c r="K683" s="27"/>
      <c r="L683" s="27"/>
      <c r="M683" s="27"/>
      <c r="N683" s="27"/>
      <c r="O683" s="24" t="str">
        <f aca="false">IF(G683="","",VLOOKUP(G683,Setup!$A$14:$C$17,3,0))</f>
        <v/>
      </c>
      <c r="P683" s="27"/>
      <c r="Q683" s="29" t="str">
        <f aca="false">IF(OR(P683="",M683&lt;&gt;"Paid",O683=""),"",P683/O683)</f>
        <v/>
      </c>
      <c r="R683" s="30" t="str">
        <f aca="false">IF(Q683="","",Q683+N(H683)*0.000000001)</f>
        <v/>
      </c>
      <c r="S683" s="25" t="str">
        <f aca="false">IF(R683="","",SUMPRODUCT((I$5:I$4004=I683)*ISNUMBER(R$5:R$4004)*(R$5:R$4004&gt;R683))+1)</f>
        <v/>
      </c>
      <c r="T683" s="25" t="str">
        <f aca="false">IF(S683="","",IF(S683&lt;=Setup!$B$5,"🏆 WINNER",""))</f>
        <v/>
      </c>
      <c r="U683" s="24" t="str">
        <f aca="false">IF(S683="","",I683&amp;"|"&amp;S683)</f>
        <v/>
      </c>
    </row>
    <row r="684" customFormat="false" ht="15" hidden="false" customHeight="false" outlineLevel="0" collapsed="false">
      <c r="A684" s="31" t="n">
        <v>680</v>
      </c>
      <c r="B684" s="32" t="str">
        <f aca="false">IF(OR(C684="",I684="",G684=""),"",IFERROR(VLOOKUP(I684,Setup!$A$9:$B$11,2,0),"???")&amp;"-"&amp;G684&amp;"-"&amp;TEXT(COUNTIFS(I$5:I684,I684,G$5:G684,G684),"0000"))</f>
        <v/>
      </c>
      <c r="C684" s="26"/>
      <c r="D684" s="26"/>
      <c r="E684" s="27"/>
      <c r="F684" s="27"/>
      <c r="G684" s="31" t="str">
        <f aca="false">IF(F684="","",IF(F684&lt;=5,"A",IF(F684&lt;=8,"B",IF(F684&lt;=10,"C","D"))))</f>
        <v/>
      </c>
      <c r="H684" s="28"/>
      <c r="I684" s="27"/>
      <c r="J684" s="26"/>
      <c r="K684" s="27"/>
      <c r="L684" s="27"/>
      <c r="M684" s="27"/>
      <c r="N684" s="27"/>
      <c r="O684" s="31" t="str">
        <f aca="false">IF(G684="","",VLOOKUP(G684,Setup!$A$14:$C$17,3,0))</f>
        <v/>
      </c>
      <c r="P684" s="27"/>
      <c r="Q684" s="33" t="str">
        <f aca="false">IF(OR(P684="",M684&lt;&gt;"Paid",O684=""),"",P684/O684)</f>
        <v/>
      </c>
      <c r="R684" s="34" t="str">
        <f aca="false">IF(Q684="","",Q684+N(H684)*0.000000001)</f>
        <v/>
      </c>
      <c r="S684" s="32" t="str">
        <f aca="false">IF(R684="","",SUMPRODUCT((I$5:I$4004=I684)*ISNUMBER(R$5:R$4004)*(R$5:R$4004&gt;R684))+1)</f>
        <v/>
      </c>
      <c r="T684" s="32" t="str">
        <f aca="false">IF(S684="","",IF(S684&lt;=Setup!$B$5,"🏆 WINNER",""))</f>
        <v/>
      </c>
      <c r="U684" s="31" t="str">
        <f aca="false">IF(S684="","",I684&amp;"|"&amp;S684)</f>
        <v/>
      </c>
    </row>
    <row r="685" customFormat="false" ht="15" hidden="false" customHeight="false" outlineLevel="0" collapsed="false">
      <c r="A685" s="24" t="n">
        <v>681</v>
      </c>
      <c r="B685" s="25" t="str">
        <f aca="false">IF(OR(C685="",I685="",G685=""),"",IFERROR(VLOOKUP(I685,Setup!$A$9:$B$11,2,0),"???")&amp;"-"&amp;G685&amp;"-"&amp;TEXT(COUNTIFS(I$5:I685,I685,G$5:G685,G685),"0000"))</f>
        <v/>
      </c>
      <c r="C685" s="26"/>
      <c r="D685" s="26"/>
      <c r="E685" s="27"/>
      <c r="F685" s="27"/>
      <c r="G685" s="24" t="str">
        <f aca="false">IF(F685="","",IF(F685&lt;=5,"A",IF(F685&lt;=8,"B",IF(F685&lt;=10,"C","D"))))</f>
        <v/>
      </c>
      <c r="H685" s="28"/>
      <c r="I685" s="27"/>
      <c r="J685" s="26"/>
      <c r="K685" s="27"/>
      <c r="L685" s="27"/>
      <c r="M685" s="27"/>
      <c r="N685" s="27"/>
      <c r="O685" s="24" t="str">
        <f aca="false">IF(G685="","",VLOOKUP(G685,Setup!$A$14:$C$17,3,0))</f>
        <v/>
      </c>
      <c r="P685" s="27"/>
      <c r="Q685" s="29" t="str">
        <f aca="false">IF(OR(P685="",M685&lt;&gt;"Paid",O685=""),"",P685/O685)</f>
        <v/>
      </c>
      <c r="R685" s="30" t="str">
        <f aca="false">IF(Q685="","",Q685+N(H685)*0.000000001)</f>
        <v/>
      </c>
      <c r="S685" s="25" t="str">
        <f aca="false">IF(R685="","",SUMPRODUCT((I$5:I$4004=I685)*ISNUMBER(R$5:R$4004)*(R$5:R$4004&gt;R685))+1)</f>
        <v/>
      </c>
      <c r="T685" s="25" t="str">
        <f aca="false">IF(S685="","",IF(S685&lt;=Setup!$B$5,"🏆 WINNER",""))</f>
        <v/>
      </c>
      <c r="U685" s="24" t="str">
        <f aca="false">IF(S685="","",I685&amp;"|"&amp;S685)</f>
        <v/>
      </c>
    </row>
    <row r="686" customFormat="false" ht="15" hidden="false" customHeight="false" outlineLevel="0" collapsed="false">
      <c r="A686" s="31" t="n">
        <v>682</v>
      </c>
      <c r="B686" s="32" t="str">
        <f aca="false">IF(OR(C686="",I686="",G686=""),"",IFERROR(VLOOKUP(I686,Setup!$A$9:$B$11,2,0),"???")&amp;"-"&amp;G686&amp;"-"&amp;TEXT(COUNTIFS(I$5:I686,I686,G$5:G686,G686),"0000"))</f>
        <v/>
      </c>
      <c r="C686" s="26"/>
      <c r="D686" s="26"/>
      <c r="E686" s="27"/>
      <c r="F686" s="27"/>
      <c r="G686" s="31" t="str">
        <f aca="false">IF(F686="","",IF(F686&lt;=5,"A",IF(F686&lt;=8,"B",IF(F686&lt;=10,"C","D"))))</f>
        <v/>
      </c>
      <c r="H686" s="28"/>
      <c r="I686" s="27"/>
      <c r="J686" s="26"/>
      <c r="K686" s="27"/>
      <c r="L686" s="27"/>
      <c r="M686" s="27"/>
      <c r="N686" s="27"/>
      <c r="O686" s="31" t="str">
        <f aca="false">IF(G686="","",VLOOKUP(G686,Setup!$A$14:$C$17,3,0))</f>
        <v/>
      </c>
      <c r="P686" s="27"/>
      <c r="Q686" s="33" t="str">
        <f aca="false">IF(OR(P686="",M686&lt;&gt;"Paid",O686=""),"",P686/O686)</f>
        <v/>
      </c>
      <c r="R686" s="34" t="str">
        <f aca="false">IF(Q686="","",Q686+N(H686)*0.000000001)</f>
        <v/>
      </c>
      <c r="S686" s="32" t="str">
        <f aca="false">IF(R686="","",SUMPRODUCT((I$5:I$4004=I686)*ISNUMBER(R$5:R$4004)*(R$5:R$4004&gt;R686))+1)</f>
        <v/>
      </c>
      <c r="T686" s="32" t="str">
        <f aca="false">IF(S686="","",IF(S686&lt;=Setup!$B$5,"🏆 WINNER",""))</f>
        <v/>
      </c>
      <c r="U686" s="31" t="str">
        <f aca="false">IF(S686="","",I686&amp;"|"&amp;S686)</f>
        <v/>
      </c>
    </row>
    <row r="687" customFormat="false" ht="15" hidden="false" customHeight="false" outlineLevel="0" collapsed="false">
      <c r="A687" s="24" t="n">
        <v>683</v>
      </c>
      <c r="B687" s="25" t="str">
        <f aca="false">IF(OR(C687="",I687="",G687=""),"",IFERROR(VLOOKUP(I687,Setup!$A$9:$B$11,2,0),"???")&amp;"-"&amp;G687&amp;"-"&amp;TEXT(COUNTIFS(I$5:I687,I687,G$5:G687,G687),"0000"))</f>
        <v/>
      </c>
      <c r="C687" s="26"/>
      <c r="D687" s="26"/>
      <c r="E687" s="27"/>
      <c r="F687" s="27"/>
      <c r="G687" s="24" t="str">
        <f aca="false">IF(F687="","",IF(F687&lt;=5,"A",IF(F687&lt;=8,"B",IF(F687&lt;=10,"C","D"))))</f>
        <v/>
      </c>
      <c r="H687" s="28"/>
      <c r="I687" s="27"/>
      <c r="J687" s="26"/>
      <c r="K687" s="27"/>
      <c r="L687" s="27"/>
      <c r="M687" s="27"/>
      <c r="N687" s="27"/>
      <c r="O687" s="24" t="str">
        <f aca="false">IF(G687="","",VLOOKUP(G687,Setup!$A$14:$C$17,3,0))</f>
        <v/>
      </c>
      <c r="P687" s="27"/>
      <c r="Q687" s="29" t="str">
        <f aca="false">IF(OR(P687="",M687&lt;&gt;"Paid",O687=""),"",P687/O687)</f>
        <v/>
      </c>
      <c r="R687" s="30" t="str">
        <f aca="false">IF(Q687="","",Q687+N(H687)*0.000000001)</f>
        <v/>
      </c>
      <c r="S687" s="25" t="str">
        <f aca="false">IF(R687="","",SUMPRODUCT((I$5:I$4004=I687)*ISNUMBER(R$5:R$4004)*(R$5:R$4004&gt;R687))+1)</f>
        <v/>
      </c>
      <c r="T687" s="25" t="str">
        <f aca="false">IF(S687="","",IF(S687&lt;=Setup!$B$5,"🏆 WINNER",""))</f>
        <v/>
      </c>
      <c r="U687" s="24" t="str">
        <f aca="false">IF(S687="","",I687&amp;"|"&amp;S687)</f>
        <v/>
      </c>
    </row>
    <row r="688" customFormat="false" ht="15" hidden="false" customHeight="false" outlineLevel="0" collapsed="false">
      <c r="A688" s="31" t="n">
        <v>684</v>
      </c>
      <c r="B688" s="32" t="str">
        <f aca="false">IF(OR(C688="",I688="",G688=""),"",IFERROR(VLOOKUP(I688,Setup!$A$9:$B$11,2,0),"???")&amp;"-"&amp;G688&amp;"-"&amp;TEXT(COUNTIFS(I$5:I688,I688,G$5:G688,G688),"0000"))</f>
        <v/>
      </c>
      <c r="C688" s="26"/>
      <c r="D688" s="26"/>
      <c r="E688" s="27"/>
      <c r="F688" s="27"/>
      <c r="G688" s="31" t="str">
        <f aca="false">IF(F688="","",IF(F688&lt;=5,"A",IF(F688&lt;=8,"B",IF(F688&lt;=10,"C","D"))))</f>
        <v/>
      </c>
      <c r="H688" s="28"/>
      <c r="I688" s="27"/>
      <c r="J688" s="26"/>
      <c r="K688" s="27"/>
      <c r="L688" s="27"/>
      <c r="M688" s="27"/>
      <c r="N688" s="27"/>
      <c r="O688" s="31" t="str">
        <f aca="false">IF(G688="","",VLOOKUP(G688,Setup!$A$14:$C$17,3,0))</f>
        <v/>
      </c>
      <c r="P688" s="27"/>
      <c r="Q688" s="33" t="str">
        <f aca="false">IF(OR(P688="",M688&lt;&gt;"Paid",O688=""),"",P688/O688)</f>
        <v/>
      </c>
      <c r="R688" s="34" t="str">
        <f aca="false">IF(Q688="","",Q688+N(H688)*0.000000001)</f>
        <v/>
      </c>
      <c r="S688" s="32" t="str">
        <f aca="false">IF(R688="","",SUMPRODUCT((I$5:I$4004=I688)*ISNUMBER(R$5:R$4004)*(R$5:R$4004&gt;R688))+1)</f>
        <v/>
      </c>
      <c r="T688" s="32" t="str">
        <f aca="false">IF(S688="","",IF(S688&lt;=Setup!$B$5,"🏆 WINNER",""))</f>
        <v/>
      </c>
      <c r="U688" s="31" t="str">
        <f aca="false">IF(S688="","",I688&amp;"|"&amp;S688)</f>
        <v/>
      </c>
    </row>
    <row r="689" customFormat="false" ht="15" hidden="false" customHeight="false" outlineLevel="0" collapsed="false">
      <c r="A689" s="24" t="n">
        <v>685</v>
      </c>
      <c r="B689" s="25" t="str">
        <f aca="false">IF(OR(C689="",I689="",G689=""),"",IFERROR(VLOOKUP(I689,Setup!$A$9:$B$11,2,0),"???")&amp;"-"&amp;G689&amp;"-"&amp;TEXT(COUNTIFS(I$5:I689,I689,G$5:G689,G689),"0000"))</f>
        <v/>
      </c>
      <c r="C689" s="26"/>
      <c r="D689" s="26"/>
      <c r="E689" s="27"/>
      <c r="F689" s="27"/>
      <c r="G689" s="24" t="str">
        <f aca="false">IF(F689="","",IF(F689&lt;=5,"A",IF(F689&lt;=8,"B",IF(F689&lt;=10,"C","D"))))</f>
        <v/>
      </c>
      <c r="H689" s="28"/>
      <c r="I689" s="27"/>
      <c r="J689" s="26"/>
      <c r="K689" s="27"/>
      <c r="L689" s="27"/>
      <c r="M689" s="27"/>
      <c r="N689" s="27"/>
      <c r="O689" s="24" t="str">
        <f aca="false">IF(G689="","",VLOOKUP(G689,Setup!$A$14:$C$17,3,0))</f>
        <v/>
      </c>
      <c r="P689" s="27"/>
      <c r="Q689" s="29" t="str">
        <f aca="false">IF(OR(P689="",M689&lt;&gt;"Paid",O689=""),"",P689/O689)</f>
        <v/>
      </c>
      <c r="R689" s="30" t="str">
        <f aca="false">IF(Q689="","",Q689+N(H689)*0.000000001)</f>
        <v/>
      </c>
      <c r="S689" s="25" t="str">
        <f aca="false">IF(R689="","",SUMPRODUCT((I$5:I$4004=I689)*ISNUMBER(R$5:R$4004)*(R$5:R$4004&gt;R689))+1)</f>
        <v/>
      </c>
      <c r="T689" s="25" t="str">
        <f aca="false">IF(S689="","",IF(S689&lt;=Setup!$B$5,"🏆 WINNER",""))</f>
        <v/>
      </c>
      <c r="U689" s="24" t="str">
        <f aca="false">IF(S689="","",I689&amp;"|"&amp;S689)</f>
        <v/>
      </c>
    </row>
    <row r="690" customFormat="false" ht="15" hidden="false" customHeight="false" outlineLevel="0" collapsed="false">
      <c r="A690" s="31" t="n">
        <v>686</v>
      </c>
      <c r="B690" s="32" t="str">
        <f aca="false">IF(OR(C690="",I690="",G690=""),"",IFERROR(VLOOKUP(I690,Setup!$A$9:$B$11,2,0),"???")&amp;"-"&amp;G690&amp;"-"&amp;TEXT(COUNTIFS(I$5:I690,I690,G$5:G690,G690),"0000"))</f>
        <v/>
      </c>
      <c r="C690" s="26"/>
      <c r="D690" s="26"/>
      <c r="E690" s="27"/>
      <c r="F690" s="27"/>
      <c r="G690" s="31" t="str">
        <f aca="false">IF(F690="","",IF(F690&lt;=5,"A",IF(F690&lt;=8,"B",IF(F690&lt;=10,"C","D"))))</f>
        <v/>
      </c>
      <c r="H690" s="28"/>
      <c r="I690" s="27"/>
      <c r="J690" s="26"/>
      <c r="K690" s="27"/>
      <c r="L690" s="27"/>
      <c r="M690" s="27"/>
      <c r="N690" s="27"/>
      <c r="O690" s="31" t="str">
        <f aca="false">IF(G690="","",VLOOKUP(G690,Setup!$A$14:$C$17,3,0))</f>
        <v/>
      </c>
      <c r="P690" s="27"/>
      <c r="Q690" s="33" t="str">
        <f aca="false">IF(OR(P690="",M690&lt;&gt;"Paid",O690=""),"",P690/O690)</f>
        <v/>
      </c>
      <c r="R690" s="34" t="str">
        <f aca="false">IF(Q690="","",Q690+N(H690)*0.000000001)</f>
        <v/>
      </c>
      <c r="S690" s="32" t="str">
        <f aca="false">IF(R690="","",SUMPRODUCT((I$5:I$4004=I690)*ISNUMBER(R$5:R$4004)*(R$5:R$4004&gt;R690))+1)</f>
        <v/>
      </c>
      <c r="T690" s="32" t="str">
        <f aca="false">IF(S690="","",IF(S690&lt;=Setup!$B$5,"🏆 WINNER",""))</f>
        <v/>
      </c>
      <c r="U690" s="31" t="str">
        <f aca="false">IF(S690="","",I690&amp;"|"&amp;S690)</f>
        <v/>
      </c>
    </row>
    <row r="691" customFormat="false" ht="15" hidden="false" customHeight="false" outlineLevel="0" collapsed="false">
      <c r="A691" s="24" t="n">
        <v>687</v>
      </c>
      <c r="B691" s="25" t="str">
        <f aca="false">IF(OR(C691="",I691="",G691=""),"",IFERROR(VLOOKUP(I691,Setup!$A$9:$B$11,2,0),"???")&amp;"-"&amp;G691&amp;"-"&amp;TEXT(COUNTIFS(I$5:I691,I691,G$5:G691,G691),"0000"))</f>
        <v/>
      </c>
      <c r="C691" s="26"/>
      <c r="D691" s="26"/>
      <c r="E691" s="27"/>
      <c r="F691" s="27"/>
      <c r="G691" s="24" t="str">
        <f aca="false">IF(F691="","",IF(F691&lt;=5,"A",IF(F691&lt;=8,"B",IF(F691&lt;=10,"C","D"))))</f>
        <v/>
      </c>
      <c r="H691" s="28"/>
      <c r="I691" s="27"/>
      <c r="J691" s="26"/>
      <c r="K691" s="27"/>
      <c r="L691" s="27"/>
      <c r="M691" s="27"/>
      <c r="N691" s="27"/>
      <c r="O691" s="24" t="str">
        <f aca="false">IF(G691="","",VLOOKUP(G691,Setup!$A$14:$C$17,3,0))</f>
        <v/>
      </c>
      <c r="P691" s="27"/>
      <c r="Q691" s="29" t="str">
        <f aca="false">IF(OR(P691="",M691&lt;&gt;"Paid",O691=""),"",P691/O691)</f>
        <v/>
      </c>
      <c r="R691" s="30" t="str">
        <f aca="false">IF(Q691="","",Q691+N(H691)*0.000000001)</f>
        <v/>
      </c>
      <c r="S691" s="25" t="str">
        <f aca="false">IF(R691="","",SUMPRODUCT((I$5:I$4004=I691)*ISNUMBER(R$5:R$4004)*(R$5:R$4004&gt;R691))+1)</f>
        <v/>
      </c>
      <c r="T691" s="25" t="str">
        <f aca="false">IF(S691="","",IF(S691&lt;=Setup!$B$5,"🏆 WINNER",""))</f>
        <v/>
      </c>
      <c r="U691" s="24" t="str">
        <f aca="false">IF(S691="","",I691&amp;"|"&amp;S691)</f>
        <v/>
      </c>
    </row>
    <row r="692" customFormat="false" ht="15" hidden="false" customHeight="false" outlineLevel="0" collapsed="false">
      <c r="A692" s="31" t="n">
        <v>688</v>
      </c>
      <c r="B692" s="32" t="str">
        <f aca="false">IF(OR(C692="",I692="",G692=""),"",IFERROR(VLOOKUP(I692,Setup!$A$9:$B$11,2,0),"???")&amp;"-"&amp;G692&amp;"-"&amp;TEXT(COUNTIFS(I$5:I692,I692,G$5:G692,G692),"0000"))</f>
        <v/>
      </c>
      <c r="C692" s="26"/>
      <c r="D692" s="26"/>
      <c r="E692" s="27"/>
      <c r="F692" s="27"/>
      <c r="G692" s="31" t="str">
        <f aca="false">IF(F692="","",IF(F692&lt;=5,"A",IF(F692&lt;=8,"B",IF(F692&lt;=10,"C","D"))))</f>
        <v/>
      </c>
      <c r="H692" s="28"/>
      <c r="I692" s="27"/>
      <c r="J692" s="26"/>
      <c r="K692" s="27"/>
      <c r="L692" s="27"/>
      <c r="M692" s="27"/>
      <c r="N692" s="27"/>
      <c r="O692" s="31" t="str">
        <f aca="false">IF(G692="","",VLOOKUP(G692,Setup!$A$14:$C$17,3,0))</f>
        <v/>
      </c>
      <c r="P692" s="27"/>
      <c r="Q692" s="33" t="str">
        <f aca="false">IF(OR(P692="",M692&lt;&gt;"Paid",O692=""),"",P692/O692)</f>
        <v/>
      </c>
      <c r="R692" s="34" t="str">
        <f aca="false">IF(Q692="","",Q692+N(H692)*0.000000001)</f>
        <v/>
      </c>
      <c r="S692" s="32" t="str">
        <f aca="false">IF(R692="","",SUMPRODUCT((I$5:I$4004=I692)*ISNUMBER(R$5:R$4004)*(R$5:R$4004&gt;R692))+1)</f>
        <v/>
      </c>
      <c r="T692" s="32" t="str">
        <f aca="false">IF(S692="","",IF(S692&lt;=Setup!$B$5,"🏆 WINNER",""))</f>
        <v/>
      </c>
      <c r="U692" s="31" t="str">
        <f aca="false">IF(S692="","",I692&amp;"|"&amp;S692)</f>
        <v/>
      </c>
    </row>
    <row r="693" customFormat="false" ht="15" hidden="false" customHeight="false" outlineLevel="0" collapsed="false">
      <c r="A693" s="24" t="n">
        <v>689</v>
      </c>
      <c r="B693" s="25" t="str">
        <f aca="false">IF(OR(C693="",I693="",G693=""),"",IFERROR(VLOOKUP(I693,Setup!$A$9:$B$11,2,0),"???")&amp;"-"&amp;G693&amp;"-"&amp;TEXT(COUNTIFS(I$5:I693,I693,G$5:G693,G693),"0000"))</f>
        <v/>
      </c>
      <c r="C693" s="26"/>
      <c r="D693" s="26"/>
      <c r="E693" s="27"/>
      <c r="F693" s="27"/>
      <c r="G693" s="24" t="str">
        <f aca="false">IF(F693="","",IF(F693&lt;=5,"A",IF(F693&lt;=8,"B",IF(F693&lt;=10,"C","D"))))</f>
        <v/>
      </c>
      <c r="H693" s="28"/>
      <c r="I693" s="27"/>
      <c r="J693" s="26"/>
      <c r="K693" s="27"/>
      <c r="L693" s="27"/>
      <c r="M693" s="27"/>
      <c r="N693" s="27"/>
      <c r="O693" s="24" t="str">
        <f aca="false">IF(G693="","",VLOOKUP(G693,Setup!$A$14:$C$17,3,0))</f>
        <v/>
      </c>
      <c r="P693" s="27"/>
      <c r="Q693" s="29" t="str">
        <f aca="false">IF(OR(P693="",M693&lt;&gt;"Paid",O693=""),"",P693/O693)</f>
        <v/>
      </c>
      <c r="R693" s="30" t="str">
        <f aca="false">IF(Q693="","",Q693+N(H693)*0.000000001)</f>
        <v/>
      </c>
      <c r="S693" s="25" t="str">
        <f aca="false">IF(R693="","",SUMPRODUCT((I$5:I$4004=I693)*ISNUMBER(R$5:R$4004)*(R$5:R$4004&gt;R693))+1)</f>
        <v/>
      </c>
      <c r="T693" s="25" t="str">
        <f aca="false">IF(S693="","",IF(S693&lt;=Setup!$B$5,"🏆 WINNER",""))</f>
        <v/>
      </c>
      <c r="U693" s="24" t="str">
        <f aca="false">IF(S693="","",I693&amp;"|"&amp;S693)</f>
        <v/>
      </c>
    </row>
    <row r="694" customFormat="false" ht="15" hidden="false" customHeight="false" outlineLevel="0" collapsed="false">
      <c r="A694" s="31" t="n">
        <v>690</v>
      </c>
      <c r="B694" s="32" t="str">
        <f aca="false">IF(OR(C694="",I694="",G694=""),"",IFERROR(VLOOKUP(I694,Setup!$A$9:$B$11,2,0),"???")&amp;"-"&amp;G694&amp;"-"&amp;TEXT(COUNTIFS(I$5:I694,I694,G$5:G694,G694),"0000"))</f>
        <v/>
      </c>
      <c r="C694" s="26"/>
      <c r="D694" s="26"/>
      <c r="E694" s="27"/>
      <c r="F694" s="27"/>
      <c r="G694" s="31" t="str">
        <f aca="false">IF(F694="","",IF(F694&lt;=5,"A",IF(F694&lt;=8,"B",IF(F694&lt;=10,"C","D"))))</f>
        <v/>
      </c>
      <c r="H694" s="28"/>
      <c r="I694" s="27"/>
      <c r="J694" s="26"/>
      <c r="K694" s="27"/>
      <c r="L694" s="27"/>
      <c r="M694" s="27"/>
      <c r="N694" s="27"/>
      <c r="O694" s="31" t="str">
        <f aca="false">IF(G694="","",VLOOKUP(G694,Setup!$A$14:$C$17,3,0))</f>
        <v/>
      </c>
      <c r="P694" s="27"/>
      <c r="Q694" s="33" t="str">
        <f aca="false">IF(OR(P694="",M694&lt;&gt;"Paid",O694=""),"",P694/O694)</f>
        <v/>
      </c>
      <c r="R694" s="34" t="str">
        <f aca="false">IF(Q694="","",Q694+N(H694)*0.000000001)</f>
        <v/>
      </c>
      <c r="S694" s="32" t="str">
        <f aca="false">IF(R694="","",SUMPRODUCT((I$5:I$4004=I694)*ISNUMBER(R$5:R$4004)*(R$5:R$4004&gt;R694))+1)</f>
        <v/>
      </c>
      <c r="T694" s="32" t="str">
        <f aca="false">IF(S694="","",IF(S694&lt;=Setup!$B$5,"🏆 WINNER",""))</f>
        <v/>
      </c>
      <c r="U694" s="31" t="str">
        <f aca="false">IF(S694="","",I694&amp;"|"&amp;S694)</f>
        <v/>
      </c>
    </row>
    <row r="695" customFormat="false" ht="15" hidden="false" customHeight="false" outlineLevel="0" collapsed="false">
      <c r="A695" s="24" t="n">
        <v>691</v>
      </c>
      <c r="B695" s="25" t="str">
        <f aca="false">IF(OR(C695="",I695="",G695=""),"",IFERROR(VLOOKUP(I695,Setup!$A$9:$B$11,2,0),"???")&amp;"-"&amp;G695&amp;"-"&amp;TEXT(COUNTIFS(I$5:I695,I695,G$5:G695,G695),"0000"))</f>
        <v/>
      </c>
      <c r="C695" s="26"/>
      <c r="D695" s="26"/>
      <c r="E695" s="27"/>
      <c r="F695" s="27"/>
      <c r="G695" s="24" t="str">
        <f aca="false">IF(F695="","",IF(F695&lt;=5,"A",IF(F695&lt;=8,"B",IF(F695&lt;=10,"C","D"))))</f>
        <v/>
      </c>
      <c r="H695" s="28"/>
      <c r="I695" s="27"/>
      <c r="J695" s="26"/>
      <c r="K695" s="27"/>
      <c r="L695" s="27"/>
      <c r="M695" s="27"/>
      <c r="N695" s="27"/>
      <c r="O695" s="24" t="str">
        <f aca="false">IF(G695="","",VLOOKUP(G695,Setup!$A$14:$C$17,3,0))</f>
        <v/>
      </c>
      <c r="P695" s="27"/>
      <c r="Q695" s="29" t="str">
        <f aca="false">IF(OR(P695="",M695&lt;&gt;"Paid",O695=""),"",P695/O695)</f>
        <v/>
      </c>
      <c r="R695" s="30" t="str">
        <f aca="false">IF(Q695="","",Q695+N(H695)*0.000000001)</f>
        <v/>
      </c>
      <c r="S695" s="25" t="str">
        <f aca="false">IF(R695="","",SUMPRODUCT((I$5:I$4004=I695)*ISNUMBER(R$5:R$4004)*(R$5:R$4004&gt;R695))+1)</f>
        <v/>
      </c>
      <c r="T695" s="25" t="str">
        <f aca="false">IF(S695="","",IF(S695&lt;=Setup!$B$5,"🏆 WINNER",""))</f>
        <v/>
      </c>
      <c r="U695" s="24" t="str">
        <f aca="false">IF(S695="","",I695&amp;"|"&amp;S695)</f>
        <v/>
      </c>
    </row>
    <row r="696" customFormat="false" ht="15" hidden="false" customHeight="false" outlineLevel="0" collapsed="false">
      <c r="A696" s="31" t="n">
        <v>692</v>
      </c>
      <c r="B696" s="32" t="str">
        <f aca="false">IF(OR(C696="",I696="",G696=""),"",IFERROR(VLOOKUP(I696,Setup!$A$9:$B$11,2,0),"???")&amp;"-"&amp;G696&amp;"-"&amp;TEXT(COUNTIFS(I$5:I696,I696,G$5:G696,G696),"0000"))</f>
        <v/>
      </c>
      <c r="C696" s="26"/>
      <c r="D696" s="26"/>
      <c r="E696" s="27"/>
      <c r="F696" s="27"/>
      <c r="G696" s="31" t="str">
        <f aca="false">IF(F696="","",IF(F696&lt;=5,"A",IF(F696&lt;=8,"B",IF(F696&lt;=10,"C","D"))))</f>
        <v/>
      </c>
      <c r="H696" s="28"/>
      <c r="I696" s="27"/>
      <c r="J696" s="26"/>
      <c r="K696" s="27"/>
      <c r="L696" s="27"/>
      <c r="M696" s="27"/>
      <c r="N696" s="27"/>
      <c r="O696" s="31" t="str">
        <f aca="false">IF(G696="","",VLOOKUP(G696,Setup!$A$14:$C$17,3,0))</f>
        <v/>
      </c>
      <c r="P696" s="27"/>
      <c r="Q696" s="33" t="str">
        <f aca="false">IF(OR(P696="",M696&lt;&gt;"Paid",O696=""),"",P696/O696)</f>
        <v/>
      </c>
      <c r="R696" s="34" t="str">
        <f aca="false">IF(Q696="","",Q696+N(H696)*0.000000001)</f>
        <v/>
      </c>
      <c r="S696" s="32" t="str">
        <f aca="false">IF(R696="","",SUMPRODUCT((I$5:I$4004=I696)*ISNUMBER(R$5:R$4004)*(R$5:R$4004&gt;R696))+1)</f>
        <v/>
      </c>
      <c r="T696" s="32" t="str">
        <f aca="false">IF(S696="","",IF(S696&lt;=Setup!$B$5,"🏆 WINNER",""))</f>
        <v/>
      </c>
      <c r="U696" s="31" t="str">
        <f aca="false">IF(S696="","",I696&amp;"|"&amp;S696)</f>
        <v/>
      </c>
    </row>
    <row r="697" customFormat="false" ht="15" hidden="false" customHeight="false" outlineLevel="0" collapsed="false">
      <c r="A697" s="24" t="n">
        <v>693</v>
      </c>
      <c r="B697" s="25" t="str">
        <f aca="false">IF(OR(C697="",I697="",G697=""),"",IFERROR(VLOOKUP(I697,Setup!$A$9:$B$11,2,0),"???")&amp;"-"&amp;G697&amp;"-"&amp;TEXT(COUNTIFS(I$5:I697,I697,G$5:G697,G697),"0000"))</f>
        <v/>
      </c>
      <c r="C697" s="26"/>
      <c r="D697" s="26"/>
      <c r="E697" s="27"/>
      <c r="F697" s="27"/>
      <c r="G697" s="24" t="str">
        <f aca="false">IF(F697="","",IF(F697&lt;=5,"A",IF(F697&lt;=8,"B",IF(F697&lt;=10,"C","D"))))</f>
        <v/>
      </c>
      <c r="H697" s="28"/>
      <c r="I697" s="27"/>
      <c r="J697" s="26"/>
      <c r="K697" s="27"/>
      <c r="L697" s="27"/>
      <c r="M697" s="27"/>
      <c r="N697" s="27"/>
      <c r="O697" s="24" t="str">
        <f aca="false">IF(G697="","",VLOOKUP(G697,Setup!$A$14:$C$17,3,0))</f>
        <v/>
      </c>
      <c r="P697" s="27"/>
      <c r="Q697" s="29" t="str">
        <f aca="false">IF(OR(P697="",M697&lt;&gt;"Paid",O697=""),"",P697/O697)</f>
        <v/>
      </c>
      <c r="R697" s="30" t="str">
        <f aca="false">IF(Q697="","",Q697+N(H697)*0.000000001)</f>
        <v/>
      </c>
      <c r="S697" s="25" t="str">
        <f aca="false">IF(R697="","",SUMPRODUCT((I$5:I$4004=I697)*ISNUMBER(R$5:R$4004)*(R$5:R$4004&gt;R697))+1)</f>
        <v/>
      </c>
      <c r="T697" s="25" t="str">
        <f aca="false">IF(S697="","",IF(S697&lt;=Setup!$B$5,"🏆 WINNER",""))</f>
        <v/>
      </c>
      <c r="U697" s="24" t="str">
        <f aca="false">IF(S697="","",I697&amp;"|"&amp;S697)</f>
        <v/>
      </c>
    </row>
    <row r="698" customFormat="false" ht="15" hidden="false" customHeight="false" outlineLevel="0" collapsed="false">
      <c r="A698" s="31" t="n">
        <v>694</v>
      </c>
      <c r="B698" s="32" t="str">
        <f aca="false">IF(OR(C698="",I698="",G698=""),"",IFERROR(VLOOKUP(I698,Setup!$A$9:$B$11,2,0),"???")&amp;"-"&amp;G698&amp;"-"&amp;TEXT(COUNTIFS(I$5:I698,I698,G$5:G698,G698),"0000"))</f>
        <v/>
      </c>
      <c r="C698" s="26"/>
      <c r="D698" s="26"/>
      <c r="E698" s="27"/>
      <c r="F698" s="27"/>
      <c r="G698" s="31" t="str">
        <f aca="false">IF(F698="","",IF(F698&lt;=5,"A",IF(F698&lt;=8,"B",IF(F698&lt;=10,"C","D"))))</f>
        <v/>
      </c>
      <c r="H698" s="28"/>
      <c r="I698" s="27"/>
      <c r="J698" s="26"/>
      <c r="K698" s="27"/>
      <c r="L698" s="27"/>
      <c r="M698" s="27"/>
      <c r="N698" s="27"/>
      <c r="O698" s="31" t="str">
        <f aca="false">IF(G698="","",VLOOKUP(G698,Setup!$A$14:$C$17,3,0))</f>
        <v/>
      </c>
      <c r="P698" s="27"/>
      <c r="Q698" s="33" t="str">
        <f aca="false">IF(OR(P698="",M698&lt;&gt;"Paid",O698=""),"",P698/O698)</f>
        <v/>
      </c>
      <c r="R698" s="34" t="str">
        <f aca="false">IF(Q698="","",Q698+N(H698)*0.000000001)</f>
        <v/>
      </c>
      <c r="S698" s="32" t="str">
        <f aca="false">IF(R698="","",SUMPRODUCT((I$5:I$4004=I698)*ISNUMBER(R$5:R$4004)*(R$5:R$4004&gt;R698))+1)</f>
        <v/>
      </c>
      <c r="T698" s="32" t="str">
        <f aca="false">IF(S698="","",IF(S698&lt;=Setup!$B$5,"🏆 WINNER",""))</f>
        <v/>
      </c>
      <c r="U698" s="31" t="str">
        <f aca="false">IF(S698="","",I698&amp;"|"&amp;S698)</f>
        <v/>
      </c>
    </row>
    <row r="699" customFormat="false" ht="15" hidden="false" customHeight="false" outlineLevel="0" collapsed="false">
      <c r="A699" s="24" t="n">
        <v>695</v>
      </c>
      <c r="B699" s="25" t="str">
        <f aca="false">IF(OR(C699="",I699="",G699=""),"",IFERROR(VLOOKUP(I699,Setup!$A$9:$B$11,2,0),"???")&amp;"-"&amp;G699&amp;"-"&amp;TEXT(COUNTIFS(I$5:I699,I699,G$5:G699,G699),"0000"))</f>
        <v/>
      </c>
      <c r="C699" s="26"/>
      <c r="D699" s="26"/>
      <c r="E699" s="27"/>
      <c r="F699" s="27"/>
      <c r="G699" s="24" t="str">
        <f aca="false">IF(F699="","",IF(F699&lt;=5,"A",IF(F699&lt;=8,"B",IF(F699&lt;=10,"C","D"))))</f>
        <v/>
      </c>
      <c r="H699" s="28"/>
      <c r="I699" s="27"/>
      <c r="J699" s="26"/>
      <c r="K699" s="27"/>
      <c r="L699" s="27"/>
      <c r="M699" s="27"/>
      <c r="N699" s="27"/>
      <c r="O699" s="24" t="str">
        <f aca="false">IF(G699="","",VLOOKUP(G699,Setup!$A$14:$C$17,3,0))</f>
        <v/>
      </c>
      <c r="P699" s="27"/>
      <c r="Q699" s="29" t="str">
        <f aca="false">IF(OR(P699="",M699&lt;&gt;"Paid",O699=""),"",P699/O699)</f>
        <v/>
      </c>
      <c r="R699" s="30" t="str">
        <f aca="false">IF(Q699="","",Q699+N(H699)*0.000000001)</f>
        <v/>
      </c>
      <c r="S699" s="25" t="str">
        <f aca="false">IF(R699="","",SUMPRODUCT((I$5:I$4004=I699)*ISNUMBER(R$5:R$4004)*(R$5:R$4004&gt;R699))+1)</f>
        <v/>
      </c>
      <c r="T699" s="25" t="str">
        <f aca="false">IF(S699="","",IF(S699&lt;=Setup!$B$5,"🏆 WINNER",""))</f>
        <v/>
      </c>
      <c r="U699" s="24" t="str">
        <f aca="false">IF(S699="","",I699&amp;"|"&amp;S699)</f>
        <v/>
      </c>
    </row>
    <row r="700" customFormat="false" ht="15" hidden="false" customHeight="false" outlineLevel="0" collapsed="false">
      <c r="A700" s="31" t="n">
        <v>696</v>
      </c>
      <c r="B700" s="32" t="str">
        <f aca="false">IF(OR(C700="",I700="",G700=""),"",IFERROR(VLOOKUP(I700,Setup!$A$9:$B$11,2,0),"???")&amp;"-"&amp;G700&amp;"-"&amp;TEXT(COUNTIFS(I$5:I700,I700,G$5:G700,G700),"0000"))</f>
        <v/>
      </c>
      <c r="C700" s="26"/>
      <c r="D700" s="26"/>
      <c r="E700" s="27"/>
      <c r="F700" s="27"/>
      <c r="G700" s="31" t="str">
        <f aca="false">IF(F700="","",IF(F700&lt;=5,"A",IF(F700&lt;=8,"B",IF(F700&lt;=10,"C","D"))))</f>
        <v/>
      </c>
      <c r="H700" s="28"/>
      <c r="I700" s="27"/>
      <c r="J700" s="26"/>
      <c r="K700" s="27"/>
      <c r="L700" s="27"/>
      <c r="M700" s="27"/>
      <c r="N700" s="27"/>
      <c r="O700" s="31" t="str">
        <f aca="false">IF(G700="","",VLOOKUP(G700,Setup!$A$14:$C$17,3,0))</f>
        <v/>
      </c>
      <c r="P700" s="27"/>
      <c r="Q700" s="33" t="str">
        <f aca="false">IF(OR(P700="",M700&lt;&gt;"Paid",O700=""),"",P700/O700)</f>
        <v/>
      </c>
      <c r="R700" s="34" t="str">
        <f aca="false">IF(Q700="","",Q700+N(H700)*0.000000001)</f>
        <v/>
      </c>
      <c r="S700" s="32" t="str">
        <f aca="false">IF(R700="","",SUMPRODUCT((I$5:I$4004=I700)*ISNUMBER(R$5:R$4004)*(R$5:R$4004&gt;R700))+1)</f>
        <v/>
      </c>
      <c r="T700" s="32" t="str">
        <f aca="false">IF(S700="","",IF(S700&lt;=Setup!$B$5,"🏆 WINNER",""))</f>
        <v/>
      </c>
      <c r="U700" s="31" t="str">
        <f aca="false">IF(S700="","",I700&amp;"|"&amp;S700)</f>
        <v/>
      </c>
    </row>
    <row r="701" customFormat="false" ht="15" hidden="false" customHeight="false" outlineLevel="0" collapsed="false">
      <c r="A701" s="24" t="n">
        <v>697</v>
      </c>
      <c r="B701" s="25" t="str">
        <f aca="false">IF(OR(C701="",I701="",G701=""),"",IFERROR(VLOOKUP(I701,Setup!$A$9:$B$11,2,0),"???")&amp;"-"&amp;G701&amp;"-"&amp;TEXT(COUNTIFS(I$5:I701,I701,G$5:G701,G701),"0000"))</f>
        <v/>
      </c>
      <c r="C701" s="26"/>
      <c r="D701" s="26"/>
      <c r="E701" s="27"/>
      <c r="F701" s="27"/>
      <c r="G701" s="24" t="str">
        <f aca="false">IF(F701="","",IF(F701&lt;=5,"A",IF(F701&lt;=8,"B",IF(F701&lt;=10,"C","D"))))</f>
        <v/>
      </c>
      <c r="H701" s="28"/>
      <c r="I701" s="27"/>
      <c r="J701" s="26"/>
      <c r="K701" s="27"/>
      <c r="L701" s="27"/>
      <c r="M701" s="27"/>
      <c r="N701" s="27"/>
      <c r="O701" s="24" t="str">
        <f aca="false">IF(G701="","",VLOOKUP(G701,Setup!$A$14:$C$17,3,0))</f>
        <v/>
      </c>
      <c r="P701" s="27"/>
      <c r="Q701" s="29" t="str">
        <f aca="false">IF(OR(P701="",M701&lt;&gt;"Paid",O701=""),"",P701/O701)</f>
        <v/>
      </c>
      <c r="R701" s="30" t="str">
        <f aca="false">IF(Q701="","",Q701+N(H701)*0.000000001)</f>
        <v/>
      </c>
      <c r="S701" s="25" t="str">
        <f aca="false">IF(R701="","",SUMPRODUCT((I$5:I$4004=I701)*ISNUMBER(R$5:R$4004)*(R$5:R$4004&gt;R701))+1)</f>
        <v/>
      </c>
      <c r="T701" s="25" t="str">
        <f aca="false">IF(S701="","",IF(S701&lt;=Setup!$B$5,"🏆 WINNER",""))</f>
        <v/>
      </c>
      <c r="U701" s="24" t="str">
        <f aca="false">IF(S701="","",I701&amp;"|"&amp;S701)</f>
        <v/>
      </c>
    </row>
    <row r="702" customFormat="false" ht="15" hidden="false" customHeight="false" outlineLevel="0" collapsed="false">
      <c r="A702" s="31" t="n">
        <v>698</v>
      </c>
      <c r="B702" s="32" t="str">
        <f aca="false">IF(OR(C702="",I702="",G702=""),"",IFERROR(VLOOKUP(I702,Setup!$A$9:$B$11,2,0),"???")&amp;"-"&amp;G702&amp;"-"&amp;TEXT(COUNTIFS(I$5:I702,I702,G$5:G702,G702),"0000"))</f>
        <v/>
      </c>
      <c r="C702" s="26"/>
      <c r="D702" s="26"/>
      <c r="E702" s="27"/>
      <c r="F702" s="27"/>
      <c r="G702" s="31" t="str">
        <f aca="false">IF(F702="","",IF(F702&lt;=5,"A",IF(F702&lt;=8,"B",IF(F702&lt;=10,"C","D"))))</f>
        <v/>
      </c>
      <c r="H702" s="28"/>
      <c r="I702" s="27"/>
      <c r="J702" s="26"/>
      <c r="K702" s="27"/>
      <c r="L702" s="27"/>
      <c r="M702" s="27"/>
      <c r="N702" s="27"/>
      <c r="O702" s="31" t="str">
        <f aca="false">IF(G702="","",VLOOKUP(G702,Setup!$A$14:$C$17,3,0))</f>
        <v/>
      </c>
      <c r="P702" s="27"/>
      <c r="Q702" s="33" t="str">
        <f aca="false">IF(OR(P702="",M702&lt;&gt;"Paid",O702=""),"",P702/O702)</f>
        <v/>
      </c>
      <c r="R702" s="34" t="str">
        <f aca="false">IF(Q702="","",Q702+N(H702)*0.000000001)</f>
        <v/>
      </c>
      <c r="S702" s="32" t="str">
        <f aca="false">IF(R702="","",SUMPRODUCT((I$5:I$4004=I702)*ISNUMBER(R$5:R$4004)*(R$5:R$4004&gt;R702))+1)</f>
        <v/>
      </c>
      <c r="T702" s="32" t="str">
        <f aca="false">IF(S702="","",IF(S702&lt;=Setup!$B$5,"🏆 WINNER",""))</f>
        <v/>
      </c>
      <c r="U702" s="31" t="str">
        <f aca="false">IF(S702="","",I702&amp;"|"&amp;S702)</f>
        <v/>
      </c>
    </row>
    <row r="703" customFormat="false" ht="15" hidden="false" customHeight="false" outlineLevel="0" collapsed="false">
      <c r="A703" s="24" t="n">
        <v>699</v>
      </c>
      <c r="B703" s="25" t="str">
        <f aca="false">IF(OR(C703="",I703="",G703=""),"",IFERROR(VLOOKUP(I703,Setup!$A$9:$B$11,2,0),"???")&amp;"-"&amp;G703&amp;"-"&amp;TEXT(COUNTIFS(I$5:I703,I703,G$5:G703,G703),"0000"))</f>
        <v/>
      </c>
      <c r="C703" s="26"/>
      <c r="D703" s="26"/>
      <c r="E703" s="27"/>
      <c r="F703" s="27"/>
      <c r="G703" s="24" t="str">
        <f aca="false">IF(F703="","",IF(F703&lt;=5,"A",IF(F703&lt;=8,"B",IF(F703&lt;=10,"C","D"))))</f>
        <v/>
      </c>
      <c r="H703" s="28"/>
      <c r="I703" s="27"/>
      <c r="J703" s="26"/>
      <c r="K703" s="27"/>
      <c r="L703" s="27"/>
      <c r="M703" s="27"/>
      <c r="N703" s="27"/>
      <c r="O703" s="24" t="str">
        <f aca="false">IF(G703="","",VLOOKUP(G703,Setup!$A$14:$C$17,3,0))</f>
        <v/>
      </c>
      <c r="P703" s="27"/>
      <c r="Q703" s="29" t="str">
        <f aca="false">IF(OR(P703="",M703&lt;&gt;"Paid",O703=""),"",P703/O703)</f>
        <v/>
      </c>
      <c r="R703" s="30" t="str">
        <f aca="false">IF(Q703="","",Q703+N(H703)*0.000000001)</f>
        <v/>
      </c>
      <c r="S703" s="25" t="str">
        <f aca="false">IF(R703="","",SUMPRODUCT((I$5:I$4004=I703)*ISNUMBER(R$5:R$4004)*(R$5:R$4004&gt;R703))+1)</f>
        <v/>
      </c>
      <c r="T703" s="25" t="str">
        <f aca="false">IF(S703="","",IF(S703&lt;=Setup!$B$5,"🏆 WINNER",""))</f>
        <v/>
      </c>
      <c r="U703" s="24" t="str">
        <f aca="false">IF(S703="","",I703&amp;"|"&amp;S703)</f>
        <v/>
      </c>
    </row>
    <row r="704" customFormat="false" ht="15" hidden="false" customHeight="false" outlineLevel="0" collapsed="false">
      <c r="A704" s="31" t="n">
        <v>700</v>
      </c>
      <c r="B704" s="32" t="str">
        <f aca="false">IF(OR(C704="",I704="",G704=""),"",IFERROR(VLOOKUP(I704,Setup!$A$9:$B$11,2,0),"???")&amp;"-"&amp;G704&amp;"-"&amp;TEXT(COUNTIFS(I$5:I704,I704,G$5:G704,G704),"0000"))</f>
        <v/>
      </c>
      <c r="C704" s="26"/>
      <c r="D704" s="26"/>
      <c r="E704" s="27"/>
      <c r="F704" s="27"/>
      <c r="G704" s="31" t="str">
        <f aca="false">IF(F704="","",IF(F704&lt;=5,"A",IF(F704&lt;=8,"B",IF(F704&lt;=10,"C","D"))))</f>
        <v/>
      </c>
      <c r="H704" s="28"/>
      <c r="I704" s="27"/>
      <c r="J704" s="26"/>
      <c r="K704" s="27"/>
      <c r="L704" s="27"/>
      <c r="M704" s="27"/>
      <c r="N704" s="27"/>
      <c r="O704" s="31" t="str">
        <f aca="false">IF(G704="","",VLOOKUP(G704,Setup!$A$14:$C$17,3,0))</f>
        <v/>
      </c>
      <c r="P704" s="27"/>
      <c r="Q704" s="33" t="str">
        <f aca="false">IF(OR(P704="",M704&lt;&gt;"Paid",O704=""),"",P704/O704)</f>
        <v/>
      </c>
      <c r="R704" s="34" t="str">
        <f aca="false">IF(Q704="","",Q704+N(H704)*0.000000001)</f>
        <v/>
      </c>
      <c r="S704" s="32" t="str">
        <f aca="false">IF(R704="","",SUMPRODUCT((I$5:I$4004=I704)*ISNUMBER(R$5:R$4004)*(R$5:R$4004&gt;R704))+1)</f>
        <v/>
      </c>
      <c r="T704" s="32" t="str">
        <f aca="false">IF(S704="","",IF(S704&lt;=Setup!$B$5,"🏆 WINNER",""))</f>
        <v/>
      </c>
      <c r="U704" s="31" t="str">
        <f aca="false">IF(S704="","",I704&amp;"|"&amp;S704)</f>
        <v/>
      </c>
    </row>
    <row r="705" customFormat="false" ht="15" hidden="false" customHeight="false" outlineLevel="0" collapsed="false">
      <c r="A705" s="24" t="n">
        <v>701</v>
      </c>
      <c r="B705" s="25" t="str">
        <f aca="false">IF(OR(C705="",I705="",G705=""),"",IFERROR(VLOOKUP(I705,Setup!$A$9:$B$11,2,0),"???")&amp;"-"&amp;G705&amp;"-"&amp;TEXT(COUNTIFS(I$5:I705,I705,G$5:G705,G705),"0000"))</f>
        <v/>
      </c>
      <c r="C705" s="26"/>
      <c r="D705" s="26"/>
      <c r="E705" s="27"/>
      <c r="F705" s="27"/>
      <c r="G705" s="24" t="str">
        <f aca="false">IF(F705="","",IF(F705&lt;=5,"A",IF(F705&lt;=8,"B",IF(F705&lt;=10,"C","D"))))</f>
        <v/>
      </c>
      <c r="H705" s="28"/>
      <c r="I705" s="27"/>
      <c r="J705" s="26"/>
      <c r="K705" s="27"/>
      <c r="L705" s="27"/>
      <c r="M705" s="27"/>
      <c r="N705" s="27"/>
      <c r="O705" s="24" t="str">
        <f aca="false">IF(G705="","",VLOOKUP(G705,Setup!$A$14:$C$17,3,0))</f>
        <v/>
      </c>
      <c r="P705" s="27"/>
      <c r="Q705" s="29" t="str">
        <f aca="false">IF(OR(P705="",M705&lt;&gt;"Paid",O705=""),"",P705/O705)</f>
        <v/>
      </c>
      <c r="R705" s="30" t="str">
        <f aca="false">IF(Q705="","",Q705+N(H705)*0.000000001)</f>
        <v/>
      </c>
      <c r="S705" s="25" t="str">
        <f aca="false">IF(R705="","",SUMPRODUCT((I$5:I$4004=I705)*ISNUMBER(R$5:R$4004)*(R$5:R$4004&gt;R705))+1)</f>
        <v/>
      </c>
      <c r="T705" s="25" t="str">
        <f aca="false">IF(S705="","",IF(S705&lt;=Setup!$B$5,"🏆 WINNER",""))</f>
        <v/>
      </c>
      <c r="U705" s="24" t="str">
        <f aca="false">IF(S705="","",I705&amp;"|"&amp;S705)</f>
        <v/>
      </c>
    </row>
    <row r="706" customFormat="false" ht="15" hidden="false" customHeight="false" outlineLevel="0" collapsed="false">
      <c r="A706" s="31" t="n">
        <v>702</v>
      </c>
      <c r="B706" s="32" t="str">
        <f aca="false">IF(OR(C706="",I706="",G706=""),"",IFERROR(VLOOKUP(I706,Setup!$A$9:$B$11,2,0),"???")&amp;"-"&amp;G706&amp;"-"&amp;TEXT(COUNTIFS(I$5:I706,I706,G$5:G706,G706),"0000"))</f>
        <v/>
      </c>
      <c r="C706" s="26"/>
      <c r="D706" s="26"/>
      <c r="E706" s="27"/>
      <c r="F706" s="27"/>
      <c r="G706" s="31" t="str">
        <f aca="false">IF(F706="","",IF(F706&lt;=5,"A",IF(F706&lt;=8,"B",IF(F706&lt;=10,"C","D"))))</f>
        <v/>
      </c>
      <c r="H706" s="28"/>
      <c r="I706" s="27"/>
      <c r="J706" s="26"/>
      <c r="K706" s="27"/>
      <c r="L706" s="27"/>
      <c r="M706" s="27"/>
      <c r="N706" s="27"/>
      <c r="O706" s="31" t="str">
        <f aca="false">IF(G706="","",VLOOKUP(G706,Setup!$A$14:$C$17,3,0))</f>
        <v/>
      </c>
      <c r="P706" s="27"/>
      <c r="Q706" s="33" t="str">
        <f aca="false">IF(OR(P706="",M706&lt;&gt;"Paid",O706=""),"",P706/O706)</f>
        <v/>
      </c>
      <c r="R706" s="34" t="str">
        <f aca="false">IF(Q706="","",Q706+N(H706)*0.000000001)</f>
        <v/>
      </c>
      <c r="S706" s="32" t="str">
        <f aca="false">IF(R706="","",SUMPRODUCT((I$5:I$4004=I706)*ISNUMBER(R$5:R$4004)*(R$5:R$4004&gt;R706))+1)</f>
        <v/>
      </c>
      <c r="T706" s="32" t="str">
        <f aca="false">IF(S706="","",IF(S706&lt;=Setup!$B$5,"🏆 WINNER",""))</f>
        <v/>
      </c>
      <c r="U706" s="31" t="str">
        <f aca="false">IF(S706="","",I706&amp;"|"&amp;S706)</f>
        <v/>
      </c>
    </row>
    <row r="707" customFormat="false" ht="15" hidden="false" customHeight="false" outlineLevel="0" collapsed="false">
      <c r="A707" s="24" t="n">
        <v>703</v>
      </c>
      <c r="B707" s="25" t="str">
        <f aca="false">IF(OR(C707="",I707="",G707=""),"",IFERROR(VLOOKUP(I707,Setup!$A$9:$B$11,2,0),"???")&amp;"-"&amp;G707&amp;"-"&amp;TEXT(COUNTIFS(I$5:I707,I707,G$5:G707,G707),"0000"))</f>
        <v/>
      </c>
      <c r="C707" s="26"/>
      <c r="D707" s="26"/>
      <c r="E707" s="27"/>
      <c r="F707" s="27"/>
      <c r="G707" s="24" t="str">
        <f aca="false">IF(F707="","",IF(F707&lt;=5,"A",IF(F707&lt;=8,"B",IF(F707&lt;=10,"C","D"))))</f>
        <v/>
      </c>
      <c r="H707" s="28"/>
      <c r="I707" s="27"/>
      <c r="J707" s="26"/>
      <c r="K707" s="27"/>
      <c r="L707" s="27"/>
      <c r="M707" s="27"/>
      <c r="N707" s="27"/>
      <c r="O707" s="24" t="str">
        <f aca="false">IF(G707="","",VLOOKUP(G707,Setup!$A$14:$C$17,3,0))</f>
        <v/>
      </c>
      <c r="P707" s="27"/>
      <c r="Q707" s="29" t="str">
        <f aca="false">IF(OR(P707="",M707&lt;&gt;"Paid",O707=""),"",P707/O707)</f>
        <v/>
      </c>
      <c r="R707" s="30" t="str">
        <f aca="false">IF(Q707="","",Q707+N(H707)*0.000000001)</f>
        <v/>
      </c>
      <c r="S707" s="25" t="str">
        <f aca="false">IF(R707="","",SUMPRODUCT((I$5:I$4004=I707)*ISNUMBER(R$5:R$4004)*(R$5:R$4004&gt;R707))+1)</f>
        <v/>
      </c>
      <c r="T707" s="25" t="str">
        <f aca="false">IF(S707="","",IF(S707&lt;=Setup!$B$5,"🏆 WINNER",""))</f>
        <v/>
      </c>
      <c r="U707" s="24" t="str">
        <f aca="false">IF(S707="","",I707&amp;"|"&amp;S707)</f>
        <v/>
      </c>
    </row>
    <row r="708" customFormat="false" ht="15" hidden="false" customHeight="false" outlineLevel="0" collapsed="false">
      <c r="A708" s="31" t="n">
        <v>704</v>
      </c>
      <c r="B708" s="32" t="str">
        <f aca="false">IF(OR(C708="",I708="",G708=""),"",IFERROR(VLOOKUP(I708,Setup!$A$9:$B$11,2,0),"???")&amp;"-"&amp;G708&amp;"-"&amp;TEXT(COUNTIFS(I$5:I708,I708,G$5:G708,G708),"0000"))</f>
        <v/>
      </c>
      <c r="C708" s="26"/>
      <c r="D708" s="26"/>
      <c r="E708" s="27"/>
      <c r="F708" s="27"/>
      <c r="G708" s="31" t="str">
        <f aca="false">IF(F708="","",IF(F708&lt;=5,"A",IF(F708&lt;=8,"B",IF(F708&lt;=10,"C","D"))))</f>
        <v/>
      </c>
      <c r="H708" s="28"/>
      <c r="I708" s="27"/>
      <c r="J708" s="26"/>
      <c r="K708" s="27"/>
      <c r="L708" s="27"/>
      <c r="M708" s="27"/>
      <c r="N708" s="27"/>
      <c r="O708" s="31" t="str">
        <f aca="false">IF(G708="","",VLOOKUP(G708,Setup!$A$14:$C$17,3,0))</f>
        <v/>
      </c>
      <c r="P708" s="27"/>
      <c r="Q708" s="33" t="str">
        <f aca="false">IF(OR(P708="",M708&lt;&gt;"Paid",O708=""),"",P708/O708)</f>
        <v/>
      </c>
      <c r="R708" s="34" t="str">
        <f aca="false">IF(Q708="","",Q708+N(H708)*0.000000001)</f>
        <v/>
      </c>
      <c r="S708" s="32" t="str">
        <f aca="false">IF(R708="","",SUMPRODUCT((I$5:I$4004=I708)*ISNUMBER(R$5:R$4004)*(R$5:R$4004&gt;R708))+1)</f>
        <v/>
      </c>
      <c r="T708" s="32" t="str">
        <f aca="false">IF(S708="","",IF(S708&lt;=Setup!$B$5,"🏆 WINNER",""))</f>
        <v/>
      </c>
      <c r="U708" s="31" t="str">
        <f aca="false">IF(S708="","",I708&amp;"|"&amp;S708)</f>
        <v/>
      </c>
    </row>
    <row r="709" customFormat="false" ht="15" hidden="false" customHeight="false" outlineLevel="0" collapsed="false">
      <c r="A709" s="24" t="n">
        <v>705</v>
      </c>
      <c r="B709" s="25" t="str">
        <f aca="false">IF(OR(C709="",I709="",G709=""),"",IFERROR(VLOOKUP(I709,Setup!$A$9:$B$11,2,0),"???")&amp;"-"&amp;G709&amp;"-"&amp;TEXT(COUNTIFS(I$5:I709,I709,G$5:G709,G709),"0000"))</f>
        <v/>
      </c>
      <c r="C709" s="26"/>
      <c r="D709" s="26"/>
      <c r="E709" s="27"/>
      <c r="F709" s="27"/>
      <c r="G709" s="24" t="str">
        <f aca="false">IF(F709="","",IF(F709&lt;=5,"A",IF(F709&lt;=8,"B",IF(F709&lt;=10,"C","D"))))</f>
        <v/>
      </c>
      <c r="H709" s="28"/>
      <c r="I709" s="27"/>
      <c r="J709" s="26"/>
      <c r="K709" s="27"/>
      <c r="L709" s="27"/>
      <c r="M709" s="27"/>
      <c r="N709" s="27"/>
      <c r="O709" s="24" t="str">
        <f aca="false">IF(G709="","",VLOOKUP(G709,Setup!$A$14:$C$17,3,0))</f>
        <v/>
      </c>
      <c r="P709" s="27"/>
      <c r="Q709" s="29" t="str">
        <f aca="false">IF(OR(P709="",M709&lt;&gt;"Paid",O709=""),"",P709/O709)</f>
        <v/>
      </c>
      <c r="R709" s="30" t="str">
        <f aca="false">IF(Q709="","",Q709+N(H709)*0.000000001)</f>
        <v/>
      </c>
      <c r="S709" s="25" t="str">
        <f aca="false">IF(R709="","",SUMPRODUCT((I$5:I$4004=I709)*ISNUMBER(R$5:R$4004)*(R$5:R$4004&gt;R709))+1)</f>
        <v/>
      </c>
      <c r="T709" s="25" t="str">
        <f aca="false">IF(S709="","",IF(S709&lt;=Setup!$B$5,"🏆 WINNER",""))</f>
        <v/>
      </c>
      <c r="U709" s="24" t="str">
        <f aca="false">IF(S709="","",I709&amp;"|"&amp;S709)</f>
        <v/>
      </c>
    </row>
    <row r="710" customFormat="false" ht="15" hidden="false" customHeight="false" outlineLevel="0" collapsed="false">
      <c r="A710" s="31" t="n">
        <v>706</v>
      </c>
      <c r="B710" s="32" t="str">
        <f aca="false">IF(OR(C710="",I710="",G710=""),"",IFERROR(VLOOKUP(I710,Setup!$A$9:$B$11,2,0),"???")&amp;"-"&amp;G710&amp;"-"&amp;TEXT(COUNTIFS(I$5:I710,I710,G$5:G710,G710),"0000"))</f>
        <v/>
      </c>
      <c r="C710" s="26"/>
      <c r="D710" s="26"/>
      <c r="E710" s="27"/>
      <c r="F710" s="27"/>
      <c r="G710" s="31" t="str">
        <f aca="false">IF(F710="","",IF(F710&lt;=5,"A",IF(F710&lt;=8,"B",IF(F710&lt;=10,"C","D"))))</f>
        <v/>
      </c>
      <c r="H710" s="28"/>
      <c r="I710" s="27"/>
      <c r="J710" s="26"/>
      <c r="K710" s="27"/>
      <c r="L710" s="27"/>
      <c r="M710" s="27"/>
      <c r="N710" s="27"/>
      <c r="O710" s="31" t="str">
        <f aca="false">IF(G710="","",VLOOKUP(G710,Setup!$A$14:$C$17,3,0))</f>
        <v/>
      </c>
      <c r="P710" s="27"/>
      <c r="Q710" s="33" t="str">
        <f aca="false">IF(OR(P710="",M710&lt;&gt;"Paid",O710=""),"",P710/O710)</f>
        <v/>
      </c>
      <c r="R710" s="34" t="str">
        <f aca="false">IF(Q710="","",Q710+N(H710)*0.000000001)</f>
        <v/>
      </c>
      <c r="S710" s="32" t="str">
        <f aca="false">IF(R710="","",SUMPRODUCT((I$5:I$4004=I710)*ISNUMBER(R$5:R$4004)*(R$5:R$4004&gt;R710))+1)</f>
        <v/>
      </c>
      <c r="T710" s="32" t="str">
        <f aca="false">IF(S710="","",IF(S710&lt;=Setup!$B$5,"🏆 WINNER",""))</f>
        <v/>
      </c>
      <c r="U710" s="31" t="str">
        <f aca="false">IF(S710="","",I710&amp;"|"&amp;S710)</f>
        <v/>
      </c>
    </row>
    <row r="711" customFormat="false" ht="15" hidden="false" customHeight="false" outlineLevel="0" collapsed="false">
      <c r="A711" s="24" t="n">
        <v>707</v>
      </c>
      <c r="B711" s="25" t="str">
        <f aca="false">IF(OR(C711="",I711="",G711=""),"",IFERROR(VLOOKUP(I711,Setup!$A$9:$B$11,2,0),"???")&amp;"-"&amp;G711&amp;"-"&amp;TEXT(COUNTIFS(I$5:I711,I711,G$5:G711,G711),"0000"))</f>
        <v/>
      </c>
      <c r="C711" s="26"/>
      <c r="D711" s="26"/>
      <c r="E711" s="27"/>
      <c r="F711" s="27"/>
      <c r="G711" s="24" t="str">
        <f aca="false">IF(F711="","",IF(F711&lt;=5,"A",IF(F711&lt;=8,"B",IF(F711&lt;=10,"C","D"))))</f>
        <v/>
      </c>
      <c r="H711" s="28"/>
      <c r="I711" s="27"/>
      <c r="J711" s="26"/>
      <c r="K711" s="27"/>
      <c r="L711" s="27"/>
      <c r="M711" s="27"/>
      <c r="N711" s="27"/>
      <c r="O711" s="24" t="str">
        <f aca="false">IF(G711="","",VLOOKUP(G711,Setup!$A$14:$C$17,3,0))</f>
        <v/>
      </c>
      <c r="P711" s="27"/>
      <c r="Q711" s="29" t="str">
        <f aca="false">IF(OR(P711="",M711&lt;&gt;"Paid",O711=""),"",P711/O711)</f>
        <v/>
      </c>
      <c r="R711" s="30" t="str">
        <f aca="false">IF(Q711="","",Q711+N(H711)*0.000000001)</f>
        <v/>
      </c>
      <c r="S711" s="25" t="str">
        <f aca="false">IF(R711="","",SUMPRODUCT((I$5:I$4004=I711)*ISNUMBER(R$5:R$4004)*(R$5:R$4004&gt;R711))+1)</f>
        <v/>
      </c>
      <c r="T711" s="25" t="str">
        <f aca="false">IF(S711="","",IF(S711&lt;=Setup!$B$5,"🏆 WINNER",""))</f>
        <v/>
      </c>
      <c r="U711" s="24" t="str">
        <f aca="false">IF(S711="","",I711&amp;"|"&amp;S711)</f>
        <v/>
      </c>
    </row>
    <row r="712" customFormat="false" ht="15" hidden="false" customHeight="false" outlineLevel="0" collapsed="false">
      <c r="A712" s="31" t="n">
        <v>708</v>
      </c>
      <c r="B712" s="32" t="str">
        <f aca="false">IF(OR(C712="",I712="",G712=""),"",IFERROR(VLOOKUP(I712,Setup!$A$9:$B$11,2,0),"???")&amp;"-"&amp;G712&amp;"-"&amp;TEXT(COUNTIFS(I$5:I712,I712,G$5:G712,G712),"0000"))</f>
        <v/>
      </c>
      <c r="C712" s="26"/>
      <c r="D712" s="26"/>
      <c r="E712" s="27"/>
      <c r="F712" s="27"/>
      <c r="G712" s="31" t="str">
        <f aca="false">IF(F712="","",IF(F712&lt;=5,"A",IF(F712&lt;=8,"B",IF(F712&lt;=10,"C","D"))))</f>
        <v/>
      </c>
      <c r="H712" s="28"/>
      <c r="I712" s="27"/>
      <c r="J712" s="26"/>
      <c r="K712" s="27"/>
      <c r="L712" s="27"/>
      <c r="M712" s="27"/>
      <c r="N712" s="27"/>
      <c r="O712" s="31" t="str">
        <f aca="false">IF(G712="","",VLOOKUP(G712,Setup!$A$14:$C$17,3,0))</f>
        <v/>
      </c>
      <c r="P712" s="27"/>
      <c r="Q712" s="33" t="str">
        <f aca="false">IF(OR(P712="",M712&lt;&gt;"Paid",O712=""),"",P712/O712)</f>
        <v/>
      </c>
      <c r="R712" s="34" t="str">
        <f aca="false">IF(Q712="","",Q712+N(H712)*0.000000001)</f>
        <v/>
      </c>
      <c r="S712" s="32" t="str">
        <f aca="false">IF(R712="","",SUMPRODUCT((I$5:I$4004=I712)*ISNUMBER(R$5:R$4004)*(R$5:R$4004&gt;R712))+1)</f>
        <v/>
      </c>
      <c r="T712" s="32" t="str">
        <f aca="false">IF(S712="","",IF(S712&lt;=Setup!$B$5,"🏆 WINNER",""))</f>
        <v/>
      </c>
      <c r="U712" s="31" t="str">
        <f aca="false">IF(S712="","",I712&amp;"|"&amp;S712)</f>
        <v/>
      </c>
    </row>
    <row r="713" customFormat="false" ht="15" hidden="false" customHeight="false" outlineLevel="0" collapsed="false">
      <c r="A713" s="24" t="n">
        <v>709</v>
      </c>
      <c r="B713" s="25" t="str">
        <f aca="false">IF(OR(C713="",I713="",G713=""),"",IFERROR(VLOOKUP(I713,Setup!$A$9:$B$11,2,0),"???")&amp;"-"&amp;G713&amp;"-"&amp;TEXT(COUNTIFS(I$5:I713,I713,G$5:G713,G713),"0000"))</f>
        <v/>
      </c>
      <c r="C713" s="26"/>
      <c r="D713" s="26"/>
      <c r="E713" s="27"/>
      <c r="F713" s="27"/>
      <c r="G713" s="24" t="str">
        <f aca="false">IF(F713="","",IF(F713&lt;=5,"A",IF(F713&lt;=8,"B",IF(F713&lt;=10,"C","D"))))</f>
        <v/>
      </c>
      <c r="H713" s="28"/>
      <c r="I713" s="27"/>
      <c r="J713" s="26"/>
      <c r="K713" s="27"/>
      <c r="L713" s="27"/>
      <c r="M713" s="27"/>
      <c r="N713" s="27"/>
      <c r="O713" s="24" t="str">
        <f aca="false">IF(G713="","",VLOOKUP(G713,Setup!$A$14:$C$17,3,0))</f>
        <v/>
      </c>
      <c r="P713" s="27"/>
      <c r="Q713" s="29" t="str">
        <f aca="false">IF(OR(P713="",M713&lt;&gt;"Paid",O713=""),"",P713/O713)</f>
        <v/>
      </c>
      <c r="R713" s="30" t="str">
        <f aca="false">IF(Q713="","",Q713+N(H713)*0.000000001)</f>
        <v/>
      </c>
      <c r="S713" s="25" t="str">
        <f aca="false">IF(R713="","",SUMPRODUCT((I$5:I$4004=I713)*ISNUMBER(R$5:R$4004)*(R$5:R$4004&gt;R713))+1)</f>
        <v/>
      </c>
      <c r="T713" s="25" t="str">
        <f aca="false">IF(S713="","",IF(S713&lt;=Setup!$B$5,"🏆 WINNER",""))</f>
        <v/>
      </c>
      <c r="U713" s="24" t="str">
        <f aca="false">IF(S713="","",I713&amp;"|"&amp;S713)</f>
        <v/>
      </c>
    </row>
    <row r="714" customFormat="false" ht="15" hidden="false" customHeight="false" outlineLevel="0" collapsed="false">
      <c r="A714" s="31" t="n">
        <v>710</v>
      </c>
      <c r="B714" s="32" t="str">
        <f aca="false">IF(OR(C714="",I714="",G714=""),"",IFERROR(VLOOKUP(I714,Setup!$A$9:$B$11,2,0),"???")&amp;"-"&amp;G714&amp;"-"&amp;TEXT(COUNTIFS(I$5:I714,I714,G$5:G714,G714),"0000"))</f>
        <v/>
      </c>
      <c r="C714" s="26"/>
      <c r="D714" s="26"/>
      <c r="E714" s="27"/>
      <c r="F714" s="27"/>
      <c r="G714" s="31" t="str">
        <f aca="false">IF(F714="","",IF(F714&lt;=5,"A",IF(F714&lt;=8,"B",IF(F714&lt;=10,"C","D"))))</f>
        <v/>
      </c>
      <c r="H714" s="28"/>
      <c r="I714" s="27"/>
      <c r="J714" s="26"/>
      <c r="K714" s="27"/>
      <c r="L714" s="27"/>
      <c r="M714" s="27"/>
      <c r="N714" s="27"/>
      <c r="O714" s="31" t="str">
        <f aca="false">IF(G714="","",VLOOKUP(G714,Setup!$A$14:$C$17,3,0))</f>
        <v/>
      </c>
      <c r="P714" s="27"/>
      <c r="Q714" s="33" t="str">
        <f aca="false">IF(OR(P714="",M714&lt;&gt;"Paid",O714=""),"",P714/O714)</f>
        <v/>
      </c>
      <c r="R714" s="34" t="str">
        <f aca="false">IF(Q714="","",Q714+N(H714)*0.000000001)</f>
        <v/>
      </c>
      <c r="S714" s="32" t="str">
        <f aca="false">IF(R714="","",SUMPRODUCT((I$5:I$4004=I714)*ISNUMBER(R$5:R$4004)*(R$5:R$4004&gt;R714))+1)</f>
        <v/>
      </c>
      <c r="T714" s="32" t="str">
        <f aca="false">IF(S714="","",IF(S714&lt;=Setup!$B$5,"🏆 WINNER",""))</f>
        <v/>
      </c>
      <c r="U714" s="31" t="str">
        <f aca="false">IF(S714="","",I714&amp;"|"&amp;S714)</f>
        <v/>
      </c>
    </row>
    <row r="715" customFormat="false" ht="15" hidden="false" customHeight="false" outlineLevel="0" collapsed="false">
      <c r="A715" s="24" t="n">
        <v>711</v>
      </c>
      <c r="B715" s="25" t="str">
        <f aca="false">IF(OR(C715="",I715="",G715=""),"",IFERROR(VLOOKUP(I715,Setup!$A$9:$B$11,2,0),"???")&amp;"-"&amp;G715&amp;"-"&amp;TEXT(COUNTIFS(I$5:I715,I715,G$5:G715,G715),"0000"))</f>
        <v/>
      </c>
      <c r="C715" s="26"/>
      <c r="D715" s="26"/>
      <c r="E715" s="27"/>
      <c r="F715" s="27"/>
      <c r="G715" s="24" t="str">
        <f aca="false">IF(F715="","",IF(F715&lt;=5,"A",IF(F715&lt;=8,"B",IF(F715&lt;=10,"C","D"))))</f>
        <v/>
      </c>
      <c r="H715" s="28"/>
      <c r="I715" s="27"/>
      <c r="J715" s="26"/>
      <c r="K715" s="27"/>
      <c r="L715" s="27"/>
      <c r="M715" s="27"/>
      <c r="N715" s="27"/>
      <c r="O715" s="24" t="str">
        <f aca="false">IF(G715="","",VLOOKUP(G715,Setup!$A$14:$C$17,3,0))</f>
        <v/>
      </c>
      <c r="P715" s="27"/>
      <c r="Q715" s="29" t="str">
        <f aca="false">IF(OR(P715="",M715&lt;&gt;"Paid",O715=""),"",P715/O715)</f>
        <v/>
      </c>
      <c r="R715" s="30" t="str">
        <f aca="false">IF(Q715="","",Q715+N(H715)*0.000000001)</f>
        <v/>
      </c>
      <c r="S715" s="25" t="str">
        <f aca="false">IF(R715="","",SUMPRODUCT((I$5:I$4004=I715)*ISNUMBER(R$5:R$4004)*(R$5:R$4004&gt;R715))+1)</f>
        <v/>
      </c>
      <c r="T715" s="25" t="str">
        <f aca="false">IF(S715="","",IF(S715&lt;=Setup!$B$5,"🏆 WINNER",""))</f>
        <v/>
      </c>
      <c r="U715" s="24" t="str">
        <f aca="false">IF(S715="","",I715&amp;"|"&amp;S715)</f>
        <v/>
      </c>
    </row>
    <row r="716" customFormat="false" ht="15" hidden="false" customHeight="false" outlineLevel="0" collapsed="false">
      <c r="A716" s="31" t="n">
        <v>712</v>
      </c>
      <c r="B716" s="32" t="str">
        <f aca="false">IF(OR(C716="",I716="",G716=""),"",IFERROR(VLOOKUP(I716,Setup!$A$9:$B$11,2,0),"???")&amp;"-"&amp;G716&amp;"-"&amp;TEXT(COUNTIFS(I$5:I716,I716,G$5:G716,G716),"0000"))</f>
        <v/>
      </c>
      <c r="C716" s="26"/>
      <c r="D716" s="26"/>
      <c r="E716" s="27"/>
      <c r="F716" s="27"/>
      <c r="G716" s="31" t="str">
        <f aca="false">IF(F716="","",IF(F716&lt;=5,"A",IF(F716&lt;=8,"B",IF(F716&lt;=10,"C","D"))))</f>
        <v/>
      </c>
      <c r="H716" s="28"/>
      <c r="I716" s="27"/>
      <c r="J716" s="26"/>
      <c r="K716" s="27"/>
      <c r="L716" s="27"/>
      <c r="M716" s="27"/>
      <c r="N716" s="27"/>
      <c r="O716" s="31" t="str">
        <f aca="false">IF(G716="","",VLOOKUP(G716,Setup!$A$14:$C$17,3,0))</f>
        <v/>
      </c>
      <c r="P716" s="27"/>
      <c r="Q716" s="33" t="str">
        <f aca="false">IF(OR(P716="",M716&lt;&gt;"Paid",O716=""),"",P716/O716)</f>
        <v/>
      </c>
      <c r="R716" s="34" t="str">
        <f aca="false">IF(Q716="","",Q716+N(H716)*0.000000001)</f>
        <v/>
      </c>
      <c r="S716" s="32" t="str">
        <f aca="false">IF(R716="","",SUMPRODUCT((I$5:I$4004=I716)*ISNUMBER(R$5:R$4004)*(R$5:R$4004&gt;R716))+1)</f>
        <v/>
      </c>
      <c r="T716" s="32" t="str">
        <f aca="false">IF(S716="","",IF(S716&lt;=Setup!$B$5,"🏆 WINNER",""))</f>
        <v/>
      </c>
      <c r="U716" s="31" t="str">
        <f aca="false">IF(S716="","",I716&amp;"|"&amp;S716)</f>
        <v/>
      </c>
    </row>
    <row r="717" customFormat="false" ht="15" hidden="false" customHeight="false" outlineLevel="0" collapsed="false">
      <c r="A717" s="24" t="n">
        <v>713</v>
      </c>
      <c r="B717" s="25" t="str">
        <f aca="false">IF(OR(C717="",I717="",G717=""),"",IFERROR(VLOOKUP(I717,Setup!$A$9:$B$11,2,0),"???")&amp;"-"&amp;G717&amp;"-"&amp;TEXT(COUNTIFS(I$5:I717,I717,G$5:G717,G717),"0000"))</f>
        <v/>
      </c>
      <c r="C717" s="26"/>
      <c r="D717" s="26"/>
      <c r="E717" s="27"/>
      <c r="F717" s="27"/>
      <c r="G717" s="24" t="str">
        <f aca="false">IF(F717="","",IF(F717&lt;=5,"A",IF(F717&lt;=8,"B",IF(F717&lt;=10,"C","D"))))</f>
        <v/>
      </c>
      <c r="H717" s="28"/>
      <c r="I717" s="27"/>
      <c r="J717" s="26"/>
      <c r="K717" s="27"/>
      <c r="L717" s="27"/>
      <c r="M717" s="27"/>
      <c r="N717" s="27"/>
      <c r="O717" s="24" t="str">
        <f aca="false">IF(G717="","",VLOOKUP(G717,Setup!$A$14:$C$17,3,0))</f>
        <v/>
      </c>
      <c r="P717" s="27"/>
      <c r="Q717" s="29" t="str">
        <f aca="false">IF(OR(P717="",M717&lt;&gt;"Paid",O717=""),"",P717/O717)</f>
        <v/>
      </c>
      <c r="R717" s="30" t="str">
        <f aca="false">IF(Q717="","",Q717+N(H717)*0.000000001)</f>
        <v/>
      </c>
      <c r="S717" s="25" t="str">
        <f aca="false">IF(R717="","",SUMPRODUCT((I$5:I$4004=I717)*ISNUMBER(R$5:R$4004)*(R$5:R$4004&gt;R717))+1)</f>
        <v/>
      </c>
      <c r="T717" s="25" t="str">
        <f aca="false">IF(S717="","",IF(S717&lt;=Setup!$B$5,"🏆 WINNER",""))</f>
        <v/>
      </c>
      <c r="U717" s="24" t="str">
        <f aca="false">IF(S717="","",I717&amp;"|"&amp;S717)</f>
        <v/>
      </c>
    </row>
    <row r="718" customFormat="false" ht="15" hidden="false" customHeight="false" outlineLevel="0" collapsed="false">
      <c r="A718" s="31" t="n">
        <v>714</v>
      </c>
      <c r="B718" s="32" t="str">
        <f aca="false">IF(OR(C718="",I718="",G718=""),"",IFERROR(VLOOKUP(I718,Setup!$A$9:$B$11,2,0),"???")&amp;"-"&amp;G718&amp;"-"&amp;TEXT(COUNTIFS(I$5:I718,I718,G$5:G718,G718),"0000"))</f>
        <v/>
      </c>
      <c r="C718" s="26"/>
      <c r="D718" s="26"/>
      <c r="E718" s="27"/>
      <c r="F718" s="27"/>
      <c r="G718" s="31" t="str">
        <f aca="false">IF(F718="","",IF(F718&lt;=5,"A",IF(F718&lt;=8,"B",IF(F718&lt;=10,"C","D"))))</f>
        <v/>
      </c>
      <c r="H718" s="28"/>
      <c r="I718" s="27"/>
      <c r="J718" s="26"/>
      <c r="K718" s="27"/>
      <c r="L718" s="27"/>
      <c r="M718" s="27"/>
      <c r="N718" s="27"/>
      <c r="O718" s="31" t="str">
        <f aca="false">IF(G718="","",VLOOKUP(G718,Setup!$A$14:$C$17,3,0))</f>
        <v/>
      </c>
      <c r="P718" s="27"/>
      <c r="Q718" s="33" t="str">
        <f aca="false">IF(OR(P718="",M718&lt;&gt;"Paid",O718=""),"",P718/O718)</f>
        <v/>
      </c>
      <c r="R718" s="34" t="str">
        <f aca="false">IF(Q718="","",Q718+N(H718)*0.000000001)</f>
        <v/>
      </c>
      <c r="S718" s="32" t="str">
        <f aca="false">IF(R718="","",SUMPRODUCT((I$5:I$4004=I718)*ISNUMBER(R$5:R$4004)*(R$5:R$4004&gt;R718))+1)</f>
        <v/>
      </c>
      <c r="T718" s="32" t="str">
        <f aca="false">IF(S718="","",IF(S718&lt;=Setup!$B$5,"🏆 WINNER",""))</f>
        <v/>
      </c>
      <c r="U718" s="31" t="str">
        <f aca="false">IF(S718="","",I718&amp;"|"&amp;S718)</f>
        <v/>
      </c>
    </row>
    <row r="719" customFormat="false" ht="15" hidden="false" customHeight="false" outlineLevel="0" collapsed="false">
      <c r="A719" s="24" t="n">
        <v>715</v>
      </c>
      <c r="B719" s="25" t="str">
        <f aca="false">IF(OR(C719="",I719="",G719=""),"",IFERROR(VLOOKUP(I719,Setup!$A$9:$B$11,2,0),"???")&amp;"-"&amp;G719&amp;"-"&amp;TEXT(COUNTIFS(I$5:I719,I719,G$5:G719,G719),"0000"))</f>
        <v/>
      </c>
      <c r="C719" s="26"/>
      <c r="D719" s="26"/>
      <c r="E719" s="27"/>
      <c r="F719" s="27"/>
      <c r="G719" s="24" t="str">
        <f aca="false">IF(F719="","",IF(F719&lt;=5,"A",IF(F719&lt;=8,"B",IF(F719&lt;=10,"C","D"))))</f>
        <v/>
      </c>
      <c r="H719" s="28"/>
      <c r="I719" s="27"/>
      <c r="J719" s="26"/>
      <c r="K719" s="27"/>
      <c r="L719" s="27"/>
      <c r="M719" s="27"/>
      <c r="N719" s="27"/>
      <c r="O719" s="24" t="str">
        <f aca="false">IF(G719="","",VLOOKUP(G719,Setup!$A$14:$C$17,3,0))</f>
        <v/>
      </c>
      <c r="P719" s="27"/>
      <c r="Q719" s="29" t="str">
        <f aca="false">IF(OR(P719="",M719&lt;&gt;"Paid",O719=""),"",P719/O719)</f>
        <v/>
      </c>
      <c r="R719" s="30" t="str">
        <f aca="false">IF(Q719="","",Q719+N(H719)*0.000000001)</f>
        <v/>
      </c>
      <c r="S719" s="25" t="str">
        <f aca="false">IF(R719="","",SUMPRODUCT((I$5:I$4004=I719)*ISNUMBER(R$5:R$4004)*(R$5:R$4004&gt;R719))+1)</f>
        <v/>
      </c>
      <c r="T719" s="25" t="str">
        <f aca="false">IF(S719="","",IF(S719&lt;=Setup!$B$5,"🏆 WINNER",""))</f>
        <v/>
      </c>
      <c r="U719" s="24" t="str">
        <f aca="false">IF(S719="","",I719&amp;"|"&amp;S719)</f>
        <v/>
      </c>
    </row>
    <row r="720" customFormat="false" ht="15" hidden="false" customHeight="false" outlineLevel="0" collapsed="false">
      <c r="A720" s="31" t="n">
        <v>716</v>
      </c>
      <c r="B720" s="32" t="str">
        <f aca="false">IF(OR(C720="",I720="",G720=""),"",IFERROR(VLOOKUP(I720,Setup!$A$9:$B$11,2,0),"???")&amp;"-"&amp;G720&amp;"-"&amp;TEXT(COUNTIFS(I$5:I720,I720,G$5:G720,G720),"0000"))</f>
        <v/>
      </c>
      <c r="C720" s="26"/>
      <c r="D720" s="26"/>
      <c r="E720" s="27"/>
      <c r="F720" s="27"/>
      <c r="G720" s="31" t="str">
        <f aca="false">IF(F720="","",IF(F720&lt;=5,"A",IF(F720&lt;=8,"B",IF(F720&lt;=10,"C","D"))))</f>
        <v/>
      </c>
      <c r="H720" s="28"/>
      <c r="I720" s="27"/>
      <c r="J720" s="26"/>
      <c r="K720" s="27"/>
      <c r="L720" s="27"/>
      <c r="M720" s="27"/>
      <c r="N720" s="27"/>
      <c r="O720" s="31" t="str">
        <f aca="false">IF(G720="","",VLOOKUP(G720,Setup!$A$14:$C$17,3,0))</f>
        <v/>
      </c>
      <c r="P720" s="27"/>
      <c r="Q720" s="33" t="str">
        <f aca="false">IF(OR(P720="",M720&lt;&gt;"Paid",O720=""),"",P720/O720)</f>
        <v/>
      </c>
      <c r="R720" s="34" t="str">
        <f aca="false">IF(Q720="","",Q720+N(H720)*0.000000001)</f>
        <v/>
      </c>
      <c r="S720" s="32" t="str">
        <f aca="false">IF(R720="","",SUMPRODUCT((I$5:I$4004=I720)*ISNUMBER(R$5:R$4004)*(R$5:R$4004&gt;R720))+1)</f>
        <v/>
      </c>
      <c r="T720" s="32" t="str">
        <f aca="false">IF(S720="","",IF(S720&lt;=Setup!$B$5,"🏆 WINNER",""))</f>
        <v/>
      </c>
      <c r="U720" s="31" t="str">
        <f aca="false">IF(S720="","",I720&amp;"|"&amp;S720)</f>
        <v/>
      </c>
    </row>
    <row r="721" customFormat="false" ht="15" hidden="false" customHeight="false" outlineLevel="0" collapsed="false">
      <c r="A721" s="24" t="n">
        <v>717</v>
      </c>
      <c r="B721" s="25" t="str">
        <f aca="false">IF(OR(C721="",I721="",G721=""),"",IFERROR(VLOOKUP(I721,Setup!$A$9:$B$11,2,0),"???")&amp;"-"&amp;G721&amp;"-"&amp;TEXT(COUNTIFS(I$5:I721,I721,G$5:G721,G721),"0000"))</f>
        <v/>
      </c>
      <c r="C721" s="26"/>
      <c r="D721" s="26"/>
      <c r="E721" s="27"/>
      <c r="F721" s="27"/>
      <c r="G721" s="24" t="str">
        <f aca="false">IF(F721="","",IF(F721&lt;=5,"A",IF(F721&lt;=8,"B",IF(F721&lt;=10,"C","D"))))</f>
        <v/>
      </c>
      <c r="H721" s="28"/>
      <c r="I721" s="27"/>
      <c r="J721" s="26"/>
      <c r="K721" s="27"/>
      <c r="L721" s="27"/>
      <c r="M721" s="27"/>
      <c r="N721" s="27"/>
      <c r="O721" s="24" t="str">
        <f aca="false">IF(G721="","",VLOOKUP(G721,Setup!$A$14:$C$17,3,0))</f>
        <v/>
      </c>
      <c r="P721" s="27"/>
      <c r="Q721" s="29" t="str">
        <f aca="false">IF(OR(P721="",M721&lt;&gt;"Paid",O721=""),"",P721/O721)</f>
        <v/>
      </c>
      <c r="R721" s="30" t="str">
        <f aca="false">IF(Q721="","",Q721+N(H721)*0.000000001)</f>
        <v/>
      </c>
      <c r="S721" s="25" t="str">
        <f aca="false">IF(R721="","",SUMPRODUCT((I$5:I$4004=I721)*ISNUMBER(R$5:R$4004)*(R$5:R$4004&gt;R721))+1)</f>
        <v/>
      </c>
      <c r="T721" s="25" t="str">
        <f aca="false">IF(S721="","",IF(S721&lt;=Setup!$B$5,"🏆 WINNER",""))</f>
        <v/>
      </c>
      <c r="U721" s="24" t="str">
        <f aca="false">IF(S721="","",I721&amp;"|"&amp;S721)</f>
        <v/>
      </c>
    </row>
    <row r="722" customFormat="false" ht="15" hidden="false" customHeight="false" outlineLevel="0" collapsed="false">
      <c r="A722" s="31" t="n">
        <v>718</v>
      </c>
      <c r="B722" s="32" t="str">
        <f aca="false">IF(OR(C722="",I722="",G722=""),"",IFERROR(VLOOKUP(I722,Setup!$A$9:$B$11,2,0),"???")&amp;"-"&amp;G722&amp;"-"&amp;TEXT(COUNTIFS(I$5:I722,I722,G$5:G722,G722),"0000"))</f>
        <v/>
      </c>
      <c r="C722" s="26"/>
      <c r="D722" s="26"/>
      <c r="E722" s="27"/>
      <c r="F722" s="27"/>
      <c r="G722" s="31" t="str">
        <f aca="false">IF(F722="","",IF(F722&lt;=5,"A",IF(F722&lt;=8,"B",IF(F722&lt;=10,"C","D"))))</f>
        <v/>
      </c>
      <c r="H722" s="28"/>
      <c r="I722" s="27"/>
      <c r="J722" s="26"/>
      <c r="K722" s="27"/>
      <c r="L722" s="27"/>
      <c r="M722" s="27"/>
      <c r="N722" s="27"/>
      <c r="O722" s="31" t="str">
        <f aca="false">IF(G722="","",VLOOKUP(G722,Setup!$A$14:$C$17,3,0))</f>
        <v/>
      </c>
      <c r="P722" s="27"/>
      <c r="Q722" s="33" t="str">
        <f aca="false">IF(OR(P722="",M722&lt;&gt;"Paid",O722=""),"",P722/O722)</f>
        <v/>
      </c>
      <c r="R722" s="34" t="str">
        <f aca="false">IF(Q722="","",Q722+N(H722)*0.000000001)</f>
        <v/>
      </c>
      <c r="S722" s="32" t="str">
        <f aca="false">IF(R722="","",SUMPRODUCT((I$5:I$4004=I722)*ISNUMBER(R$5:R$4004)*(R$5:R$4004&gt;R722))+1)</f>
        <v/>
      </c>
      <c r="T722" s="32" t="str">
        <f aca="false">IF(S722="","",IF(S722&lt;=Setup!$B$5,"🏆 WINNER",""))</f>
        <v/>
      </c>
      <c r="U722" s="31" t="str">
        <f aca="false">IF(S722="","",I722&amp;"|"&amp;S722)</f>
        <v/>
      </c>
    </row>
    <row r="723" customFormat="false" ht="15" hidden="false" customHeight="false" outlineLevel="0" collapsed="false">
      <c r="A723" s="24" t="n">
        <v>719</v>
      </c>
      <c r="B723" s="25" t="str">
        <f aca="false">IF(OR(C723="",I723="",G723=""),"",IFERROR(VLOOKUP(I723,Setup!$A$9:$B$11,2,0),"???")&amp;"-"&amp;G723&amp;"-"&amp;TEXT(COUNTIFS(I$5:I723,I723,G$5:G723,G723),"0000"))</f>
        <v/>
      </c>
      <c r="C723" s="26"/>
      <c r="D723" s="26"/>
      <c r="E723" s="27"/>
      <c r="F723" s="27"/>
      <c r="G723" s="24" t="str">
        <f aca="false">IF(F723="","",IF(F723&lt;=5,"A",IF(F723&lt;=8,"B",IF(F723&lt;=10,"C","D"))))</f>
        <v/>
      </c>
      <c r="H723" s="28"/>
      <c r="I723" s="27"/>
      <c r="J723" s="26"/>
      <c r="K723" s="27"/>
      <c r="L723" s="27"/>
      <c r="M723" s="27"/>
      <c r="N723" s="27"/>
      <c r="O723" s="24" t="str">
        <f aca="false">IF(G723="","",VLOOKUP(G723,Setup!$A$14:$C$17,3,0))</f>
        <v/>
      </c>
      <c r="P723" s="27"/>
      <c r="Q723" s="29" t="str">
        <f aca="false">IF(OR(P723="",M723&lt;&gt;"Paid",O723=""),"",P723/O723)</f>
        <v/>
      </c>
      <c r="R723" s="30" t="str">
        <f aca="false">IF(Q723="","",Q723+N(H723)*0.000000001)</f>
        <v/>
      </c>
      <c r="S723" s="25" t="str">
        <f aca="false">IF(R723="","",SUMPRODUCT((I$5:I$4004=I723)*ISNUMBER(R$5:R$4004)*(R$5:R$4004&gt;R723))+1)</f>
        <v/>
      </c>
      <c r="T723" s="25" t="str">
        <f aca="false">IF(S723="","",IF(S723&lt;=Setup!$B$5,"🏆 WINNER",""))</f>
        <v/>
      </c>
      <c r="U723" s="24" t="str">
        <f aca="false">IF(S723="","",I723&amp;"|"&amp;S723)</f>
        <v/>
      </c>
    </row>
    <row r="724" customFormat="false" ht="15" hidden="false" customHeight="false" outlineLevel="0" collapsed="false">
      <c r="A724" s="31" t="n">
        <v>720</v>
      </c>
      <c r="B724" s="32" t="str">
        <f aca="false">IF(OR(C724="",I724="",G724=""),"",IFERROR(VLOOKUP(I724,Setup!$A$9:$B$11,2,0),"???")&amp;"-"&amp;G724&amp;"-"&amp;TEXT(COUNTIFS(I$5:I724,I724,G$5:G724,G724),"0000"))</f>
        <v/>
      </c>
      <c r="C724" s="26"/>
      <c r="D724" s="26"/>
      <c r="E724" s="27"/>
      <c r="F724" s="27"/>
      <c r="G724" s="31" t="str">
        <f aca="false">IF(F724="","",IF(F724&lt;=5,"A",IF(F724&lt;=8,"B",IF(F724&lt;=10,"C","D"))))</f>
        <v/>
      </c>
      <c r="H724" s="28"/>
      <c r="I724" s="27"/>
      <c r="J724" s="26"/>
      <c r="K724" s="27"/>
      <c r="L724" s="27"/>
      <c r="M724" s="27"/>
      <c r="N724" s="27"/>
      <c r="O724" s="31" t="str">
        <f aca="false">IF(G724="","",VLOOKUP(G724,Setup!$A$14:$C$17,3,0))</f>
        <v/>
      </c>
      <c r="P724" s="27"/>
      <c r="Q724" s="33" t="str">
        <f aca="false">IF(OR(P724="",M724&lt;&gt;"Paid",O724=""),"",P724/O724)</f>
        <v/>
      </c>
      <c r="R724" s="34" t="str">
        <f aca="false">IF(Q724="","",Q724+N(H724)*0.000000001)</f>
        <v/>
      </c>
      <c r="S724" s="32" t="str">
        <f aca="false">IF(R724="","",SUMPRODUCT((I$5:I$4004=I724)*ISNUMBER(R$5:R$4004)*(R$5:R$4004&gt;R724))+1)</f>
        <v/>
      </c>
      <c r="T724" s="32" t="str">
        <f aca="false">IF(S724="","",IF(S724&lt;=Setup!$B$5,"🏆 WINNER",""))</f>
        <v/>
      </c>
      <c r="U724" s="31" t="str">
        <f aca="false">IF(S724="","",I724&amp;"|"&amp;S724)</f>
        <v/>
      </c>
    </row>
    <row r="725" customFormat="false" ht="15" hidden="false" customHeight="false" outlineLevel="0" collapsed="false">
      <c r="A725" s="24" t="n">
        <v>721</v>
      </c>
      <c r="B725" s="25" t="str">
        <f aca="false">IF(OR(C725="",I725="",G725=""),"",IFERROR(VLOOKUP(I725,Setup!$A$9:$B$11,2,0),"???")&amp;"-"&amp;G725&amp;"-"&amp;TEXT(COUNTIFS(I$5:I725,I725,G$5:G725,G725),"0000"))</f>
        <v/>
      </c>
      <c r="C725" s="26"/>
      <c r="D725" s="26"/>
      <c r="E725" s="27"/>
      <c r="F725" s="27"/>
      <c r="G725" s="24" t="str">
        <f aca="false">IF(F725="","",IF(F725&lt;=5,"A",IF(F725&lt;=8,"B",IF(F725&lt;=10,"C","D"))))</f>
        <v/>
      </c>
      <c r="H725" s="28"/>
      <c r="I725" s="27"/>
      <c r="J725" s="26"/>
      <c r="K725" s="27"/>
      <c r="L725" s="27"/>
      <c r="M725" s="27"/>
      <c r="N725" s="27"/>
      <c r="O725" s="24" t="str">
        <f aca="false">IF(G725="","",VLOOKUP(G725,Setup!$A$14:$C$17,3,0))</f>
        <v/>
      </c>
      <c r="P725" s="27"/>
      <c r="Q725" s="29" t="str">
        <f aca="false">IF(OR(P725="",M725&lt;&gt;"Paid",O725=""),"",P725/O725)</f>
        <v/>
      </c>
      <c r="R725" s="30" t="str">
        <f aca="false">IF(Q725="","",Q725+N(H725)*0.000000001)</f>
        <v/>
      </c>
      <c r="S725" s="25" t="str">
        <f aca="false">IF(R725="","",SUMPRODUCT((I$5:I$4004=I725)*ISNUMBER(R$5:R$4004)*(R$5:R$4004&gt;R725))+1)</f>
        <v/>
      </c>
      <c r="T725" s="25" t="str">
        <f aca="false">IF(S725="","",IF(S725&lt;=Setup!$B$5,"🏆 WINNER",""))</f>
        <v/>
      </c>
      <c r="U725" s="24" t="str">
        <f aca="false">IF(S725="","",I725&amp;"|"&amp;S725)</f>
        <v/>
      </c>
    </row>
    <row r="726" customFormat="false" ht="15" hidden="false" customHeight="false" outlineLevel="0" collapsed="false">
      <c r="A726" s="31" t="n">
        <v>722</v>
      </c>
      <c r="B726" s="32" t="str">
        <f aca="false">IF(OR(C726="",I726="",G726=""),"",IFERROR(VLOOKUP(I726,Setup!$A$9:$B$11,2,0),"???")&amp;"-"&amp;G726&amp;"-"&amp;TEXT(COUNTIFS(I$5:I726,I726,G$5:G726,G726),"0000"))</f>
        <v/>
      </c>
      <c r="C726" s="26"/>
      <c r="D726" s="26"/>
      <c r="E726" s="27"/>
      <c r="F726" s="27"/>
      <c r="G726" s="31" t="str">
        <f aca="false">IF(F726="","",IF(F726&lt;=5,"A",IF(F726&lt;=8,"B",IF(F726&lt;=10,"C","D"))))</f>
        <v/>
      </c>
      <c r="H726" s="28"/>
      <c r="I726" s="27"/>
      <c r="J726" s="26"/>
      <c r="K726" s="27"/>
      <c r="L726" s="27"/>
      <c r="M726" s="27"/>
      <c r="N726" s="27"/>
      <c r="O726" s="31" t="str">
        <f aca="false">IF(G726="","",VLOOKUP(G726,Setup!$A$14:$C$17,3,0))</f>
        <v/>
      </c>
      <c r="P726" s="27"/>
      <c r="Q726" s="33" t="str">
        <f aca="false">IF(OR(P726="",M726&lt;&gt;"Paid",O726=""),"",P726/O726)</f>
        <v/>
      </c>
      <c r="R726" s="34" t="str">
        <f aca="false">IF(Q726="","",Q726+N(H726)*0.000000001)</f>
        <v/>
      </c>
      <c r="S726" s="32" t="str">
        <f aca="false">IF(R726="","",SUMPRODUCT((I$5:I$4004=I726)*ISNUMBER(R$5:R$4004)*(R$5:R$4004&gt;R726))+1)</f>
        <v/>
      </c>
      <c r="T726" s="32" t="str">
        <f aca="false">IF(S726="","",IF(S726&lt;=Setup!$B$5,"🏆 WINNER",""))</f>
        <v/>
      </c>
      <c r="U726" s="31" t="str">
        <f aca="false">IF(S726="","",I726&amp;"|"&amp;S726)</f>
        <v/>
      </c>
    </row>
    <row r="727" customFormat="false" ht="15" hidden="false" customHeight="false" outlineLevel="0" collapsed="false">
      <c r="A727" s="24" t="n">
        <v>723</v>
      </c>
      <c r="B727" s="25" t="str">
        <f aca="false">IF(OR(C727="",I727="",G727=""),"",IFERROR(VLOOKUP(I727,Setup!$A$9:$B$11,2,0),"???")&amp;"-"&amp;G727&amp;"-"&amp;TEXT(COUNTIFS(I$5:I727,I727,G$5:G727,G727),"0000"))</f>
        <v/>
      </c>
      <c r="C727" s="26"/>
      <c r="D727" s="26"/>
      <c r="E727" s="27"/>
      <c r="F727" s="27"/>
      <c r="G727" s="24" t="str">
        <f aca="false">IF(F727="","",IF(F727&lt;=5,"A",IF(F727&lt;=8,"B",IF(F727&lt;=10,"C","D"))))</f>
        <v/>
      </c>
      <c r="H727" s="28"/>
      <c r="I727" s="27"/>
      <c r="J727" s="26"/>
      <c r="K727" s="27"/>
      <c r="L727" s="27"/>
      <c r="M727" s="27"/>
      <c r="N727" s="27"/>
      <c r="O727" s="24" t="str">
        <f aca="false">IF(G727="","",VLOOKUP(G727,Setup!$A$14:$C$17,3,0))</f>
        <v/>
      </c>
      <c r="P727" s="27"/>
      <c r="Q727" s="29" t="str">
        <f aca="false">IF(OR(P727="",M727&lt;&gt;"Paid",O727=""),"",P727/O727)</f>
        <v/>
      </c>
      <c r="R727" s="30" t="str">
        <f aca="false">IF(Q727="","",Q727+N(H727)*0.000000001)</f>
        <v/>
      </c>
      <c r="S727" s="25" t="str">
        <f aca="false">IF(R727="","",SUMPRODUCT((I$5:I$4004=I727)*ISNUMBER(R$5:R$4004)*(R$5:R$4004&gt;R727))+1)</f>
        <v/>
      </c>
      <c r="T727" s="25" t="str">
        <f aca="false">IF(S727="","",IF(S727&lt;=Setup!$B$5,"🏆 WINNER",""))</f>
        <v/>
      </c>
      <c r="U727" s="24" t="str">
        <f aca="false">IF(S727="","",I727&amp;"|"&amp;S727)</f>
        <v/>
      </c>
    </row>
    <row r="728" customFormat="false" ht="15" hidden="false" customHeight="false" outlineLevel="0" collapsed="false">
      <c r="A728" s="31" t="n">
        <v>724</v>
      </c>
      <c r="B728" s="32" t="str">
        <f aca="false">IF(OR(C728="",I728="",G728=""),"",IFERROR(VLOOKUP(I728,Setup!$A$9:$B$11,2,0),"???")&amp;"-"&amp;G728&amp;"-"&amp;TEXT(COUNTIFS(I$5:I728,I728,G$5:G728,G728),"0000"))</f>
        <v/>
      </c>
      <c r="C728" s="26"/>
      <c r="D728" s="26"/>
      <c r="E728" s="27"/>
      <c r="F728" s="27"/>
      <c r="G728" s="31" t="str">
        <f aca="false">IF(F728="","",IF(F728&lt;=5,"A",IF(F728&lt;=8,"B",IF(F728&lt;=10,"C","D"))))</f>
        <v/>
      </c>
      <c r="H728" s="28"/>
      <c r="I728" s="27"/>
      <c r="J728" s="26"/>
      <c r="K728" s="27"/>
      <c r="L728" s="27"/>
      <c r="M728" s="27"/>
      <c r="N728" s="27"/>
      <c r="O728" s="31" t="str">
        <f aca="false">IF(G728="","",VLOOKUP(G728,Setup!$A$14:$C$17,3,0))</f>
        <v/>
      </c>
      <c r="P728" s="27"/>
      <c r="Q728" s="33" t="str">
        <f aca="false">IF(OR(P728="",M728&lt;&gt;"Paid",O728=""),"",P728/O728)</f>
        <v/>
      </c>
      <c r="R728" s="34" t="str">
        <f aca="false">IF(Q728="","",Q728+N(H728)*0.000000001)</f>
        <v/>
      </c>
      <c r="S728" s="32" t="str">
        <f aca="false">IF(R728="","",SUMPRODUCT((I$5:I$4004=I728)*ISNUMBER(R$5:R$4004)*(R$5:R$4004&gt;R728))+1)</f>
        <v/>
      </c>
      <c r="T728" s="32" t="str">
        <f aca="false">IF(S728="","",IF(S728&lt;=Setup!$B$5,"🏆 WINNER",""))</f>
        <v/>
      </c>
      <c r="U728" s="31" t="str">
        <f aca="false">IF(S728="","",I728&amp;"|"&amp;S728)</f>
        <v/>
      </c>
    </row>
    <row r="729" customFormat="false" ht="15" hidden="false" customHeight="false" outlineLevel="0" collapsed="false">
      <c r="A729" s="24" t="n">
        <v>725</v>
      </c>
      <c r="B729" s="25" t="str">
        <f aca="false">IF(OR(C729="",I729="",G729=""),"",IFERROR(VLOOKUP(I729,Setup!$A$9:$B$11,2,0),"???")&amp;"-"&amp;G729&amp;"-"&amp;TEXT(COUNTIFS(I$5:I729,I729,G$5:G729,G729),"0000"))</f>
        <v/>
      </c>
      <c r="C729" s="26"/>
      <c r="D729" s="26"/>
      <c r="E729" s="27"/>
      <c r="F729" s="27"/>
      <c r="G729" s="24" t="str">
        <f aca="false">IF(F729="","",IF(F729&lt;=5,"A",IF(F729&lt;=8,"B",IF(F729&lt;=10,"C","D"))))</f>
        <v/>
      </c>
      <c r="H729" s="28"/>
      <c r="I729" s="27"/>
      <c r="J729" s="26"/>
      <c r="K729" s="27"/>
      <c r="L729" s="27"/>
      <c r="M729" s="27"/>
      <c r="N729" s="27"/>
      <c r="O729" s="24" t="str">
        <f aca="false">IF(G729="","",VLOOKUP(G729,Setup!$A$14:$C$17,3,0))</f>
        <v/>
      </c>
      <c r="P729" s="27"/>
      <c r="Q729" s="29" t="str">
        <f aca="false">IF(OR(P729="",M729&lt;&gt;"Paid",O729=""),"",P729/O729)</f>
        <v/>
      </c>
      <c r="R729" s="30" t="str">
        <f aca="false">IF(Q729="","",Q729+N(H729)*0.000000001)</f>
        <v/>
      </c>
      <c r="S729" s="25" t="str">
        <f aca="false">IF(R729="","",SUMPRODUCT((I$5:I$4004=I729)*ISNUMBER(R$5:R$4004)*(R$5:R$4004&gt;R729))+1)</f>
        <v/>
      </c>
      <c r="T729" s="25" t="str">
        <f aca="false">IF(S729="","",IF(S729&lt;=Setup!$B$5,"🏆 WINNER",""))</f>
        <v/>
      </c>
      <c r="U729" s="24" t="str">
        <f aca="false">IF(S729="","",I729&amp;"|"&amp;S729)</f>
        <v/>
      </c>
    </row>
    <row r="730" customFormat="false" ht="15" hidden="false" customHeight="false" outlineLevel="0" collapsed="false">
      <c r="A730" s="31" t="n">
        <v>726</v>
      </c>
      <c r="B730" s="32" t="str">
        <f aca="false">IF(OR(C730="",I730="",G730=""),"",IFERROR(VLOOKUP(I730,Setup!$A$9:$B$11,2,0),"???")&amp;"-"&amp;G730&amp;"-"&amp;TEXT(COUNTIFS(I$5:I730,I730,G$5:G730,G730),"0000"))</f>
        <v/>
      </c>
      <c r="C730" s="26"/>
      <c r="D730" s="26"/>
      <c r="E730" s="27"/>
      <c r="F730" s="27"/>
      <c r="G730" s="31" t="str">
        <f aca="false">IF(F730="","",IF(F730&lt;=5,"A",IF(F730&lt;=8,"B",IF(F730&lt;=10,"C","D"))))</f>
        <v/>
      </c>
      <c r="H730" s="28"/>
      <c r="I730" s="27"/>
      <c r="J730" s="26"/>
      <c r="K730" s="27"/>
      <c r="L730" s="27"/>
      <c r="M730" s="27"/>
      <c r="N730" s="27"/>
      <c r="O730" s="31" t="str">
        <f aca="false">IF(G730="","",VLOOKUP(G730,Setup!$A$14:$C$17,3,0))</f>
        <v/>
      </c>
      <c r="P730" s="27"/>
      <c r="Q730" s="33" t="str">
        <f aca="false">IF(OR(P730="",M730&lt;&gt;"Paid",O730=""),"",P730/O730)</f>
        <v/>
      </c>
      <c r="R730" s="34" t="str">
        <f aca="false">IF(Q730="","",Q730+N(H730)*0.000000001)</f>
        <v/>
      </c>
      <c r="S730" s="32" t="str">
        <f aca="false">IF(R730="","",SUMPRODUCT((I$5:I$4004=I730)*ISNUMBER(R$5:R$4004)*(R$5:R$4004&gt;R730))+1)</f>
        <v/>
      </c>
      <c r="T730" s="32" t="str">
        <f aca="false">IF(S730="","",IF(S730&lt;=Setup!$B$5,"🏆 WINNER",""))</f>
        <v/>
      </c>
      <c r="U730" s="31" t="str">
        <f aca="false">IF(S730="","",I730&amp;"|"&amp;S730)</f>
        <v/>
      </c>
    </row>
    <row r="731" customFormat="false" ht="15" hidden="false" customHeight="false" outlineLevel="0" collapsed="false">
      <c r="A731" s="24" t="n">
        <v>727</v>
      </c>
      <c r="B731" s="25" t="str">
        <f aca="false">IF(OR(C731="",I731="",G731=""),"",IFERROR(VLOOKUP(I731,Setup!$A$9:$B$11,2,0),"???")&amp;"-"&amp;G731&amp;"-"&amp;TEXT(COUNTIFS(I$5:I731,I731,G$5:G731,G731),"0000"))</f>
        <v/>
      </c>
      <c r="C731" s="26"/>
      <c r="D731" s="26"/>
      <c r="E731" s="27"/>
      <c r="F731" s="27"/>
      <c r="G731" s="24" t="str">
        <f aca="false">IF(F731="","",IF(F731&lt;=5,"A",IF(F731&lt;=8,"B",IF(F731&lt;=10,"C","D"))))</f>
        <v/>
      </c>
      <c r="H731" s="28"/>
      <c r="I731" s="27"/>
      <c r="J731" s="26"/>
      <c r="K731" s="27"/>
      <c r="L731" s="27"/>
      <c r="M731" s="27"/>
      <c r="N731" s="27"/>
      <c r="O731" s="24" t="str">
        <f aca="false">IF(G731="","",VLOOKUP(G731,Setup!$A$14:$C$17,3,0))</f>
        <v/>
      </c>
      <c r="P731" s="27"/>
      <c r="Q731" s="29" t="str">
        <f aca="false">IF(OR(P731="",M731&lt;&gt;"Paid",O731=""),"",P731/O731)</f>
        <v/>
      </c>
      <c r="R731" s="30" t="str">
        <f aca="false">IF(Q731="","",Q731+N(H731)*0.000000001)</f>
        <v/>
      </c>
      <c r="S731" s="25" t="str">
        <f aca="false">IF(R731="","",SUMPRODUCT((I$5:I$4004=I731)*ISNUMBER(R$5:R$4004)*(R$5:R$4004&gt;R731))+1)</f>
        <v/>
      </c>
      <c r="T731" s="25" t="str">
        <f aca="false">IF(S731="","",IF(S731&lt;=Setup!$B$5,"🏆 WINNER",""))</f>
        <v/>
      </c>
      <c r="U731" s="24" t="str">
        <f aca="false">IF(S731="","",I731&amp;"|"&amp;S731)</f>
        <v/>
      </c>
    </row>
    <row r="732" customFormat="false" ht="15" hidden="false" customHeight="false" outlineLevel="0" collapsed="false">
      <c r="A732" s="31" t="n">
        <v>728</v>
      </c>
      <c r="B732" s="32" t="str">
        <f aca="false">IF(OR(C732="",I732="",G732=""),"",IFERROR(VLOOKUP(I732,Setup!$A$9:$B$11,2,0),"???")&amp;"-"&amp;G732&amp;"-"&amp;TEXT(COUNTIFS(I$5:I732,I732,G$5:G732,G732),"0000"))</f>
        <v/>
      </c>
      <c r="C732" s="26"/>
      <c r="D732" s="26"/>
      <c r="E732" s="27"/>
      <c r="F732" s="27"/>
      <c r="G732" s="31" t="str">
        <f aca="false">IF(F732="","",IF(F732&lt;=5,"A",IF(F732&lt;=8,"B",IF(F732&lt;=10,"C","D"))))</f>
        <v/>
      </c>
      <c r="H732" s="28"/>
      <c r="I732" s="27"/>
      <c r="J732" s="26"/>
      <c r="K732" s="27"/>
      <c r="L732" s="27"/>
      <c r="M732" s="27"/>
      <c r="N732" s="27"/>
      <c r="O732" s="31" t="str">
        <f aca="false">IF(G732="","",VLOOKUP(G732,Setup!$A$14:$C$17,3,0))</f>
        <v/>
      </c>
      <c r="P732" s="27"/>
      <c r="Q732" s="33" t="str">
        <f aca="false">IF(OR(P732="",M732&lt;&gt;"Paid",O732=""),"",P732/O732)</f>
        <v/>
      </c>
      <c r="R732" s="34" t="str">
        <f aca="false">IF(Q732="","",Q732+N(H732)*0.000000001)</f>
        <v/>
      </c>
      <c r="S732" s="32" t="str">
        <f aca="false">IF(R732="","",SUMPRODUCT((I$5:I$4004=I732)*ISNUMBER(R$5:R$4004)*(R$5:R$4004&gt;R732))+1)</f>
        <v/>
      </c>
      <c r="T732" s="32" t="str">
        <f aca="false">IF(S732="","",IF(S732&lt;=Setup!$B$5,"🏆 WINNER",""))</f>
        <v/>
      </c>
      <c r="U732" s="31" t="str">
        <f aca="false">IF(S732="","",I732&amp;"|"&amp;S732)</f>
        <v/>
      </c>
    </row>
    <row r="733" customFormat="false" ht="15" hidden="false" customHeight="false" outlineLevel="0" collapsed="false">
      <c r="A733" s="24" t="n">
        <v>729</v>
      </c>
      <c r="B733" s="25" t="str">
        <f aca="false">IF(OR(C733="",I733="",G733=""),"",IFERROR(VLOOKUP(I733,Setup!$A$9:$B$11,2,0),"???")&amp;"-"&amp;G733&amp;"-"&amp;TEXT(COUNTIFS(I$5:I733,I733,G$5:G733,G733),"0000"))</f>
        <v/>
      </c>
      <c r="C733" s="26"/>
      <c r="D733" s="26"/>
      <c r="E733" s="27"/>
      <c r="F733" s="27"/>
      <c r="G733" s="24" t="str">
        <f aca="false">IF(F733="","",IF(F733&lt;=5,"A",IF(F733&lt;=8,"B",IF(F733&lt;=10,"C","D"))))</f>
        <v/>
      </c>
      <c r="H733" s="28"/>
      <c r="I733" s="27"/>
      <c r="J733" s="26"/>
      <c r="K733" s="27"/>
      <c r="L733" s="27"/>
      <c r="M733" s="27"/>
      <c r="N733" s="27"/>
      <c r="O733" s="24" t="str">
        <f aca="false">IF(G733="","",VLOOKUP(G733,Setup!$A$14:$C$17,3,0))</f>
        <v/>
      </c>
      <c r="P733" s="27"/>
      <c r="Q733" s="29" t="str">
        <f aca="false">IF(OR(P733="",M733&lt;&gt;"Paid",O733=""),"",P733/O733)</f>
        <v/>
      </c>
      <c r="R733" s="30" t="str">
        <f aca="false">IF(Q733="","",Q733+N(H733)*0.000000001)</f>
        <v/>
      </c>
      <c r="S733" s="25" t="str">
        <f aca="false">IF(R733="","",SUMPRODUCT((I$5:I$4004=I733)*ISNUMBER(R$5:R$4004)*(R$5:R$4004&gt;R733))+1)</f>
        <v/>
      </c>
      <c r="T733" s="25" t="str">
        <f aca="false">IF(S733="","",IF(S733&lt;=Setup!$B$5,"🏆 WINNER",""))</f>
        <v/>
      </c>
      <c r="U733" s="24" t="str">
        <f aca="false">IF(S733="","",I733&amp;"|"&amp;S733)</f>
        <v/>
      </c>
    </row>
    <row r="734" customFormat="false" ht="15" hidden="false" customHeight="false" outlineLevel="0" collapsed="false">
      <c r="A734" s="31" t="n">
        <v>730</v>
      </c>
      <c r="B734" s="32" t="str">
        <f aca="false">IF(OR(C734="",I734="",G734=""),"",IFERROR(VLOOKUP(I734,Setup!$A$9:$B$11,2,0),"???")&amp;"-"&amp;G734&amp;"-"&amp;TEXT(COUNTIFS(I$5:I734,I734,G$5:G734,G734),"0000"))</f>
        <v/>
      </c>
      <c r="C734" s="26"/>
      <c r="D734" s="26"/>
      <c r="E734" s="27"/>
      <c r="F734" s="27"/>
      <c r="G734" s="31" t="str">
        <f aca="false">IF(F734="","",IF(F734&lt;=5,"A",IF(F734&lt;=8,"B",IF(F734&lt;=10,"C","D"))))</f>
        <v/>
      </c>
      <c r="H734" s="28"/>
      <c r="I734" s="27"/>
      <c r="J734" s="26"/>
      <c r="K734" s="27"/>
      <c r="L734" s="27"/>
      <c r="M734" s="27"/>
      <c r="N734" s="27"/>
      <c r="O734" s="31" t="str">
        <f aca="false">IF(G734="","",VLOOKUP(G734,Setup!$A$14:$C$17,3,0))</f>
        <v/>
      </c>
      <c r="P734" s="27"/>
      <c r="Q734" s="33" t="str">
        <f aca="false">IF(OR(P734="",M734&lt;&gt;"Paid",O734=""),"",P734/O734)</f>
        <v/>
      </c>
      <c r="R734" s="34" t="str">
        <f aca="false">IF(Q734="","",Q734+N(H734)*0.000000001)</f>
        <v/>
      </c>
      <c r="S734" s="32" t="str">
        <f aca="false">IF(R734="","",SUMPRODUCT((I$5:I$4004=I734)*ISNUMBER(R$5:R$4004)*(R$5:R$4004&gt;R734))+1)</f>
        <v/>
      </c>
      <c r="T734" s="32" t="str">
        <f aca="false">IF(S734="","",IF(S734&lt;=Setup!$B$5,"🏆 WINNER",""))</f>
        <v/>
      </c>
      <c r="U734" s="31" t="str">
        <f aca="false">IF(S734="","",I734&amp;"|"&amp;S734)</f>
        <v/>
      </c>
    </row>
    <row r="735" customFormat="false" ht="15" hidden="false" customHeight="false" outlineLevel="0" collapsed="false">
      <c r="A735" s="24" t="n">
        <v>731</v>
      </c>
      <c r="B735" s="25" t="str">
        <f aca="false">IF(OR(C735="",I735="",G735=""),"",IFERROR(VLOOKUP(I735,Setup!$A$9:$B$11,2,0),"???")&amp;"-"&amp;G735&amp;"-"&amp;TEXT(COUNTIFS(I$5:I735,I735,G$5:G735,G735),"0000"))</f>
        <v/>
      </c>
      <c r="C735" s="26"/>
      <c r="D735" s="26"/>
      <c r="E735" s="27"/>
      <c r="F735" s="27"/>
      <c r="G735" s="24" t="str">
        <f aca="false">IF(F735="","",IF(F735&lt;=5,"A",IF(F735&lt;=8,"B",IF(F735&lt;=10,"C","D"))))</f>
        <v/>
      </c>
      <c r="H735" s="28"/>
      <c r="I735" s="27"/>
      <c r="J735" s="26"/>
      <c r="K735" s="27"/>
      <c r="L735" s="27"/>
      <c r="M735" s="27"/>
      <c r="N735" s="27"/>
      <c r="O735" s="24" t="str">
        <f aca="false">IF(G735="","",VLOOKUP(G735,Setup!$A$14:$C$17,3,0))</f>
        <v/>
      </c>
      <c r="P735" s="27"/>
      <c r="Q735" s="29" t="str">
        <f aca="false">IF(OR(P735="",M735&lt;&gt;"Paid",O735=""),"",P735/O735)</f>
        <v/>
      </c>
      <c r="R735" s="30" t="str">
        <f aca="false">IF(Q735="","",Q735+N(H735)*0.000000001)</f>
        <v/>
      </c>
      <c r="S735" s="25" t="str">
        <f aca="false">IF(R735="","",SUMPRODUCT((I$5:I$4004=I735)*ISNUMBER(R$5:R$4004)*(R$5:R$4004&gt;R735))+1)</f>
        <v/>
      </c>
      <c r="T735" s="25" t="str">
        <f aca="false">IF(S735="","",IF(S735&lt;=Setup!$B$5,"🏆 WINNER",""))</f>
        <v/>
      </c>
      <c r="U735" s="24" t="str">
        <f aca="false">IF(S735="","",I735&amp;"|"&amp;S735)</f>
        <v/>
      </c>
    </row>
    <row r="736" customFormat="false" ht="15" hidden="false" customHeight="false" outlineLevel="0" collapsed="false">
      <c r="A736" s="31" t="n">
        <v>732</v>
      </c>
      <c r="B736" s="32" t="str">
        <f aca="false">IF(OR(C736="",I736="",G736=""),"",IFERROR(VLOOKUP(I736,Setup!$A$9:$B$11,2,0),"???")&amp;"-"&amp;G736&amp;"-"&amp;TEXT(COUNTIFS(I$5:I736,I736,G$5:G736,G736),"0000"))</f>
        <v/>
      </c>
      <c r="C736" s="26"/>
      <c r="D736" s="26"/>
      <c r="E736" s="27"/>
      <c r="F736" s="27"/>
      <c r="G736" s="31" t="str">
        <f aca="false">IF(F736="","",IF(F736&lt;=5,"A",IF(F736&lt;=8,"B",IF(F736&lt;=10,"C","D"))))</f>
        <v/>
      </c>
      <c r="H736" s="28"/>
      <c r="I736" s="27"/>
      <c r="J736" s="26"/>
      <c r="K736" s="27"/>
      <c r="L736" s="27"/>
      <c r="M736" s="27"/>
      <c r="N736" s="27"/>
      <c r="O736" s="31" t="str">
        <f aca="false">IF(G736="","",VLOOKUP(G736,Setup!$A$14:$C$17,3,0))</f>
        <v/>
      </c>
      <c r="P736" s="27"/>
      <c r="Q736" s="33" t="str">
        <f aca="false">IF(OR(P736="",M736&lt;&gt;"Paid",O736=""),"",P736/O736)</f>
        <v/>
      </c>
      <c r="R736" s="34" t="str">
        <f aca="false">IF(Q736="","",Q736+N(H736)*0.000000001)</f>
        <v/>
      </c>
      <c r="S736" s="32" t="str">
        <f aca="false">IF(R736="","",SUMPRODUCT((I$5:I$4004=I736)*ISNUMBER(R$5:R$4004)*(R$5:R$4004&gt;R736))+1)</f>
        <v/>
      </c>
      <c r="T736" s="32" t="str">
        <f aca="false">IF(S736="","",IF(S736&lt;=Setup!$B$5,"🏆 WINNER",""))</f>
        <v/>
      </c>
      <c r="U736" s="31" t="str">
        <f aca="false">IF(S736="","",I736&amp;"|"&amp;S736)</f>
        <v/>
      </c>
    </row>
    <row r="737" customFormat="false" ht="15" hidden="false" customHeight="false" outlineLevel="0" collapsed="false">
      <c r="A737" s="24" t="n">
        <v>733</v>
      </c>
      <c r="B737" s="25" t="str">
        <f aca="false">IF(OR(C737="",I737="",G737=""),"",IFERROR(VLOOKUP(I737,Setup!$A$9:$B$11,2,0),"???")&amp;"-"&amp;G737&amp;"-"&amp;TEXT(COUNTIFS(I$5:I737,I737,G$5:G737,G737),"0000"))</f>
        <v/>
      </c>
      <c r="C737" s="26"/>
      <c r="D737" s="26"/>
      <c r="E737" s="27"/>
      <c r="F737" s="27"/>
      <c r="G737" s="24" t="str">
        <f aca="false">IF(F737="","",IF(F737&lt;=5,"A",IF(F737&lt;=8,"B",IF(F737&lt;=10,"C","D"))))</f>
        <v/>
      </c>
      <c r="H737" s="28"/>
      <c r="I737" s="27"/>
      <c r="J737" s="26"/>
      <c r="K737" s="27"/>
      <c r="L737" s="27"/>
      <c r="M737" s="27"/>
      <c r="N737" s="27"/>
      <c r="O737" s="24" t="str">
        <f aca="false">IF(G737="","",VLOOKUP(G737,Setup!$A$14:$C$17,3,0))</f>
        <v/>
      </c>
      <c r="P737" s="27"/>
      <c r="Q737" s="29" t="str">
        <f aca="false">IF(OR(P737="",M737&lt;&gt;"Paid",O737=""),"",P737/O737)</f>
        <v/>
      </c>
      <c r="R737" s="30" t="str">
        <f aca="false">IF(Q737="","",Q737+N(H737)*0.000000001)</f>
        <v/>
      </c>
      <c r="S737" s="25" t="str">
        <f aca="false">IF(R737="","",SUMPRODUCT((I$5:I$4004=I737)*ISNUMBER(R$5:R$4004)*(R$5:R$4004&gt;R737))+1)</f>
        <v/>
      </c>
      <c r="T737" s="25" t="str">
        <f aca="false">IF(S737="","",IF(S737&lt;=Setup!$B$5,"🏆 WINNER",""))</f>
        <v/>
      </c>
      <c r="U737" s="24" t="str">
        <f aca="false">IF(S737="","",I737&amp;"|"&amp;S737)</f>
        <v/>
      </c>
    </row>
    <row r="738" customFormat="false" ht="15" hidden="false" customHeight="false" outlineLevel="0" collapsed="false">
      <c r="A738" s="31" t="n">
        <v>734</v>
      </c>
      <c r="B738" s="32" t="str">
        <f aca="false">IF(OR(C738="",I738="",G738=""),"",IFERROR(VLOOKUP(I738,Setup!$A$9:$B$11,2,0),"???")&amp;"-"&amp;G738&amp;"-"&amp;TEXT(COUNTIFS(I$5:I738,I738,G$5:G738,G738),"0000"))</f>
        <v/>
      </c>
      <c r="C738" s="26"/>
      <c r="D738" s="26"/>
      <c r="E738" s="27"/>
      <c r="F738" s="27"/>
      <c r="G738" s="31" t="str">
        <f aca="false">IF(F738="","",IF(F738&lt;=5,"A",IF(F738&lt;=8,"B",IF(F738&lt;=10,"C","D"))))</f>
        <v/>
      </c>
      <c r="H738" s="28"/>
      <c r="I738" s="27"/>
      <c r="J738" s="26"/>
      <c r="K738" s="27"/>
      <c r="L738" s="27"/>
      <c r="M738" s="27"/>
      <c r="N738" s="27"/>
      <c r="O738" s="31" t="str">
        <f aca="false">IF(G738="","",VLOOKUP(G738,Setup!$A$14:$C$17,3,0))</f>
        <v/>
      </c>
      <c r="P738" s="27"/>
      <c r="Q738" s="33" t="str">
        <f aca="false">IF(OR(P738="",M738&lt;&gt;"Paid",O738=""),"",P738/O738)</f>
        <v/>
      </c>
      <c r="R738" s="34" t="str">
        <f aca="false">IF(Q738="","",Q738+N(H738)*0.000000001)</f>
        <v/>
      </c>
      <c r="S738" s="32" t="str">
        <f aca="false">IF(R738="","",SUMPRODUCT((I$5:I$4004=I738)*ISNUMBER(R$5:R$4004)*(R$5:R$4004&gt;R738))+1)</f>
        <v/>
      </c>
      <c r="T738" s="32" t="str">
        <f aca="false">IF(S738="","",IF(S738&lt;=Setup!$B$5,"🏆 WINNER",""))</f>
        <v/>
      </c>
      <c r="U738" s="31" t="str">
        <f aca="false">IF(S738="","",I738&amp;"|"&amp;S738)</f>
        <v/>
      </c>
    </row>
    <row r="739" customFormat="false" ht="15" hidden="false" customHeight="false" outlineLevel="0" collapsed="false">
      <c r="A739" s="24" t="n">
        <v>735</v>
      </c>
      <c r="B739" s="25" t="str">
        <f aca="false">IF(OR(C739="",I739="",G739=""),"",IFERROR(VLOOKUP(I739,Setup!$A$9:$B$11,2,0),"???")&amp;"-"&amp;G739&amp;"-"&amp;TEXT(COUNTIFS(I$5:I739,I739,G$5:G739,G739),"0000"))</f>
        <v/>
      </c>
      <c r="C739" s="26"/>
      <c r="D739" s="26"/>
      <c r="E739" s="27"/>
      <c r="F739" s="27"/>
      <c r="G739" s="24" t="str">
        <f aca="false">IF(F739="","",IF(F739&lt;=5,"A",IF(F739&lt;=8,"B",IF(F739&lt;=10,"C","D"))))</f>
        <v/>
      </c>
      <c r="H739" s="28"/>
      <c r="I739" s="27"/>
      <c r="J739" s="26"/>
      <c r="K739" s="27"/>
      <c r="L739" s="27"/>
      <c r="M739" s="27"/>
      <c r="N739" s="27"/>
      <c r="O739" s="24" t="str">
        <f aca="false">IF(G739="","",VLOOKUP(G739,Setup!$A$14:$C$17,3,0))</f>
        <v/>
      </c>
      <c r="P739" s="27"/>
      <c r="Q739" s="29" t="str">
        <f aca="false">IF(OR(P739="",M739&lt;&gt;"Paid",O739=""),"",P739/O739)</f>
        <v/>
      </c>
      <c r="R739" s="30" t="str">
        <f aca="false">IF(Q739="","",Q739+N(H739)*0.000000001)</f>
        <v/>
      </c>
      <c r="S739" s="25" t="str">
        <f aca="false">IF(R739="","",SUMPRODUCT((I$5:I$4004=I739)*ISNUMBER(R$5:R$4004)*(R$5:R$4004&gt;R739))+1)</f>
        <v/>
      </c>
      <c r="T739" s="25" t="str">
        <f aca="false">IF(S739="","",IF(S739&lt;=Setup!$B$5,"🏆 WINNER",""))</f>
        <v/>
      </c>
      <c r="U739" s="24" t="str">
        <f aca="false">IF(S739="","",I739&amp;"|"&amp;S739)</f>
        <v/>
      </c>
    </row>
    <row r="740" customFormat="false" ht="15" hidden="false" customHeight="false" outlineLevel="0" collapsed="false">
      <c r="A740" s="31" t="n">
        <v>736</v>
      </c>
      <c r="B740" s="32" t="str">
        <f aca="false">IF(OR(C740="",I740="",G740=""),"",IFERROR(VLOOKUP(I740,Setup!$A$9:$B$11,2,0),"???")&amp;"-"&amp;G740&amp;"-"&amp;TEXT(COUNTIFS(I$5:I740,I740,G$5:G740,G740),"0000"))</f>
        <v/>
      </c>
      <c r="C740" s="26"/>
      <c r="D740" s="26"/>
      <c r="E740" s="27"/>
      <c r="F740" s="27"/>
      <c r="G740" s="31" t="str">
        <f aca="false">IF(F740="","",IF(F740&lt;=5,"A",IF(F740&lt;=8,"B",IF(F740&lt;=10,"C","D"))))</f>
        <v/>
      </c>
      <c r="H740" s="28"/>
      <c r="I740" s="27"/>
      <c r="J740" s="26"/>
      <c r="K740" s="27"/>
      <c r="L740" s="27"/>
      <c r="M740" s="27"/>
      <c r="N740" s="27"/>
      <c r="O740" s="31" t="str">
        <f aca="false">IF(G740="","",VLOOKUP(G740,Setup!$A$14:$C$17,3,0))</f>
        <v/>
      </c>
      <c r="P740" s="27"/>
      <c r="Q740" s="33" t="str">
        <f aca="false">IF(OR(P740="",M740&lt;&gt;"Paid",O740=""),"",P740/O740)</f>
        <v/>
      </c>
      <c r="R740" s="34" t="str">
        <f aca="false">IF(Q740="","",Q740+N(H740)*0.000000001)</f>
        <v/>
      </c>
      <c r="S740" s="32" t="str">
        <f aca="false">IF(R740="","",SUMPRODUCT((I$5:I$4004=I740)*ISNUMBER(R$5:R$4004)*(R$5:R$4004&gt;R740))+1)</f>
        <v/>
      </c>
      <c r="T740" s="32" t="str">
        <f aca="false">IF(S740="","",IF(S740&lt;=Setup!$B$5,"🏆 WINNER",""))</f>
        <v/>
      </c>
      <c r="U740" s="31" t="str">
        <f aca="false">IF(S740="","",I740&amp;"|"&amp;S740)</f>
        <v/>
      </c>
    </row>
    <row r="741" customFormat="false" ht="15" hidden="false" customHeight="false" outlineLevel="0" collapsed="false">
      <c r="A741" s="24" t="n">
        <v>737</v>
      </c>
      <c r="B741" s="25" t="str">
        <f aca="false">IF(OR(C741="",I741="",G741=""),"",IFERROR(VLOOKUP(I741,Setup!$A$9:$B$11,2,0),"???")&amp;"-"&amp;G741&amp;"-"&amp;TEXT(COUNTIFS(I$5:I741,I741,G$5:G741,G741),"0000"))</f>
        <v/>
      </c>
      <c r="C741" s="26"/>
      <c r="D741" s="26"/>
      <c r="E741" s="27"/>
      <c r="F741" s="27"/>
      <c r="G741" s="24" t="str">
        <f aca="false">IF(F741="","",IF(F741&lt;=5,"A",IF(F741&lt;=8,"B",IF(F741&lt;=10,"C","D"))))</f>
        <v/>
      </c>
      <c r="H741" s="28"/>
      <c r="I741" s="27"/>
      <c r="J741" s="26"/>
      <c r="K741" s="27"/>
      <c r="L741" s="27"/>
      <c r="M741" s="27"/>
      <c r="N741" s="27"/>
      <c r="O741" s="24" t="str">
        <f aca="false">IF(G741="","",VLOOKUP(G741,Setup!$A$14:$C$17,3,0))</f>
        <v/>
      </c>
      <c r="P741" s="27"/>
      <c r="Q741" s="29" t="str">
        <f aca="false">IF(OR(P741="",M741&lt;&gt;"Paid",O741=""),"",P741/O741)</f>
        <v/>
      </c>
      <c r="R741" s="30" t="str">
        <f aca="false">IF(Q741="","",Q741+N(H741)*0.000000001)</f>
        <v/>
      </c>
      <c r="S741" s="25" t="str">
        <f aca="false">IF(R741="","",SUMPRODUCT((I$5:I$4004=I741)*ISNUMBER(R$5:R$4004)*(R$5:R$4004&gt;R741))+1)</f>
        <v/>
      </c>
      <c r="T741" s="25" t="str">
        <f aca="false">IF(S741="","",IF(S741&lt;=Setup!$B$5,"🏆 WINNER",""))</f>
        <v/>
      </c>
      <c r="U741" s="24" t="str">
        <f aca="false">IF(S741="","",I741&amp;"|"&amp;S741)</f>
        <v/>
      </c>
    </row>
    <row r="742" customFormat="false" ht="15" hidden="false" customHeight="false" outlineLevel="0" collapsed="false">
      <c r="A742" s="31" t="n">
        <v>738</v>
      </c>
      <c r="B742" s="32" t="str">
        <f aca="false">IF(OR(C742="",I742="",G742=""),"",IFERROR(VLOOKUP(I742,Setup!$A$9:$B$11,2,0),"???")&amp;"-"&amp;G742&amp;"-"&amp;TEXT(COUNTIFS(I$5:I742,I742,G$5:G742,G742),"0000"))</f>
        <v/>
      </c>
      <c r="C742" s="26"/>
      <c r="D742" s="26"/>
      <c r="E742" s="27"/>
      <c r="F742" s="27"/>
      <c r="G742" s="31" t="str">
        <f aca="false">IF(F742="","",IF(F742&lt;=5,"A",IF(F742&lt;=8,"B",IF(F742&lt;=10,"C","D"))))</f>
        <v/>
      </c>
      <c r="H742" s="28"/>
      <c r="I742" s="27"/>
      <c r="J742" s="26"/>
      <c r="K742" s="27"/>
      <c r="L742" s="27"/>
      <c r="M742" s="27"/>
      <c r="N742" s="27"/>
      <c r="O742" s="31" t="str">
        <f aca="false">IF(G742="","",VLOOKUP(G742,Setup!$A$14:$C$17,3,0))</f>
        <v/>
      </c>
      <c r="P742" s="27"/>
      <c r="Q742" s="33" t="str">
        <f aca="false">IF(OR(P742="",M742&lt;&gt;"Paid",O742=""),"",P742/O742)</f>
        <v/>
      </c>
      <c r="R742" s="34" t="str">
        <f aca="false">IF(Q742="","",Q742+N(H742)*0.000000001)</f>
        <v/>
      </c>
      <c r="S742" s="32" t="str">
        <f aca="false">IF(R742="","",SUMPRODUCT((I$5:I$4004=I742)*ISNUMBER(R$5:R$4004)*(R$5:R$4004&gt;R742))+1)</f>
        <v/>
      </c>
      <c r="T742" s="32" t="str">
        <f aca="false">IF(S742="","",IF(S742&lt;=Setup!$B$5,"🏆 WINNER",""))</f>
        <v/>
      </c>
      <c r="U742" s="31" t="str">
        <f aca="false">IF(S742="","",I742&amp;"|"&amp;S742)</f>
        <v/>
      </c>
    </row>
    <row r="743" customFormat="false" ht="15" hidden="false" customHeight="false" outlineLevel="0" collapsed="false">
      <c r="A743" s="24" t="n">
        <v>739</v>
      </c>
      <c r="B743" s="25" t="str">
        <f aca="false">IF(OR(C743="",I743="",G743=""),"",IFERROR(VLOOKUP(I743,Setup!$A$9:$B$11,2,0),"???")&amp;"-"&amp;G743&amp;"-"&amp;TEXT(COUNTIFS(I$5:I743,I743,G$5:G743,G743),"0000"))</f>
        <v/>
      </c>
      <c r="C743" s="26"/>
      <c r="D743" s="26"/>
      <c r="E743" s="27"/>
      <c r="F743" s="27"/>
      <c r="G743" s="24" t="str">
        <f aca="false">IF(F743="","",IF(F743&lt;=5,"A",IF(F743&lt;=8,"B",IF(F743&lt;=10,"C","D"))))</f>
        <v/>
      </c>
      <c r="H743" s="28"/>
      <c r="I743" s="27"/>
      <c r="J743" s="26"/>
      <c r="K743" s="27"/>
      <c r="L743" s="27"/>
      <c r="M743" s="27"/>
      <c r="N743" s="27"/>
      <c r="O743" s="24" t="str">
        <f aca="false">IF(G743="","",VLOOKUP(G743,Setup!$A$14:$C$17,3,0))</f>
        <v/>
      </c>
      <c r="P743" s="27"/>
      <c r="Q743" s="29" t="str">
        <f aca="false">IF(OR(P743="",M743&lt;&gt;"Paid",O743=""),"",P743/O743)</f>
        <v/>
      </c>
      <c r="R743" s="30" t="str">
        <f aca="false">IF(Q743="","",Q743+N(H743)*0.000000001)</f>
        <v/>
      </c>
      <c r="S743" s="25" t="str">
        <f aca="false">IF(R743="","",SUMPRODUCT((I$5:I$4004=I743)*ISNUMBER(R$5:R$4004)*(R$5:R$4004&gt;R743))+1)</f>
        <v/>
      </c>
      <c r="T743" s="25" t="str">
        <f aca="false">IF(S743="","",IF(S743&lt;=Setup!$B$5,"🏆 WINNER",""))</f>
        <v/>
      </c>
      <c r="U743" s="24" t="str">
        <f aca="false">IF(S743="","",I743&amp;"|"&amp;S743)</f>
        <v/>
      </c>
    </row>
    <row r="744" customFormat="false" ht="15" hidden="false" customHeight="false" outlineLevel="0" collapsed="false">
      <c r="A744" s="31" t="n">
        <v>740</v>
      </c>
      <c r="B744" s="32" t="str">
        <f aca="false">IF(OR(C744="",I744="",G744=""),"",IFERROR(VLOOKUP(I744,Setup!$A$9:$B$11,2,0),"???")&amp;"-"&amp;G744&amp;"-"&amp;TEXT(COUNTIFS(I$5:I744,I744,G$5:G744,G744),"0000"))</f>
        <v/>
      </c>
      <c r="C744" s="26"/>
      <c r="D744" s="26"/>
      <c r="E744" s="27"/>
      <c r="F744" s="27"/>
      <c r="G744" s="31" t="str">
        <f aca="false">IF(F744="","",IF(F744&lt;=5,"A",IF(F744&lt;=8,"B",IF(F744&lt;=10,"C","D"))))</f>
        <v/>
      </c>
      <c r="H744" s="28"/>
      <c r="I744" s="27"/>
      <c r="J744" s="26"/>
      <c r="K744" s="27"/>
      <c r="L744" s="27"/>
      <c r="M744" s="27"/>
      <c r="N744" s="27"/>
      <c r="O744" s="31" t="str">
        <f aca="false">IF(G744="","",VLOOKUP(G744,Setup!$A$14:$C$17,3,0))</f>
        <v/>
      </c>
      <c r="P744" s="27"/>
      <c r="Q744" s="33" t="str">
        <f aca="false">IF(OR(P744="",M744&lt;&gt;"Paid",O744=""),"",P744/O744)</f>
        <v/>
      </c>
      <c r="R744" s="34" t="str">
        <f aca="false">IF(Q744="","",Q744+N(H744)*0.000000001)</f>
        <v/>
      </c>
      <c r="S744" s="32" t="str">
        <f aca="false">IF(R744="","",SUMPRODUCT((I$5:I$4004=I744)*ISNUMBER(R$5:R$4004)*(R$5:R$4004&gt;R744))+1)</f>
        <v/>
      </c>
      <c r="T744" s="32" t="str">
        <f aca="false">IF(S744="","",IF(S744&lt;=Setup!$B$5,"🏆 WINNER",""))</f>
        <v/>
      </c>
      <c r="U744" s="31" t="str">
        <f aca="false">IF(S744="","",I744&amp;"|"&amp;S744)</f>
        <v/>
      </c>
    </row>
    <row r="745" customFormat="false" ht="15" hidden="false" customHeight="false" outlineLevel="0" collapsed="false">
      <c r="A745" s="24" t="n">
        <v>741</v>
      </c>
      <c r="B745" s="25" t="str">
        <f aca="false">IF(OR(C745="",I745="",G745=""),"",IFERROR(VLOOKUP(I745,Setup!$A$9:$B$11,2,0),"???")&amp;"-"&amp;G745&amp;"-"&amp;TEXT(COUNTIFS(I$5:I745,I745,G$5:G745,G745),"0000"))</f>
        <v/>
      </c>
      <c r="C745" s="26"/>
      <c r="D745" s="26"/>
      <c r="E745" s="27"/>
      <c r="F745" s="27"/>
      <c r="G745" s="24" t="str">
        <f aca="false">IF(F745="","",IF(F745&lt;=5,"A",IF(F745&lt;=8,"B",IF(F745&lt;=10,"C","D"))))</f>
        <v/>
      </c>
      <c r="H745" s="28"/>
      <c r="I745" s="27"/>
      <c r="J745" s="26"/>
      <c r="K745" s="27"/>
      <c r="L745" s="27"/>
      <c r="M745" s="27"/>
      <c r="N745" s="27"/>
      <c r="O745" s="24" t="str">
        <f aca="false">IF(G745="","",VLOOKUP(G745,Setup!$A$14:$C$17,3,0))</f>
        <v/>
      </c>
      <c r="P745" s="27"/>
      <c r="Q745" s="29" t="str">
        <f aca="false">IF(OR(P745="",M745&lt;&gt;"Paid",O745=""),"",P745/O745)</f>
        <v/>
      </c>
      <c r="R745" s="30" t="str">
        <f aca="false">IF(Q745="","",Q745+N(H745)*0.000000001)</f>
        <v/>
      </c>
      <c r="S745" s="25" t="str">
        <f aca="false">IF(R745="","",SUMPRODUCT((I$5:I$4004=I745)*ISNUMBER(R$5:R$4004)*(R$5:R$4004&gt;R745))+1)</f>
        <v/>
      </c>
      <c r="T745" s="25" t="str">
        <f aca="false">IF(S745="","",IF(S745&lt;=Setup!$B$5,"🏆 WINNER",""))</f>
        <v/>
      </c>
      <c r="U745" s="24" t="str">
        <f aca="false">IF(S745="","",I745&amp;"|"&amp;S745)</f>
        <v/>
      </c>
    </row>
    <row r="746" customFormat="false" ht="15" hidden="false" customHeight="false" outlineLevel="0" collapsed="false">
      <c r="A746" s="31" t="n">
        <v>742</v>
      </c>
      <c r="B746" s="32" t="str">
        <f aca="false">IF(OR(C746="",I746="",G746=""),"",IFERROR(VLOOKUP(I746,Setup!$A$9:$B$11,2,0),"???")&amp;"-"&amp;G746&amp;"-"&amp;TEXT(COUNTIFS(I$5:I746,I746,G$5:G746,G746),"0000"))</f>
        <v/>
      </c>
      <c r="C746" s="26"/>
      <c r="D746" s="26"/>
      <c r="E746" s="27"/>
      <c r="F746" s="27"/>
      <c r="G746" s="31" t="str">
        <f aca="false">IF(F746="","",IF(F746&lt;=5,"A",IF(F746&lt;=8,"B",IF(F746&lt;=10,"C","D"))))</f>
        <v/>
      </c>
      <c r="H746" s="28"/>
      <c r="I746" s="27"/>
      <c r="J746" s="26"/>
      <c r="K746" s="27"/>
      <c r="L746" s="27"/>
      <c r="M746" s="27"/>
      <c r="N746" s="27"/>
      <c r="O746" s="31" t="str">
        <f aca="false">IF(G746="","",VLOOKUP(G746,Setup!$A$14:$C$17,3,0))</f>
        <v/>
      </c>
      <c r="P746" s="27"/>
      <c r="Q746" s="33" t="str">
        <f aca="false">IF(OR(P746="",M746&lt;&gt;"Paid",O746=""),"",P746/O746)</f>
        <v/>
      </c>
      <c r="R746" s="34" t="str">
        <f aca="false">IF(Q746="","",Q746+N(H746)*0.000000001)</f>
        <v/>
      </c>
      <c r="S746" s="32" t="str">
        <f aca="false">IF(R746="","",SUMPRODUCT((I$5:I$4004=I746)*ISNUMBER(R$5:R$4004)*(R$5:R$4004&gt;R746))+1)</f>
        <v/>
      </c>
      <c r="T746" s="32" t="str">
        <f aca="false">IF(S746="","",IF(S746&lt;=Setup!$B$5,"🏆 WINNER",""))</f>
        <v/>
      </c>
      <c r="U746" s="31" t="str">
        <f aca="false">IF(S746="","",I746&amp;"|"&amp;S746)</f>
        <v/>
      </c>
    </row>
    <row r="747" customFormat="false" ht="15" hidden="false" customHeight="false" outlineLevel="0" collapsed="false">
      <c r="A747" s="24" t="n">
        <v>743</v>
      </c>
      <c r="B747" s="25" t="str">
        <f aca="false">IF(OR(C747="",I747="",G747=""),"",IFERROR(VLOOKUP(I747,Setup!$A$9:$B$11,2,0),"???")&amp;"-"&amp;G747&amp;"-"&amp;TEXT(COUNTIFS(I$5:I747,I747,G$5:G747,G747),"0000"))</f>
        <v/>
      </c>
      <c r="C747" s="26"/>
      <c r="D747" s="26"/>
      <c r="E747" s="27"/>
      <c r="F747" s="27"/>
      <c r="G747" s="24" t="str">
        <f aca="false">IF(F747="","",IF(F747&lt;=5,"A",IF(F747&lt;=8,"B",IF(F747&lt;=10,"C","D"))))</f>
        <v/>
      </c>
      <c r="H747" s="28"/>
      <c r="I747" s="27"/>
      <c r="J747" s="26"/>
      <c r="K747" s="27"/>
      <c r="L747" s="27"/>
      <c r="M747" s="27"/>
      <c r="N747" s="27"/>
      <c r="O747" s="24" t="str">
        <f aca="false">IF(G747="","",VLOOKUP(G747,Setup!$A$14:$C$17,3,0))</f>
        <v/>
      </c>
      <c r="P747" s="27"/>
      <c r="Q747" s="29" t="str">
        <f aca="false">IF(OR(P747="",M747&lt;&gt;"Paid",O747=""),"",P747/O747)</f>
        <v/>
      </c>
      <c r="R747" s="30" t="str">
        <f aca="false">IF(Q747="","",Q747+N(H747)*0.000000001)</f>
        <v/>
      </c>
      <c r="S747" s="25" t="str">
        <f aca="false">IF(R747="","",SUMPRODUCT((I$5:I$4004=I747)*ISNUMBER(R$5:R$4004)*(R$5:R$4004&gt;R747))+1)</f>
        <v/>
      </c>
      <c r="T747" s="25" t="str">
        <f aca="false">IF(S747="","",IF(S747&lt;=Setup!$B$5,"🏆 WINNER",""))</f>
        <v/>
      </c>
      <c r="U747" s="24" t="str">
        <f aca="false">IF(S747="","",I747&amp;"|"&amp;S747)</f>
        <v/>
      </c>
    </row>
    <row r="748" customFormat="false" ht="15" hidden="false" customHeight="false" outlineLevel="0" collapsed="false">
      <c r="A748" s="31" t="n">
        <v>744</v>
      </c>
      <c r="B748" s="32" t="str">
        <f aca="false">IF(OR(C748="",I748="",G748=""),"",IFERROR(VLOOKUP(I748,Setup!$A$9:$B$11,2,0),"???")&amp;"-"&amp;G748&amp;"-"&amp;TEXT(COUNTIFS(I$5:I748,I748,G$5:G748,G748),"0000"))</f>
        <v/>
      </c>
      <c r="C748" s="26"/>
      <c r="D748" s="26"/>
      <c r="E748" s="27"/>
      <c r="F748" s="27"/>
      <c r="G748" s="31" t="str">
        <f aca="false">IF(F748="","",IF(F748&lt;=5,"A",IF(F748&lt;=8,"B",IF(F748&lt;=10,"C","D"))))</f>
        <v/>
      </c>
      <c r="H748" s="28"/>
      <c r="I748" s="27"/>
      <c r="J748" s="26"/>
      <c r="K748" s="27"/>
      <c r="L748" s="27"/>
      <c r="M748" s="27"/>
      <c r="N748" s="27"/>
      <c r="O748" s="31" t="str">
        <f aca="false">IF(G748="","",VLOOKUP(G748,Setup!$A$14:$C$17,3,0))</f>
        <v/>
      </c>
      <c r="P748" s="27"/>
      <c r="Q748" s="33" t="str">
        <f aca="false">IF(OR(P748="",M748&lt;&gt;"Paid",O748=""),"",P748/O748)</f>
        <v/>
      </c>
      <c r="R748" s="34" t="str">
        <f aca="false">IF(Q748="","",Q748+N(H748)*0.000000001)</f>
        <v/>
      </c>
      <c r="S748" s="32" t="str">
        <f aca="false">IF(R748="","",SUMPRODUCT((I$5:I$4004=I748)*ISNUMBER(R$5:R$4004)*(R$5:R$4004&gt;R748))+1)</f>
        <v/>
      </c>
      <c r="T748" s="32" t="str">
        <f aca="false">IF(S748="","",IF(S748&lt;=Setup!$B$5,"🏆 WINNER",""))</f>
        <v/>
      </c>
      <c r="U748" s="31" t="str">
        <f aca="false">IF(S748="","",I748&amp;"|"&amp;S748)</f>
        <v/>
      </c>
    </row>
    <row r="749" customFormat="false" ht="15" hidden="false" customHeight="false" outlineLevel="0" collapsed="false">
      <c r="A749" s="24" t="n">
        <v>745</v>
      </c>
      <c r="B749" s="25" t="str">
        <f aca="false">IF(OR(C749="",I749="",G749=""),"",IFERROR(VLOOKUP(I749,Setup!$A$9:$B$11,2,0),"???")&amp;"-"&amp;G749&amp;"-"&amp;TEXT(COUNTIFS(I$5:I749,I749,G$5:G749,G749),"0000"))</f>
        <v/>
      </c>
      <c r="C749" s="26"/>
      <c r="D749" s="26"/>
      <c r="E749" s="27"/>
      <c r="F749" s="27"/>
      <c r="G749" s="24" t="str">
        <f aca="false">IF(F749="","",IF(F749&lt;=5,"A",IF(F749&lt;=8,"B",IF(F749&lt;=10,"C","D"))))</f>
        <v/>
      </c>
      <c r="H749" s="28"/>
      <c r="I749" s="27"/>
      <c r="J749" s="26"/>
      <c r="K749" s="27"/>
      <c r="L749" s="27"/>
      <c r="M749" s="27"/>
      <c r="N749" s="27"/>
      <c r="O749" s="24" t="str">
        <f aca="false">IF(G749="","",VLOOKUP(G749,Setup!$A$14:$C$17,3,0))</f>
        <v/>
      </c>
      <c r="P749" s="27"/>
      <c r="Q749" s="29" t="str">
        <f aca="false">IF(OR(P749="",M749&lt;&gt;"Paid",O749=""),"",P749/O749)</f>
        <v/>
      </c>
      <c r="R749" s="30" t="str">
        <f aca="false">IF(Q749="","",Q749+N(H749)*0.000000001)</f>
        <v/>
      </c>
      <c r="S749" s="25" t="str">
        <f aca="false">IF(R749="","",SUMPRODUCT((I$5:I$4004=I749)*ISNUMBER(R$5:R$4004)*(R$5:R$4004&gt;R749))+1)</f>
        <v/>
      </c>
      <c r="T749" s="25" t="str">
        <f aca="false">IF(S749="","",IF(S749&lt;=Setup!$B$5,"🏆 WINNER",""))</f>
        <v/>
      </c>
      <c r="U749" s="24" t="str">
        <f aca="false">IF(S749="","",I749&amp;"|"&amp;S749)</f>
        <v/>
      </c>
    </row>
    <row r="750" customFormat="false" ht="15" hidden="false" customHeight="false" outlineLevel="0" collapsed="false">
      <c r="A750" s="31" t="n">
        <v>746</v>
      </c>
      <c r="B750" s="32" t="str">
        <f aca="false">IF(OR(C750="",I750="",G750=""),"",IFERROR(VLOOKUP(I750,Setup!$A$9:$B$11,2,0),"???")&amp;"-"&amp;G750&amp;"-"&amp;TEXT(COUNTIFS(I$5:I750,I750,G$5:G750,G750),"0000"))</f>
        <v/>
      </c>
      <c r="C750" s="26"/>
      <c r="D750" s="26"/>
      <c r="E750" s="27"/>
      <c r="F750" s="27"/>
      <c r="G750" s="31" t="str">
        <f aca="false">IF(F750="","",IF(F750&lt;=5,"A",IF(F750&lt;=8,"B",IF(F750&lt;=10,"C","D"))))</f>
        <v/>
      </c>
      <c r="H750" s="28"/>
      <c r="I750" s="27"/>
      <c r="J750" s="26"/>
      <c r="K750" s="27"/>
      <c r="L750" s="27"/>
      <c r="M750" s="27"/>
      <c r="N750" s="27"/>
      <c r="O750" s="31" t="str">
        <f aca="false">IF(G750="","",VLOOKUP(G750,Setup!$A$14:$C$17,3,0))</f>
        <v/>
      </c>
      <c r="P750" s="27"/>
      <c r="Q750" s="33" t="str">
        <f aca="false">IF(OR(P750="",M750&lt;&gt;"Paid",O750=""),"",P750/O750)</f>
        <v/>
      </c>
      <c r="R750" s="34" t="str">
        <f aca="false">IF(Q750="","",Q750+N(H750)*0.000000001)</f>
        <v/>
      </c>
      <c r="S750" s="32" t="str">
        <f aca="false">IF(R750="","",SUMPRODUCT((I$5:I$4004=I750)*ISNUMBER(R$5:R$4004)*(R$5:R$4004&gt;R750))+1)</f>
        <v/>
      </c>
      <c r="T750" s="32" t="str">
        <f aca="false">IF(S750="","",IF(S750&lt;=Setup!$B$5,"🏆 WINNER",""))</f>
        <v/>
      </c>
      <c r="U750" s="31" t="str">
        <f aca="false">IF(S750="","",I750&amp;"|"&amp;S750)</f>
        <v/>
      </c>
    </row>
    <row r="751" customFormat="false" ht="15" hidden="false" customHeight="false" outlineLevel="0" collapsed="false">
      <c r="A751" s="24" t="n">
        <v>747</v>
      </c>
      <c r="B751" s="25" t="str">
        <f aca="false">IF(OR(C751="",I751="",G751=""),"",IFERROR(VLOOKUP(I751,Setup!$A$9:$B$11,2,0),"???")&amp;"-"&amp;G751&amp;"-"&amp;TEXT(COUNTIFS(I$5:I751,I751,G$5:G751,G751),"0000"))</f>
        <v/>
      </c>
      <c r="C751" s="26"/>
      <c r="D751" s="26"/>
      <c r="E751" s="27"/>
      <c r="F751" s="27"/>
      <c r="G751" s="24" t="str">
        <f aca="false">IF(F751="","",IF(F751&lt;=5,"A",IF(F751&lt;=8,"B",IF(F751&lt;=10,"C","D"))))</f>
        <v/>
      </c>
      <c r="H751" s="28"/>
      <c r="I751" s="27"/>
      <c r="J751" s="26"/>
      <c r="K751" s="27"/>
      <c r="L751" s="27"/>
      <c r="M751" s="27"/>
      <c r="N751" s="27"/>
      <c r="O751" s="24" t="str">
        <f aca="false">IF(G751="","",VLOOKUP(G751,Setup!$A$14:$C$17,3,0))</f>
        <v/>
      </c>
      <c r="P751" s="27"/>
      <c r="Q751" s="29" t="str">
        <f aca="false">IF(OR(P751="",M751&lt;&gt;"Paid",O751=""),"",P751/O751)</f>
        <v/>
      </c>
      <c r="R751" s="30" t="str">
        <f aca="false">IF(Q751="","",Q751+N(H751)*0.000000001)</f>
        <v/>
      </c>
      <c r="S751" s="25" t="str">
        <f aca="false">IF(R751="","",SUMPRODUCT((I$5:I$4004=I751)*ISNUMBER(R$5:R$4004)*(R$5:R$4004&gt;R751))+1)</f>
        <v/>
      </c>
      <c r="T751" s="25" t="str">
        <f aca="false">IF(S751="","",IF(S751&lt;=Setup!$B$5,"🏆 WINNER",""))</f>
        <v/>
      </c>
      <c r="U751" s="24" t="str">
        <f aca="false">IF(S751="","",I751&amp;"|"&amp;S751)</f>
        <v/>
      </c>
    </row>
    <row r="752" customFormat="false" ht="15" hidden="false" customHeight="false" outlineLevel="0" collapsed="false">
      <c r="A752" s="31" t="n">
        <v>748</v>
      </c>
      <c r="B752" s="32" t="str">
        <f aca="false">IF(OR(C752="",I752="",G752=""),"",IFERROR(VLOOKUP(I752,Setup!$A$9:$B$11,2,0),"???")&amp;"-"&amp;G752&amp;"-"&amp;TEXT(COUNTIFS(I$5:I752,I752,G$5:G752,G752),"0000"))</f>
        <v/>
      </c>
      <c r="C752" s="26"/>
      <c r="D752" s="26"/>
      <c r="E752" s="27"/>
      <c r="F752" s="27"/>
      <c r="G752" s="31" t="str">
        <f aca="false">IF(F752="","",IF(F752&lt;=5,"A",IF(F752&lt;=8,"B",IF(F752&lt;=10,"C","D"))))</f>
        <v/>
      </c>
      <c r="H752" s="28"/>
      <c r="I752" s="27"/>
      <c r="J752" s="26"/>
      <c r="K752" s="27"/>
      <c r="L752" s="27"/>
      <c r="M752" s="27"/>
      <c r="N752" s="27"/>
      <c r="O752" s="31" t="str">
        <f aca="false">IF(G752="","",VLOOKUP(G752,Setup!$A$14:$C$17,3,0))</f>
        <v/>
      </c>
      <c r="P752" s="27"/>
      <c r="Q752" s="33" t="str">
        <f aca="false">IF(OR(P752="",M752&lt;&gt;"Paid",O752=""),"",P752/O752)</f>
        <v/>
      </c>
      <c r="R752" s="34" t="str">
        <f aca="false">IF(Q752="","",Q752+N(H752)*0.000000001)</f>
        <v/>
      </c>
      <c r="S752" s="32" t="str">
        <f aca="false">IF(R752="","",SUMPRODUCT((I$5:I$4004=I752)*ISNUMBER(R$5:R$4004)*(R$5:R$4004&gt;R752))+1)</f>
        <v/>
      </c>
      <c r="T752" s="32" t="str">
        <f aca="false">IF(S752="","",IF(S752&lt;=Setup!$B$5,"🏆 WINNER",""))</f>
        <v/>
      </c>
      <c r="U752" s="31" t="str">
        <f aca="false">IF(S752="","",I752&amp;"|"&amp;S752)</f>
        <v/>
      </c>
    </row>
    <row r="753" customFormat="false" ht="15" hidden="false" customHeight="false" outlineLevel="0" collapsed="false">
      <c r="A753" s="24" t="n">
        <v>749</v>
      </c>
      <c r="B753" s="25" t="str">
        <f aca="false">IF(OR(C753="",I753="",G753=""),"",IFERROR(VLOOKUP(I753,Setup!$A$9:$B$11,2,0),"???")&amp;"-"&amp;G753&amp;"-"&amp;TEXT(COUNTIFS(I$5:I753,I753,G$5:G753,G753),"0000"))</f>
        <v/>
      </c>
      <c r="C753" s="26"/>
      <c r="D753" s="26"/>
      <c r="E753" s="27"/>
      <c r="F753" s="27"/>
      <c r="G753" s="24" t="str">
        <f aca="false">IF(F753="","",IF(F753&lt;=5,"A",IF(F753&lt;=8,"B",IF(F753&lt;=10,"C","D"))))</f>
        <v/>
      </c>
      <c r="H753" s="28"/>
      <c r="I753" s="27"/>
      <c r="J753" s="26"/>
      <c r="K753" s="27"/>
      <c r="L753" s="27"/>
      <c r="M753" s="27"/>
      <c r="N753" s="27"/>
      <c r="O753" s="24" t="str">
        <f aca="false">IF(G753="","",VLOOKUP(G753,Setup!$A$14:$C$17,3,0))</f>
        <v/>
      </c>
      <c r="P753" s="27"/>
      <c r="Q753" s="29" t="str">
        <f aca="false">IF(OR(P753="",M753&lt;&gt;"Paid",O753=""),"",P753/O753)</f>
        <v/>
      </c>
      <c r="R753" s="30" t="str">
        <f aca="false">IF(Q753="","",Q753+N(H753)*0.000000001)</f>
        <v/>
      </c>
      <c r="S753" s="25" t="str">
        <f aca="false">IF(R753="","",SUMPRODUCT((I$5:I$4004=I753)*ISNUMBER(R$5:R$4004)*(R$5:R$4004&gt;R753))+1)</f>
        <v/>
      </c>
      <c r="T753" s="25" t="str">
        <f aca="false">IF(S753="","",IF(S753&lt;=Setup!$B$5,"🏆 WINNER",""))</f>
        <v/>
      </c>
      <c r="U753" s="24" t="str">
        <f aca="false">IF(S753="","",I753&amp;"|"&amp;S753)</f>
        <v/>
      </c>
    </row>
    <row r="754" customFormat="false" ht="15" hidden="false" customHeight="false" outlineLevel="0" collapsed="false">
      <c r="A754" s="31" t="n">
        <v>750</v>
      </c>
      <c r="B754" s="32" t="str">
        <f aca="false">IF(OR(C754="",I754="",G754=""),"",IFERROR(VLOOKUP(I754,Setup!$A$9:$B$11,2,0),"???")&amp;"-"&amp;G754&amp;"-"&amp;TEXT(COUNTIFS(I$5:I754,I754,G$5:G754,G754),"0000"))</f>
        <v/>
      </c>
      <c r="C754" s="26"/>
      <c r="D754" s="26"/>
      <c r="E754" s="27"/>
      <c r="F754" s="27"/>
      <c r="G754" s="31" t="str">
        <f aca="false">IF(F754="","",IF(F754&lt;=5,"A",IF(F754&lt;=8,"B",IF(F754&lt;=10,"C","D"))))</f>
        <v/>
      </c>
      <c r="H754" s="28"/>
      <c r="I754" s="27"/>
      <c r="J754" s="26"/>
      <c r="K754" s="27"/>
      <c r="L754" s="27"/>
      <c r="M754" s="27"/>
      <c r="N754" s="27"/>
      <c r="O754" s="31" t="str">
        <f aca="false">IF(G754="","",VLOOKUP(G754,Setup!$A$14:$C$17,3,0))</f>
        <v/>
      </c>
      <c r="P754" s="27"/>
      <c r="Q754" s="33" t="str">
        <f aca="false">IF(OR(P754="",M754&lt;&gt;"Paid",O754=""),"",P754/O754)</f>
        <v/>
      </c>
      <c r="R754" s="34" t="str">
        <f aca="false">IF(Q754="","",Q754+N(H754)*0.000000001)</f>
        <v/>
      </c>
      <c r="S754" s="32" t="str">
        <f aca="false">IF(R754="","",SUMPRODUCT((I$5:I$4004=I754)*ISNUMBER(R$5:R$4004)*(R$5:R$4004&gt;R754))+1)</f>
        <v/>
      </c>
      <c r="T754" s="32" t="str">
        <f aca="false">IF(S754="","",IF(S754&lt;=Setup!$B$5,"🏆 WINNER",""))</f>
        <v/>
      </c>
      <c r="U754" s="31" t="str">
        <f aca="false">IF(S754="","",I754&amp;"|"&amp;S754)</f>
        <v/>
      </c>
    </row>
    <row r="755" customFormat="false" ht="15" hidden="false" customHeight="false" outlineLevel="0" collapsed="false">
      <c r="A755" s="24" t="n">
        <v>751</v>
      </c>
      <c r="B755" s="25" t="str">
        <f aca="false">IF(OR(C755="",I755="",G755=""),"",IFERROR(VLOOKUP(I755,Setup!$A$9:$B$11,2,0),"???")&amp;"-"&amp;G755&amp;"-"&amp;TEXT(COUNTIFS(I$5:I755,I755,G$5:G755,G755),"0000"))</f>
        <v/>
      </c>
      <c r="C755" s="26"/>
      <c r="D755" s="26"/>
      <c r="E755" s="27"/>
      <c r="F755" s="27"/>
      <c r="G755" s="24" t="str">
        <f aca="false">IF(F755="","",IF(F755&lt;=5,"A",IF(F755&lt;=8,"B",IF(F755&lt;=10,"C","D"))))</f>
        <v/>
      </c>
      <c r="H755" s="28"/>
      <c r="I755" s="27"/>
      <c r="J755" s="26"/>
      <c r="K755" s="27"/>
      <c r="L755" s="27"/>
      <c r="M755" s="27"/>
      <c r="N755" s="27"/>
      <c r="O755" s="24" t="str">
        <f aca="false">IF(G755="","",VLOOKUP(G755,Setup!$A$14:$C$17,3,0))</f>
        <v/>
      </c>
      <c r="P755" s="27"/>
      <c r="Q755" s="29" t="str">
        <f aca="false">IF(OR(P755="",M755&lt;&gt;"Paid",O755=""),"",P755/O755)</f>
        <v/>
      </c>
      <c r="R755" s="30" t="str">
        <f aca="false">IF(Q755="","",Q755+N(H755)*0.000000001)</f>
        <v/>
      </c>
      <c r="S755" s="25" t="str">
        <f aca="false">IF(R755="","",SUMPRODUCT((I$5:I$4004=I755)*ISNUMBER(R$5:R$4004)*(R$5:R$4004&gt;R755))+1)</f>
        <v/>
      </c>
      <c r="T755" s="25" t="str">
        <f aca="false">IF(S755="","",IF(S755&lt;=Setup!$B$5,"🏆 WINNER",""))</f>
        <v/>
      </c>
      <c r="U755" s="24" t="str">
        <f aca="false">IF(S755="","",I755&amp;"|"&amp;S755)</f>
        <v/>
      </c>
    </row>
    <row r="756" customFormat="false" ht="15" hidden="false" customHeight="false" outlineLevel="0" collapsed="false">
      <c r="A756" s="31" t="n">
        <v>752</v>
      </c>
      <c r="B756" s="32" t="str">
        <f aca="false">IF(OR(C756="",I756="",G756=""),"",IFERROR(VLOOKUP(I756,Setup!$A$9:$B$11,2,0),"???")&amp;"-"&amp;G756&amp;"-"&amp;TEXT(COUNTIFS(I$5:I756,I756,G$5:G756,G756),"0000"))</f>
        <v/>
      </c>
      <c r="C756" s="26"/>
      <c r="D756" s="26"/>
      <c r="E756" s="27"/>
      <c r="F756" s="27"/>
      <c r="G756" s="31" t="str">
        <f aca="false">IF(F756="","",IF(F756&lt;=5,"A",IF(F756&lt;=8,"B",IF(F756&lt;=10,"C","D"))))</f>
        <v/>
      </c>
      <c r="H756" s="28"/>
      <c r="I756" s="27"/>
      <c r="J756" s="26"/>
      <c r="K756" s="27"/>
      <c r="L756" s="27"/>
      <c r="M756" s="27"/>
      <c r="N756" s="27"/>
      <c r="O756" s="31" t="str">
        <f aca="false">IF(G756="","",VLOOKUP(G756,Setup!$A$14:$C$17,3,0))</f>
        <v/>
      </c>
      <c r="P756" s="27"/>
      <c r="Q756" s="33" t="str">
        <f aca="false">IF(OR(P756="",M756&lt;&gt;"Paid",O756=""),"",P756/O756)</f>
        <v/>
      </c>
      <c r="R756" s="34" t="str">
        <f aca="false">IF(Q756="","",Q756+N(H756)*0.000000001)</f>
        <v/>
      </c>
      <c r="S756" s="32" t="str">
        <f aca="false">IF(R756="","",SUMPRODUCT((I$5:I$4004=I756)*ISNUMBER(R$5:R$4004)*(R$5:R$4004&gt;R756))+1)</f>
        <v/>
      </c>
      <c r="T756" s="32" t="str">
        <f aca="false">IF(S756="","",IF(S756&lt;=Setup!$B$5,"🏆 WINNER",""))</f>
        <v/>
      </c>
      <c r="U756" s="31" t="str">
        <f aca="false">IF(S756="","",I756&amp;"|"&amp;S756)</f>
        <v/>
      </c>
    </row>
    <row r="757" customFormat="false" ht="15" hidden="false" customHeight="false" outlineLevel="0" collapsed="false">
      <c r="A757" s="24" t="n">
        <v>753</v>
      </c>
      <c r="B757" s="25" t="str">
        <f aca="false">IF(OR(C757="",I757="",G757=""),"",IFERROR(VLOOKUP(I757,Setup!$A$9:$B$11,2,0),"???")&amp;"-"&amp;G757&amp;"-"&amp;TEXT(COUNTIFS(I$5:I757,I757,G$5:G757,G757),"0000"))</f>
        <v/>
      </c>
      <c r="C757" s="26"/>
      <c r="D757" s="26"/>
      <c r="E757" s="27"/>
      <c r="F757" s="27"/>
      <c r="G757" s="24" t="str">
        <f aca="false">IF(F757="","",IF(F757&lt;=5,"A",IF(F757&lt;=8,"B",IF(F757&lt;=10,"C","D"))))</f>
        <v/>
      </c>
      <c r="H757" s="28"/>
      <c r="I757" s="27"/>
      <c r="J757" s="26"/>
      <c r="K757" s="27"/>
      <c r="L757" s="27"/>
      <c r="M757" s="27"/>
      <c r="N757" s="27"/>
      <c r="O757" s="24" t="str">
        <f aca="false">IF(G757="","",VLOOKUP(G757,Setup!$A$14:$C$17,3,0))</f>
        <v/>
      </c>
      <c r="P757" s="27"/>
      <c r="Q757" s="29" t="str">
        <f aca="false">IF(OR(P757="",M757&lt;&gt;"Paid",O757=""),"",P757/O757)</f>
        <v/>
      </c>
      <c r="R757" s="30" t="str">
        <f aca="false">IF(Q757="","",Q757+N(H757)*0.000000001)</f>
        <v/>
      </c>
      <c r="S757" s="25" t="str">
        <f aca="false">IF(R757="","",SUMPRODUCT((I$5:I$4004=I757)*ISNUMBER(R$5:R$4004)*(R$5:R$4004&gt;R757))+1)</f>
        <v/>
      </c>
      <c r="T757" s="25" t="str">
        <f aca="false">IF(S757="","",IF(S757&lt;=Setup!$B$5,"🏆 WINNER",""))</f>
        <v/>
      </c>
      <c r="U757" s="24" t="str">
        <f aca="false">IF(S757="","",I757&amp;"|"&amp;S757)</f>
        <v/>
      </c>
    </row>
    <row r="758" customFormat="false" ht="15" hidden="false" customHeight="false" outlineLevel="0" collapsed="false">
      <c r="A758" s="31" t="n">
        <v>754</v>
      </c>
      <c r="B758" s="32" t="str">
        <f aca="false">IF(OR(C758="",I758="",G758=""),"",IFERROR(VLOOKUP(I758,Setup!$A$9:$B$11,2,0),"???")&amp;"-"&amp;G758&amp;"-"&amp;TEXT(COUNTIFS(I$5:I758,I758,G$5:G758,G758),"0000"))</f>
        <v/>
      </c>
      <c r="C758" s="26"/>
      <c r="D758" s="26"/>
      <c r="E758" s="27"/>
      <c r="F758" s="27"/>
      <c r="G758" s="31" t="str">
        <f aca="false">IF(F758="","",IF(F758&lt;=5,"A",IF(F758&lt;=8,"B",IF(F758&lt;=10,"C","D"))))</f>
        <v/>
      </c>
      <c r="H758" s="28"/>
      <c r="I758" s="27"/>
      <c r="J758" s="26"/>
      <c r="K758" s="27"/>
      <c r="L758" s="27"/>
      <c r="M758" s="27"/>
      <c r="N758" s="27"/>
      <c r="O758" s="31" t="str">
        <f aca="false">IF(G758="","",VLOOKUP(G758,Setup!$A$14:$C$17,3,0))</f>
        <v/>
      </c>
      <c r="P758" s="27"/>
      <c r="Q758" s="33" t="str">
        <f aca="false">IF(OR(P758="",M758&lt;&gt;"Paid",O758=""),"",P758/O758)</f>
        <v/>
      </c>
      <c r="R758" s="34" t="str">
        <f aca="false">IF(Q758="","",Q758+N(H758)*0.000000001)</f>
        <v/>
      </c>
      <c r="S758" s="32" t="str">
        <f aca="false">IF(R758="","",SUMPRODUCT((I$5:I$4004=I758)*ISNUMBER(R$5:R$4004)*(R$5:R$4004&gt;R758))+1)</f>
        <v/>
      </c>
      <c r="T758" s="32" t="str">
        <f aca="false">IF(S758="","",IF(S758&lt;=Setup!$B$5,"🏆 WINNER",""))</f>
        <v/>
      </c>
      <c r="U758" s="31" t="str">
        <f aca="false">IF(S758="","",I758&amp;"|"&amp;S758)</f>
        <v/>
      </c>
    </row>
    <row r="759" customFormat="false" ht="15" hidden="false" customHeight="false" outlineLevel="0" collapsed="false">
      <c r="A759" s="24" t="n">
        <v>755</v>
      </c>
      <c r="B759" s="25" t="str">
        <f aca="false">IF(OR(C759="",I759="",G759=""),"",IFERROR(VLOOKUP(I759,Setup!$A$9:$B$11,2,0),"???")&amp;"-"&amp;G759&amp;"-"&amp;TEXT(COUNTIFS(I$5:I759,I759,G$5:G759,G759),"0000"))</f>
        <v/>
      </c>
      <c r="C759" s="26"/>
      <c r="D759" s="26"/>
      <c r="E759" s="27"/>
      <c r="F759" s="27"/>
      <c r="G759" s="24" t="str">
        <f aca="false">IF(F759="","",IF(F759&lt;=5,"A",IF(F759&lt;=8,"B",IF(F759&lt;=10,"C","D"))))</f>
        <v/>
      </c>
      <c r="H759" s="28"/>
      <c r="I759" s="27"/>
      <c r="J759" s="26"/>
      <c r="K759" s="27"/>
      <c r="L759" s="27"/>
      <c r="M759" s="27"/>
      <c r="N759" s="27"/>
      <c r="O759" s="24" t="str">
        <f aca="false">IF(G759="","",VLOOKUP(G759,Setup!$A$14:$C$17,3,0))</f>
        <v/>
      </c>
      <c r="P759" s="27"/>
      <c r="Q759" s="29" t="str">
        <f aca="false">IF(OR(P759="",M759&lt;&gt;"Paid",O759=""),"",P759/O759)</f>
        <v/>
      </c>
      <c r="R759" s="30" t="str">
        <f aca="false">IF(Q759="","",Q759+N(H759)*0.000000001)</f>
        <v/>
      </c>
      <c r="S759" s="25" t="str">
        <f aca="false">IF(R759="","",SUMPRODUCT((I$5:I$4004=I759)*ISNUMBER(R$5:R$4004)*(R$5:R$4004&gt;R759))+1)</f>
        <v/>
      </c>
      <c r="T759" s="25" t="str">
        <f aca="false">IF(S759="","",IF(S759&lt;=Setup!$B$5,"🏆 WINNER",""))</f>
        <v/>
      </c>
      <c r="U759" s="24" t="str">
        <f aca="false">IF(S759="","",I759&amp;"|"&amp;S759)</f>
        <v/>
      </c>
    </row>
    <row r="760" customFormat="false" ht="15" hidden="false" customHeight="false" outlineLevel="0" collapsed="false">
      <c r="A760" s="31" t="n">
        <v>756</v>
      </c>
      <c r="B760" s="32" t="str">
        <f aca="false">IF(OR(C760="",I760="",G760=""),"",IFERROR(VLOOKUP(I760,Setup!$A$9:$B$11,2,0),"???")&amp;"-"&amp;G760&amp;"-"&amp;TEXT(COUNTIFS(I$5:I760,I760,G$5:G760,G760),"0000"))</f>
        <v/>
      </c>
      <c r="C760" s="26"/>
      <c r="D760" s="26"/>
      <c r="E760" s="27"/>
      <c r="F760" s="27"/>
      <c r="G760" s="31" t="str">
        <f aca="false">IF(F760="","",IF(F760&lt;=5,"A",IF(F760&lt;=8,"B",IF(F760&lt;=10,"C","D"))))</f>
        <v/>
      </c>
      <c r="H760" s="28"/>
      <c r="I760" s="27"/>
      <c r="J760" s="26"/>
      <c r="K760" s="27"/>
      <c r="L760" s="27"/>
      <c r="M760" s="27"/>
      <c r="N760" s="27"/>
      <c r="O760" s="31" t="str">
        <f aca="false">IF(G760="","",VLOOKUP(G760,Setup!$A$14:$C$17,3,0))</f>
        <v/>
      </c>
      <c r="P760" s="27"/>
      <c r="Q760" s="33" t="str">
        <f aca="false">IF(OR(P760="",M760&lt;&gt;"Paid",O760=""),"",P760/O760)</f>
        <v/>
      </c>
      <c r="R760" s="34" t="str">
        <f aca="false">IF(Q760="","",Q760+N(H760)*0.000000001)</f>
        <v/>
      </c>
      <c r="S760" s="32" t="str">
        <f aca="false">IF(R760="","",SUMPRODUCT((I$5:I$4004=I760)*ISNUMBER(R$5:R$4004)*(R$5:R$4004&gt;R760))+1)</f>
        <v/>
      </c>
      <c r="T760" s="32" t="str">
        <f aca="false">IF(S760="","",IF(S760&lt;=Setup!$B$5,"🏆 WINNER",""))</f>
        <v/>
      </c>
      <c r="U760" s="31" t="str">
        <f aca="false">IF(S760="","",I760&amp;"|"&amp;S760)</f>
        <v/>
      </c>
    </row>
    <row r="761" customFormat="false" ht="15" hidden="false" customHeight="false" outlineLevel="0" collapsed="false">
      <c r="A761" s="24" t="n">
        <v>757</v>
      </c>
      <c r="B761" s="25" t="str">
        <f aca="false">IF(OR(C761="",I761="",G761=""),"",IFERROR(VLOOKUP(I761,Setup!$A$9:$B$11,2,0),"???")&amp;"-"&amp;G761&amp;"-"&amp;TEXT(COUNTIFS(I$5:I761,I761,G$5:G761,G761),"0000"))</f>
        <v/>
      </c>
      <c r="C761" s="26"/>
      <c r="D761" s="26"/>
      <c r="E761" s="27"/>
      <c r="F761" s="27"/>
      <c r="G761" s="24" t="str">
        <f aca="false">IF(F761="","",IF(F761&lt;=5,"A",IF(F761&lt;=8,"B",IF(F761&lt;=10,"C","D"))))</f>
        <v/>
      </c>
      <c r="H761" s="28"/>
      <c r="I761" s="27"/>
      <c r="J761" s="26"/>
      <c r="K761" s="27"/>
      <c r="L761" s="27"/>
      <c r="M761" s="27"/>
      <c r="N761" s="27"/>
      <c r="O761" s="24" t="str">
        <f aca="false">IF(G761="","",VLOOKUP(G761,Setup!$A$14:$C$17,3,0))</f>
        <v/>
      </c>
      <c r="P761" s="27"/>
      <c r="Q761" s="29" t="str">
        <f aca="false">IF(OR(P761="",M761&lt;&gt;"Paid",O761=""),"",P761/O761)</f>
        <v/>
      </c>
      <c r="R761" s="30" t="str">
        <f aca="false">IF(Q761="","",Q761+N(H761)*0.000000001)</f>
        <v/>
      </c>
      <c r="S761" s="25" t="str">
        <f aca="false">IF(R761="","",SUMPRODUCT((I$5:I$4004=I761)*ISNUMBER(R$5:R$4004)*(R$5:R$4004&gt;R761))+1)</f>
        <v/>
      </c>
      <c r="T761" s="25" t="str">
        <f aca="false">IF(S761="","",IF(S761&lt;=Setup!$B$5,"🏆 WINNER",""))</f>
        <v/>
      </c>
      <c r="U761" s="24" t="str">
        <f aca="false">IF(S761="","",I761&amp;"|"&amp;S761)</f>
        <v/>
      </c>
    </row>
    <row r="762" customFormat="false" ht="15" hidden="false" customHeight="false" outlineLevel="0" collapsed="false">
      <c r="A762" s="31" t="n">
        <v>758</v>
      </c>
      <c r="B762" s="32" t="str">
        <f aca="false">IF(OR(C762="",I762="",G762=""),"",IFERROR(VLOOKUP(I762,Setup!$A$9:$B$11,2,0),"???")&amp;"-"&amp;G762&amp;"-"&amp;TEXT(COUNTIFS(I$5:I762,I762,G$5:G762,G762),"0000"))</f>
        <v/>
      </c>
      <c r="C762" s="26"/>
      <c r="D762" s="26"/>
      <c r="E762" s="27"/>
      <c r="F762" s="27"/>
      <c r="G762" s="31" t="str">
        <f aca="false">IF(F762="","",IF(F762&lt;=5,"A",IF(F762&lt;=8,"B",IF(F762&lt;=10,"C","D"))))</f>
        <v/>
      </c>
      <c r="H762" s="28"/>
      <c r="I762" s="27"/>
      <c r="J762" s="26"/>
      <c r="K762" s="27"/>
      <c r="L762" s="27"/>
      <c r="M762" s="27"/>
      <c r="N762" s="27"/>
      <c r="O762" s="31" t="str">
        <f aca="false">IF(G762="","",VLOOKUP(G762,Setup!$A$14:$C$17,3,0))</f>
        <v/>
      </c>
      <c r="P762" s="27"/>
      <c r="Q762" s="33" t="str">
        <f aca="false">IF(OR(P762="",M762&lt;&gt;"Paid",O762=""),"",P762/O762)</f>
        <v/>
      </c>
      <c r="R762" s="34" t="str">
        <f aca="false">IF(Q762="","",Q762+N(H762)*0.000000001)</f>
        <v/>
      </c>
      <c r="S762" s="32" t="str">
        <f aca="false">IF(R762="","",SUMPRODUCT((I$5:I$4004=I762)*ISNUMBER(R$5:R$4004)*(R$5:R$4004&gt;R762))+1)</f>
        <v/>
      </c>
      <c r="T762" s="32" t="str">
        <f aca="false">IF(S762="","",IF(S762&lt;=Setup!$B$5,"🏆 WINNER",""))</f>
        <v/>
      </c>
      <c r="U762" s="31" t="str">
        <f aca="false">IF(S762="","",I762&amp;"|"&amp;S762)</f>
        <v/>
      </c>
    </row>
    <row r="763" customFormat="false" ht="15" hidden="false" customHeight="false" outlineLevel="0" collapsed="false">
      <c r="A763" s="24" t="n">
        <v>759</v>
      </c>
      <c r="B763" s="25" t="str">
        <f aca="false">IF(OR(C763="",I763="",G763=""),"",IFERROR(VLOOKUP(I763,Setup!$A$9:$B$11,2,0),"???")&amp;"-"&amp;G763&amp;"-"&amp;TEXT(COUNTIFS(I$5:I763,I763,G$5:G763,G763),"0000"))</f>
        <v/>
      </c>
      <c r="C763" s="26"/>
      <c r="D763" s="26"/>
      <c r="E763" s="27"/>
      <c r="F763" s="27"/>
      <c r="G763" s="24" t="str">
        <f aca="false">IF(F763="","",IF(F763&lt;=5,"A",IF(F763&lt;=8,"B",IF(F763&lt;=10,"C","D"))))</f>
        <v/>
      </c>
      <c r="H763" s="28"/>
      <c r="I763" s="27"/>
      <c r="J763" s="26"/>
      <c r="K763" s="27"/>
      <c r="L763" s="27"/>
      <c r="M763" s="27"/>
      <c r="N763" s="27"/>
      <c r="O763" s="24" t="str">
        <f aca="false">IF(G763="","",VLOOKUP(G763,Setup!$A$14:$C$17,3,0))</f>
        <v/>
      </c>
      <c r="P763" s="27"/>
      <c r="Q763" s="29" t="str">
        <f aca="false">IF(OR(P763="",M763&lt;&gt;"Paid",O763=""),"",P763/O763)</f>
        <v/>
      </c>
      <c r="R763" s="30" t="str">
        <f aca="false">IF(Q763="","",Q763+N(H763)*0.000000001)</f>
        <v/>
      </c>
      <c r="S763" s="25" t="str">
        <f aca="false">IF(R763="","",SUMPRODUCT((I$5:I$4004=I763)*ISNUMBER(R$5:R$4004)*(R$5:R$4004&gt;R763))+1)</f>
        <v/>
      </c>
      <c r="T763" s="25" t="str">
        <f aca="false">IF(S763="","",IF(S763&lt;=Setup!$B$5,"🏆 WINNER",""))</f>
        <v/>
      </c>
      <c r="U763" s="24" t="str">
        <f aca="false">IF(S763="","",I763&amp;"|"&amp;S763)</f>
        <v/>
      </c>
    </row>
    <row r="764" customFormat="false" ht="15" hidden="false" customHeight="false" outlineLevel="0" collapsed="false">
      <c r="A764" s="31" t="n">
        <v>760</v>
      </c>
      <c r="B764" s="32" t="str">
        <f aca="false">IF(OR(C764="",I764="",G764=""),"",IFERROR(VLOOKUP(I764,Setup!$A$9:$B$11,2,0),"???")&amp;"-"&amp;G764&amp;"-"&amp;TEXT(COUNTIFS(I$5:I764,I764,G$5:G764,G764),"0000"))</f>
        <v/>
      </c>
      <c r="C764" s="26"/>
      <c r="D764" s="26"/>
      <c r="E764" s="27"/>
      <c r="F764" s="27"/>
      <c r="G764" s="31" t="str">
        <f aca="false">IF(F764="","",IF(F764&lt;=5,"A",IF(F764&lt;=8,"B",IF(F764&lt;=10,"C","D"))))</f>
        <v/>
      </c>
      <c r="H764" s="28"/>
      <c r="I764" s="27"/>
      <c r="J764" s="26"/>
      <c r="K764" s="27"/>
      <c r="L764" s="27"/>
      <c r="M764" s="27"/>
      <c r="N764" s="27"/>
      <c r="O764" s="31" t="str">
        <f aca="false">IF(G764="","",VLOOKUP(G764,Setup!$A$14:$C$17,3,0))</f>
        <v/>
      </c>
      <c r="P764" s="27"/>
      <c r="Q764" s="33" t="str">
        <f aca="false">IF(OR(P764="",M764&lt;&gt;"Paid",O764=""),"",P764/O764)</f>
        <v/>
      </c>
      <c r="R764" s="34" t="str">
        <f aca="false">IF(Q764="","",Q764+N(H764)*0.000000001)</f>
        <v/>
      </c>
      <c r="S764" s="32" t="str">
        <f aca="false">IF(R764="","",SUMPRODUCT((I$5:I$4004=I764)*ISNUMBER(R$5:R$4004)*(R$5:R$4004&gt;R764))+1)</f>
        <v/>
      </c>
      <c r="T764" s="32" t="str">
        <f aca="false">IF(S764="","",IF(S764&lt;=Setup!$B$5,"🏆 WINNER",""))</f>
        <v/>
      </c>
      <c r="U764" s="31" t="str">
        <f aca="false">IF(S764="","",I764&amp;"|"&amp;S764)</f>
        <v/>
      </c>
    </row>
    <row r="765" customFormat="false" ht="15" hidden="false" customHeight="false" outlineLevel="0" collapsed="false">
      <c r="A765" s="24" t="n">
        <v>761</v>
      </c>
      <c r="B765" s="25" t="str">
        <f aca="false">IF(OR(C765="",I765="",G765=""),"",IFERROR(VLOOKUP(I765,Setup!$A$9:$B$11,2,0),"???")&amp;"-"&amp;G765&amp;"-"&amp;TEXT(COUNTIFS(I$5:I765,I765,G$5:G765,G765),"0000"))</f>
        <v/>
      </c>
      <c r="C765" s="26"/>
      <c r="D765" s="26"/>
      <c r="E765" s="27"/>
      <c r="F765" s="27"/>
      <c r="G765" s="24" t="str">
        <f aca="false">IF(F765="","",IF(F765&lt;=5,"A",IF(F765&lt;=8,"B",IF(F765&lt;=10,"C","D"))))</f>
        <v/>
      </c>
      <c r="H765" s="28"/>
      <c r="I765" s="27"/>
      <c r="J765" s="26"/>
      <c r="K765" s="27"/>
      <c r="L765" s="27"/>
      <c r="M765" s="27"/>
      <c r="N765" s="27"/>
      <c r="O765" s="24" t="str">
        <f aca="false">IF(G765="","",VLOOKUP(G765,Setup!$A$14:$C$17,3,0))</f>
        <v/>
      </c>
      <c r="P765" s="27"/>
      <c r="Q765" s="29" t="str">
        <f aca="false">IF(OR(P765="",M765&lt;&gt;"Paid",O765=""),"",P765/O765)</f>
        <v/>
      </c>
      <c r="R765" s="30" t="str">
        <f aca="false">IF(Q765="","",Q765+N(H765)*0.000000001)</f>
        <v/>
      </c>
      <c r="S765" s="25" t="str">
        <f aca="false">IF(R765="","",SUMPRODUCT((I$5:I$4004=I765)*ISNUMBER(R$5:R$4004)*(R$5:R$4004&gt;R765))+1)</f>
        <v/>
      </c>
      <c r="T765" s="25" t="str">
        <f aca="false">IF(S765="","",IF(S765&lt;=Setup!$B$5,"🏆 WINNER",""))</f>
        <v/>
      </c>
      <c r="U765" s="24" t="str">
        <f aca="false">IF(S765="","",I765&amp;"|"&amp;S765)</f>
        <v/>
      </c>
    </row>
    <row r="766" customFormat="false" ht="15" hidden="false" customHeight="false" outlineLevel="0" collapsed="false">
      <c r="A766" s="31" t="n">
        <v>762</v>
      </c>
      <c r="B766" s="32" t="str">
        <f aca="false">IF(OR(C766="",I766="",G766=""),"",IFERROR(VLOOKUP(I766,Setup!$A$9:$B$11,2,0),"???")&amp;"-"&amp;G766&amp;"-"&amp;TEXT(COUNTIFS(I$5:I766,I766,G$5:G766,G766),"0000"))</f>
        <v/>
      </c>
      <c r="C766" s="26"/>
      <c r="D766" s="26"/>
      <c r="E766" s="27"/>
      <c r="F766" s="27"/>
      <c r="G766" s="31" t="str">
        <f aca="false">IF(F766="","",IF(F766&lt;=5,"A",IF(F766&lt;=8,"B",IF(F766&lt;=10,"C","D"))))</f>
        <v/>
      </c>
      <c r="H766" s="28"/>
      <c r="I766" s="27"/>
      <c r="J766" s="26"/>
      <c r="K766" s="27"/>
      <c r="L766" s="27"/>
      <c r="M766" s="27"/>
      <c r="N766" s="27"/>
      <c r="O766" s="31" t="str">
        <f aca="false">IF(G766="","",VLOOKUP(G766,Setup!$A$14:$C$17,3,0))</f>
        <v/>
      </c>
      <c r="P766" s="27"/>
      <c r="Q766" s="33" t="str">
        <f aca="false">IF(OR(P766="",M766&lt;&gt;"Paid",O766=""),"",P766/O766)</f>
        <v/>
      </c>
      <c r="R766" s="34" t="str">
        <f aca="false">IF(Q766="","",Q766+N(H766)*0.000000001)</f>
        <v/>
      </c>
      <c r="S766" s="32" t="str">
        <f aca="false">IF(R766="","",SUMPRODUCT((I$5:I$4004=I766)*ISNUMBER(R$5:R$4004)*(R$5:R$4004&gt;R766))+1)</f>
        <v/>
      </c>
      <c r="T766" s="32" t="str">
        <f aca="false">IF(S766="","",IF(S766&lt;=Setup!$B$5,"🏆 WINNER",""))</f>
        <v/>
      </c>
      <c r="U766" s="31" t="str">
        <f aca="false">IF(S766="","",I766&amp;"|"&amp;S766)</f>
        <v/>
      </c>
    </row>
    <row r="767" customFormat="false" ht="15" hidden="false" customHeight="false" outlineLevel="0" collapsed="false">
      <c r="A767" s="24" t="n">
        <v>763</v>
      </c>
      <c r="B767" s="25" t="str">
        <f aca="false">IF(OR(C767="",I767="",G767=""),"",IFERROR(VLOOKUP(I767,Setup!$A$9:$B$11,2,0),"???")&amp;"-"&amp;G767&amp;"-"&amp;TEXT(COUNTIFS(I$5:I767,I767,G$5:G767,G767),"0000"))</f>
        <v/>
      </c>
      <c r="C767" s="26"/>
      <c r="D767" s="26"/>
      <c r="E767" s="27"/>
      <c r="F767" s="27"/>
      <c r="G767" s="24" t="str">
        <f aca="false">IF(F767="","",IF(F767&lt;=5,"A",IF(F767&lt;=8,"B",IF(F767&lt;=10,"C","D"))))</f>
        <v/>
      </c>
      <c r="H767" s="28"/>
      <c r="I767" s="27"/>
      <c r="J767" s="26"/>
      <c r="K767" s="27"/>
      <c r="L767" s="27"/>
      <c r="M767" s="27"/>
      <c r="N767" s="27"/>
      <c r="O767" s="24" t="str">
        <f aca="false">IF(G767="","",VLOOKUP(G767,Setup!$A$14:$C$17,3,0))</f>
        <v/>
      </c>
      <c r="P767" s="27"/>
      <c r="Q767" s="29" t="str">
        <f aca="false">IF(OR(P767="",M767&lt;&gt;"Paid",O767=""),"",P767/O767)</f>
        <v/>
      </c>
      <c r="R767" s="30" t="str">
        <f aca="false">IF(Q767="","",Q767+N(H767)*0.000000001)</f>
        <v/>
      </c>
      <c r="S767" s="25" t="str">
        <f aca="false">IF(R767="","",SUMPRODUCT((I$5:I$4004=I767)*ISNUMBER(R$5:R$4004)*(R$5:R$4004&gt;R767))+1)</f>
        <v/>
      </c>
      <c r="T767" s="25" t="str">
        <f aca="false">IF(S767="","",IF(S767&lt;=Setup!$B$5,"🏆 WINNER",""))</f>
        <v/>
      </c>
      <c r="U767" s="24" t="str">
        <f aca="false">IF(S767="","",I767&amp;"|"&amp;S767)</f>
        <v/>
      </c>
    </row>
    <row r="768" customFormat="false" ht="15" hidden="false" customHeight="false" outlineLevel="0" collapsed="false">
      <c r="A768" s="31" t="n">
        <v>764</v>
      </c>
      <c r="B768" s="32" t="str">
        <f aca="false">IF(OR(C768="",I768="",G768=""),"",IFERROR(VLOOKUP(I768,Setup!$A$9:$B$11,2,0),"???")&amp;"-"&amp;G768&amp;"-"&amp;TEXT(COUNTIFS(I$5:I768,I768,G$5:G768,G768),"0000"))</f>
        <v/>
      </c>
      <c r="C768" s="26"/>
      <c r="D768" s="26"/>
      <c r="E768" s="27"/>
      <c r="F768" s="27"/>
      <c r="G768" s="31" t="str">
        <f aca="false">IF(F768="","",IF(F768&lt;=5,"A",IF(F768&lt;=8,"B",IF(F768&lt;=10,"C","D"))))</f>
        <v/>
      </c>
      <c r="H768" s="28"/>
      <c r="I768" s="27"/>
      <c r="J768" s="26"/>
      <c r="K768" s="27"/>
      <c r="L768" s="27"/>
      <c r="M768" s="27"/>
      <c r="N768" s="27"/>
      <c r="O768" s="31" t="str">
        <f aca="false">IF(G768="","",VLOOKUP(G768,Setup!$A$14:$C$17,3,0))</f>
        <v/>
      </c>
      <c r="P768" s="27"/>
      <c r="Q768" s="33" t="str">
        <f aca="false">IF(OR(P768="",M768&lt;&gt;"Paid",O768=""),"",P768/O768)</f>
        <v/>
      </c>
      <c r="R768" s="34" t="str">
        <f aca="false">IF(Q768="","",Q768+N(H768)*0.000000001)</f>
        <v/>
      </c>
      <c r="S768" s="32" t="str">
        <f aca="false">IF(R768="","",SUMPRODUCT((I$5:I$4004=I768)*ISNUMBER(R$5:R$4004)*(R$5:R$4004&gt;R768))+1)</f>
        <v/>
      </c>
      <c r="T768" s="32" t="str">
        <f aca="false">IF(S768="","",IF(S768&lt;=Setup!$B$5,"🏆 WINNER",""))</f>
        <v/>
      </c>
      <c r="U768" s="31" t="str">
        <f aca="false">IF(S768="","",I768&amp;"|"&amp;S768)</f>
        <v/>
      </c>
    </row>
    <row r="769" customFormat="false" ht="15" hidden="false" customHeight="false" outlineLevel="0" collapsed="false">
      <c r="A769" s="24" t="n">
        <v>765</v>
      </c>
      <c r="B769" s="25" t="str">
        <f aca="false">IF(OR(C769="",I769="",G769=""),"",IFERROR(VLOOKUP(I769,Setup!$A$9:$B$11,2,0),"???")&amp;"-"&amp;G769&amp;"-"&amp;TEXT(COUNTIFS(I$5:I769,I769,G$5:G769,G769),"0000"))</f>
        <v/>
      </c>
      <c r="C769" s="26"/>
      <c r="D769" s="26"/>
      <c r="E769" s="27"/>
      <c r="F769" s="27"/>
      <c r="G769" s="24" t="str">
        <f aca="false">IF(F769="","",IF(F769&lt;=5,"A",IF(F769&lt;=8,"B",IF(F769&lt;=10,"C","D"))))</f>
        <v/>
      </c>
      <c r="H769" s="28"/>
      <c r="I769" s="27"/>
      <c r="J769" s="26"/>
      <c r="K769" s="27"/>
      <c r="L769" s="27"/>
      <c r="M769" s="27"/>
      <c r="N769" s="27"/>
      <c r="O769" s="24" t="str">
        <f aca="false">IF(G769="","",VLOOKUP(G769,Setup!$A$14:$C$17,3,0))</f>
        <v/>
      </c>
      <c r="P769" s="27"/>
      <c r="Q769" s="29" t="str">
        <f aca="false">IF(OR(P769="",M769&lt;&gt;"Paid",O769=""),"",P769/O769)</f>
        <v/>
      </c>
      <c r="R769" s="30" t="str">
        <f aca="false">IF(Q769="","",Q769+N(H769)*0.000000001)</f>
        <v/>
      </c>
      <c r="S769" s="25" t="str">
        <f aca="false">IF(R769="","",SUMPRODUCT((I$5:I$4004=I769)*ISNUMBER(R$5:R$4004)*(R$5:R$4004&gt;R769))+1)</f>
        <v/>
      </c>
      <c r="T769" s="25" t="str">
        <f aca="false">IF(S769="","",IF(S769&lt;=Setup!$B$5,"🏆 WINNER",""))</f>
        <v/>
      </c>
      <c r="U769" s="24" t="str">
        <f aca="false">IF(S769="","",I769&amp;"|"&amp;S769)</f>
        <v/>
      </c>
    </row>
    <row r="770" customFormat="false" ht="15" hidden="false" customHeight="false" outlineLevel="0" collapsed="false">
      <c r="A770" s="31" t="n">
        <v>766</v>
      </c>
      <c r="B770" s="32" t="str">
        <f aca="false">IF(OR(C770="",I770="",G770=""),"",IFERROR(VLOOKUP(I770,Setup!$A$9:$B$11,2,0),"???")&amp;"-"&amp;G770&amp;"-"&amp;TEXT(COUNTIFS(I$5:I770,I770,G$5:G770,G770),"0000"))</f>
        <v/>
      </c>
      <c r="C770" s="26"/>
      <c r="D770" s="26"/>
      <c r="E770" s="27"/>
      <c r="F770" s="27"/>
      <c r="G770" s="31" t="str">
        <f aca="false">IF(F770="","",IF(F770&lt;=5,"A",IF(F770&lt;=8,"B",IF(F770&lt;=10,"C","D"))))</f>
        <v/>
      </c>
      <c r="H770" s="28"/>
      <c r="I770" s="27"/>
      <c r="J770" s="26"/>
      <c r="K770" s="27"/>
      <c r="L770" s="27"/>
      <c r="M770" s="27"/>
      <c r="N770" s="27"/>
      <c r="O770" s="31" t="str">
        <f aca="false">IF(G770="","",VLOOKUP(G770,Setup!$A$14:$C$17,3,0))</f>
        <v/>
      </c>
      <c r="P770" s="27"/>
      <c r="Q770" s="33" t="str">
        <f aca="false">IF(OR(P770="",M770&lt;&gt;"Paid",O770=""),"",P770/O770)</f>
        <v/>
      </c>
      <c r="R770" s="34" t="str">
        <f aca="false">IF(Q770="","",Q770+N(H770)*0.000000001)</f>
        <v/>
      </c>
      <c r="S770" s="32" t="str">
        <f aca="false">IF(R770="","",SUMPRODUCT((I$5:I$4004=I770)*ISNUMBER(R$5:R$4004)*(R$5:R$4004&gt;R770))+1)</f>
        <v/>
      </c>
      <c r="T770" s="32" t="str">
        <f aca="false">IF(S770="","",IF(S770&lt;=Setup!$B$5,"🏆 WINNER",""))</f>
        <v/>
      </c>
      <c r="U770" s="31" t="str">
        <f aca="false">IF(S770="","",I770&amp;"|"&amp;S770)</f>
        <v/>
      </c>
    </row>
    <row r="771" customFormat="false" ht="15" hidden="false" customHeight="false" outlineLevel="0" collapsed="false">
      <c r="A771" s="24" t="n">
        <v>767</v>
      </c>
      <c r="B771" s="25" t="str">
        <f aca="false">IF(OR(C771="",I771="",G771=""),"",IFERROR(VLOOKUP(I771,Setup!$A$9:$B$11,2,0),"???")&amp;"-"&amp;G771&amp;"-"&amp;TEXT(COUNTIFS(I$5:I771,I771,G$5:G771,G771),"0000"))</f>
        <v/>
      </c>
      <c r="C771" s="26"/>
      <c r="D771" s="26"/>
      <c r="E771" s="27"/>
      <c r="F771" s="27"/>
      <c r="G771" s="24" t="str">
        <f aca="false">IF(F771="","",IF(F771&lt;=5,"A",IF(F771&lt;=8,"B",IF(F771&lt;=10,"C","D"))))</f>
        <v/>
      </c>
      <c r="H771" s="28"/>
      <c r="I771" s="27"/>
      <c r="J771" s="26"/>
      <c r="K771" s="27"/>
      <c r="L771" s="27"/>
      <c r="M771" s="27"/>
      <c r="N771" s="27"/>
      <c r="O771" s="24" t="str">
        <f aca="false">IF(G771="","",VLOOKUP(G771,Setup!$A$14:$C$17,3,0))</f>
        <v/>
      </c>
      <c r="P771" s="27"/>
      <c r="Q771" s="29" t="str">
        <f aca="false">IF(OR(P771="",M771&lt;&gt;"Paid",O771=""),"",P771/O771)</f>
        <v/>
      </c>
      <c r="R771" s="30" t="str">
        <f aca="false">IF(Q771="","",Q771+N(H771)*0.000000001)</f>
        <v/>
      </c>
      <c r="S771" s="25" t="str">
        <f aca="false">IF(R771="","",SUMPRODUCT((I$5:I$4004=I771)*ISNUMBER(R$5:R$4004)*(R$5:R$4004&gt;R771))+1)</f>
        <v/>
      </c>
      <c r="T771" s="25" t="str">
        <f aca="false">IF(S771="","",IF(S771&lt;=Setup!$B$5,"🏆 WINNER",""))</f>
        <v/>
      </c>
      <c r="U771" s="24" t="str">
        <f aca="false">IF(S771="","",I771&amp;"|"&amp;S771)</f>
        <v/>
      </c>
    </row>
    <row r="772" customFormat="false" ht="15" hidden="false" customHeight="false" outlineLevel="0" collapsed="false">
      <c r="A772" s="31" t="n">
        <v>768</v>
      </c>
      <c r="B772" s="32" t="str">
        <f aca="false">IF(OR(C772="",I772="",G772=""),"",IFERROR(VLOOKUP(I772,Setup!$A$9:$B$11,2,0),"???")&amp;"-"&amp;G772&amp;"-"&amp;TEXT(COUNTIFS(I$5:I772,I772,G$5:G772,G772),"0000"))</f>
        <v/>
      </c>
      <c r="C772" s="26"/>
      <c r="D772" s="26"/>
      <c r="E772" s="27"/>
      <c r="F772" s="27"/>
      <c r="G772" s="31" t="str">
        <f aca="false">IF(F772="","",IF(F772&lt;=5,"A",IF(F772&lt;=8,"B",IF(F772&lt;=10,"C","D"))))</f>
        <v/>
      </c>
      <c r="H772" s="28"/>
      <c r="I772" s="27"/>
      <c r="J772" s="26"/>
      <c r="K772" s="27"/>
      <c r="L772" s="27"/>
      <c r="M772" s="27"/>
      <c r="N772" s="27"/>
      <c r="O772" s="31" t="str">
        <f aca="false">IF(G772="","",VLOOKUP(G772,Setup!$A$14:$C$17,3,0))</f>
        <v/>
      </c>
      <c r="P772" s="27"/>
      <c r="Q772" s="33" t="str">
        <f aca="false">IF(OR(P772="",M772&lt;&gt;"Paid",O772=""),"",P772/O772)</f>
        <v/>
      </c>
      <c r="R772" s="34" t="str">
        <f aca="false">IF(Q772="","",Q772+N(H772)*0.000000001)</f>
        <v/>
      </c>
      <c r="S772" s="32" t="str">
        <f aca="false">IF(R772="","",SUMPRODUCT((I$5:I$4004=I772)*ISNUMBER(R$5:R$4004)*(R$5:R$4004&gt;R772))+1)</f>
        <v/>
      </c>
      <c r="T772" s="32" t="str">
        <f aca="false">IF(S772="","",IF(S772&lt;=Setup!$B$5,"🏆 WINNER",""))</f>
        <v/>
      </c>
      <c r="U772" s="31" t="str">
        <f aca="false">IF(S772="","",I772&amp;"|"&amp;S772)</f>
        <v/>
      </c>
    </row>
    <row r="773" customFormat="false" ht="15" hidden="false" customHeight="false" outlineLevel="0" collapsed="false">
      <c r="A773" s="24" t="n">
        <v>769</v>
      </c>
      <c r="B773" s="25" t="str">
        <f aca="false">IF(OR(C773="",I773="",G773=""),"",IFERROR(VLOOKUP(I773,Setup!$A$9:$B$11,2,0),"???")&amp;"-"&amp;G773&amp;"-"&amp;TEXT(COUNTIFS(I$5:I773,I773,G$5:G773,G773),"0000"))</f>
        <v/>
      </c>
      <c r="C773" s="26"/>
      <c r="D773" s="26"/>
      <c r="E773" s="27"/>
      <c r="F773" s="27"/>
      <c r="G773" s="24" t="str">
        <f aca="false">IF(F773="","",IF(F773&lt;=5,"A",IF(F773&lt;=8,"B",IF(F773&lt;=10,"C","D"))))</f>
        <v/>
      </c>
      <c r="H773" s="28"/>
      <c r="I773" s="27"/>
      <c r="J773" s="26"/>
      <c r="K773" s="27"/>
      <c r="L773" s="27"/>
      <c r="M773" s="27"/>
      <c r="N773" s="27"/>
      <c r="O773" s="24" t="str">
        <f aca="false">IF(G773="","",VLOOKUP(G773,Setup!$A$14:$C$17,3,0))</f>
        <v/>
      </c>
      <c r="P773" s="27"/>
      <c r="Q773" s="29" t="str">
        <f aca="false">IF(OR(P773="",M773&lt;&gt;"Paid",O773=""),"",P773/O773)</f>
        <v/>
      </c>
      <c r="R773" s="30" t="str">
        <f aca="false">IF(Q773="","",Q773+N(H773)*0.000000001)</f>
        <v/>
      </c>
      <c r="S773" s="25" t="str">
        <f aca="false">IF(R773="","",SUMPRODUCT((I$5:I$4004=I773)*ISNUMBER(R$5:R$4004)*(R$5:R$4004&gt;R773))+1)</f>
        <v/>
      </c>
      <c r="T773" s="25" t="str">
        <f aca="false">IF(S773="","",IF(S773&lt;=Setup!$B$5,"🏆 WINNER",""))</f>
        <v/>
      </c>
      <c r="U773" s="24" t="str">
        <f aca="false">IF(S773="","",I773&amp;"|"&amp;S773)</f>
        <v/>
      </c>
    </row>
    <row r="774" customFormat="false" ht="15" hidden="false" customHeight="false" outlineLevel="0" collapsed="false">
      <c r="A774" s="31" t="n">
        <v>770</v>
      </c>
      <c r="B774" s="32" t="str">
        <f aca="false">IF(OR(C774="",I774="",G774=""),"",IFERROR(VLOOKUP(I774,Setup!$A$9:$B$11,2,0),"???")&amp;"-"&amp;G774&amp;"-"&amp;TEXT(COUNTIFS(I$5:I774,I774,G$5:G774,G774),"0000"))</f>
        <v/>
      </c>
      <c r="C774" s="26"/>
      <c r="D774" s="26"/>
      <c r="E774" s="27"/>
      <c r="F774" s="27"/>
      <c r="G774" s="31" t="str">
        <f aca="false">IF(F774="","",IF(F774&lt;=5,"A",IF(F774&lt;=8,"B",IF(F774&lt;=10,"C","D"))))</f>
        <v/>
      </c>
      <c r="H774" s="28"/>
      <c r="I774" s="27"/>
      <c r="J774" s="26"/>
      <c r="K774" s="27"/>
      <c r="L774" s="27"/>
      <c r="M774" s="27"/>
      <c r="N774" s="27"/>
      <c r="O774" s="31" t="str">
        <f aca="false">IF(G774="","",VLOOKUP(G774,Setup!$A$14:$C$17,3,0))</f>
        <v/>
      </c>
      <c r="P774" s="27"/>
      <c r="Q774" s="33" t="str">
        <f aca="false">IF(OR(P774="",M774&lt;&gt;"Paid",O774=""),"",P774/O774)</f>
        <v/>
      </c>
      <c r="R774" s="34" t="str">
        <f aca="false">IF(Q774="","",Q774+N(H774)*0.000000001)</f>
        <v/>
      </c>
      <c r="S774" s="32" t="str">
        <f aca="false">IF(R774="","",SUMPRODUCT((I$5:I$4004=I774)*ISNUMBER(R$5:R$4004)*(R$5:R$4004&gt;R774))+1)</f>
        <v/>
      </c>
      <c r="T774" s="32" t="str">
        <f aca="false">IF(S774="","",IF(S774&lt;=Setup!$B$5,"🏆 WINNER",""))</f>
        <v/>
      </c>
      <c r="U774" s="31" t="str">
        <f aca="false">IF(S774="","",I774&amp;"|"&amp;S774)</f>
        <v/>
      </c>
    </row>
    <row r="775" customFormat="false" ht="15" hidden="false" customHeight="false" outlineLevel="0" collapsed="false">
      <c r="A775" s="24" t="n">
        <v>771</v>
      </c>
      <c r="B775" s="25" t="str">
        <f aca="false">IF(OR(C775="",I775="",G775=""),"",IFERROR(VLOOKUP(I775,Setup!$A$9:$B$11,2,0),"???")&amp;"-"&amp;G775&amp;"-"&amp;TEXT(COUNTIFS(I$5:I775,I775,G$5:G775,G775),"0000"))</f>
        <v/>
      </c>
      <c r="C775" s="26"/>
      <c r="D775" s="26"/>
      <c r="E775" s="27"/>
      <c r="F775" s="27"/>
      <c r="G775" s="24" t="str">
        <f aca="false">IF(F775="","",IF(F775&lt;=5,"A",IF(F775&lt;=8,"B",IF(F775&lt;=10,"C","D"))))</f>
        <v/>
      </c>
      <c r="H775" s="28"/>
      <c r="I775" s="27"/>
      <c r="J775" s="26"/>
      <c r="K775" s="27"/>
      <c r="L775" s="27"/>
      <c r="M775" s="27"/>
      <c r="N775" s="27"/>
      <c r="O775" s="24" t="str">
        <f aca="false">IF(G775="","",VLOOKUP(G775,Setup!$A$14:$C$17,3,0))</f>
        <v/>
      </c>
      <c r="P775" s="27"/>
      <c r="Q775" s="29" t="str">
        <f aca="false">IF(OR(P775="",M775&lt;&gt;"Paid",O775=""),"",P775/O775)</f>
        <v/>
      </c>
      <c r="R775" s="30" t="str">
        <f aca="false">IF(Q775="","",Q775+N(H775)*0.000000001)</f>
        <v/>
      </c>
      <c r="S775" s="25" t="str">
        <f aca="false">IF(R775="","",SUMPRODUCT((I$5:I$4004=I775)*ISNUMBER(R$5:R$4004)*(R$5:R$4004&gt;R775))+1)</f>
        <v/>
      </c>
      <c r="T775" s="25" t="str">
        <f aca="false">IF(S775="","",IF(S775&lt;=Setup!$B$5,"🏆 WINNER",""))</f>
        <v/>
      </c>
      <c r="U775" s="24" t="str">
        <f aca="false">IF(S775="","",I775&amp;"|"&amp;S775)</f>
        <v/>
      </c>
    </row>
    <row r="776" customFormat="false" ht="15" hidden="false" customHeight="false" outlineLevel="0" collapsed="false">
      <c r="A776" s="31" t="n">
        <v>772</v>
      </c>
      <c r="B776" s="32" t="str">
        <f aca="false">IF(OR(C776="",I776="",G776=""),"",IFERROR(VLOOKUP(I776,Setup!$A$9:$B$11,2,0),"???")&amp;"-"&amp;G776&amp;"-"&amp;TEXT(COUNTIFS(I$5:I776,I776,G$5:G776,G776),"0000"))</f>
        <v/>
      </c>
      <c r="C776" s="26"/>
      <c r="D776" s="26"/>
      <c r="E776" s="27"/>
      <c r="F776" s="27"/>
      <c r="G776" s="31" t="str">
        <f aca="false">IF(F776="","",IF(F776&lt;=5,"A",IF(F776&lt;=8,"B",IF(F776&lt;=10,"C","D"))))</f>
        <v/>
      </c>
      <c r="H776" s="28"/>
      <c r="I776" s="27"/>
      <c r="J776" s="26"/>
      <c r="K776" s="27"/>
      <c r="L776" s="27"/>
      <c r="M776" s="27"/>
      <c r="N776" s="27"/>
      <c r="O776" s="31" t="str">
        <f aca="false">IF(G776="","",VLOOKUP(G776,Setup!$A$14:$C$17,3,0))</f>
        <v/>
      </c>
      <c r="P776" s="27"/>
      <c r="Q776" s="33" t="str">
        <f aca="false">IF(OR(P776="",M776&lt;&gt;"Paid",O776=""),"",P776/O776)</f>
        <v/>
      </c>
      <c r="R776" s="34" t="str">
        <f aca="false">IF(Q776="","",Q776+N(H776)*0.000000001)</f>
        <v/>
      </c>
      <c r="S776" s="32" t="str">
        <f aca="false">IF(R776="","",SUMPRODUCT((I$5:I$4004=I776)*ISNUMBER(R$5:R$4004)*(R$5:R$4004&gt;R776))+1)</f>
        <v/>
      </c>
      <c r="T776" s="32" t="str">
        <f aca="false">IF(S776="","",IF(S776&lt;=Setup!$B$5,"🏆 WINNER",""))</f>
        <v/>
      </c>
      <c r="U776" s="31" t="str">
        <f aca="false">IF(S776="","",I776&amp;"|"&amp;S776)</f>
        <v/>
      </c>
    </row>
    <row r="777" customFormat="false" ht="15" hidden="false" customHeight="false" outlineLevel="0" collapsed="false">
      <c r="A777" s="24" t="n">
        <v>773</v>
      </c>
      <c r="B777" s="25" t="str">
        <f aca="false">IF(OR(C777="",I777="",G777=""),"",IFERROR(VLOOKUP(I777,Setup!$A$9:$B$11,2,0),"???")&amp;"-"&amp;G777&amp;"-"&amp;TEXT(COUNTIFS(I$5:I777,I777,G$5:G777,G777),"0000"))</f>
        <v/>
      </c>
      <c r="C777" s="26"/>
      <c r="D777" s="26"/>
      <c r="E777" s="27"/>
      <c r="F777" s="27"/>
      <c r="G777" s="24" t="str">
        <f aca="false">IF(F777="","",IF(F777&lt;=5,"A",IF(F777&lt;=8,"B",IF(F777&lt;=10,"C","D"))))</f>
        <v/>
      </c>
      <c r="H777" s="28"/>
      <c r="I777" s="27"/>
      <c r="J777" s="26"/>
      <c r="K777" s="27"/>
      <c r="L777" s="27"/>
      <c r="M777" s="27"/>
      <c r="N777" s="27"/>
      <c r="O777" s="24" t="str">
        <f aca="false">IF(G777="","",VLOOKUP(G777,Setup!$A$14:$C$17,3,0))</f>
        <v/>
      </c>
      <c r="P777" s="27"/>
      <c r="Q777" s="29" t="str">
        <f aca="false">IF(OR(P777="",M777&lt;&gt;"Paid",O777=""),"",P777/O777)</f>
        <v/>
      </c>
      <c r="R777" s="30" t="str">
        <f aca="false">IF(Q777="","",Q777+N(H777)*0.000000001)</f>
        <v/>
      </c>
      <c r="S777" s="25" t="str">
        <f aca="false">IF(R777="","",SUMPRODUCT((I$5:I$4004=I777)*ISNUMBER(R$5:R$4004)*(R$5:R$4004&gt;R777))+1)</f>
        <v/>
      </c>
      <c r="T777" s="25" t="str">
        <f aca="false">IF(S777="","",IF(S777&lt;=Setup!$B$5,"🏆 WINNER",""))</f>
        <v/>
      </c>
      <c r="U777" s="24" t="str">
        <f aca="false">IF(S777="","",I777&amp;"|"&amp;S777)</f>
        <v/>
      </c>
    </row>
    <row r="778" customFormat="false" ht="15" hidden="false" customHeight="false" outlineLevel="0" collapsed="false">
      <c r="A778" s="31" t="n">
        <v>774</v>
      </c>
      <c r="B778" s="32" t="str">
        <f aca="false">IF(OR(C778="",I778="",G778=""),"",IFERROR(VLOOKUP(I778,Setup!$A$9:$B$11,2,0),"???")&amp;"-"&amp;G778&amp;"-"&amp;TEXT(COUNTIFS(I$5:I778,I778,G$5:G778,G778),"0000"))</f>
        <v/>
      </c>
      <c r="C778" s="26"/>
      <c r="D778" s="26"/>
      <c r="E778" s="27"/>
      <c r="F778" s="27"/>
      <c r="G778" s="31" t="str">
        <f aca="false">IF(F778="","",IF(F778&lt;=5,"A",IF(F778&lt;=8,"B",IF(F778&lt;=10,"C","D"))))</f>
        <v/>
      </c>
      <c r="H778" s="28"/>
      <c r="I778" s="27"/>
      <c r="J778" s="26"/>
      <c r="K778" s="27"/>
      <c r="L778" s="27"/>
      <c r="M778" s="27"/>
      <c r="N778" s="27"/>
      <c r="O778" s="31" t="str">
        <f aca="false">IF(G778="","",VLOOKUP(G778,Setup!$A$14:$C$17,3,0))</f>
        <v/>
      </c>
      <c r="P778" s="27"/>
      <c r="Q778" s="33" t="str">
        <f aca="false">IF(OR(P778="",M778&lt;&gt;"Paid",O778=""),"",P778/O778)</f>
        <v/>
      </c>
      <c r="R778" s="34" t="str">
        <f aca="false">IF(Q778="","",Q778+N(H778)*0.000000001)</f>
        <v/>
      </c>
      <c r="S778" s="32" t="str">
        <f aca="false">IF(R778="","",SUMPRODUCT((I$5:I$4004=I778)*ISNUMBER(R$5:R$4004)*(R$5:R$4004&gt;R778))+1)</f>
        <v/>
      </c>
      <c r="T778" s="32" t="str">
        <f aca="false">IF(S778="","",IF(S778&lt;=Setup!$B$5,"🏆 WINNER",""))</f>
        <v/>
      </c>
      <c r="U778" s="31" t="str">
        <f aca="false">IF(S778="","",I778&amp;"|"&amp;S778)</f>
        <v/>
      </c>
    </row>
    <row r="779" customFormat="false" ht="15" hidden="false" customHeight="false" outlineLevel="0" collapsed="false">
      <c r="A779" s="24" t="n">
        <v>775</v>
      </c>
      <c r="B779" s="25" t="str">
        <f aca="false">IF(OR(C779="",I779="",G779=""),"",IFERROR(VLOOKUP(I779,Setup!$A$9:$B$11,2,0),"???")&amp;"-"&amp;G779&amp;"-"&amp;TEXT(COUNTIFS(I$5:I779,I779,G$5:G779,G779),"0000"))</f>
        <v/>
      </c>
      <c r="C779" s="26"/>
      <c r="D779" s="26"/>
      <c r="E779" s="27"/>
      <c r="F779" s="27"/>
      <c r="G779" s="24" t="str">
        <f aca="false">IF(F779="","",IF(F779&lt;=5,"A",IF(F779&lt;=8,"B",IF(F779&lt;=10,"C","D"))))</f>
        <v/>
      </c>
      <c r="H779" s="28"/>
      <c r="I779" s="27"/>
      <c r="J779" s="26"/>
      <c r="K779" s="27"/>
      <c r="L779" s="27"/>
      <c r="M779" s="27"/>
      <c r="N779" s="27"/>
      <c r="O779" s="24" t="str">
        <f aca="false">IF(G779="","",VLOOKUP(G779,Setup!$A$14:$C$17,3,0))</f>
        <v/>
      </c>
      <c r="P779" s="27"/>
      <c r="Q779" s="29" t="str">
        <f aca="false">IF(OR(P779="",M779&lt;&gt;"Paid",O779=""),"",P779/O779)</f>
        <v/>
      </c>
      <c r="R779" s="30" t="str">
        <f aca="false">IF(Q779="","",Q779+N(H779)*0.000000001)</f>
        <v/>
      </c>
      <c r="S779" s="25" t="str">
        <f aca="false">IF(R779="","",SUMPRODUCT((I$5:I$4004=I779)*ISNUMBER(R$5:R$4004)*(R$5:R$4004&gt;R779))+1)</f>
        <v/>
      </c>
      <c r="T779" s="25" t="str">
        <f aca="false">IF(S779="","",IF(S779&lt;=Setup!$B$5,"🏆 WINNER",""))</f>
        <v/>
      </c>
      <c r="U779" s="24" t="str">
        <f aca="false">IF(S779="","",I779&amp;"|"&amp;S779)</f>
        <v/>
      </c>
    </row>
    <row r="780" customFormat="false" ht="15" hidden="false" customHeight="false" outlineLevel="0" collapsed="false">
      <c r="A780" s="31" t="n">
        <v>776</v>
      </c>
      <c r="B780" s="32" t="str">
        <f aca="false">IF(OR(C780="",I780="",G780=""),"",IFERROR(VLOOKUP(I780,Setup!$A$9:$B$11,2,0),"???")&amp;"-"&amp;G780&amp;"-"&amp;TEXT(COUNTIFS(I$5:I780,I780,G$5:G780,G780),"0000"))</f>
        <v/>
      </c>
      <c r="C780" s="26"/>
      <c r="D780" s="26"/>
      <c r="E780" s="27"/>
      <c r="F780" s="27"/>
      <c r="G780" s="31" t="str">
        <f aca="false">IF(F780="","",IF(F780&lt;=5,"A",IF(F780&lt;=8,"B",IF(F780&lt;=10,"C","D"))))</f>
        <v/>
      </c>
      <c r="H780" s="28"/>
      <c r="I780" s="27"/>
      <c r="J780" s="26"/>
      <c r="K780" s="27"/>
      <c r="L780" s="27"/>
      <c r="M780" s="27"/>
      <c r="N780" s="27"/>
      <c r="O780" s="31" t="str">
        <f aca="false">IF(G780="","",VLOOKUP(G780,Setup!$A$14:$C$17,3,0))</f>
        <v/>
      </c>
      <c r="P780" s="27"/>
      <c r="Q780" s="33" t="str">
        <f aca="false">IF(OR(P780="",M780&lt;&gt;"Paid",O780=""),"",P780/O780)</f>
        <v/>
      </c>
      <c r="R780" s="34" t="str">
        <f aca="false">IF(Q780="","",Q780+N(H780)*0.000000001)</f>
        <v/>
      </c>
      <c r="S780" s="32" t="str">
        <f aca="false">IF(R780="","",SUMPRODUCT((I$5:I$4004=I780)*ISNUMBER(R$5:R$4004)*(R$5:R$4004&gt;R780))+1)</f>
        <v/>
      </c>
      <c r="T780" s="32" t="str">
        <f aca="false">IF(S780="","",IF(S780&lt;=Setup!$B$5,"🏆 WINNER",""))</f>
        <v/>
      </c>
      <c r="U780" s="31" t="str">
        <f aca="false">IF(S780="","",I780&amp;"|"&amp;S780)</f>
        <v/>
      </c>
    </row>
    <row r="781" customFormat="false" ht="15" hidden="false" customHeight="false" outlineLevel="0" collapsed="false">
      <c r="A781" s="24" t="n">
        <v>777</v>
      </c>
      <c r="B781" s="25" t="str">
        <f aca="false">IF(OR(C781="",I781="",G781=""),"",IFERROR(VLOOKUP(I781,Setup!$A$9:$B$11,2,0),"???")&amp;"-"&amp;G781&amp;"-"&amp;TEXT(COUNTIFS(I$5:I781,I781,G$5:G781,G781),"0000"))</f>
        <v/>
      </c>
      <c r="C781" s="26"/>
      <c r="D781" s="26"/>
      <c r="E781" s="27"/>
      <c r="F781" s="27"/>
      <c r="G781" s="24" t="str">
        <f aca="false">IF(F781="","",IF(F781&lt;=5,"A",IF(F781&lt;=8,"B",IF(F781&lt;=10,"C","D"))))</f>
        <v/>
      </c>
      <c r="H781" s="28"/>
      <c r="I781" s="27"/>
      <c r="J781" s="26"/>
      <c r="K781" s="27"/>
      <c r="L781" s="27"/>
      <c r="M781" s="27"/>
      <c r="N781" s="27"/>
      <c r="O781" s="24" t="str">
        <f aca="false">IF(G781="","",VLOOKUP(G781,Setup!$A$14:$C$17,3,0))</f>
        <v/>
      </c>
      <c r="P781" s="27"/>
      <c r="Q781" s="29" t="str">
        <f aca="false">IF(OR(P781="",M781&lt;&gt;"Paid",O781=""),"",P781/O781)</f>
        <v/>
      </c>
      <c r="R781" s="30" t="str">
        <f aca="false">IF(Q781="","",Q781+N(H781)*0.000000001)</f>
        <v/>
      </c>
      <c r="S781" s="25" t="str">
        <f aca="false">IF(R781="","",SUMPRODUCT((I$5:I$4004=I781)*ISNUMBER(R$5:R$4004)*(R$5:R$4004&gt;R781))+1)</f>
        <v/>
      </c>
      <c r="T781" s="25" t="str">
        <f aca="false">IF(S781="","",IF(S781&lt;=Setup!$B$5,"🏆 WINNER",""))</f>
        <v/>
      </c>
      <c r="U781" s="24" t="str">
        <f aca="false">IF(S781="","",I781&amp;"|"&amp;S781)</f>
        <v/>
      </c>
    </row>
    <row r="782" customFormat="false" ht="15" hidden="false" customHeight="false" outlineLevel="0" collapsed="false">
      <c r="A782" s="31" t="n">
        <v>778</v>
      </c>
      <c r="B782" s="32" t="str">
        <f aca="false">IF(OR(C782="",I782="",G782=""),"",IFERROR(VLOOKUP(I782,Setup!$A$9:$B$11,2,0),"???")&amp;"-"&amp;G782&amp;"-"&amp;TEXT(COUNTIFS(I$5:I782,I782,G$5:G782,G782),"0000"))</f>
        <v/>
      </c>
      <c r="C782" s="26"/>
      <c r="D782" s="26"/>
      <c r="E782" s="27"/>
      <c r="F782" s="27"/>
      <c r="G782" s="31" t="str">
        <f aca="false">IF(F782="","",IF(F782&lt;=5,"A",IF(F782&lt;=8,"B",IF(F782&lt;=10,"C","D"))))</f>
        <v/>
      </c>
      <c r="H782" s="28"/>
      <c r="I782" s="27"/>
      <c r="J782" s="26"/>
      <c r="K782" s="27"/>
      <c r="L782" s="27"/>
      <c r="M782" s="27"/>
      <c r="N782" s="27"/>
      <c r="O782" s="31" t="str">
        <f aca="false">IF(G782="","",VLOOKUP(G782,Setup!$A$14:$C$17,3,0))</f>
        <v/>
      </c>
      <c r="P782" s="27"/>
      <c r="Q782" s="33" t="str">
        <f aca="false">IF(OR(P782="",M782&lt;&gt;"Paid",O782=""),"",P782/O782)</f>
        <v/>
      </c>
      <c r="R782" s="34" t="str">
        <f aca="false">IF(Q782="","",Q782+N(H782)*0.000000001)</f>
        <v/>
      </c>
      <c r="S782" s="32" t="str">
        <f aca="false">IF(R782="","",SUMPRODUCT((I$5:I$4004=I782)*ISNUMBER(R$5:R$4004)*(R$5:R$4004&gt;R782))+1)</f>
        <v/>
      </c>
      <c r="T782" s="32" t="str">
        <f aca="false">IF(S782="","",IF(S782&lt;=Setup!$B$5,"🏆 WINNER",""))</f>
        <v/>
      </c>
      <c r="U782" s="31" t="str">
        <f aca="false">IF(S782="","",I782&amp;"|"&amp;S782)</f>
        <v/>
      </c>
    </row>
    <row r="783" customFormat="false" ht="15" hidden="false" customHeight="false" outlineLevel="0" collapsed="false">
      <c r="A783" s="24" t="n">
        <v>779</v>
      </c>
      <c r="B783" s="25" t="str">
        <f aca="false">IF(OR(C783="",I783="",G783=""),"",IFERROR(VLOOKUP(I783,Setup!$A$9:$B$11,2,0),"???")&amp;"-"&amp;G783&amp;"-"&amp;TEXT(COUNTIFS(I$5:I783,I783,G$5:G783,G783),"0000"))</f>
        <v/>
      </c>
      <c r="C783" s="26"/>
      <c r="D783" s="26"/>
      <c r="E783" s="27"/>
      <c r="F783" s="27"/>
      <c r="G783" s="24" t="str">
        <f aca="false">IF(F783="","",IF(F783&lt;=5,"A",IF(F783&lt;=8,"B",IF(F783&lt;=10,"C","D"))))</f>
        <v/>
      </c>
      <c r="H783" s="28"/>
      <c r="I783" s="27"/>
      <c r="J783" s="26"/>
      <c r="K783" s="27"/>
      <c r="L783" s="27"/>
      <c r="M783" s="27"/>
      <c r="N783" s="27"/>
      <c r="O783" s="24" t="str">
        <f aca="false">IF(G783="","",VLOOKUP(G783,Setup!$A$14:$C$17,3,0))</f>
        <v/>
      </c>
      <c r="P783" s="27"/>
      <c r="Q783" s="29" t="str">
        <f aca="false">IF(OR(P783="",M783&lt;&gt;"Paid",O783=""),"",P783/O783)</f>
        <v/>
      </c>
      <c r="R783" s="30" t="str">
        <f aca="false">IF(Q783="","",Q783+N(H783)*0.000000001)</f>
        <v/>
      </c>
      <c r="S783" s="25" t="str">
        <f aca="false">IF(R783="","",SUMPRODUCT((I$5:I$4004=I783)*ISNUMBER(R$5:R$4004)*(R$5:R$4004&gt;R783))+1)</f>
        <v/>
      </c>
      <c r="T783" s="25" t="str">
        <f aca="false">IF(S783="","",IF(S783&lt;=Setup!$B$5,"🏆 WINNER",""))</f>
        <v/>
      </c>
      <c r="U783" s="24" t="str">
        <f aca="false">IF(S783="","",I783&amp;"|"&amp;S783)</f>
        <v/>
      </c>
    </row>
    <row r="784" customFormat="false" ht="15" hidden="false" customHeight="false" outlineLevel="0" collapsed="false">
      <c r="A784" s="31" t="n">
        <v>780</v>
      </c>
      <c r="B784" s="32" t="str">
        <f aca="false">IF(OR(C784="",I784="",G784=""),"",IFERROR(VLOOKUP(I784,Setup!$A$9:$B$11,2,0),"???")&amp;"-"&amp;G784&amp;"-"&amp;TEXT(COUNTIFS(I$5:I784,I784,G$5:G784,G784),"0000"))</f>
        <v/>
      </c>
      <c r="C784" s="26"/>
      <c r="D784" s="26"/>
      <c r="E784" s="27"/>
      <c r="F784" s="27"/>
      <c r="G784" s="31" t="str">
        <f aca="false">IF(F784="","",IF(F784&lt;=5,"A",IF(F784&lt;=8,"B",IF(F784&lt;=10,"C","D"))))</f>
        <v/>
      </c>
      <c r="H784" s="28"/>
      <c r="I784" s="27"/>
      <c r="J784" s="26"/>
      <c r="K784" s="27"/>
      <c r="L784" s="27"/>
      <c r="M784" s="27"/>
      <c r="N784" s="27"/>
      <c r="O784" s="31" t="str">
        <f aca="false">IF(G784="","",VLOOKUP(G784,Setup!$A$14:$C$17,3,0))</f>
        <v/>
      </c>
      <c r="P784" s="27"/>
      <c r="Q784" s="33" t="str">
        <f aca="false">IF(OR(P784="",M784&lt;&gt;"Paid",O784=""),"",P784/O784)</f>
        <v/>
      </c>
      <c r="R784" s="34" t="str">
        <f aca="false">IF(Q784="","",Q784+N(H784)*0.000000001)</f>
        <v/>
      </c>
      <c r="S784" s="32" t="str">
        <f aca="false">IF(R784="","",SUMPRODUCT((I$5:I$4004=I784)*ISNUMBER(R$5:R$4004)*(R$5:R$4004&gt;R784))+1)</f>
        <v/>
      </c>
      <c r="T784" s="32" t="str">
        <f aca="false">IF(S784="","",IF(S784&lt;=Setup!$B$5,"🏆 WINNER",""))</f>
        <v/>
      </c>
      <c r="U784" s="31" t="str">
        <f aca="false">IF(S784="","",I784&amp;"|"&amp;S784)</f>
        <v/>
      </c>
    </row>
    <row r="785" customFormat="false" ht="15" hidden="false" customHeight="false" outlineLevel="0" collapsed="false">
      <c r="A785" s="24" t="n">
        <v>781</v>
      </c>
      <c r="B785" s="25" t="str">
        <f aca="false">IF(OR(C785="",I785="",G785=""),"",IFERROR(VLOOKUP(I785,Setup!$A$9:$B$11,2,0),"???")&amp;"-"&amp;G785&amp;"-"&amp;TEXT(COUNTIFS(I$5:I785,I785,G$5:G785,G785),"0000"))</f>
        <v/>
      </c>
      <c r="C785" s="26"/>
      <c r="D785" s="26"/>
      <c r="E785" s="27"/>
      <c r="F785" s="27"/>
      <c r="G785" s="24" t="str">
        <f aca="false">IF(F785="","",IF(F785&lt;=5,"A",IF(F785&lt;=8,"B",IF(F785&lt;=10,"C","D"))))</f>
        <v/>
      </c>
      <c r="H785" s="28"/>
      <c r="I785" s="27"/>
      <c r="J785" s="26"/>
      <c r="K785" s="27"/>
      <c r="L785" s="27"/>
      <c r="M785" s="27"/>
      <c r="N785" s="27"/>
      <c r="O785" s="24" t="str">
        <f aca="false">IF(G785="","",VLOOKUP(G785,Setup!$A$14:$C$17,3,0))</f>
        <v/>
      </c>
      <c r="P785" s="27"/>
      <c r="Q785" s="29" t="str">
        <f aca="false">IF(OR(P785="",M785&lt;&gt;"Paid",O785=""),"",P785/O785)</f>
        <v/>
      </c>
      <c r="R785" s="30" t="str">
        <f aca="false">IF(Q785="","",Q785+N(H785)*0.000000001)</f>
        <v/>
      </c>
      <c r="S785" s="25" t="str">
        <f aca="false">IF(R785="","",SUMPRODUCT((I$5:I$4004=I785)*ISNUMBER(R$5:R$4004)*(R$5:R$4004&gt;R785))+1)</f>
        <v/>
      </c>
      <c r="T785" s="25" t="str">
        <f aca="false">IF(S785="","",IF(S785&lt;=Setup!$B$5,"🏆 WINNER",""))</f>
        <v/>
      </c>
      <c r="U785" s="24" t="str">
        <f aca="false">IF(S785="","",I785&amp;"|"&amp;S785)</f>
        <v/>
      </c>
    </row>
    <row r="786" customFormat="false" ht="15" hidden="false" customHeight="false" outlineLevel="0" collapsed="false">
      <c r="A786" s="31" t="n">
        <v>782</v>
      </c>
      <c r="B786" s="32" t="str">
        <f aca="false">IF(OR(C786="",I786="",G786=""),"",IFERROR(VLOOKUP(I786,Setup!$A$9:$B$11,2,0),"???")&amp;"-"&amp;G786&amp;"-"&amp;TEXT(COUNTIFS(I$5:I786,I786,G$5:G786,G786),"0000"))</f>
        <v/>
      </c>
      <c r="C786" s="26"/>
      <c r="D786" s="26"/>
      <c r="E786" s="27"/>
      <c r="F786" s="27"/>
      <c r="G786" s="31" t="str">
        <f aca="false">IF(F786="","",IF(F786&lt;=5,"A",IF(F786&lt;=8,"B",IF(F786&lt;=10,"C","D"))))</f>
        <v/>
      </c>
      <c r="H786" s="28"/>
      <c r="I786" s="27"/>
      <c r="J786" s="26"/>
      <c r="K786" s="27"/>
      <c r="L786" s="27"/>
      <c r="M786" s="27"/>
      <c r="N786" s="27"/>
      <c r="O786" s="31" t="str">
        <f aca="false">IF(G786="","",VLOOKUP(G786,Setup!$A$14:$C$17,3,0))</f>
        <v/>
      </c>
      <c r="P786" s="27"/>
      <c r="Q786" s="33" t="str">
        <f aca="false">IF(OR(P786="",M786&lt;&gt;"Paid",O786=""),"",P786/O786)</f>
        <v/>
      </c>
      <c r="R786" s="34" t="str">
        <f aca="false">IF(Q786="","",Q786+N(H786)*0.000000001)</f>
        <v/>
      </c>
      <c r="S786" s="32" t="str">
        <f aca="false">IF(R786="","",SUMPRODUCT((I$5:I$4004=I786)*ISNUMBER(R$5:R$4004)*(R$5:R$4004&gt;R786))+1)</f>
        <v/>
      </c>
      <c r="T786" s="32" t="str">
        <f aca="false">IF(S786="","",IF(S786&lt;=Setup!$B$5,"🏆 WINNER",""))</f>
        <v/>
      </c>
      <c r="U786" s="31" t="str">
        <f aca="false">IF(S786="","",I786&amp;"|"&amp;S786)</f>
        <v/>
      </c>
    </row>
    <row r="787" customFormat="false" ht="15" hidden="false" customHeight="false" outlineLevel="0" collapsed="false">
      <c r="A787" s="24" t="n">
        <v>783</v>
      </c>
      <c r="B787" s="25" t="str">
        <f aca="false">IF(OR(C787="",I787="",G787=""),"",IFERROR(VLOOKUP(I787,Setup!$A$9:$B$11,2,0),"???")&amp;"-"&amp;G787&amp;"-"&amp;TEXT(COUNTIFS(I$5:I787,I787,G$5:G787,G787),"0000"))</f>
        <v/>
      </c>
      <c r="C787" s="26"/>
      <c r="D787" s="26"/>
      <c r="E787" s="27"/>
      <c r="F787" s="27"/>
      <c r="G787" s="24" t="str">
        <f aca="false">IF(F787="","",IF(F787&lt;=5,"A",IF(F787&lt;=8,"B",IF(F787&lt;=10,"C","D"))))</f>
        <v/>
      </c>
      <c r="H787" s="28"/>
      <c r="I787" s="27"/>
      <c r="J787" s="26"/>
      <c r="K787" s="27"/>
      <c r="L787" s="27"/>
      <c r="M787" s="27"/>
      <c r="N787" s="27"/>
      <c r="O787" s="24" t="str">
        <f aca="false">IF(G787="","",VLOOKUP(G787,Setup!$A$14:$C$17,3,0))</f>
        <v/>
      </c>
      <c r="P787" s="27"/>
      <c r="Q787" s="29" t="str">
        <f aca="false">IF(OR(P787="",M787&lt;&gt;"Paid",O787=""),"",P787/O787)</f>
        <v/>
      </c>
      <c r="R787" s="30" t="str">
        <f aca="false">IF(Q787="","",Q787+N(H787)*0.000000001)</f>
        <v/>
      </c>
      <c r="S787" s="25" t="str">
        <f aca="false">IF(R787="","",SUMPRODUCT((I$5:I$4004=I787)*ISNUMBER(R$5:R$4004)*(R$5:R$4004&gt;R787))+1)</f>
        <v/>
      </c>
      <c r="T787" s="25" t="str">
        <f aca="false">IF(S787="","",IF(S787&lt;=Setup!$B$5,"🏆 WINNER",""))</f>
        <v/>
      </c>
      <c r="U787" s="24" t="str">
        <f aca="false">IF(S787="","",I787&amp;"|"&amp;S787)</f>
        <v/>
      </c>
    </row>
    <row r="788" customFormat="false" ht="15" hidden="false" customHeight="false" outlineLevel="0" collapsed="false">
      <c r="A788" s="31" t="n">
        <v>784</v>
      </c>
      <c r="B788" s="32" t="str">
        <f aca="false">IF(OR(C788="",I788="",G788=""),"",IFERROR(VLOOKUP(I788,Setup!$A$9:$B$11,2,0),"???")&amp;"-"&amp;G788&amp;"-"&amp;TEXT(COUNTIFS(I$5:I788,I788,G$5:G788,G788),"0000"))</f>
        <v/>
      </c>
      <c r="C788" s="26"/>
      <c r="D788" s="26"/>
      <c r="E788" s="27"/>
      <c r="F788" s="27"/>
      <c r="G788" s="31" t="str">
        <f aca="false">IF(F788="","",IF(F788&lt;=5,"A",IF(F788&lt;=8,"B",IF(F788&lt;=10,"C","D"))))</f>
        <v/>
      </c>
      <c r="H788" s="28"/>
      <c r="I788" s="27"/>
      <c r="J788" s="26"/>
      <c r="K788" s="27"/>
      <c r="L788" s="27"/>
      <c r="M788" s="27"/>
      <c r="N788" s="27"/>
      <c r="O788" s="31" t="str">
        <f aca="false">IF(G788="","",VLOOKUP(G788,Setup!$A$14:$C$17,3,0))</f>
        <v/>
      </c>
      <c r="P788" s="27"/>
      <c r="Q788" s="33" t="str">
        <f aca="false">IF(OR(P788="",M788&lt;&gt;"Paid",O788=""),"",P788/O788)</f>
        <v/>
      </c>
      <c r="R788" s="34" t="str">
        <f aca="false">IF(Q788="","",Q788+N(H788)*0.000000001)</f>
        <v/>
      </c>
      <c r="S788" s="32" t="str">
        <f aca="false">IF(R788="","",SUMPRODUCT((I$5:I$4004=I788)*ISNUMBER(R$5:R$4004)*(R$5:R$4004&gt;R788))+1)</f>
        <v/>
      </c>
      <c r="T788" s="32" t="str">
        <f aca="false">IF(S788="","",IF(S788&lt;=Setup!$B$5,"🏆 WINNER",""))</f>
        <v/>
      </c>
      <c r="U788" s="31" t="str">
        <f aca="false">IF(S788="","",I788&amp;"|"&amp;S788)</f>
        <v/>
      </c>
    </row>
    <row r="789" customFormat="false" ht="15" hidden="false" customHeight="false" outlineLevel="0" collapsed="false">
      <c r="A789" s="24" t="n">
        <v>785</v>
      </c>
      <c r="B789" s="25" t="str">
        <f aca="false">IF(OR(C789="",I789="",G789=""),"",IFERROR(VLOOKUP(I789,Setup!$A$9:$B$11,2,0),"???")&amp;"-"&amp;G789&amp;"-"&amp;TEXT(COUNTIFS(I$5:I789,I789,G$5:G789,G789),"0000"))</f>
        <v/>
      </c>
      <c r="C789" s="26"/>
      <c r="D789" s="26"/>
      <c r="E789" s="27"/>
      <c r="F789" s="27"/>
      <c r="G789" s="24" t="str">
        <f aca="false">IF(F789="","",IF(F789&lt;=5,"A",IF(F789&lt;=8,"B",IF(F789&lt;=10,"C","D"))))</f>
        <v/>
      </c>
      <c r="H789" s="28"/>
      <c r="I789" s="27"/>
      <c r="J789" s="26"/>
      <c r="K789" s="27"/>
      <c r="L789" s="27"/>
      <c r="M789" s="27"/>
      <c r="N789" s="27"/>
      <c r="O789" s="24" t="str">
        <f aca="false">IF(G789="","",VLOOKUP(G789,Setup!$A$14:$C$17,3,0))</f>
        <v/>
      </c>
      <c r="P789" s="27"/>
      <c r="Q789" s="29" t="str">
        <f aca="false">IF(OR(P789="",M789&lt;&gt;"Paid",O789=""),"",P789/O789)</f>
        <v/>
      </c>
      <c r="R789" s="30" t="str">
        <f aca="false">IF(Q789="","",Q789+N(H789)*0.000000001)</f>
        <v/>
      </c>
      <c r="S789" s="25" t="str">
        <f aca="false">IF(R789="","",SUMPRODUCT((I$5:I$4004=I789)*ISNUMBER(R$5:R$4004)*(R$5:R$4004&gt;R789))+1)</f>
        <v/>
      </c>
      <c r="T789" s="25" t="str">
        <f aca="false">IF(S789="","",IF(S789&lt;=Setup!$B$5,"🏆 WINNER",""))</f>
        <v/>
      </c>
      <c r="U789" s="24" t="str">
        <f aca="false">IF(S789="","",I789&amp;"|"&amp;S789)</f>
        <v/>
      </c>
    </row>
    <row r="790" customFormat="false" ht="15" hidden="false" customHeight="false" outlineLevel="0" collapsed="false">
      <c r="A790" s="31" t="n">
        <v>786</v>
      </c>
      <c r="B790" s="32" t="str">
        <f aca="false">IF(OR(C790="",I790="",G790=""),"",IFERROR(VLOOKUP(I790,Setup!$A$9:$B$11,2,0),"???")&amp;"-"&amp;G790&amp;"-"&amp;TEXT(COUNTIFS(I$5:I790,I790,G$5:G790,G790),"0000"))</f>
        <v/>
      </c>
      <c r="C790" s="26"/>
      <c r="D790" s="26"/>
      <c r="E790" s="27"/>
      <c r="F790" s="27"/>
      <c r="G790" s="31" t="str">
        <f aca="false">IF(F790="","",IF(F790&lt;=5,"A",IF(F790&lt;=8,"B",IF(F790&lt;=10,"C","D"))))</f>
        <v/>
      </c>
      <c r="H790" s="28"/>
      <c r="I790" s="27"/>
      <c r="J790" s="26"/>
      <c r="K790" s="27"/>
      <c r="L790" s="27"/>
      <c r="M790" s="27"/>
      <c r="N790" s="27"/>
      <c r="O790" s="31" t="str">
        <f aca="false">IF(G790="","",VLOOKUP(G790,Setup!$A$14:$C$17,3,0))</f>
        <v/>
      </c>
      <c r="P790" s="27"/>
      <c r="Q790" s="33" t="str">
        <f aca="false">IF(OR(P790="",M790&lt;&gt;"Paid",O790=""),"",P790/O790)</f>
        <v/>
      </c>
      <c r="R790" s="34" t="str">
        <f aca="false">IF(Q790="","",Q790+N(H790)*0.000000001)</f>
        <v/>
      </c>
      <c r="S790" s="32" t="str">
        <f aca="false">IF(R790="","",SUMPRODUCT((I$5:I$4004=I790)*ISNUMBER(R$5:R$4004)*(R$5:R$4004&gt;R790))+1)</f>
        <v/>
      </c>
      <c r="T790" s="32" t="str">
        <f aca="false">IF(S790="","",IF(S790&lt;=Setup!$B$5,"🏆 WINNER",""))</f>
        <v/>
      </c>
      <c r="U790" s="31" t="str">
        <f aca="false">IF(S790="","",I790&amp;"|"&amp;S790)</f>
        <v/>
      </c>
    </row>
    <row r="791" customFormat="false" ht="15" hidden="false" customHeight="false" outlineLevel="0" collapsed="false">
      <c r="A791" s="24" t="n">
        <v>787</v>
      </c>
      <c r="B791" s="25" t="str">
        <f aca="false">IF(OR(C791="",I791="",G791=""),"",IFERROR(VLOOKUP(I791,Setup!$A$9:$B$11,2,0),"???")&amp;"-"&amp;G791&amp;"-"&amp;TEXT(COUNTIFS(I$5:I791,I791,G$5:G791,G791),"0000"))</f>
        <v/>
      </c>
      <c r="C791" s="26"/>
      <c r="D791" s="26"/>
      <c r="E791" s="27"/>
      <c r="F791" s="27"/>
      <c r="G791" s="24" t="str">
        <f aca="false">IF(F791="","",IF(F791&lt;=5,"A",IF(F791&lt;=8,"B",IF(F791&lt;=10,"C","D"))))</f>
        <v/>
      </c>
      <c r="H791" s="28"/>
      <c r="I791" s="27"/>
      <c r="J791" s="26"/>
      <c r="K791" s="27"/>
      <c r="L791" s="27"/>
      <c r="M791" s="27"/>
      <c r="N791" s="27"/>
      <c r="O791" s="24" t="str">
        <f aca="false">IF(G791="","",VLOOKUP(G791,Setup!$A$14:$C$17,3,0))</f>
        <v/>
      </c>
      <c r="P791" s="27"/>
      <c r="Q791" s="29" t="str">
        <f aca="false">IF(OR(P791="",M791&lt;&gt;"Paid",O791=""),"",P791/O791)</f>
        <v/>
      </c>
      <c r="R791" s="30" t="str">
        <f aca="false">IF(Q791="","",Q791+N(H791)*0.000000001)</f>
        <v/>
      </c>
      <c r="S791" s="25" t="str">
        <f aca="false">IF(R791="","",SUMPRODUCT((I$5:I$4004=I791)*ISNUMBER(R$5:R$4004)*(R$5:R$4004&gt;R791))+1)</f>
        <v/>
      </c>
      <c r="T791" s="25" t="str">
        <f aca="false">IF(S791="","",IF(S791&lt;=Setup!$B$5,"🏆 WINNER",""))</f>
        <v/>
      </c>
      <c r="U791" s="24" t="str">
        <f aca="false">IF(S791="","",I791&amp;"|"&amp;S791)</f>
        <v/>
      </c>
    </row>
    <row r="792" customFormat="false" ht="15" hidden="false" customHeight="false" outlineLevel="0" collapsed="false">
      <c r="A792" s="31" t="n">
        <v>788</v>
      </c>
      <c r="B792" s="32" t="str">
        <f aca="false">IF(OR(C792="",I792="",G792=""),"",IFERROR(VLOOKUP(I792,Setup!$A$9:$B$11,2,0),"???")&amp;"-"&amp;G792&amp;"-"&amp;TEXT(COUNTIFS(I$5:I792,I792,G$5:G792,G792),"0000"))</f>
        <v/>
      </c>
      <c r="C792" s="26"/>
      <c r="D792" s="26"/>
      <c r="E792" s="27"/>
      <c r="F792" s="27"/>
      <c r="G792" s="31" t="str">
        <f aca="false">IF(F792="","",IF(F792&lt;=5,"A",IF(F792&lt;=8,"B",IF(F792&lt;=10,"C","D"))))</f>
        <v/>
      </c>
      <c r="H792" s="28"/>
      <c r="I792" s="27"/>
      <c r="J792" s="26"/>
      <c r="K792" s="27"/>
      <c r="L792" s="27"/>
      <c r="M792" s="27"/>
      <c r="N792" s="27"/>
      <c r="O792" s="31" t="str">
        <f aca="false">IF(G792="","",VLOOKUP(G792,Setup!$A$14:$C$17,3,0))</f>
        <v/>
      </c>
      <c r="P792" s="27"/>
      <c r="Q792" s="33" t="str">
        <f aca="false">IF(OR(P792="",M792&lt;&gt;"Paid",O792=""),"",P792/O792)</f>
        <v/>
      </c>
      <c r="R792" s="34" t="str">
        <f aca="false">IF(Q792="","",Q792+N(H792)*0.000000001)</f>
        <v/>
      </c>
      <c r="S792" s="32" t="str">
        <f aca="false">IF(R792="","",SUMPRODUCT((I$5:I$4004=I792)*ISNUMBER(R$5:R$4004)*(R$5:R$4004&gt;R792))+1)</f>
        <v/>
      </c>
      <c r="T792" s="32" t="str">
        <f aca="false">IF(S792="","",IF(S792&lt;=Setup!$B$5,"🏆 WINNER",""))</f>
        <v/>
      </c>
      <c r="U792" s="31" t="str">
        <f aca="false">IF(S792="","",I792&amp;"|"&amp;S792)</f>
        <v/>
      </c>
    </row>
    <row r="793" customFormat="false" ht="15" hidden="false" customHeight="false" outlineLevel="0" collapsed="false">
      <c r="A793" s="24" t="n">
        <v>789</v>
      </c>
      <c r="B793" s="25" t="str">
        <f aca="false">IF(OR(C793="",I793="",G793=""),"",IFERROR(VLOOKUP(I793,Setup!$A$9:$B$11,2,0),"???")&amp;"-"&amp;G793&amp;"-"&amp;TEXT(COUNTIFS(I$5:I793,I793,G$5:G793,G793),"0000"))</f>
        <v/>
      </c>
      <c r="C793" s="26"/>
      <c r="D793" s="26"/>
      <c r="E793" s="27"/>
      <c r="F793" s="27"/>
      <c r="G793" s="24" t="str">
        <f aca="false">IF(F793="","",IF(F793&lt;=5,"A",IF(F793&lt;=8,"B",IF(F793&lt;=10,"C","D"))))</f>
        <v/>
      </c>
      <c r="H793" s="28"/>
      <c r="I793" s="27"/>
      <c r="J793" s="26"/>
      <c r="K793" s="27"/>
      <c r="L793" s="27"/>
      <c r="M793" s="27"/>
      <c r="N793" s="27"/>
      <c r="O793" s="24" t="str">
        <f aca="false">IF(G793="","",VLOOKUP(G793,Setup!$A$14:$C$17,3,0))</f>
        <v/>
      </c>
      <c r="P793" s="27"/>
      <c r="Q793" s="29" t="str">
        <f aca="false">IF(OR(P793="",M793&lt;&gt;"Paid",O793=""),"",P793/O793)</f>
        <v/>
      </c>
      <c r="R793" s="30" t="str">
        <f aca="false">IF(Q793="","",Q793+N(H793)*0.000000001)</f>
        <v/>
      </c>
      <c r="S793" s="25" t="str">
        <f aca="false">IF(R793="","",SUMPRODUCT((I$5:I$4004=I793)*ISNUMBER(R$5:R$4004)*(R$5:R$4004&gt;R793))+1)</f>
        <v/>
      </c>
      <c r="T793" s="25" t="str">
        <f aca="false">IF(S793="","",IF(S793&lt;=Setup!$B$5,"🏆 WINNER",""))</f>
        <v/>
      </c>
      <c r="U793" s="24" t="str">
        <f aca="false">IF(S793="","",I793&amp;"|"&amp;S793)</f>
        <v/>
      </c>
    </row>
    <row r="794" customFormat="false" ht="15" hidden="false" customHeight="false" outlineLevel="0" collapsed="false">
      <c r="A794" s="31" t="n">
        <v>790</v>
      </c>
      <c r="B794" s="32" t="str">
        <f aca="false">IF(OR(C794="",I794="",G794=""),"",IFERROR(VLOOKUP(I794,Setup!$A$9:$B$11,2,0),"???")&amp;"-"&amp;G794&amp;"-"&amp;TEXT(COUNTIFS(I$5:I794,I794,G$5:G794,G794),"0000"))</f>
        <v/>
      </c>
      <c r="C794" s="26"/>
      <c r="D794" s="26"/>
      <c r="E794" s="27"/>
      <c r="F794" s="27"/>
      <c r="G794" s="31" t="str">
        <f aca="false">IF(F794="","",IF(F794&lt;=5,"A",IF(F794&lt;=8,"B",IF(F794&lt;=10,"C","D"))))</f>
        <v/>
      </c>
      <c r="H794" s="28"/>
      <c r="I794" s="27"/>
      <c r="J794" s="26"/>
      <c r="K794" s="27"/>
      <c r="L794" s="27"/>
      <c r="M794" s="27"/>
      <c r="N794" s="27"/>
      <c r="O794" s="31" t="str">
        <f aca="false">IF(G794="","",VLOOKUP(G794,Setup!$A$14:$C$17,3,0))</f>
        <v/>
      </c>
      <c r="P794" s="27"/>
      <c r="Q794" s="33" t="str">
        <f aca="false">IF(OR(P794="",M794&lt;&gt;"Paid",O794=""),"",P794/O794)</f>
        <v/>
      </c>
      <c r="R794" s="34" t="str">
        <f aca="false">IF(Q794="","",Q794+N(H794)*0.000000001)</f>
        <v/>
      </c>
      <c r="S794" s="32" t="str">
        <f aca="false">IF(R794="","",SUMPRODUCT((I$5:I$4004=I794)*ISNUMBER(R$5:R$4004)*(R$5:R$4004&gt;R794))+1)</f>
        <v/>
      </c>
      <c r="T794" s="32" t="str">
        <f aca="false">IF(S794="","",IF(S794&lt;=Setup!$B$5,"🏆 WINNER",""))</f>
        <v/>
      </c>
      <c r="U794" s="31" t="str">
        <f aca="false">IF(S794="","",I794&amp;"|"&amp;S794)</f>
        <v/>
      </c>
    </row>
    <row r="795" customFormat="false" ht="15" hidden="false" customHeight="false" outlineLevel="0" collapsed="false">
      <c r="A795" s="24" t="n">
        <v>791</v>
      </c>
      <c r="B795" s="25" t="str">
        <f aca="false">IF(OR(C795="",I795="",G795=""),"",IFERROR(VLOOKUP(I795,Setup!$A$9:$B$11,2,0),"???")&amp;"-"&amp;G795&amp;"-"&amp;TEXT(COUNTIFS(I$5:I795,I795,G$5:G795,G795),"0000"))</f>
        <v/>
      </c>
      <c r="C795" s="26"/>
      <c r="D795" s="26"/>
      <c r="E795" s="27"/>
      <c r="F795" s="27"/>
      <c r="G795" s="24" t="str">
        <f aca="false">IF(F795="","",IF(F795&lt;=5,"A",IF(F795&lt;=8,"B",IF(F795&lt;=10,"C","D"))))</f>
        <v/>
      </c>
      <c r="H795" s="28"/>
      <c r="I795" s="27"/>
      <c r="J795" s="26"/>
      <c r="K795" s="27"/>
      <c r="L795" s="27"/>
      <c r="M795" s="27"/>
      <c r="N795" s="27"/>
      <c r="O795" s="24" t="str">
        <f aca="false">IF(G795="","",VLOOKUP(G795,Setup!$A$14:$C$17,3,0))</f>
        <v/>
      </c>
      <c r="P795" s="27"/>
      <c r="Q795" s="29" t="str">
        <f aca="false">IF(OR(P795="",M795&lt;&gt;"Paid",O795=""),"",P795/O795)</f>
        <v/>
      </c>
      <c r="R795" s="30" t="str">
        <f aca="false">IF(Q795="","",Q795+N(H795)*0.000000001)</f>
        <v/>
      </c>
      <c r="S795" s="25" t="str">
        <f aca="false">IF(R795="","",SUMPRODUCT((I$5:I$4004=I795)*ISNUMBER(R$5:R$4004)*(R$5:R$4004&gt;R795))+1)</f>
        <v/>
      </c>
      <c r="T795" s="25" t="str">
        <f aca="false">IF(S795="","",IF(S795&lt;=Setup!$B$5,"🏆 WINNER",""))</f>
        <v/>
      </c>
      <c r="U795" s="24" t="str">
        <f aca="false">IF(S795="","",I795&amp;"|"&amp;S795)</f>
        <v/>
      </c>
    </row>
    <row r="796" customFormat="false" ht="15" hidden="false" customHeight="false" outlineLevel="0" collapsed="false">
      <c r="A796" s="31" t="n">
        <v>792</v>
      </c>
      <c r="B796" s="32" t="str">
        <f aca="false">IF(OR(C796="",I796="",G796=""),"",IFERROR(VLOOKUP(I796,Setup!$A$9:$B$11,2,0),"???")&amp;"-"&amp;G796&amp;"-"&amp;TEXT(COUNTIFS(I$5:I796,I796,G$5:G796,G796),"0000"))</f>
        <v/>
      </c>
      <c r="C796" s="26"/>
      <c r="D796" s="26"/>
      <c r="E796" s="27"/>
      <c r="F796" s="27"/>
      <c r="G796" s="31" t="str">
        <f aca="false">IF(F796="","",IF(F796&lt;=5,"A",IF(F796&lt;=8,"B",IF(F796&lt;=10,"C","D"))))</f>
        <v/>
      </c>
      <c r="H796" s="28"/>
      <c r="I796" s="27"/>
      <c r="J796" s="26"/>
      <c r="K796" s="27"/>
      <c r="L796" s="27"/>
      <c r="M796" s="27"/>
      <c r="N796" s="27"/>
      <c r="O796" s="31" t="str">
        <f aca="false">IF(G796="","",VLOOKUP(G796,Setup!$A$14:$C$17,3,0))</f>
        <v/>
      </c>
      <c r="P796" s="27"/>
      <c r="Q796" s="33" t="str">
        <f aca="false">IF(OR(P796="",M796&lt;&gt;"Paid",O796=""),"",P796/O796)</f>
        <v/>
      </c>
      <c r="R796" s="34" t="str">
        <f aca="false">IF(Q796="","",Q796+N(H796)*0.000000001)</f>
        <v/>
      </c>
      <c r="S796" s="32" t="str">
        <f aca="false">IF(R796="","",SUMPRODUCT((I$5:I$4004=I796)*ISNUMBER(R$5:R$4004)*(R$5:R$4004&gt;R796))+1)</f>
        <v/>
      </c>
      <c r="T796" s="32" t="str">
        <f aca="false">IF(S796="","",IF(S796&lt;=Setup!$B$5,"🏆 WINNER",""))</f>
        <v/>
      </c>
      <c r="U796" s="31" t="str">
        <f aca="false">IF(S796="","",I796&amp;"|"&amp;S796)</f>
        <v/>
      </c>
    </row>
    <row r="797" customFormat="false" ht="15" hidden="false" customHeight="false" outlineLevel="0" collapsed="false">
      <c r="A797" s="24" t="n">
        <v>793</v>
      </c>
      <c r="B797" s="25" t="str">
        <f aca="false">IF(OR(C797="",I797="",G797=""),"",IFERROR(VLOOKUP(I797,Setup!$A$9:$B$11,2,0),"???")&amp;"-"&amp;G797&amp;"-"&amp;TEXT(COUNTIFS(I$5:I797,I797,G$5:G797,G797),"0000"))</f>
        <v/>
      </c>
      <c r="C797" s="26"/>
      <c r="D797" s="26"/>
      <c r="E797" s="27"/>
      <c r="F797" s="27"/>
      <c r="G797" s="24" t="str">
        <f aca="false">IF(F797="","",IF(F797&lt;=5,"A",IF(F797&lt;=8,"B",IF(F797&lt;=10,"C","D"))))</f>
        <v/>
      </c>
      <c r="H797" s="28"/>
      <c r="I797" s="27"/>
      <c r="J797" s="26"/>
      <c r="K797" s="27"/>
      <c r="L797" s="27"/>
      <c r="M797" s="27"/>
      <c r="N797" s="27"/>
      <c r="O797" s="24" t="str">
        <f aca="false">IF(G797="","",VLOOKUP(G797,Setup!$A$14:$C$17,3,0))</f>
        <v/>
      </c>
      <c r="P797" s="27"/>
      <c r="Q797" s="29" t="str">
        <f aca="false">IF(OR(P797="",M797&lt;&gt;"Paid",O797=""),"",P797/O797)</f>
        <v/>
      </c>
      <c r="R797" s="30" t="str">
        <f aca="false">IF(Q797="","",Q797+N(H797)*0.000000001)</f>
        <v/>
      </c>
      <c r="S797" s="25" t="str">
        <f aca="false">IF(R797="","",SUMPRODUCT((I$5:I$4004=I797)*ISNUMBER(R$5:R$4004)*(R$5:R$4004&gt;R797))+1)</f>
        <v/>
      </c>
      <c r="T797" s="25" t="str">
        <f aca="false">IF(S797="","",IF(S797&lt;=Setup!$B$5,"🏆 WINNER",""))</f>
        <v/>
      </c>
      <c r="U797" s="24" t="str">
        <f aca="false">IF(S797="","",I797&amp;"|"&amp;S797)</f>
        <v/>
      </c>
    </row>
    <row r="798" customFormat="false" ht="15" hidden="false" customHeight="false" outlineLevel="0" collapsed="false">
      <c r="A798" s="31" t="n">
        <v>794</v>
      </c>
      <c r="B798" s="32" t="str">
        <f aca="false">IF(OR(C798="",I798="",G798=""),"",IFERROR(VLOOKUP(I798,Setup!$A$9:$B$11,2,0),"???")&amp;"-"&amp;G798&amp;"-"&amp;TEXT(COUNTIFS(I$5:I798,I798,G$5:G798,G798),"0000"))</f>
        <v/>
      </c>
      <c r="C798" s="26"/>
      <c r="D798" s="26"/>
      <c r="E798" s="27"/>
      <c r="F798" s="27"/>
      <c r="G798" s="31" t="str">
        <f aca="false">IF(F798="","",IF(F798&lt;=5,"A",IF(F798&lt;=8,"B",IF(F798&lt;=10,"C","D"))))</f>
        <v/>
      </c>
      <c r="H798" s="28"/>
      <c r="I798" s="27"/>
      <c r="J798" s="26"/>
      <c r="K798" s="27"/>
      <c r="L798" s="27"/>
      <c r="M798" s="27"/>
      <c r="N798" s="27"/>
      <c r="O798" s="31" t="str">
        <f aca="false">IF(G798="","",VLOOKUP(G798,Setup!$A$14:$C$17,3,0))</f>
        <v/>
      </c>
      <c r="P798" s="27"/>
      <c r="Q798" s="33" t="str">
        <f aca="false">IF(OR(P798="",M798&lt;&gt;"Paid",O798=""),"",P798/O798)</f>
        <v/>
      </c>
      <c r="R798" s="34" t="str">
        <f aca="false">IF(Q798="","",Q798+N(H798)*0.000000001)</f>
        <v/>
      </c>
      <c r="S798" s="32" t="str">
        <f aca="false">IF(R798="","",SUMPRODUCT((I$5:I$4004=I798)*ISNUMBER(R$5:R$4004)*(R$5:R$4004&gt;R798))+1)</f>
        <v/>
      </c>
      <c r="T798" s="32" t="str">
        <f aca="false">IF(S798="","",IF(S798&lt;=Setup!$B$5,"🏆 WINNER",""))</f>
        <v/>
      </c>
      <c r="U798" s="31" t="str">
        <f aca="false">IF(S798="","",I798&amp;"|"&amp;S798)</f>
        <v/>
      </c>
    </row>
    <row r="799" customFormat="false" ht="15" hidden="false" customHeight="false" outlineLevel="0" collapsed="false">
      <c r="A799" s="24" t="n">
        <v>795</v>
      </c>
      <c r="B799" s="25" t="str">
        <f aca="false">IF(OR(C799="",I799="",G799=""),"",IFERROR(VLOOKUP(I799,Setup!$A$9:$B$11,2,0),"???")&amp;"-"&amp;G799&amp;"-"&amp;TEXT(COUNTIFS(I$5:I799,I799,G$5:G799,G799),"0000"))</f>
        <v/>
      </c>
      <c r="C799" s="26"/>
      <c r="D799" s="26"/>
      <c r="E799" s="27"/>
      <c r="F799" s="27"/>
      <c r="G799" s="24" t="str">
        <f aca="false">IF(F799="","",IF(F799&lt;=5,"A",IF(F799&lt;=8,"B",IF(F799&lt;=10,"C","D"))))</f>
        <v/>
      </c>
      <c r="H799" s="28"/>
      <c r="I799" s="27"/>
      <c r="J799" s="26"/>
      <c r="K799" s="27"/>
      <c r="L799" s="27"/>
      <c r="M799" s="27"/>
      <c r="N799" s="27"/>
      <c r="O799" s="24" t="str">
        <f aca="false">IF(G799="","",VLOOKUP(G799,Setup!$A$14:$C$17,3,0))</f>
        <v/>
      </c>
      <c r="P799" s="27"/>
      <c r="Q799" s="29" t="str">
        <f aca="false">IF(OR(P799="",M799&lt;&gt;"Paid",O799=""),"",P799/O799)</f>
        <v/>
      </c>
      <c r="R799" s="30" t="str">
        <f aca="false">IF(Q799="","",Q799+N(H799)*0.000000001)</f>
        <v/>
      </c>
      <c r="S799" s="25" t="str">
        <f aca="false">IF(R799="","",SUMPRODUCT((I$5:I$4004=I799)*ISNUMBER(R$5:R$4004)*(R$5:R$4004&gt;R799))+1)</f>
        <v/>
      </c>
      <c r="T799" s="25" t="str">
        <f aca="false">IF(S799="","",IF(S799&lt;=Setup!$B$5,"🏆 WINNER",""))</f>
        <v/>
      </c>
      <c r="U799" s="24" t="str">
        <f aca="false">IF(S799="","",I799&amp;"|"&amp;S799)</f>
        <v/>
      </c>
    </row>
    <row r="800" customFormat="false" ht="15" hidden="false" customHeight="false" outlineLevel="0" collapsed="false">
      <c r="A800" s="31" t="n">
        <v>796</v>
      </c>
      <c r="B800" s="32" t="str">
        <f aca="false">IF(OR(C800="",I800="",G800=""),"",IFERROR(VLOOKUP(I800,Setup!$A$9:$B$11,2,0),"???")&amp;"-"&amp;G800&amp;"-"&amp;TEXT(COUNTIFS(I$5:I800,I800,G$5:G800,G800),"0000"))</f>
        <v/>
      </c>
      <c r="C800" s="26"/>
      <c r="D800" s="26"/>
      <c r="E800" s="27"/>
      <c r="F800" s="27"/>
      <c r="G800" s="31" t="str">
        <f aca="false">IF(F800="","",IF(F800&lt;=5,"A",IF(F800&lt;=8,"B",IF(F800&lt;=10,"C","D"))))</f>
        <v/>
      </c>
      <c r="H800" s="28"/>
      <c r="I800" s="27"/>
      <c r="J800" s="26"/>
      <c r="K800" s="27"/>
      <c r="L800" s="27"/>
      <c r="M800" s="27"/>
      <c r="N800" s="27"/>
      <c r="O800" s="31" t="str">
        <f aca="false">IF(G800="","",VLOOKUP(G800,Setup!$A$14:$C$17,3,0))</f>
        <v/>
      </c>
      <c r="P800" s="27"/>
      <c r="Q800" s="33" t="str">
        <f aca="false">IF(OR(P800="",M800&lt;&gt;"Paid",O800=""),"",P800/O800)</f>
        <v/>
      </c>
      <c r="R800" s="34" t="str">
        <f aca="false">IF(Q800="","",Q800+N(H800)*0.000000001)</f>
        <v/>
      </c>
      <c r="S800" s="32" t="str">
        <f aca="false">IF(R800="","",SUMPRODUCT((I$5:I$4004=I800)*ISNUMBER(R$5:R$4004)*(R$5:R$4004&gt;R800))+1)</f>
        <v/>
      </c>
      <c r="T800" s="32" t="str">
        <f aca="false">IF(S800="","",IF(S800&lt;=Setup!$B$5,"🏆 WINNER",""))</f>
        <v/>
      </c>
      <c r="U800" s="31" t="str">
        <f aca="false">IF(S800="","",I800&amp;"|"&amp;S800)</f>
        <v/>
      </c>
    </row>
    <row r="801" customFormat="false" ht="15" hidden="false" customHeight="false" outlineLevel="0" collapsed="false">
      <c r="A801" s="24" t="n">
        <v>797</v>
      </c>
      <c r="B801" s="25" t="str">
        <f aca="false">IF(OR(C801="",I801="",G801=""),"",IFERROR(VLOOKUP(I801,Setup!$A$9:$B$11,2,0),"???")&amp;"-"&amp;G801&amp;"-"&amp;TEXT(COUNTIFS(I$5:I801,I801,G$5:G801,G801),"0000"))</f>
        <v/>
      </c>
      <c r="C801" s="26"/>
      <c r="D801" s="26"/>
      <c r="E801" s="27"/>
      <c r="F801" s="27"/>
      <c r="G801" s="24" t="str">
        <f aca="false">IF(F801="","",IF(F801&lt;=5,"A",IF(F801&lt;=8,"B",IF(F801&lt;=10,"C","D"))))</f>
        <v/>
      </c>
      <c r="H801" s="28"/>
      <c r="I801" s="27"/>
      <c r="J801" s="26"/>
      <c r="K801" s="27"/>
      <c r="L801" s="27"/>
      <c r="M801" s="27"/>
      <c r="N801" s="27"/>
      <c r="O801" s="24" t="str">
        <f aca="false">IF(G801="","",VLOOKUP(G801,Setup!$A$14:$C$17,3,0))</f>
        <v/>
      </c>
      <c r="P801" s="27"/>
      <c r="Q801" s="29" t="str">
        <f aca="false">IF(OR(P801="",M801&lt;&gt;"Paid",O801=""),"",P801/O801)</f>
        <v/>
      </c>
      <c r="R801" s="30" t="str">
        <f aca="false">IF(Q801="","",Q801+N(H801)*0.000000001)</f>
        <v/>
      </c>
      <c r="S801" s="25" t="str">
        <f aca="false">IF(R801="","",SUMPRODUCT((I$5:I$4004=I801)*ISNUMBER(R$5:R$4004)*(R$5:R$4004&gt;R801))+1)</f>
        <v/>
      </c>
      <c r="T801" s="25" t="str">
        <f aca="false">IF(S801="","",IF(S801&lt;=Setup!$B$5,"🏆 WINNER",""))</f>
        <v/>
      </c>
      <c r="U801" s="24" t="str">
        <f aca="false">IF(S801="","",I801&amp;"|"&amp;S801)</f>
        <v/>
      </c>
    </row>
    <row r="802" customFormat="false" ht="15" hidden="false" customHeight="false" outlineLevel="0" collapsed="false">
      <c r="A802" s="31" t="n">
        <v>798</v>
      </c>
      <c r="B802" s="32" t="str">
        <f aca="false">IF(OR(C802="",I802="",G802=""),"",IFERROR(VLOOKUP(I802,Setup!$A$9:$B$11,2,0),"???")&amp;"-"&amp;G802&amp;"-"&amp;TEXT(COUNTIFS(I$5:I802,I802,G$5:G802,G802),"0000"))</f>
        <v/>
      </c>
      <c r="C802" s="26"/>
      <c r="D802" s="26"/>
      <c r="E802" s="27"/>
      <c r="F802" s="27"/>
      <c r="G802" s="31" t="str">
        <f aca="false">IF(F802="","",IF(F802&lt;=5,"A",IF(F802&lt;=8,"B",IF(F802&lt;=10,"C","D"))))</f>
        <v/>
      </c>
      <c r="H802" s="28"/>
      <c r="I802" s="27"/>
      <c r="J802" s="26"/>
      <c r="K802" s="27"/>
      <c r="L802" s="27"/>
      <c r="M802" s="27"/>
      <c r="N802" s="27"/>
      <c r="O802" s="31" t="str">
        <f aca="false">IF(G802="","",VLOOKUP(G802,Setup!$A$14:$C$17,3,0))</f>
        <v/>
      </c>
      <c r="P802" s="27"/>
      <c r="Q802" s="33" t="str">
        <f aca="false">IF(OR(P802="",M802&lt;&gt;"Paid",O802=""),"",P802/O802)</f>
        <v/>
      </c>
      <c r="R802" s="34" t="str">
        <f aca="false">IF(Q802="","",Q802+N(H802)*0.000000001)</f>
        <v/>
      </c>
      <c r="S802" s="32" t="str">
        <f aca="false">IF(R802="","",SUMPRODUCT((I$5:I$4004=I802)*ISNUMBER(R$5:R$4004)*(R$5:R$4004&gt;R802))+1)</f>
        <v/>
      </c>
      <c r="T802" s="32" t="str">
        <f aca="false">IF(S802="","",IF(S802&lt;=Setup!$B$5,"🏆 WINNER",""))</f>
        <v/>
      </c>
      <c r="U802" s="31" t="str">
        <f aca="false">IF(S802="","",I802&amp;"|"&amp;S802)</f>
        <v/>
      </c>
    </row>
    <row r="803" customFormat="false" ht="15" hidden="false" customHeight="false" outlineLevel="0" collapsed="false">
      <c r="A803" s="24" t="n">
        <v>799</v>
      </c>
      <c r="B803" s="25" t="str">
        <f aca="false">IF(OR(C803="",I803="",G803=""),"",IFERROR(VLOOKUP(I803,Setup!$A$9:$B$11,2,0),"???")&amp;"-"&amp;G803&amp;"-"&amp;TEXT(COUNTIFS(I$5:I803,I803,G$5:G803,G803),"0000"))</f>
        <v/>
      </c>
      <c r="C803" s="26"/>
      <c r="D803" s="26"/>
      <c r="E803" s="27"/>
      <c r="F803" s="27"/>
      <c r="G803" s="24" t="str">
        <f aca="false">IF(F803="","",IF(F803&lt;=5,"A",IF(F803&lt;=8,"B",IF(F803&lt;=10,"C","D"))))</f>
        <v/>
      </c>
      <c r="H803" s="28"/>
      <c r="I803" s="27"/>
      <c r="J803" s="26"/>
      <c r="K803" s="27"/>
      <c r="L803" s="27"/>
      <c r="M803" s="27"/>
      <c r="N803" s="27"/>
      <c r="O803" s="24" t="str">
        <f aca="false">IF(G803="","",VLOOKUP(G803,Setup!$A$14:$C$17,3,0))</f>
        <v/>
      </c>
      <c r="P803" s="27"/>
      <c r="Q803" s="29" t="str">
        <f aca="false">IF(OR(P803="",M803&lt;&gt;"Paid",O803=""),"",P803/O803)</f>
        <v/>
      </c>
      <c r="R803" s="30" t="str">
        <f aca="false">IF(Q803="","",Q803+N(H803)*0.000000001)</f>
        <v/>
      </c>
      <c r="S803" s="25" t="str">
        <f aca="false">IF(R803="","",SUMPRODUCT((I$5:I$4004=I803)*ISNUMBER(R$5:R$4004)*(R$5:R$4004&gt;R803))+1)</f>
        <v/>
      </c>
      <c r="T803" s="25" t="str">
        <f aca="false">IF(S803="","",IF(S803&lt;=Setup!$B$5,"🏆 WINNER",""))</f>
        <v/>
      </c>
      <c r="U803" s="24" t="str">
        <f aca="false">IF(S803="","",I803&amp;"|"&amp;S803)</f>
        <v/>
      </c>
    </row>
    <row r="804" customFormat="false" ht="15" hidden="false" customHeight="false" outlineLevel="0" collapsed="false">
      <c r="A804" s="31" t="n">
        <v>800</v>
      </c>
      <c r="B804" s="32" t="str">
        <f aca="false">IF(OR(C804="",I804="",G804=""),"",IFERROR(VLOOKUP(I804,Setup!$A$9:$B$11,2,0),"???")&amp;"-"&amp;G804&amp;"-"&amp;TEXT(COUNTIFS(I$5:I804,I804,G$5:G804,G804),"0000"))</f>
        <v/>
      </c>
      <c r="C804" s="26"/>
      <c r="D804" s="26"/>
      <c r="E804" s="27"/>
      <c r="F804" s="27"/>
      <c r="G804" s="31" t="str">
        <f aca="false">IF(F804="","",IF(F804&lt;=5,"A",IF(F804&lt;=8,"B",IF(F804&lt;=10,"C","D"))))</f>
        <v/>
      </c>
      <c r="H804" s="28"/>
      <c r="I804" s="27"/>
      <c r="J804" s="26"/>
      <c r="K804" s="27"/>
      <c r="L804" s="27"/>
      <c r="M804" s="27"/>
      <c r="N804" s="27"/>
      <c r="O804" s="31" t="str">
        <f aca="false">IF(G804="","",VLOOKUP(G804,Setup!$A$14:$C$17,3,0))</f>
        <v/>
      </c>
      <c r="P804" s="27"/>
      <c r="Q804" s="33" t="str">
        <f aca="false">IF(OR(P804="",M804&lt;&gt;"Paid",O804=""),"",P804/O804)</f>
        <v/>
      </c>
      <c r="R804" s="34" t="str">
        <f aca="false">IF(Q804="","",Q804+N(H804)*0.000000001)</f>
        <v/>
      </c>
      <c r="S804" s="32" t="str">
        <f aca="false">IF(R804="","",SUMPRODUCT((I$5:I$4004=I804)*ISNUMBER(R$5:R$4004)*(R$5:R$4004&gt;R804))+1)</f>
        <v/>
      </c>
      <c r="T804" s="32" t="str">
        <f aca="false">IF(S804="","",IF(S804&lt;=Setup!$B$5,"🏆 WINNER",""))</f>
        <v/>
      </c>
      <c r="U804" s="31" t="str">
        <f aca="false">IF(S804="","",I804&amp;"|"&amp;S804)</f>
        <v/>
      </c>
    </row>
    <row r="805" customFormat="false" ht="15" hidden="false" customHeight="false" outlineLevel="0" collapsed="false">
      <c r="A805" s="24" t="n">
        <v>801</v>
      </c>
      <c r="B805" s="25" t="str">
        <f aca="false">IF(OR(C805="",I805="",G805=""),"",IFERROR(VLOOKUP(I805,Setup!$A$9:$B$11,2,0),"???")&amp;"-"&amp;G805&amp;"-"&amp;TEXT(COUNTIFS(I$5:I805,I805,G$5:G805,G805),"0000"))</f>
        <v/>
      </c>
      <c r="C805" s="26"/>
      <c r="D805" s="26"/>
      <c r="E805" s="27"/>
      <c r="F805" s="27"/>
      <c r="G805" s="24" t="str">
        <f aca="false">IF(F805="","",IF(F805&lt;=5,"A",IF(F805&lt;=8,"B",IF(F805&lt;=10,"C","D"))))</f>
        <v/>
      </c>
      <c r="H805" s="28"/>
      <c r="I805" s="27"/>
      <c r="J805" s="26"/>
      <c r="K805" s="27"/>
      <c r="L805" s="27"/>
      <c r="M805" s="27"/>
      <c r="N805" s="27"/>
      <c r="O805" s="24" t="str">
        <f aca="false">IF(G805="","",VLOOKUP(G805,Setup!$A$14:$C$17,3,0))</f>
        <v/>
      </c>
      <c r="P805" s="27"/>
      <c r="Q805" s="29" t="str">
        <f aca="false">IF(OR(P805="",M805&lt;&gt;"Paid",O805=""),"",P805/O805)</f>
        <v/>
      </c>
      <c r="R805" s="30" t="str">
        <f aca="false">IF(Q805="","",Q805+N(H805)*0.000000001)</f>
        <v/>
      </c>
      <c r="S805" s="25" t="str">
        <f aca="false">IF(R805="","",SUMPRODUCT((I$5:I$4004=I805)*ISNUMBER(R$5:R$4004)*(R$5:R$4004&gt;R805))+1)</f>
        <v/>
      </c>
      <c r="T805" s="25" t="str">
        <f aca="false">IF(S805="","",IF(S805&lt;=Setup!$B$5,"🏆 WINNER",""))</f>
        <v/>
      </c>
      <c r="U805" s="24" t="str">
        <f aca="false">IF(S805="","",I805&amp;"|"&amp;S805)</f>
        <v/>
      </c>
    </row>
    <row r="806" customFormat="false" ht="15" hidden="false" customHeight="false" outlineLevel="0" collapsed="false">
      <c r="A806" s="31" t="n">
        <v>802</v>
      </c>
      <c r="B806" s="32" t="str">
        <f aca="false">IF(OR(C806="",I806="",G806=""),"",IFERROR(VLOOKUP(I806,Setup!$A$9:$B$11,2,0),"???")&amp;"-"&amp;G806&amp;"-"&amp;TEXT(COUNTIFS(I$5:I806,I806,G$5:G806,G806),"0000"))</f>
        <v/>
      </c>
      <c r="C806" s="26"/>
      <c r="D806" s="26"/>
      <c r="E806" s="27"/>
      <c r="F806" s="27"/>
      <c r="G806" s="31" t="str">
        <f aca="false">IF(F806="","",IF(F806&lt;=5,"A",IF(F806&lt;=8,"B",IF(F806&lt;=10,"C","D"))))</f>
        <v/>
      </c>
      <c r="H806" s="28"/>
      <c r="I806" s="27"/>
      <c r="J806" s="26"/>
      <c r="K806" s="27"/>
      <c r="L806" s="27"/>
      <c r="M806" s="27"/>
      <c r="N806" s="27"/>
      <c r="O806" s="31" t="str">
        <f aca="false">IF(G806="","",VLOOKUP(G806,Setup!$A$14:$C$17,3,0))</f>
        <v/>
      </c>
      <c r="P806" s="27"/>
      <c r="Q806" s="33" t="str">
        <f aca="false">IF(OR(P806="",M806&lt;&gt;"Paid",O806=""),"",P806/O806)</f>
        <v/>
      </c>
      <c r="R806" s="34" t="str">
        <f aca="false">IF(Q806="","",Q806+N(H806)*0.000000001)</f>
        <v/>
      </c>
      <c r="S806" s="32" t="str">
        <f aca="false">IF(R806="","",SUMPRODUCT((I$5:I$4004=I806)*ISNUMBER(R$5:R$4004)*(R$5:R$4004&gt;R806))+1)</f>
        <v/>
      </c>
      <c r="T806" s="32" t="str">
        <f aca="false">IF(S806="","",IF(S806&lt;=Setup!$B$5,"🏆 WINNER",""))</f>
        <v/>
      </c>
      <c r="U806" s="31" t="str">
        <f aca="false">IF(S806="","",I806&amp;"|"&amp;S806)</f>
        <v/>
      </c>
    </row>
    <row r="807" customFormat="false" ht="15" hidden="false" customHeight="false" outlineLevel="0" collapsed="false">
      <c r="A807" s="24" t="n">
        <v>803</v>
      </c>
      <c r="B807" s="25" t="str">
        <f aca="false">IF(OR(C807="",I807="",G807=""),"",IFERROR(VLOOKUP(I807,Setup!$A$9:$B$11,2,0),"???")&amp;"-"&amp;G807&amp;"-"&amp;TEXT(COUNTIFS(I$5:I807,I807,G$5:G807,G807),"0000"))</f>
        <v/>
      </c>
      <c r="C807" s="26"/>
      <c r="D807" s="26"/>
      <c r="E807" s="27"/>
      <c r="F807" s="27"/>
      <c r="G807" s="24" t="str">
        <f aca="false">IF(F807="","",IF(F807&lt;=5,"A",IF(F807&lt;=8,"B",IF(F807&lt;=10,"C","D"))))</f>
        <v/>
      </c>
      <c r="H807" s="28"/>
      <c r="I807" s="27"/>
      <c r="J807" s="26"/>
      <c r="K807" s="27"/>
      <c r="L807" s="27"/>
      <c r="M807" s="27"/>
      <c r="N807" s="27"/>
      <c r="O807" s="24" t="str">
        <f aca="false">IF(G807="","",VLOOKUP(G807,Setup!$A$14:$C$17,3,0))</f>
        <v/>
      </c>
      <c r="P807" s="27"/>
      <c r="Q807" s="29" t="str">
        <f aca="false">IF(OR(P807="",M807&lt;&gt;"Paid",O807=""),"",P807/O807)</f>
        <v/>
      </c>
      <c r="R807" s="30" t="str">
        <f aca="false">IF(Q807="","",Q807+N(H807)*0.000000001)</f>
        <v/>
      </c>
      <c r="S807" s="25" t="str">
        <f aca="false">IF(R807="","",SUMPRODUCT((I$5:I$4004=I807)*ISNUMBER(R$5:R$4004)*(R$5:R$4004&gt;R807))+1)</f>
        <v/>
      </c>
      <c r="T807" s="25" t="str">
        <f aca="false">IF(S807="","",IF(S807&lt;=Setup!$B$5,"🏆 WINNER",""))</f>
        <v/>
      </c>
      <c r="U807" s="24" t="str">
        <f aca="false">IF(S807="","",I807&amp;"|"&amp;S807)</f>
        <v/>
      </c>
    </row>
    <row r="808" customFormat="false" ht="15" hidden="false" customHeight="false" outlineLevel="0" collapsed="false">
      <c r="A808" s="31" t="n">
        <v>804</v>
      </c>
      <c r="B808" s="32" t="str">
        <f aca="false">IF(OR(C808="",I808="",G808=""),"",IFERROR(VLOOKUP(I808,Setup!$A$9:$B$11,2,0),"???")&amp;"-"&amp;G808&amp;"-"&amp;TEXT(COUNTIFS(I$5:I808,I808,G$5:G808,G808),"0000"))</f>
        <v/>
      </c>
      <c r="C808" s="26"/>
      <c r="D808" s="26"/>
      <c r="E808" s="27"/>
      <c r="F808" s="27"/>
      <c r="G808" s="31" t="str">
        <f aca="false">IF(F808="","",IF(F808&lt;=5,"A",IF(F808&lt;=8,"B",IF(F808&lt;=10,"C","D"))))</f>
        <v/>
      </c>
      <c r="H808" s="28"/>
      <c r="I808" s="27"/>
      <c r="J808" s="26"/>
      <c r="K808" s="27"/>
      <c r="L808" s="27"/>
      <c r="M808" s="27"/>
      <c r="N808" s="27"/>
      <c r="O808" s="31" t="str">
        <f aca="false">IF(G808="","",VLOOKUP(G808,Setup!$A$14:$C$17,3,0))</f>
        <v/>
      </c>
      <c r="P808" s="27"/>
      <c r="Q808" s="33" t="str">
        <f aca="false">IF(OR(P808="",M808&lt;&gt;"Paid",O808=""),"",P808/O808)</f>
        <v/>
      </c>
      <c r="R808" s="34" t="str">
        <f aca="false">IF(Q808="","",Q808+N(H808)*0.000000001)</f>
        <v/>
      </c>
      <c r="S808" s="32" t="str">
        <f aca="false">IF(R808="","",SUMPRODUCT((I$5:I$4004=I808)*ISNUMBER(R$5:R$4004)*(R$5:R$4004&gt;R808))+1)</f>
        <v/>
      </c>
      <c r="T808" s="32" t="str">
        <f aca="false">IF(S808="","",IF(S808&lt;=Setup!$B$5,"🏆 WINNER",""))</f>
        <v/>
      </c>
      <c r="U808" s="31" t="str">
        <f aca="false">IF(S808="","",I808&amp;"|"&amp;S808)</f>
        <v/>
      </c>
    </row>
    <row r="809" customFormat="false" ht="15" hidden="false" customHeight="false" outlineLevel="0" collapsed="false">
      <c r="A809" s="24" t="n">
        <v>805</v>
      </c>
      <c r="B809" s="25" t="str">
        <f aca="false">IF(OR(C809="",I809="",G809=""),"",IFERROR(VLOOKUP(I809,Setup!$A$9:$B$11,2,0),"???")&amp;"-"&amp;G809&amp;"-"&amp;TEXT(COUNTIFS(I$5:I809,I809,G$5:G809,G809),"0000"))</f>
        <v/>
      </c>
      <c r="C809" s="26"/>
      <c r="D809" s="26"/>
      <c r="E809" s="27"/>
      <c r="F809" s="27"/>
      <c r="G809" s="24" t="str">
        <f aca="false">IF(F809="","",IF(F809&lt;=5,"A",IF(F809&lt;=8,"B",IF(F809&lt;=10,"C","D"))))</f>
        <v/>
      </c>
      <c r="H809" s="28"/>
      <c r="I809" s="27"/>
      <c r="J809" s="26"/>
      <c r="K809" s="27"/>
      <c r="L809" s="27"/>
      <c r="M809" s="27"/>
      <c r="N809" s="27"/>
      <c r="O809" s="24" t="str">
        <f aca="false">IF(G809="","",VLOOKUP(G809,Setup!$A$14:$C$17,3,0))</f>
        <v/>
      </c>
      <c r="P809" s="27"/>
      <c r="Q809" s="29" t="str">
        <f aca="false">IF(OR(P809="",M809&lt;&gt;"Paid",O809=""),"",P809/O809)</f>
        <v/>
      </c>
      <c r="R809" s="30" t="str">
        <f aca="false">IF(Q809="","",Q809+N(H809)*0.000000001)</f>
        <v/>
      </c>
      <c r="S809" s="25" t="str">
        <f aca="false">IF(R809="","",SUMPRODUCT((I$5:I$4004=I809)*ISNUMBER(R$5:R$4004)*(R$5:R$4004&gt;R809))+1)</f>
        <v/>
      </c>
      <c r="T809" s="25" t="str">
        <f aca="false">IF(S809="","",IF(S809&lt;=Setup!$B$5,"🏆 WINNER",""))</f>
        <v/>
      </c>
      <c r="U809" s="24" t="str">
        <f aca="false">IF(S809="","",I809&amp;"|"&amp;S809)</f>
        <v/>
      </c>
    </row>
    <row r="810" customFormat="false" ht="15" hidden="false" customHeight="false" outlineLevel="0" collapsed="false">
      <c r="A810" s="31" t="n">
        <v>806</v>
      </c>
      <c r="B810" s="32" t="str">
        <f aca="false">IF(OR(C810="",I810="",G810=""),"",IFERROR(VLOOKUP(I810,Setup!$A$9:$B$11,2,0),"???")&amp;"-"&amp;G810&amp;"-"&amp;TEXT(COUNTIFS(I$5:I810,I810,G$5:G810,G810),"0000"))</f>
        <v/>
      </c>
      <c r="C810" s="26"/>
      <c r="D810" s="26"/>
      <c r="E810" s="27"/>
      <c r="F810" s="27"/>
      <c r="G810" s="31" t="str">
        <f aca="false">IF(F810="","",IF(F810&lt;=5,"A",IF(F810&lt;=8,"B",IF(F810&lt;=10,"C","D"))))</f>
        <v/>
      </c>
      <c r="H810" s="28"/>
      <c r="I810" s="27"/>
      <c r="J810" s="26"/>
      <c r="K810" s="27"/>
      <c r="L810" s="27"/>
      <c r="M810" s="27"/>
      <c r="N810" s="27"/>
      <c r="O810" s="31" t="str">
        <f aca="false">IF(G810="","",VLOOKUP(G810,Setup!$A$14:$C$17,3,0))</f>
        <v/>
      </c>
      <c r="P810" s="27"/>
      <c r="Q810" s="33" t="str">
        <f aca="false">IF(OR(P810="",M810&lt;&gt;"Paid",O810=""),"",P810/O810)</f>
        <v/>
      </c>
      <c r="R810" s="34" t="str">
        <f aca="false">IF(Q810="","",Q810+N(H810)*0.000000001)</f>
        <v/>
      </c>
      <c r="S810" s="32" t="str">
        <f aca="false">IF(R810="","",SUMPRODUCT((I$5:I$4004=I810)*ISNUMBER(R$5:R$4004)*(R$5:R$4004&gt;R810))+1)</f>
        <v/>
      </c>
      <c r="T810" s="32" t="str">
        <f aca="false">IF(S810="","",IF(S810&lt;=Setup!$B$5,"🏆 WINNER",""))</f>
        <v/>
      </c>
      <c r="U810" s="31" t="str">
        <f aca="false">IF(S810="","",I810&amp;"|"&amp;S810)</f>
        <v/>
      </c>
    </row>
    <row r="811" customFormat="false" ht="15" hidden="false" customHeight="false" outlineLevel="0" collapsed="false">
      <c r="A811" s="24" t="n">
        <v>807</v>
      </c>
      <c r="B811" s="25" t="str">
        <f aca="false">IF(OR(C811="",I811="",G811=""),"",IFERROR(VLOOKUP(I811,Setup!$A$9:$B$11,2,0),"???")&amp;"-"&amp;G811&amp;"-"&amp;TEXT(COUNTIFS(I$5:I811,I811,G$5:G811,G811),"0000"))</f>
        <v/>
      </c>
      <c r="C811" s="26"/>
      <c r="D811" s="26"/>
      <c r="E811" s="27"/>
      <c r="F811" s="27"/>
      <c r="G811" s="24" t="str">
        <f aca="false">IF(F811="","",IF(F811&lt;=5,"A",IF(F811&lt;=8,"B",IF(F811&lt;=10,"C","D"))))</f>
        <v/>
      </c>
      <c r="H811" s="28"/>
      <c r="I811" s="27"/>
      <c r="J811" s="26"/>
      <c r="K811" s="27"/>
      <c r="L811" s="27"/>
      <c r="M811" s="27"/>
      <c r="N811" s="27"/>
      <c r="O811" s="24" t="str">
        <f aca="false">IF(G811="","",VLOOKUP(G811,Setup!$A$14:$C$17,3,0))</f>
        <v/>
      </c>
      <c r="P811" s="27"/>
      <c r="Q811" s="29" t="str">
        <f aca="false">IF(OR(P811="",M811&lt;&gt;"Paid",O811=""),"",P811/O811)</f>
        <v/>
      </c>
      <c r="R811" s="30" t="str">
        <f aca="false">IF(Q811="","",Q811+N(H811)*0.000000001)</f>
        <v/>
      </c>
      <c r="S811" s="25" t="str">
        <f aca="false">IF(R811="","",SUMPRODUCT((I$5:I$4004=I811)*ISNUMBER(R$5:R$4004)*(R$5:R$4004&gt;R811))+1)</f>
        <v/>
      </c>
      <c r="T811" s="25" t="str">
        <f aca="false">IF(S811="","",IF(S811&lt;=Setup!$B$5,"🏆 WINNER",""))</f>
        <v/>
      </c>
      <c r="U811" s="24" t="str">
        <f aca="false">IF(S811="","",I811&amp;"|"&amp;S811)</f>
        <v/>
      </c>
    </row>
    <row r="812" customFormat="false" ht="15" hidden="false" customHeight="false" outlineLevel="0" collapsed="false">
      <c r="A812" s="31" t="n">
        <v>808</v>
      </c>
      <c r="B812" s="32" t="str">
        <f aca="false">IF(OR(C812="",I812="",G812=""),"",IFERROR(VLOOKUP(I812,Setup!$A$9:$B$11,2,0),"???")&amp;"-"&amp;G812&amp;"-"&amp;TEXT(COUNTIFS(I$5:I812,I812,G$5:G812,G812),"0000"))</f>
        <v/>
      </c>
      <c r="C812" s="26"/>
      <c r="D812" s="26"/>
      <c r="E812" s="27"/>
      <c r="F812" s="27"/>
      <c r="G812" s="31" t="str">
        <f aca="false">IF(F812="","",IF(F812&lt;=5,"A",IF(F812&lt;=8,"B",IF(F812&lt;=10,"C","D"))))</f>
        <v/>
      </c>
      <c r="H812" s="28"/>
      <c r="I812" s="27"/>
      <c r="J812" s="26"/>
      <c r="K812" s="27"/>
      <c r="L812" s="27"/>
      <c r="M812" s="27"/>
      <c r="N812" s="27"/>
      <c r="O812" s="31" t="str">
        <f aca="false">IF(G812="","",VLOOKUP(G812,Setup!$A$14:$C$17,3,0))</f>
        <v/>
      </c>
      <c r="P812" s="27"/>
      <c r="Q812" s="33" t="str">
        <f aca="false">IF(OR(P812="",M812&lt;&gt;"Paid",O812=""),"",P812/O812)</f>
        <v/>
      </c>
      <c r="R812" s="34" t="str">
        <f aca="false">IF(Q812="","",Q812+N(H812)*0.000000001)</f>
        <v/>
      </c>
      <c r="S812" s="32" t="str">
        <f aca="false">IF(R812="","",SUMPRODUCT((I$5:I$4004=I812)*ISNUMBER(R$5:R$4004)*(R$5:R$4004&gt;R812))+1)</f>
        <v/>
      </c>
      <c r="T812" s="32" t="str">
        <f aca="false">IF(S812="","",IF(S812&lt;=Setup!$B$5,"🏆 WINNER",""))</f>
        <v/>
      </c>
      <c r="U812" s="31" t="str">
        <f aca="false">IF(S812="","",I812&amp;"|"&amp;S812)</f>
        <v/>
      </c>
    </row>
    <row r="813" customFormat="false" ht="15" hidden="false" customHeight="false" outlineLevel="0" collapsed="false">
      <c r="A813" s="24" t="n">
        <v>809</v>
      </c>
      <c r="B813" s="25" t="str">
        <f aca="false">IF(OR(C813="",I813="",G813=""),"",IFERROR(VLOOKUP(I813,Setup!$A$9:$B$11,2,0),"???")&amp;"-"&amp;G813&amp;"-"&amp;TEXT(COUNTIFS(I$5:I813,I813,G$5:G813,G813),"0000"))</f>
        <v/>
      </c>
      <c r="C813" s="26"/>
      <c r="D813" s="26"/>
      <c r="E813" s="27"/>
      <c r="F813" s="27"/>
      <c r="G813" s="24" t="str">
        <f aca="false">IF(F813="","",IF(F813&lt;=5,"A",IF(F813&lt;=8,"B",IF(F813&lt;=10,"C","D"))))</f>
        <v/>
      </c>
      <c r="H813" s="28"/>
      <c r="I813" s="27"/>
      <c r="J813" s="26"/>
      <c r="K813" s="27"/>
      <c r="L813" s="27"/>
      <c r="M813" s="27"/>
      <c r="N813" s="27"/>
      <c r="O813" s="24" t="str">
        <f aca="false">IF(G813="","",VLOOKUP(G813,Setup!$A$14:$C$17,3,0))</f>
        <v/>
      </c>
      <c r="P813" s="27"/>
      <c r="Q813" s="29" t="str">
        <f aca="false">IF(OR(P813="",M813&lt;&gt;"Paid",O813=""),"",P813/O813)</f>
        <v/>
      </c>
      <c r="R813" s="30" t="str">
        <f aca="false">IF(Q813="","",Q813+N(H813)*0.000000001)</f>
        <v/>
      </c>
      <c r="S813" s="25" t="str">
        <f aca="false">IF(R813="","",SUMPRODUCT((I$5:I$4004=I813)*ISNUMBER(R$5:R$4004)*(R$5:R$4004&gt;R813))+1)</f>
        <v/>
      </c>
      <c r="T813" s="25" t="str">
        <f aca="false">IF(S813="","",IF(S813&lt;=Setup!$B$5,"🏆 WINNER",""))</f>
        <v/>
      </c>
      <c r="U813" s="24" t="str">
        <f aca="false">IF(S813="","",I813&amp;"|"&amp;S813)</f>
        <v/>
      </c>
    </row>
    <row r="814" customFormat="false" ht="15" hidden="false" customHeight="false" outlineLevel="0" collapsed="false">
      <c r="A814" s="31" t="n">
        <v>810</v>
      </c>
      <c r="B814" s="32" t="str">
        <f aca="false">IF(OR(C814="",I814="",G814=""),"",IFERROR(VLOOKUP(I814,Setup!$A$9:$B$11,2,0),"???")&amp;"-"&amp;G814&amp;"-"&amp;TEXT(COUNTIFS(I$5:I814,I814,G$5:G814,G814),"0000"))</f>
        <v/>
      </c>
      <c r="C814" s="26"/>
      <c r="D814" s="26"/>
      <c r="E814" s="27"/>
      <c r="F814" s="27"/>
      <c r="G814" s="31" t="str">
        <f aca="false">IF(F814="","",IF(F814&lt;=5,"A",IF(F814&lt;=8,"B",IF(F814&lt;=10,"C","D"))))</f>
        <v/>
      </c>
      <c r="H814" s="28"/>
      <c r="I814" s="27"/>
      <c r="J814" s="26"/>
      <c r="K814" s="27"/>
      <c r="L814" s="27"/>
      <c r="M814" s="27"/>
      <c r="N814" s="27"/>
      <c r="O814" s="31" t="str">
        <f aca="false">IF(G814="","",VLOOKUP(G814,Setup!$A$14:$C$17,3,0))</f>
        <v/>
      </c>
      <c r="P814" s="27"/>
      <c r="Q814" s="33" t="str">
        <f aca="false">IF(OR(P814="",M814&lt;&gt;"Paid",O814=""),"",P814/O814)</f>
        <v/>
      </c>
      <c r="R814" s="34" t="str">
        <f aca="false">IF(Q814="","",Q814+N(H814)*0.000000001)</f>
        <v/>
      </c>
      <c r="S814" s="32" t="str">
        <f aca="false">IF(R814="","",SUMPRODUCT((I$5:I$4004=I814)*ISNUMBER(R$5:R$4004)*(R$5:R$4004&gt;R814))+1)</f>
        <v/>
      </c>
      <c r="T814" s="32" t="str">
        <f aca="false">IF(S814="","",IF(S814&lt;=Setup!$B$5,"🏆 WINNER",""))</f>
        <v/>
      </c>
      <c r="U814" s="31" t="str">
        <f aca="false">IF(S814="","",I814&amp;"|"&amp;S814)</f>
        <v/>
      </c>
    </row>
    <row r="815" customFormat="false" ht="15" hidden="false" customHeight="false" outlineLevel="0" collapsed="false">
      <c r="A815" s="24" t="n">
        <v>811</v>
      </c>
      <c r="B815" s="25" t="str">
        <f aca="false">IF(OR(C815="",I815="",G815=""),"",IFERROR(VLOOKUP(I815,Setup!$A$9:$B$11,2,0),"???")&amp;"-"&amp;G815&amp;"-"&amp;TEXT(COUNTIFS(I$5:I815,I815,G$5:G815,G815),"0000"))</f>
        <v/>
      </c>
      <c r="C815" s="26"/>
      <c r="D815" s="26"/>
      <c r="E815" s="27"/>
      <c r="F815" s="27"/>
      <c r="G815" s="24" t="str">
        <f aca="false">IF(F815="","",IF(F815&lt;=5,"A",IF(F815&lt;=8,"B",IF(F815&lt;=10,"C","D"))))</f>
        <v/>
      </c>
      <c r="H815" s="28"/>
      <c r="I815" s="27"/>
      <c r="J815" s="26"/>
      <c r="K815" s="27"/>
      <c r="L815" s="27"/>
      <c r="M815" s="27"/>
      <c r="N815" s="27"/>
      <c r="O815" s="24" t="str">
        <f aca="false">IF(G815="","",VLOOKUP(G815,Setup!$A$14:$C$17,3,0))</f>
        <v/>
      </c>
      <c r="P815" s="27"/>
      <c r="Q815" s="29" t="str">
        <f aca="false">IF(OR(P815="",M815&lt;&gt;"Paid",O815=""),"",P815/O815)</f>
        <v/>
      </c>
      <c r="R815" s="30" t="str">
        <f aca="false">IF(Q815="","",Q815+N(H815)*0.000000001)</f>
        <v/>
      </c>
      <c r="S815" s="25" t="str">
        <f aca="false">IF(R815="","",SUMPRODUCT((I$5:I$4004=I815)*ISNUMBER(R$5:R$4004)*(R$5:R$4004&gt;R815))+1)</f>
        <v/>
      </c>
      <c r="T815" s="25" t="str">
        <f aca="false">IF(S815="","",IF(S815&lt;=Setup!$B$5,"🏆 WINNER",""))</f>
        <v/>
      </c>
      <c r="U815" s="24" t="str">
        <f aca="false">IF(S815="","",I815&amp;"|"&amp;S815)</f>
        <v/>
      </c>
    </row>
    <row r="816" customFormat="false" ht="15" hidden="false" customHeight="false" outlineLevel="0" collapsed="false">
      <c r="A816" s="31" t="n">
        <v>812</v>
      </c>
      <c r="B816" s="32" t="str">
        <f aca="false">IF(OR(C816="",I816="",G816=""),"",IFERROR(VLOOKUP(I816,Setup!$A$9:$B$11,2,0),"???")&amp;"-"&amp;G816&amp;"-"&amp;TEXT(COUNTIFS(I$5:I816,I816,G$5:G816,G816),"0000"))</f>
        <v/>
      </c>
      <c r="C816" s="26"/>
      <c r="D816" s="26"/>
      <c r="E816" s="27"/>
      <c r="F816" s="27"/>
      <c r="G816" s="31" t="str">
        <f aca="false">IF(F816="","",IF(F816&lt;=5,"A",IF(F816&lt;=8,"B",IF(F816&lt;=10,"C","D"))))</f>
        <v/>
      </c>
      <c r="H816" s="28"/>
      <c r="I816" s="27"/>
      <c r="J816" s="26"/>
      <c r="K816" s="27"/>
      <c r="L816" s="27"/>
      <c r="M816" s="27"/>
      <c r="N816" s="27"/>
      <c r="O816" s="31" t="str">
        <f aca="false">IF(G816="","",VLOOKUP(G816,Setup!$A$14:$C$17,3,0))</f>
        <v/>
      </c>
      <c r="P816" s="27"/>
      <c r="Q816" s="33" t="str">
        <f aca="false">IF(OR(P816="",M816&lt;&gt;"Paid",O816=""),"",P816/O816)</f>
        <v/>
      </c>
      <c r="R816" s="34" t="str">
        <f aca="false">IF(Q816="","",Q816+N(H816)*0.000000001)</f>
        <v/>
      </c>
      <c r="S816" s="32" t="str">
        <f aca="false">IF(R816="","",SUMPRODUCT((I$5:I$4004=I816)*ISNUMBER(R$5:R$4004)*(R$5:R$4004&gt;R816))+1)</f>
        <v/>
      </c>
      <c r="T816" s="32" t="str">
        <f aca="false">IF(S816="","",IF(S816&lt;=Setup!$B$5,"🏆 WINNER",""))</f>
        <v/>
      </c>
      <c r="U816" s="31" t="str">
        <f aca="false">IF(S816="","",I816&amp;"|"&amp;S816)</f>
        <v/>
      </c>
    </row>
    <row r="817" customFormat="false" ht="15" hidden="false" customHeight="false" outlineLevel="0" collapsed="false">
      <c r="A817" s="24" t="n">
        <v>813</v>
      </c>
      <c r="B817" s="25" t="str">
        <f aca="false">IF(OR(C817="",I817="",G817=""),"",IFERROR(VLOOKUP(I817,Setup!$A$9:$B$11,2,0),"???")&amp;"-"&amp;G817&amp;"-"&amp;TEXT(COUNTIFS(I$5:I817,I817,G$5:G817,G817),"0000"))</f>
        <v/>
      </c>
      <c r="C817" s="26"/>
      <c r="D817" s="26"/>
      <c r="E817" s="27"/>
      <c r="F817" s="27"/>
      <c r="G817" s="24" t="str">
        <f aca="false">IF(F817="","",IF(F817&lt;=5,"A",IF(F817&lt;=8,"B",IF(F817&lt;=10,"C","D"))))</f>
        <v/>
      </c>
      <c r="H817" s="28"/>
      <c r="I817" s="27"/>
      <c r="J817" s="26"/>
      <c r="K817" s="27"/>
      <c r="L817" s="27"/>
      <c r="M817" s="27"/>
      <c r="N817" s="27"/>
      <c r="O817" s="24" t="str">
        <f aca="false">IF(G817="","",VLOOKUP(G817,Setup!$A$14:$C$17,3,0))</f>
        <v/>
      </c>
      <c r="P817" s="27"/>
      <c r="Q817" s="29" t="str">
        <f aca="false">IF(OR(P817="",M817&lt;&gt;"Paid",O817=""),"",P817/O817)</f>
        <v/>
      </c>
      <c r="R817" s="30" t="str">
        <f aca="false">IF(Q817="","",Q817+N(H817)*0.000000001)</f>
        <v/>
      </c>
      <c r="S817" s="25" t="str">
        <f aca="false">IF(R817="","",SUMPRODUCT((I$5:I$4004=I817)*ISNUMBER(R$5:R$4004)*(R$5:R$4004&gt;R817))+1)</f>
        <v/>
      </c>
      <c r="T817" s="25" t="str">
        <f aca="false">IF(S817="","",IF(S817&lt;=Setup!$B$5,"🏆 WINNER",""))</f>
        <v/>
      </c>
      <c r="U817" s="24" t="str">
        <f aca="false">IF(S817="","",I817&amp;"|"&amp;S817)</f>
        <v/>
      </c>
    </row>
    <row r="818" customFormat="false" ht="15" hidden="false" customHeight="false" outlineLevel="0" collapsed="false">
      <c r="A818" s="31" t="n">
        <v>814</v>
      </c>
      <c r="B818" s="32" t="str">
        <f aca="false">IF(OR(C818="",I818="",G818=""),"",IFERROR(VLOOKUP(I818,Setup!$A$9:$B$11,2,0),"???")&amp;"-"&amp;G818&amp;"-"&amp;TEXT(COUNTIFS(I$5:I818,I818,G$5:G818,G818),"0000"))</f>
        <v/>
      </c>
      <c r="C818" s="26"/>
      <c r="D818" s="26"/>
      <c r="E818" s="27"/>
      <c r="F818" s="27"/>
      <c r="G818" s="31" t="str">
        <f aca="false">IF(F818="","",IF(F818&lt;=5,"A",IF(F818&lt;=8,"B",IF(F818&lt;=10,"C","D"))))</f>
        <v/>
      </c>
      <c r="H818" s="28"/>
      <c r="I818" s="27"/>
      <c r="J818" s="26"/>
      <c r="K818" s="27"/>
      <c r="L818" s="27"/>
      <c r="M818" s="27"/>
      <c r="N818" s="27"/>
      <c r="O818" s="31" t="str">
        <f aca="false">IF(G818="","",VLOOKUP(G818,Setup!$A$14:$C$17,3,0))</f>
        <v/>
      </c>
      <c r="P818" s="27"/>
      <c r="Q818" s="33" t="str">
        <f aca="false">IF(OR(P818="",M818&lt;&gt;"Paid",O818=""),"",P818/O818)</f>
        <v/>
      </c>
      <c r="R818" s="34" t="str">
        <f aca="false">IF(Q818="","",Q818+N(H818)*0.000000001)</f>
        <v/>
      </c>
      <c r="S818" s="32" t="str">
        <f aca="false">IF(R818="","",SUMPRODUCT((I$5:I$4004=I818)*ISNUMBER(R$5:R$4004)*(R$5:R$4004&gt;R818))+1)</f>
        <v/>
      </c>
      <c r="T818" s="32" t="str">
        <f aca="false">IF(S818="","",IF(S818&lt;=Setup!$B$5,"🏆 WINNER",""))</f>
        <v/>
      </c>
      <c r="U818" s="31" t="str">
        <f aca="false">IF(S818="","",I818&amp;"|"&amp;S818)</f>
        <v/>
      </c>
    </row>
    <row r="819" customFormat="false" ht="15" hidden="false" customHeight="false" outlineLevel="0" collapsed="false">
      <c r="A819" s="24" t="n">
        <v>815</v>
      </c>
      <c r="B819" s="25" t="str">
        <f aca="false">IF(OR(C819="",I819="",G819=""),"",IFERROR(VLOOKUP(I819,Setup!$A$9:$B$11,2,0),"???")&amp;"-"&amp;G819&amp;"-"&amp;TEXT(COUNTIFS(I$5:I819,I819,G$5:G819,G819),"0000"))</f>
        <v/>
      </c>
      <c r="C819" s="26"/>
      <c r="D819" s="26"/>
      <c r="E819" s="27"/>
      <c r="F819" s="27"/>
      <c r="G819" s="24" t="str">
        <f aca="false">IF(F819="","",IF(F819&lt;=5,"A",IF(F819&lt;=8,"B",IF(F819&lt;=10,"C","D"))))</f>
        <v/>
      </c>
      <c r="H819" s="28"/>
      <c r="I819" s="27"/>
      <c r="J819" s="26"/>
      <c r="K819" s="27"/>
      <c r="L819" s="27"/>
      <c r="M819" s="27"/>
      <c r="N819" s="27"/>
      <c r="O819" s="24" t="str">
        <f aca="false">IF(G819="","",VLOOKUP(G819,Setup!$A$14:$C$17,3,0))</f>
        <v/>
      </c>
      <c r="P819" s="27"/>
      <c r="Q819" s="29" t="str">
        <f aca="false">IF(OR(P819="",M819&lt;&gt;"Paid",O819=""),"",P819/O819)</f>
        <v/>
      </c>
      <c r="R819" s="30" t="str">
        <f aca="false">IF(Q819="","",Q819+N(H819)*0.000000001)</f>
        <v/>
      </c>
      <c r="S819" s="25" t="str">
        <f aca="false">IF(R819="","",SUMPRODUCT((I$5:I$4004=I819)*ISNUMBER(R$5:R$4004)*(R$5:R$4004&gt;R819))+1)</f>
        <v/>
      </c>
      <c r="T819" s="25" t="str">
        <f aca="false">IF(S819="","",IF(S819&lt;=Setup!$B$5,"🏆 WINNER",""))</f>
        <v/>
      </c>
      <c r="U819" s="24" t="str">
        <f aca="false">IF(S819="","",I819&amp;"|"&amp;S819)</f>
        <v/>
      </c>
    </row>
    <row r="820" customFormat="false" ht="15" hidden="false" customHeight="false" outlineLevel="0" collapsed="false">
      <c r="A820" s="31" t="n">
        <v>816</v>
      </c>
      <c r="B820" s="32" t="str">
        <f aca="false">IF(OR(C820="",I820="",G820=""),"",IFERROR(VLOOKUP(I820,Setup!$A$9:$B$11,2,0),"???")&amp;"-"&amp;G820&amp;"-"&amp;TEXT(COUNTIFS(I$5:I820,I820,G$5:G820,G820),"0000"))</f>
        <v/>
      </c>
      <c r="C820" s="26"/>
      <c r="D820" s="26"/>
      <c r="E820" s="27"/>
      <c r="F820" s="27"/>
      <c r="G820" s="31" t="str">
        <f aca="false">IF(F820="","",IF(F820&lt;=5,"A",IF(F820&lt;=8,"B",IF(F820&lt;=10,"C","D"))))</f>
        <v/>
      </c>
      <c r="H820" s="28"/>
      <c r="I820" s="27"/>
      <c r="J820" s="26"/>
      <c r="K820" s="27"/>
      <c r="L820" s="27"/>
      <c r="M820" s="27"/>
      <c r="N820" s="27"/>
      <c r="O820" s="31" t="str">
        <f aca="false">IF(G820="","",VLOOKUP(G820,Setup!$A$14:$C$17,3,0))</f>
        <v/>
      </c>
      <c r="P820" s="27"/>
      <c r="Q820" s="33" t="str">
        <f aca="false">IF(OR(P820="",M820&lt;&gt;"Paid",O820=""),"",P820/O820)</f>
        <v/>
      </c>
      <c r="R820" s="34" t="str">
        <f aca="false">IF(Q820="","",Q820+N(H820)*0.000000001)</f>
        <v/>
      </c>
      <c r="S820" s="32" t="str">
        <f aca="false">IF(R820="","",SUMPRODUCT((I$5:I$4004=I820)*ISNUMBER(R$5:R$4004)*(R$5:R$4004&gt;R820))+1)</f>
        <v/>
      </c>
      <c r="T820" s="32" t="str">
        <f aca="false">IF(S820="","",IF(S820&lt;=Setup!$B$5,"🏆 WINNER",""))</f>
        <v/>
      </c>
      <c r="U820" s="31" t="str">
        <f aca="false">IF(S820="","",I820&amp;"|"&amp;S820)</f>
        <v/>
      </c>
    </row>
    <row r="821" customFormat="false" ht="15" hidden="false" customHeight="false" outlineLevel="0" collapsed="false">
      <c r="A821" s="24" t="n">
        <v>817</v>
      </c>
      <c r="B821" s="25" t="str">
        <f aca="false">IF(OR(C821="",I821="",G821=""),"",IFERROR(VLOOKUP(I821,Setup!$A$9:$B$11,2,0),"???")&amp;"-"&amp;G821&amp;"-"&amp;TEXT(COUNTIFS(I$5:I821,I821,G$5:G821,G821),"0000"))</f>
        <v/>
      </c>
      <c r="C821" s="26"/>
      <c r="D821" s="26"/>
      <c r="E821" s="27"/>
      <c r="F821" s="27"/>
      <c r="G821" s="24" t="str">
        <f aca="false">IF(F821="","",IF(F821&lt;=5,"A",IF(F821&lt;=8,"B",IF(F821&lt;=10,"C","D"))))</f>
        <v/>
      </c>
      <c r="H821" s="28"/>
      <c r="I821" s="27"/>
      <c r="J821" s="26"/>
      <c r="K821" s="27"/>
      <c r="L821" s="27"/>
      <c r="M821" s="27"/>
      <c r="N821" s="27"/>
      <c r="O821" s="24" t="str">
        <f aca="false">IF(G821="","",VLOOKUP(G821,Setup!$A$14:$C$17,3,0))</f>
        <v/>
      </c>
      <c r="P821" s="27"/>
      <c r="Q821" s="29" t="str">
        <f aca="false">IF(OR(P821="",M821&lt;&gt;"Paid",O821=""),"",P821/O821)</f>
        <v/>
      </c>
      <c r="R821" s="30" t="str">
        <f aca="false">IF(Q821="","",Q821+N(H821)*0.000000001)</f>
        <v/>
      </c>
      <c r="S821" s="25" t="str">
        <f aca="false">IF(R821="","",SUMPRODUCT((I$5:I$4004=I821)*ISNUMBER(R$5:R$4004)*(R$5:R$4004&gt;R821))+1)</f>
        <v/>
      </c>
      <c r="T821" s="25" t="str">
        <f aca="false">IF(S821="","",IF(S821&lt;=Setup!$B$5,"🏆 WINNER",""))</f>
        <v/>
      </c>
      <c r="U821" s="24" t="str">
        <f aca="false">IF(S821="","",I821&amp;"|"&amp;S821)</f>
        <v/>
      </c>
    </row>
    <row r="822" customFormat="false" ht="15" hidden="false" customHeight="false" outlineLevel="0" collapsed="false">
      <c r="A822" s="31" t="n">
        <v>818</v>
      </c>
      <c r="B822" s="32" t="str">
        <f aca="false">IF(OR(C822="",I822="",G822=""),"",IFERROR(VLOOKUP(I822,Setup!$A$9:$B$11,2,0),"???")&amp;"-"&amp;G822&amp;"-"&amp;TEXT(COUNTIFS(I$5:I822,I822,G$5:G822,G822),"0000"))</f>
        <v/>
      </c>
      <c r="C822" s="26"/>
      <c r="D822" s="26"/>
      <c r="E822" s="27"/>
      <c r="F822" s="27"/>
      <c r="G822" s="31" t="str">
        <f aca="false">IF(F822="","",IF(F822&lt;=5,"A",IF(F822&lt;=8,"B",IF(F822&lt;=10,"C","D"))))</f>
        <v/>
      </c>
      <c r="H822" s="28"/>
      <c r="I822" s="27"/>
      <c r="J822" s="26"/>
      <c r="K822" s="27"/>
      <c r="L822" s="27"/>
      <c r="M822" s="27"/>
      <c r="N822" s="27"/>
      <c r="O822" s="31" t="str">
        <f aca="false">IF(G822="","",VLOOKUP(G822,Setup!$A$14:$C$17,3,0))</f>
        <v/>
      </c>
      <c r="P822" s="27"/>
      <c r="Q822" s="33" t="str">
        <f aca="false">IF(OR(P822="",M822&lt;&gt;"Paid",O822=""),"",P822/O822)</f>
        <v/>
      </c>
      <c r="R822" s="34" t="str">
        <f aca="false">IF(Q822="","",Q822+N(H822)*0.000000001)</f>
        <v/>
      </c>
      <c r="S822" s="32" t="str">
        <f aca="false">IF(R822="","",SUMPRODUCT((I$5:I$4004=I822)*ISNUMBER(R$5:R$4004)*(R$5:R$4004&gt;R822))+1)</f>
        <v/>
      </c>
      <c r="T822" s="32" t="str">
        <f aca="false">IF(S822="","",IF(S822&lt;=Setup!$B$5,"🏆 WINNER",""))</f>
        <v/>
      </c>
      <c r="U822" s="31" t="str">
        <f aca="false">IF(S822="","",I822&amp;"|"&amp;S822)</f>
        <v/>
      </c>
    </row>
    <row r="823" customFormat="false" ht="15" hidden="false" customHeight="false" outlineLevel="0" collapsed="false">
      <c r="A823" s="24" t="n">
        <v>819</v>
      </c>
      <c r="B823" s="25" t="str">
        <f aca="false">IF(OR(C823="",I823="",G823=""),"",IFERROR(VLOOKUP(I823,Setup!$A$9:$B$11,2,0),"???")&amp;"-"&amp;G823&amp;"-"&amp;TEXT(COUNTIFS(I$5:I823,I823,G$5:G823,G823),"0000"))</f>
        <v/>
      </c>
      <c r="C823" s="26"/>
      <c r="D823" s="26"/>
      <c r="E823" s="27"/>
      <c r="F823" s="27"/>
      <c r="G823" s="24" t="str">
        <f aca="false">IF(F823="","",IF(F823&lt;=5,"A",IF(F823&lt;=8,"B",IF(F823&lt;=10,"C","D"))))</f>
        <v/>
      </c>
      <c r="H823" s="28"/>
      <c r="I823" s="27"/>
      <c r="J823" s="26"/>
      <c r="K823" s="27"/>
      <c r="L823" s="27"/>
      <c r="M823" s="27"/>
      <c r="N823" s="27"/>
      <c r="O823" s="24" t="str">
        <f aca="false">IF(G823="","",VLOOKUP(G823,Setup!$A$14:$C$17,3,0))</f>
        <v/>
      </c>
      <c r="P823" s="27"/>
      <c r="Q823" s="29" t="str">
        <f aca="false">IF(OR(P823="",M823&lt;&gt;"Paid",O823=""),"",P823/O823)</f>
        <v/>
      </c>
      <c r="R823" s="30" t="str">
        <f aca="false">IF(Q823="","",Q823+N(H823)*0.000000001)</f>
        <v/>
      </c>
      <c r="S823" s="25" t="str">
        <f aca="false">IF(R823="","",SUMPRODUCT((I$5:I$4004=I823)*ISNUMBER(R$5:R$4004)*(R$5:R$4004&gt;R823))+1)</f>
        <v/>
      </c>
      <c r="T823" s="25" t="str">
        <f aca="false">IF(S823="","",IF(S823&lt;=Setup!$B$5,"🏆 WINNER",""))</f>
        <v/>
      </c>
      <c r="U823" s="24" t="str">
        <f aca="false">IF(S823="","",I823&amp;"|"&amp;S823)</f>
        <v/>
      </c>
    </row>
    <row r="824" customFormat="false" ht="15" hidden="false" customHeight="false" outlineLevel="0" collapsed="false">
      <c r="A824" s="31" t="n">
        <v>820</v>
      </c>
      <c r="B824" s="32" t="str">
        <f aca="false">IF(OR(C824="",I824="",G824=""),"",IFERROR(VLOOKUP(I824,Setup!$A$9:$B$11,2,0),"???")&amp;"-"&amp;G824&amp;"-"&amp;TEXT(COUNTIFS(I$5:I824,I824,G$5:G824,G824),"0000"))</f>
        <v/>
      </c>
      <c r="C824" s="26"/>
      <c r="D824" s="26"/>
      <c r="E824" s="27"/>
      <c r="F824" s="27"/>
      <c r="G824" s="31" t="str">
        <f aca="false">IF(F824="","",IF(F824&lt;=5,"A",IF(F824&lt;=8,"B",IF(F824&lt;=10,"C","D"))))</f>
        <v/>
      </c>
      <c r="H824" s="28"/>
      <c r="I824" s="27"/>
      <c r="J824" s="26"/>
      <c r="K824" s="27"/>
      <c r="L824" s="27"/>
      <c r="M824" s="27"/>
      <c r="N824" s="27"/>
      <c r="O824" s="31" t="str">
        <f aca="false">IF(G824="","",VLOOKUP(G824,Setup!$A$14:$C$17,3,0))</f>
        <v/>
      </c>
      <c r="P824" s="27"/>
      <c r="Q824" s="33" t="str">
        <f aca="false">IF(OR(P824="",M824&lt;&gt;"Paid",O824=""),"",P824/O824)</f>
        <v/>
      </c>
      <c r="R824" s="34" t="str">
        <f aca="false">IF(Q824="","",Q824+N(H824)*0.000000001)</f>
        <v/>
      </c>
      <c r="S824" s="32" t="str">
        <f aca="false">IF(R824="","",SUMPRODUCT((I$5:I$4004=I824)*ISNUMBER(R$5:R$4004)*(R$5:R$4004&gt;R824))+1)</f>
        <v/>
      </c>
      <c r="T824" s="32" t="str">
        <f aca="false">IF(S824="","",IF(S824&lt;=Setup!$B$5,"🏆 WINNER",""))</f>
        <v/>
      </c>
      <c r="U824" s="31" t="str">
        <f aca="false">IF(S824="","",I824&amp;"|"&amp;S824)</f>
        <v/>
      </c>
    </row>
    <row r="825" customFormat="false" ht="15" hidden="false" customHeight="false" outlineLevel="0" collapsed="false">
      <c r="A825" s="24" t="n">
        <v>821</v>
      </c>
      <c r="B825" s="25" t="str">
        <f aca="false">IF(OR(C825="",I825="",G825=""),"",IFERROR(VLOOKUP(I825,Setup!$A$9:$B$11,2,0),"???")&amp;"-"&amp;G825&amp;"-"&amp;TEXT(COUNTIFS(I$5:I825,I825,G$5:G825,G825),"0000"))</f>
        <v/>
      </c>
      <c r="C825" s="26"/>
      <c r="D825" s="26"/>
      <c r="E825" s="27"/>
      <c r="F825" s="27"/>
      <c r="G825" s="24" t="str">
        <f aca="false">IF(F825="","",IF(F825&lt;=5,"A",IF(F825&lt;=8,"B",IF(F825&lt;=10,"C","D"))))</f>
        <v/>
      </c>
      <c r="H825" s="28"/>
      <c r="I825" s="27"/>
      <c r="J825" s="26"/>
      <c r="K825" s="27"/>
      <c r="L825" s="27"/>
      <c r="M825" s="27"/>
      <c r="N825" s="27"/>
      <c r="O825" s="24" t="str">
        <f aca="false">IF(G825="","",VLOOKUP(G825,Setup!$A$14:$C$17,3,0))</f>
        <v/>
      </c>
      <c r="P825" s="27"/>
      <c r="Q825" s="29" t="str">
        <f aca="false">IF(OR(P825="",M825&lt;&gt;"Paid",O825=""),"",P825/O825)</f>
        <v/>
      </c>
      <c r="R825" s="30" t="str">
        <f aca="false">IF(Q825="","",Q825+N(H825)*0.000000001)</f>
        <v/>
      </c>
      <c r="S825" s="25" t="str">
        <f aca="false">IF(R825="","",SUMPRODUCT((I$5:I$4004=I825)*ISNUMBER(R$5:R$4004)*(R$5:R$4004&gt;R825))+1)</f>
        <v/>
      </c>
      <c r="T825" s="25" t="str">
        <f aca="false">IF(S825="","",IF(S825&lt;=Setup!$B$5,"🏆 WINNER",""))</f>
        <v/>
      </c>
      <c r="U825" s="24" t="str">
        <f aca="false">IF(S825="","",I825&amp;"|"&amp;S825)</f>
        <v/>
      </c>
    </row>
    <row r="826" customFormat="false" ht="15" hidden="false" customHeight="false" outlineLevel="0" collapsed="false">
      <c r="A826" s="31" t="n">
        <v>822</v>
      </c>
      <c r="B826" s="32" t="str">
        <f aca="false">IF(OR(C826="",I826="",G826=""),"",IFERROR(VLOOKUP(I826,Setup!$A$9:$B$11,2,0),"???")&amp;"-"&amp;G826&amp;"-"&amp;TEXT(COUNTIFS(I$5:I826,I826,G$5:G826,G826),"0000"))</f>
        <v/>
      </c>
      <c r="C826" s="26"/>
      <c r="D826" s="26"/>
      <c r="E826" s="27"/>
      <c r="F826" s="27"/>
      <c r="G826" s="31" t="str">
        <f aca="false">IF(F826="","",IF(F826&lt;=5,"A",IF(F826&lt;=8,"B",IF(F826&lt;=10,"C","D"))))</f>
        <v/>
      </c>
      <c r="H826" s="28"/>
      <c r="I826" s="27"/>
      <c r="J826" s="26"/>
      <c r="K826" s="27"/>
      <c r="L826" s="27"/>
      <c r="M826" s="27"/>
      <c r="N826" s="27"/>
      <c r="O826" s="31" t="str">
        <f aca="false">IF(G826="","",VLOOKUP(G826,Setup!$A$14:$C$17,3,0))</f>
        <v/>
      </c>
      <c r="P826" s="27"/>
      <c r="Q826" s="33" t="str">
        <f aca="false">IF(OR(P826="",M826&lt;&gt;"Paid",O826=""),"",P826/O826)</f>
        <v/>
      </c>
      <c r="R826" s="34" t="str">
        <f aca="false">IF(Q826="","",Q826+N(H826)*0.000000001)</f>
        <v/>
      </c>
      <c r="S826" s="32" t="str">
        <f aca="false">IF(R826="","",SUMPRODUCT((I$5:I$4004=I826)*ISNUMBER(R$5:R$4004)*(R$5:R$4004&gt;R826))+1)</f>
        <v/>
      </c>
      <c r="T826" s="32" t="str">
        <f aca="false">IF(S826="","",IF(S826&lt;=Setup!$B$5,"🏆 WINNER",""))</f>
        <v/>
      </c>
      <c r="U826" s="31" t="str">
        <f aca="false">IF(S826="","",I826&amp;"|"&amp;S826)</f>
        <v/>
      </c>
    </row>
    <row r="827" customFormat="false" ht="15" hidden="false" customHeight="false" outlineLevel="0" collapsed="false">
      <c r="A827" s="24" t="n">
        <v>823</v>
      </c>
      <c r="B827" s="25" t="str">
        <f aca="false">IF(OR(C827="",I827="",G827=""),"",IFERROR(VLOOKUP(I827,Setup!$A$9:$B$11,2,0),"???")&amp;"-"&amp;G827&amp;"-"&amp;TEXT(COUNTIFS(I$5:I827,I827,G$5:G827,G827),"0000"))</f>
        <v/>
      </c>
      <c r="C827" s="26"/>
      <c r="D827" s="26"/>
      <c r="E827" s="27"/>
      <c r="F827" s="27"/>
      <c r="G827" s="24" t="str">
        <f aca="false">IF(F827="","",IF(F827&lt;=5,"A",IF(F827&lt;=8,"B",IF(F827&lt;=10,"C","D"))))</f>
        <v/>
      </c>
      <c r="H827" s="28"/>
      <c r="I827" s="27"/>
      <c r="J827" s="26"/>
      <c r="K827" s="27"/>
      <c r="L827" s="27"/>
      <c r="M827" s="27"/>
      <c r="N827" s="27"/>
      <c r="O827" s="24" t="str">
        <f aca="false">IF(G827="","",VLOOKUP(G827,Setup!$A$14:$C$17,3,0))</f>
        <v/>
      </c>
      <c r="P827" s="27"/>
      <c r="Q827" s="29" t="str">
        <f aca="false">IF(OR(P827="",M827&lt;&gt;"Paid",O827=""),"",P827/O827)</f>
        <v/>
      </c>
      <c r="R827" s="30" t="str">
        <f aca="false">IF(Q827="","",Q827+N(H827)*0.000000001)</f>
        <v/>
      </c>
      <c r="S827" s="25" t="str">
        <f aca="false">IF(R827="","",SUMPRODUCT((I$5:I$4004=I827)*ISNUMBER(R$5:R$4004)*(R$5:R$4004&gt;R827))+1)</f>
        <v/>
      </c>
      <c r="T827" s="25" t="str">
        <f aca="false">IF(S827="","",IF(S827&lt;=Setup!$B$5,"🏆 WINNER",""))</f>
        <v/>
      </c>
      <c r="U827" s="24" t="str">
        <f aca="false">IF(S827="","",I827&amp;"|"&amp;S827)</f>
        <v/>
      </c>
    </row>
    <row r="828" customFormat="false" ht="15" hidden="false" customHeight="false" outlineLevel="0" collapsed="false">
      <c r="A828" s="31" t="n">
        <v>824</v>
      </c>
      <c r="B828" s="32" t="str">
        <f aca="false">IF(OR(C828="",I828="",G828=""),"",IFERROR(VLOOKUP(I828,Setup!$A$9:$B$11,2,0),"???")&amp;"-"&amp;G828&amp;"-"&amp;TEXT(COUNTIFS(I$5:I828,I828,G$5:G828,G828),"0000"))</f>
        <v/>
      </c>
      <c r="C828" s="26"/>
      <c r="D828" s="26"/>
      <c r="E828" s="27"/>
      <c r="F828" s="27"/>
      <c r="G828" s="31" t="str">
        <f aca="false">IF(F828="","",IF(F828&lt;=5,"A",IF(F828&lt;=8,"B",IF(F828&lt;=10,"C","D"))))</f>
        <v/>
      </c>
      <c r="H828" s="28"/>
      <c r="I828" s="27"/>
      <c r="J828" s="26"/>
      <c r="K828" s="27"/>
      <c r="L828" s="27"/>
      <c r="M828" s="27"/>
      <c r="N828" s="27"/>
      <c r="O828" s="31" t="str">
        <f aca="false">IF(G828="","",VLOOKUP(G828,Setup!$A$14:$C$17,3,0))</f>
        <v/>
      </c>
      <c r="P828" s="27"/>
      <c r="Q828" s="33" t="str">
        <f aca="false">IF(OR(P828="",M828&lt;&gt;"Paid",O828=""),"",P828/O828)</f>
        <v/>
      </c>
      <c r="R828" s="34" t="str">
        <f aca="false">IF(Q828="","",Q828+N(H828)*0.000000001)</f>
        <v/>
      </c>
      <c r="S828" s="32" t="str">
        <f aca="false">IF(R828="","",SUMPRODUCT((I$5:I$4004=I828)*ISNUMBER(R$5:R$4004)*(R$5:R$4004&gt;R828))+1)</f>
        <v/>
      </c>
      <c r="T828" s="32" t="str">
        <f aca="false">IF(S828="","",IF(S828&lt;=Setup!$B$5,"🏆 WINNER",""))</f>
        <v/>
      </c>
      <c r="U828" s="31" t="str">
        <f aca="false">IF(S828="","",I828&amp;"|"&amp;S828)</f>
        <v/>
      </c>
    </row>
    <row r="829" customFormat="false" ht="15" hidden="false" customHeight="false" outlineLevel="0" collapsed="false">
      <c r="A829" s="24" t="n">
        <v>825</v>
      </c>
      <c r="B829" s="25" t="str">
        <f aca="false">IF(OR(C829="",I829="",G829=""),"",IFERROR(VLOOKUP(I829,Setup!$A$9:$B$11,2,0),"???")&amp;"-"&amp;G829&amp;"-"&amp;TEXT(COUNTIFS(I$5:I829,I829,G$5:G829,G829),"0000"))</f>
        <v/>
      </c>
      <c r="C829" s="26"/>
      <c r="D829" s="26"/>
      <c r="E829" s="27"/>
      <c r="F829" s="27"/>
      <c r="G829" s="24" t="str">
        <f aca="false">IF(F829="","",IF(F829&lt;=5,"A",IF(F829&lt;=8,"B",IF(F829&lt;=10,"C","D"))))</f>
        <v/>
      </c>
      <c r="H829" s="28"/>
      <c r="I829" s="27"/>
      <c r="J829" s="26"/>
      <c r="K829" s="27"/>
      <c r="L829" s="27"/>
      <c r="M829" s="27"/>
      <c r="N829" s="27"/>
      <c r="O829" s="24" t="str">
        <f aca="false">IF(G829="","",VLOOKUP(G829,Setup!$A$14:$C$17,3,0))</f>
        <v/>
      </c>
      <c r="P829" s="27"/>
      <c r="Q829" s="29" t="str">
        <f aca="false">IF(OR(P829="",M829&lt;&gt;"Paid",O829=""),"",P829/O829)</f>
        <v/>
      </c>
      <c r="R829" s="30" t="str">
        <f aca="false">IF(Q829="","",Q829+N(H829)*0.000000001)</f>
        <v/>
      </c>
      <c r="S829" s="25" t="str">
        <f aca="false">IF(R829="","",SUMPRODUCT((I$5:I$4004=I829)*ISNUMBER(R$5:R$4004)*(R$5:R$4004&gt;R829))+1)</f>
        <v/>
      </c>
      <c r="T829" s="25" t="str">
        <f aca="false">IF(S829="","",IF(S829&lt;=Setup!$B$5,"🏆 WINNER",""))</f>
        <v/>
      </c>
      <c r="U829" s="24" t="str">
        <f aca="false">IF(S829="","",I829&amp;"|"&amp;S829)</f>
        <v/>
      </c>
    </row>
    <row r="830" customFormat="false" ht="15" hidden="false" customHeight="false" outlineLevel="0" collapsed="false">
      <c r="A830" s="31" t="n">
        <v>826</v>
      </c>
      <c r="B830" s="32" t="str">
        <f aca="false">IF(OR(C830="",I830="",G830=""),"",IFERROR(VLOOKUP(I830,Setup!$A$9:$B$11,2,0),"???")&amp;"-"&amp;G830&amp;"-"&amp;TEXT(COUNTIFS(I$5:I830,I830,G$5:G830,G830),"0000"))</f>
        <v/>
      </c>
      <c r="C830" s="26"/>
      <c r="D830" s="26"/>
      <c r="E830" s="27"/>
      <c r="F830" s="27"/>
      <c r="G830" s="31" t="str">
        <f aca="false">IF(F830="","",IF(F830&lt;=5,"A",IF(F830&lt;=8,"B",IF(F830&lt;=10,"C","D"))))</f>
        <v/>
      </c>
      <c r="H830" s="28"/>
      <c r="I830" s="27"/>
      <c r="J830" s="26"/>
      <c r="K830" s="27"/>
      <c r="L830" s="27"/>
      <c r="M830" s="27"/>
      <c r="N830" s="27"/>
      <c r="O830" s="31" t="str">
        <f aca="false">IF(G830="","",VLOOKUP(G830,Setup!$A$14:$C$17,3,0))</f>
        <v/>
      </c>
      <c r="P830" s="27"/>
      <c r="Q830" s="33" t="str">
        <f aca="false">IF(OR(P830="",M830&lt;&gt;"Paid",O830=""),"",P830/O830)</f>
        <v/>
      </c>
      <c r="R830" s="34" t="str">
        <f aca="false">IF(Q830="","",Q830+N(H830)*0.000000001)</f>
        <v/>
      </c>
      <c r="S830" s="32" t="str">
        <f aca="false">IF(R830="","",SUMPRODUCT((I$5:I$4004=I830)*ISNUMBER(R$5:R$4004)*(R$5:R$4004&gt;R830))+1)</f>
        <v/>
      </c>
      <c r="T830" s="32" t="str">
        <f aca="false">IF(S830="","",IF(S830&lt;=Setup!$B$5,"🏆 WINNER",""))</f>
        <v/>
      </c>
      <c r="U830" s="31" t="str">
        <f aca="false">IF(S830="","",I830&amp;"|"&amp;S830)</f>
        <v/>
      </c>
    </row>
    <row r="831" customFormat="false" ht="15" hidden="false" customHeight="false" outlineLevel="0" collapsed="false">
      <c r="A831" s="24" t="n">
        <v>827</v>
      </c>
      <c r="B831" s="25" t="str">
        <f aca="false">IF(OR(C831="",I831="",G831=""),"",IFERROR(VLOOKUP(I831,Setup!$A$9:$B$11,2,0),"???")&amp;"-"&amp;G831&amp;"-"&amp;TEXT(COUNTIFS(I$5:I831,I831,G$5:G831,G831),"0000"))</f>
        <v/>
      </c>
      <c r="C831" s="26"/>
      <c r="D831" s="26"/>
      <c r="E831" s="27"/>
      <c r="F831" s="27"/>
      <c r="G831" s="24" t="str">
        <f aca="false">IF(F831="","",IF(F831&lt;=5,"A",IF(F831&lt;=8,"B",IF(F831&lt;=10,"C","D"))))</f>
        <v/>
      </c>
      <c r="H831" s="28"/>
      <c r="I831" s="27"/>
      <c r="J831" s="26"/>
      <c r="K831" s="27"/>
      <c r="L831" s="27"/>
      <c r="M831" s="27"/>
      <c r="N831" s="27"/>
      <c r="O831" s="24" t="str">
        <f aca="false">IF(G831="","",VLOOKUP(G831,Setup!$A$14:$C$17,3,0))</f>
        <v/>
      </c>
      <c r="P831" s="27"/>
      <c r="Q831" s="29" t="str">
        <f aca="false">IF(OR(P831="",M831&lt;&gt;"Paid",O831=""),"",P831/O831)</f>
        <v/>
      </c>
      <c r="R831" s="30" t="str">
        <f aca="false">IF(Q831="","",Q831+N(H831)*0.000000001)</f>
        <v/>
      </c>
      <c r="S831" s="25" t="str">
        <f aca="false">IF(R831="","",SUMPRODUCT((I$5:I$4004=I831)*ISNUMBER(R$5:R$4004)*(R$5:R$4004&gt;R831))+1)</f>
        <v/>
      </c>
      <c r="T831" s="25" t="str">
        <f aca="false">IF(S831="","",IF(S831&lt;=Setup!$B$5,"🏆 WINNER",""))</f>
        <v/>
      </c>
      <c r="U831" s="24" t="str">
        <f aca="false">IF(S831="","",I831&amp;"|"&amp;S831)</f>
        <v/>
      </c>
    </row>
    <row r="832" customFormat="false" ht="15" hidden="false" customHeight="false" outlineLevel="0" collapsed="false">
      <c r="A832" s="31" t="n">
        <v>828</v>
      </c>
      <c r="B832" s="32" t="str">
        <f aca="false">IF(OR(C832="",I832="",G832=""),"",IFERROR(VLOOKUP(I832,Setup!$A$9:$B$11,2,0),"???")&amp;"-"&amp;G832&amp;"-"&amp;TEXT(COUNTIFS(I$5:I832,I832,G$5:G832,G832),"0000"))</f>
        <v/>
      </c>
      <c r="C832" s="26"/>
      <c r="D832" s="26"/>
      <c r="E832" s="27"/>
      <c r="F832" s="27"/>
      <c r="G832" s="31" t="str">
        <f aca="false">IF(F832="","",IF(F832&lt;=5,"A",IF(F832&lt;=8,"B",IF(F832&lt;=10,"C","D"))))</f>
        <v/>
      </c>
      <c r="H832" s="28"/>
      <c r="I832" s="27"/>
      <c r="J832" s="26"/>
      <c r="K832" s="27"/>
      <c r="L832" s="27"/>
      <c r="M832" s="27"/>
      <c r="N832" s="27"/>
      <c r="O832" s="31" t="str">
        <f aca="false">IF(G832="","",VLOOKUP(G832,Setup!$A$14:$C$17,3,0))</f>
        <v/>
      </c>
      <c r="P832" s="27"/>
      <c r="Q832" s="33" t="str">
        <f aca="false">IF(OR(P832="",M832&lt;&gt;"Paid",O832=""),"",P832/O832)</f>
        <v/>
      </c>
      <c r="R832" s="34" t="str">
        <f aca="false">IF(Q832="","",Q832+N(H832)*0.000000001)</f>
        <v/>
      </c>
      <c r="S832" s="32" t="str">
        <f aca="false">IF(R832="","",SUMPRODUCT((I$5:I$4004=I832)*ISNUMBER(R$5:R$4004)*(R$5:R$4004&gt;R832))+1)</f>
        <v/>
      </c>
      <c r="T832" s="32" t="str">
        <f aca="false">IF(S832="","",IF(S832&lt;=Setup!$B$5,"🏆 WINNER",""))</f>
        <v/>
      </c>
      <c r="U832" s="31" t="str">
        <f aca="false">IF(S832="","",I832&amp;"|"&amp;S832)</f>
        <v/>
      </c>
    </row>
    <row r="833" customFormat="false" ht="15" hidden="false" customHeight="false" outlineLevel="0" collapsed="false">
      <c r="A833" s="24" t="n">
        <v>829</v>
      </c>
      <c r="B833" s="25" t="str">
        <f aca="false">IF(OR(C833="",I833="",G833=""),"",IFERROR(VLOOKUP(I833,Setup!$A$9:$B$11,2,0),"???")&amp;"-"&amp;G833&amp;"-"&amp;TEXT(COUNTIFS(I$5:I833,I833,G$5:G833,G833),"0000"))</f>
        <v/>
      </c>
      <c r="C833" s="26"/>
      <c r="D833" s="26"/>
      <c r="E833" s="27"/>
      <c r="F833" s="27"/>
      <c r="G833" s="24" t="str">
        <f aca="false">IF(F833="","",IF(F833&lt;=5,"A",IF(F833&lt;=8,"B",IF(F833&lt;=10,"C","D"))))</f>
        <v/>
      </c>
      <c r="H833" s="28"/>
      <c r="I833" s="27"/>
      <c r="J833" s="26"/>
      <c r="K833" s="27"/>
      <c r="L833" s="27"/>
      <c r="M833" s="27"/>
      <c r="N833" s="27"/>
      <c r="O833" s="24" t="str">
        <f aca="false">IF(G833="","",VLOOKUP(G833,Setup!$A$14:$C$17,3,0))</f>
        <v/>
      </c>
      <c r="P833" s="27"/>
      <c r="Q833" s="29" t="str">
        <f aca="false">IF(OR(P833="",M833&lt;&gt;"Paid",O833=""),"",P833/O833)</f>
        <v/>
      </c>
      <c r="R833" s="30" t="str">
        <f aca="false">IF(Q833="","",Q833+N(H833)*0.000000001)</f>
        <v/>
      </c>
      <c r="S833" s="25" t="str">
        <f aca="false">IF(R833="","",SUMPRODUCT((I$5:I$4004=I833)*ISNUMBER(R$5:R$4004)*(R$5:R$4004&gt;R833))+1)</f>
        <v/>
      </c>
      <c r="T833" s="25" t="str">
        <f aca="false">IF(S833="","",IF(S833&lt;=Setup!$B$5,"🏆 WINNER",""))</f>
        <v/>
      </c>
      <c r="U833" s="24" t="str">
        <f aca="false">IF(S833="","",I833&amp;"|"&amp;S833)</f>
        <v/>
      </c>
    </row>
    <row r="834" customFormat="false" ht="15" hidden="false" customHeight="false" outlineLevel="0" collapsed="false">
      <c r="A834" s="31" t="n">
        <v>830</v>
      </c>
      <c r="B834" s="32" t="str">
        <f aca="false">IF(OR(C834="",I834="",G834=""),"",IFERROR(VLOOKUP(I834,Setup!$A$9:$B$11,2,0),"???")&amp;"-"&amp;G834&amp;"-"&amp;TEXT(COUNTIFS(I$5:I834,I834,G$5:G834,G834),"0000"))</f>
        <v/>
      </c>
      <c r="C834" s="26"/>
      <c r="D834" s="26"/>
      <c r="E834" s="27"/>
      <c r="F834" s="27"/>
      <c r="G834" s="31" t="str">
        <f aca="false">IF(F834="","",IF(F834&lt;=5,"A",IF(F834&lt;=8,"B",IF(F834&lt;=10,"C","D"))))</f>
        <v/>
      </c>
      <c r="H834" s="28"/>
      <c r="I834" s="27"/>
      <c r="J834" s="26"/>
      <c r="K834" s="27"/>
      <c r="L834" s="27"/>
      <c r="M834" s="27"/>
      <c r="N834" s="27"/>
      <c r="O834" s="31" t="str">
        <f aca="false">IF(G834="","",VLOOKUP(G834,Setup!$A$14:$C$17,3,0))</f>
        <v/>
      </c>
      <c r="P834" s="27"/>
      <c r="Q834" s="33" t="str">
        <f aca="false">IF(OR(P834="",M834&lt;&gt;"Paid",O834=""),"",P834/O834)</f>
        <v/>
      </c>
      <c r="R834" s="34" t="str">
        <f aca="false">IF(Q834="","",Q834+N(H834)*0.000000001)</f>
        <v/>
      </c>
      <c r="S834" s="32" t="str">
        <f aca="false">IF(R834="","",SUMPRODUCT((I$5:I$4004=I834)*ISNUMBER(R$5:R$4004)*(R$5:R$4004&gt;R834))+1)</f>
        <v/>
      </c>
      <c r="T834" s="32" t="str">
        <f aca="false">IF(S834="","",IF(S834&lt;=Setup!$B$5,"🏆 WINNER",""))</f>
        <v/>
      </c>
      <c r="U834" s="31" t="str">
        <f aca="false">IF(S834="","",I834&amp;"|"&amp;S834)</f>
        <v/>
      </c>
    </row>
    <row r="835" customFormat="false" ht="15" hidden="false" customHeight="false" outlineLevel="0" collapsed="false">
      <c r="A835" s="24" t="n">
        <v>831</v>
      </c>
      <c r="B835" s="25" t="str">
        <f aca="false">IF(OR(C835="",I835="",G835=""),"",IFERROR(VLOOKUP(I835,Setup!$A$9:$B$11,2,0),"???")&amp;"-"&amp;G835&amp;"-"&amp;TEXT(COUNTIFS(I$5:I835,I835,G$5:G835,G835),"0000"))</f>
        <v/>
      </c>
      <c r="C835" s="26"/>
      <c r="D835" s="26"/>
      <c r="E835" s="27"/>
      <c r="F835" s="27"/>
      <c r="G835" s="24" t="str">
        <f aca="false">IF(F835="","",IF(F835&lt;=5,"A",IF(F835&lt;=8,"B",IF(F835&lt;=10,"C","D"))))</f>
        <v/>
      </c>
      <c r="H835" s="28"/>
      <c r="I835" s="27"/>
      <c r="J835" s="26"/>
      <c r="K835" s="27"/>
      <c r="L835" s="27"/>
      <c r="M835" s="27"/>
      <c r="N835" s="27"/>
      <c r="O835" s="24" t="str">
        <f aca="false">IF(G835="","",VLOOKUP(G835,Setup!$A$14:$C$17,3,0))</f>
        <v/>
      </c>
      <c r="P835" s="27"/>
      <c r="Q835" s="29" t="str">
        <f aca="false">IF(OR(P835="",M835&lt;&gt;"Paid",O835=""),"",P835/O835)</f>
        <v/>
      </c>
      <c r="R835" s="30" t="str">
        <f aca="false">IF(Q835="","",Q835+N(H835)*0.000000001)</f>
        <v/>
      </c>
      <c r="S835" s="25" t="str">
        <f aca="false">IF(R835="","",SUMPRODUCT((I$5:I$4004=I835)*ISNUMBER(R$5:R$4004)*(R$5:R$4004&gt;R835))+1)</f>
        <v/>
      </c>
      <c r="T835" s="25" t="str">
        <f aca="false">IF(S835="","",IF(S835&lt;=Setup!$B$5,"🏆 WINNER",""))</f>
        <v/>
      </c>
      <c r="U835" s="24" t="str">
        <f aca="false">IF(S835="","",I835&amp;"|"&amp;S835)</f>
        <v/>
      </c>
    </row>
    <row r="836" customFormat="false" ht="15" hidden="false" customHeight="false" outlineLevel="0" collapsed="false">
      <c r="A836" s="31" t="n">
        <v>832</v>
      </c>
      <c r="B836" s="32" t="str">
        <f aca="false">IF(OR(C836="",I836="",G836=""),"",IFERROR(VLOOKUP(I836,Setup!$A$9:$B$11,2,0),"???")&amp;"-"&amp;G836&amp;"-"&amp;TEXT(COUNTIFS(I$5:I836,I836,G$5:G836,G836),"0000"))</f>
        <v/>
      </c>
      <c r="C836" s="26"/>
      <c r="D836" s="26"/>
      <c r="E836" s="27"/>
      <c r="F836" s="27"/>
      <c r="G836" s="31" t="str">
        <f aca="false">IF(F836="","",IF(F836&lt;=5,"A",IF(F836&lt;=8,"B",IF(F836&lt;=10,"C","D"))))</f>
        <v/>
      </c>
      <c r="H836" s="28"/>
      <c r="I836" s="27"/>
      <c r="J836" s="26"/>
      <c r="K836" s="27"/>
      <c r="L836" s="27"/>
      <c r="M836" s="27"/>
      <c r="N836" s="27"/>
      <c r="O836" s="31" t="str">
        <f aca="false">IF(G836="","",VLOOKUP(G836,Setup!$A$14:$C$17,3,0))</f>
        <v/>
      </c>
      <c r="P836" s="27"/>
      <c r="Q836" s="33" t="str">
        <f aca="false">IF(OR(P836="",M836&lt;&gt;"Paid",O836=""),"",P836/O836)</f>
        <v/>
      </c>
      <c r="R836" s="34" t="str">
        <f aca="false">IF(Q836="","",Q836+N(H836)*0.000000001)</f>
        <v/>
      </c>
      <c r="S836" s="32" t="str">
        <f aca="false">IF(R836="","",SUMPRODUCT((I$5:I$4004=I836)*ISNUMBER(R$5:R$4004)*(R$5:R$4004&gt;R836))+1)</f>
        <v/>
      </c>
      <c r="T836" s="32" t="str">
        <f aca="false">IF(S836="","",IF(S836&lt;=Setup!$B$5,"🏆 WINNER",""))</f>
        <v/>
      </c>
      <c r="U836" s="31" t="str">
        <f aca="false">IF(S836="","",I836&amp;"|"&amp;S836)</f>
        <v/>
      </c>
    </row>
    <row r="837" customFormat="false" ht="15" hidden="false" customHeight="false" outlineLevel="0" collapsed="false">
      <c r="A837" s="24" t="n">
        <v>833</v>
      </c>
      <c r="B837" s="25" t="str">
        <f aca="false">IF(OR(C837="",I837="",G837=""),"",IFERROR(VLOOKUP(I837,Setup!$A$9:$B$11,2,0),"???")&amp;"-"&amp;G837&amp;"-"&amp;TEXT(COUNTIFS(I$5:I837,I837,G$5:G837,G837),"0000"))</f>
        <v/>
      </c>
      <c r="C837" s="26"/>
      <c r="D837" s="26"/>
      <c r="E837" s="27"/>
      <c r="F837" s="27"/>
      <c r="G837" s="24" t="str">
        <f aca="false">IF(F837="","",IF(F837&lt;=5,"A",IF(F837&lt;=8,"B",IF(F837&lt;=10,"C","D"))))</f>
        <v/>
      </c>
      <c r="H837" s="28"/>
      <c r="I837" s="27"/>
      <c r="J837" s="26"/>
      <c r="K837" s="27"/>
      <c r="L837" s="27"/>
      <c r="M837" s="27"/>
      <c r="N837" s="27"/>
      <c r="O837" s="24" t="str">
        <f aca="false">IF(G837="","",VLOOKUP(G837,Setup!$A$14:$C$17,3,0))</f>
        <v/>
      </c>
      <c r="P837" s="27"/>
      <c r="Q837" s="29" t="str">
        <f aca="false">IF(OR(P837="",M837&lt;&gt;"Paid",O837=""),"",P837/O837)</f>
        <v/>
      </c>
      <c r="R837" s="30" t="str">
        <f aca="false">IF(Q837="","",Q837+N(H837)*0.000000001)</f>
        <v/>
      </c>
      <c r="S837" s="25" t="str">
        <f aca="false">IF(R837="","",SUMPRODUCT((I$5:I$4004=I837)*ISNUMBER(R$5:R$4004)*(R$5:R$4004&gt;R837))+1)</f>
        <v/>
      </c>
      <c r="T837" s="25" t="str">
        <f aca="false">IF(S837="","",IF(S837&lt;=Setup!$B$5,"🏆 WINNER",""))</f>
        <v/>
      </c>
      <c r="U837" s="24" t="str">
        <f aca="false">IF(S837="","",I837&amp;"|"&amp;S837)</f>
        <v/>
      </c>
    </row>
    <row r="838" customFormat="false" ht="15" hidden="false" customHeight="false" outlineLevel="0" collapsed="false">
      <c r="A838" s="31" t="n">
        <v>834</v>
      </c>
      <c r="B838" s="32" t="str">
        <f aca="false">IF(OR(C838="",I838="",G838=""),"",IFERROR(VLOOKUP(I838,Setup!$A$9:$B$11,2,0),"???")&amp;"-"&amp;G838&amp;"-"&amp;TEXT(COUNTIFS(I$5:I838,I838,G$5:G838,G838),"0000"))</f>
        <v/>
      </c>
      <c r="C838" s="26"/>
      <c r="D838" s="26"/>
      <c r="E838" s="27"/>
      <c r="F838" s="27"/>
      <c r="G838" s="31" t="str">
        <f aca="false">IF(F838="","",IF(F838&lt;=5,"A",IF(F838&lt;=8,"B",IF(F838&lt;=10,"C","D"))))</f>
        <v/>
      </c>
      <c r="H838" s="28"/>
      <c r="I838" s="27"/>
      <c r="J838" s="26"/>
      <c r="K838" s="27"/>
      <c r="L838" s="27"/>
      <c r="M838" s="27"/>
      <c r="N838" s="27"/>
      <c r="O838" s="31" t="str">
        <f aca="false">IF(G838="","",VLOOKUP(G838,Setup!$A$14:$C$17,3,0))</f>
        <v/>
      </c>
      <c r="P838" s="27"/>
      <c r="Q838" s="33" t="str">
        <f aca="false">IF(OR(P838="",M838&lt;&gt;"Paid",O838=""),"",P838/O838)</f>
        <v/>
      </c>
      <c r="R838" s="34" t="str">
        <f aca="false">IF(Q838="","",Q838+N(H838)*0.000000001)</f>
        <v/>
      </c>
      <c r="S838" s="32" t="str">
        <f aca="false">IF(R838="","",SUMPRODUCT((I$5:I$4004=I838)*ISNUMBER(R$5:R$4004)*(R$5:R$4004&gt;R838))+1)</f>
        <v/>
      </c>
      <c r="T838" s="32" t="str">
        <f aca="false">IF(S838="","",IF(S838&lt;=Setup!$B$5,"🏆 WINNER",""))</f>
        <v/>
      </c>
      <c r="U838" s="31" t="str">
        <f aca="false">IF(S838="","",I838&amp;"|"&amp;S838)</f>
        <v/>
      </c>
    </row>
    <row r="839" customFormat="false" ht="15" hidden="false" customHeight="false" outlineLevel="0" collapsed="false">
      <c r="A839" s="24" t="n">
        <v>835</v>
      </c>
      <c r="B839" s="25" t="str">
        <f aca="false">IF(OR(C839="",I839="",G839=""),"",IFERROR(VLOOKUP(I839,Setup!$A$9:$B$11,2,0),"???")&amp;"-"&amp;G839&amp;"-"&amp;TEXT(COUNTIFS(I$5:I839,I839,G$5:G839,G839),"0000"))</f>
        <v/>
      </c>
      <c r="C839" s="26"/>
      <c r="D839" s="26"/>
      <c r="E839" s="27"/>
      <c r="F839" s="27"/>
      <c r="G839" s="24" t="str">
        <f aca="false">IF(F839="","",IF(F839&lt;=5,"A",IF(F839&lt;=8,"B",IF(F839&lt;=10,"C","D"))))</f>
        <v/>
      </c>
      <c r="H839" s="28"/>
      <c r="I839" s="27"/>
      <c r="J839" s="26"/>
      <c r="K839" s="27"/>
      <c r="L839" s="27"/>
      <c r="M839" s="27"/>
      <c r="N839" s="27"/>
      <c r="O839" s="24" t="str">
        <f aca="false">IF(G839="","",VLOOKUP(G839,Setup!$A$14:$C$17,3,0))</f>
        <v/>
      </c>
      <c r="P839" s="27"/>
      <c r="Q839" s="29" t="str">
        <f aca="false">IF(OR(P839="",M839&lt;&gt;"Paid",O839=""),"",P839/O839)</f>
        <v/>
      </c>
      <c r="R839" s="30" t="str">
        <f aca="false">IF(Q839="","",Q839+N(H839)*0.000000001)</f>
        <v/>
      </c>
      <c r="S839" s="25" t="str">
        <f aca="false">IF(R839="","",SUMPRODUCT((I$5:I$4004=I839)*ISNUMBER(R$5:R$4004)*(R$5:R$4004&gt;R839))+1)</f>
        <v/>
      </c>
      <c r="T839" s="25" t="str">
        <f aca="false">IF(S839="","",IF(S839&lt;=Setup!$B$5,"🏆 WINNER",""))</f>
        <v/>
      </c>
      <c r="U839" s="24" t="str">
        <f aca="false">IF(S839="","",I839&amp;"|"&amp;S839)</f>
        <v/>
      </c>
    </row>
    <row r="840" customFormat="false" ht="15" hidden="false" customHeight="false" outlineLevel="0" collapsed="false">
      <c r="A840" s="31" t="n">
        <v>836</v>
      </c>
      <c r="B840" s="32" t="str">
        <f aca="false">IF(OR(C840="",I840="",G840=""),"",IFERROR(VLOOKUP(I840,Setup!$A$9:$B$11,2,0),"???")&amp;"-"&amp;G840&amp;"-"&amp;TEXT(COUNTIFS(I$5:I840,I840,G$5:G840,G840),"0000"))</f>
        <v/>
      </c>
      <c r="C840" s="26"/>
      <c r="D840" s="26"/>
      <c r="E840" s="27"/>
      <c r="F840" s="27"/>
      <c r="G840" s="31" t="str">
        <f aca="false">IF(F840="","",IF(F840&lt;=5,"A",IF(F840&lt;=8,"B",IF(F840&lt;=10,"C","D"))))</f>
        <v/>
      </c>
      <c r="H840" s="28"/>
      <c r="I840" s="27"/>
      <c r="J840" s="26"/>
      <c r="K840" s="27"/>
      <c r="L840" s="27"/>
      <c r="M840" s="27"/>
      <c r="N840" s="27"/>
      <c r="O840" s="31" t="str">
        <f aca="false">IF(G840="","",VLOOKUP(G840,Setup!$A$14:$C$17,3,0))</f>
        <v/>
      </c>
      <c r="P840" s="27"/>
      <c r="Q840" s="33" t="str">
        <f aca="false">IF(OR(P840="",M840&lt;&gt;"Paid",O840=""),"",P840/O840)</f>
        <v/>
      </c>
      <c r="R840" s="34" t="str">
        <f aca="false">IF(Q840="","",Q840+N(H840)*0.000000001)</f>
        <v/>
      </c>
      <c r="S840" s="32" t="str">
        <f aca="false">IF(R840="","",SUMPRODUCT((I$5:I$4004=I840)*ISNUMBER(R$5:R$4004)*(R$5:R$4004&gt;R840))+1)</f>
        <v/>
      </c>
      <c r="T840" s="32" t="str">
        <f aca="false">IF(S840="","",IF(S840&lt;=Setup!$B$5,"🏆 WINNER",""))</f>
        <v/>
      </c>
      <c r="U840" s="31" t="str">
        <f aca="false">IF(S840="","",I840&amp;"|"&amp;S840)</f>
        <v/>
      </c>
    </row>
    <row r="841" customFormat="false" ht="15" hidden="false" customHeight="false" outlineLevel="0" collapsed="false">
      <c r="A841" s="24" t="n">
        <v>837</v>
      </c>
      <c r="B841" s="25" t="str">
        <f aca="false">IF(OR(C841="",I841="",G841=""),"",IFERROR(VLOOKUP(I841,Setup!$A$9:$B$11,2,0),"???")&amp;"-"&amp;G841&amp;"-"&amp;TEXT(COUNTIFS(I$5:I841,I841,G$5:G841,G841),"0000"))</f>
        <v/>
      </c>
      <c r="C841" s="26"/>
      <c r="D841" s="26"/>
      <c r="E841" s="27"/>
      <c r="F841" s="27"/>
      <c r="G841" s="24" t="str">
        <f aca="false">IF(F841="","",IF(F841&lt;=5,"A",IF(F841&lt;=8,"B",IF(F841&lt;=10,"C","D"))))</f>
        <v/>
      </c>
      <c r="H841" s="28"/>
      <c r="I841" s="27"/>
      <c r="J841" s="26"/>
      <c r="K841" s="27"/>
      <c r="L841" s="27"/>
      <c r="M841" s="27"/>
      <c r="N841" s="27"/>
      <c r="O841" s="24" t="str">
        <f aca="false">IF(G841="","",VLOOKUP(G841,Setup!$A$14:$C$17,3,0))</f>
        <v/>
      </c>
      <c r="P841" s="27"/>
      <c r="Q841" s="29" t="str">
        <f aca="false">IF(OR(P841="",M841&lt;&gt;"Paid",O841=""),"",P841/O841)</f>
        <v/>
      </c>
      <c r="R841" s="30" t="str">
        <f aca="false">IF(Q841="","",Q841+N(H841)*0.000000001)</f>
        <v/>
      </c>
      <c r="S841" s="25" t="str">
        <f aca="false">IF(R841="","",SUMPRODUCT((I$5:I$4004=I841)*ISNUMBER(R$5:R$4004)*(R$5:R$4004&gt;R841))+1)</f>
        <v/>
      </c>
      <c r="T841" s="25" t="str">
        <f aca="false">IF(S841="","",IF(S841&lt;=Setup!$B$5,"🏆 WINNER",""))</f>
        <v/>
      </c>
      <c r="U841" s="24" t="str">
        <f aca="false">IF(S841="","",I841&amp;"|"&amp;S841)</f>
        <v/>
      </c>
    </row>
    <row r="842" customFormat="false" ht="15" hidden="false" customHeight="false" outlineLevel="0" collapsed="false">
      <c r="A842" s="31" t="n">
        <v>838</v>
      </c>
      <c r="B842" s="32" t="str">
        <f aca="false">IF(OR(C842="",I842="",G842=""),"",IFERROR(VLOOKUP(I842,Setup!$A$9:$B$11,2,0),"???")&amp;"-"&amp;G842&amp;"-"&amp;TEXT(COUNTIFS(I$5:I842,I842,G$5:G842,G842),"0000"))</f>
        <v/>
      </c>
      <c r="C842" s="26"/>
      <c r="D842" s="26"/>
      <c r="E842" s="27"/>
      <c r="F842" s="27"/>
      <c r="G842" s="31" t="str">
        <f aca="false">IF(F842="","",IF(F842&lt;=5,"A",IF(F842&lt;=8,"B",IF(F842&lt;=10,"C","D"))))</f>
        <v/>
      </c>
      <c r="H842" s="28"/>
      <c r="I842" s="27"/>
      <c r="J842" s="26"/>
      <c r="K842" s="27"/>
      <c r="L842" s="27"/>
      <c r="M842" s="27"/>
      <c r="N842" s="27"/>
      <c r="O842" s="31" t="str">
        <f aca="false">IF(G842="","",VLOOKUP(G842,Setup!$A$14:$C$17,3,0))</f>
        <v/>
      </c>
      <c r="P842" s="27"/>
      <c r="Q842" s="33" t="str">
        <f aca="false">IF(OR(P842="",M842&lt;&gt;"Paid",O842=""),"",P842/O842)</f>
        <v/>
      </c>
      <c r="R842" s="34" t="str">
        <f aca="false">IF(Q842="","",Q842+N(H842)*0.000000001)</f>
        <v/>
      </c>
      <c r="S842" s="32" t="str">
        <f aca="false">IF(R842="","",SUMPRODUCT((I$5:I$4004=I842)*ISNUMBER(R$5:R$4004)*(R$5:R$4004&gt;R842))+1)</f>
        <v/>
      </c>
      <c r="T842" s="32" t="str">
        <f aca="false">IF(S842="","",IF(S842&lt;=Setup!$B$5,"🏆 WINNER",""))</f>
        <v/>
      </c>
      <c r="U842" s="31" t="str">
        <f aca="false">IF(S842="","",I842&amp;"|"&amp;S842)</f>
        <v/>
      </c>
    </row>
    <row r="843" customFormat="false" ht="15" hidden="false" customHeight="false" outlineLevel="0" collapsed="false">
      <c r="A843" s="24" t="n">
        <v>839</v>
      </c>
      <c r="B843" s="25" t="str">
        <f aca="false">IF(OR(C843="",I843="",G843=""),"",IFERROR(VLOOKUP(I843,Setup!$A$9:$B$11,2,0),"???")&amp;"-"&amp;G843&amp;"-"&amp;TEXT(COUNTIFS(I$5:I843,I843,G$5:G843,G843),"0000"))</f>
        <v/>
      </c>
      <c r="C843" s="26"/>
      <c r="D843" s="26"/>
      <c r="E843" s="27"/>
      <c r="F843" s="27"/>
      <c r="G843" s="24" t="str">
        <f aca="false">IF(F843="","",IF(F843&lt;=5,"A",IF(F843&lt;=8,"B",IF(F843&lt;=10,"C","D"))))</f>
        <v/>
      </c>
      <c r="H843" s="28"/>
      <c r="I843" s="27"/>
      <c r="J843" s="26"/>
      <c r="K843" s="27"/>
      <c r="L843" s="27"/>
      <c r="M843" s="27"/>
      <c r="N843" s="27"/>
      <c r="O843" s="24" t="str">
        <f aca="false">IF(G843="","",VLOOKUP(G843,Setup!$A$14:$C$17,3,0))</f>
        <v/>
      </c>
      <c r="P843" s="27"/>
      <c r="Q843" s="29" t="str">
        <f aca="false">IF(OR(P843="",M843&lt;&gt;"Paid",O843=""),"",P843/O843)</f>
        <v/>
      </c>
      <c r="R843" s="30" t="str">
        <f aca="false">IF(Q843="","",Q843+N(H843)*0.000000001)</f>
        <v/>
      </c>
      <c r="S843" s="25" t="str">
        <f aca="false">IF(R843="","",SUMPRODUCT((I$5:I$4004=I843)*ISNUMBER(R$5:R$4004)*(R$5:R$4004&gt;R843))+1)</f>
        <v/>
      </c>
      <c r="T843" s="25" t="str">
        <f aca="false">IF(S843="","",IF(S843&lt;=Setup!$B$5,"🏆 WINNER",""))</f>
        <v/>
      </c>
      <c r="U843" s="24" t="str">
        <f aca="false">IF(S843="","",I843&amp;"|"&amp;S843)</f>
        <v/>
      </c>
    </row>
    <row r="844" customFormat="false" ht="15" hidden="false" customHeight="false" outlineLevel="0" collapsed="false">
      <c r="A844" s="31" t="n">
        <v>840</v>
      </c>
      <c r="B844" s="32" t="str">
        <f aca="false">IF(OR(C844="",I844="",G844=""),"",IFERROR(VLOOKUP(I844,Setup!$A$9:$B$11,2,0),"???")&amp;"-"&amp;G844&amp;"-"&amp;TEXT(COUNTIFS(I$5:I844,I844,G$5:G844,G844),"0000"))</f>
        <v/>
      </c>
      <c r="C844" s="26"/>
      <c r="D844" s="26"/>
      <c r="E844" s="27"/>
      <c r="F844" s="27"/>
      <c r="G844" s="31" t="str">
        <f aca="false">IF(F844="","",IF(F844&lt;=5,"A",IF(F844&lt;=8,"B",IF(F844&lt;=10,"C","D"))))</f>
        <v/>
      </c>
      <c r="H844" s="28"/>
      <c r="I844" s="27"/>
      <c r="J844" s="26"/>
      <c r="K844" s="27"/>
      <c r="L844" s="27"/>
      <c r="M844" s="27"/>
      <c r="N844" s="27"/>
      <c r="O844" s="31" t="str">
        <f aca="false">IF(G844="","",VLOOKUP(G844,Setup!$A$14:$C$17,3,0))</f>
        <v/>
      </c>
      <c r="P844" s="27"/>
      <c r="Q844" s="33" t="str">
        <f aca="false">IF(OR(P844="",M844&lt;&gt;"Paid",O844=""),"",P844/O844)</f>
        <v/>
      </c>
      <c r="R844" s="34" t="str">
        <f aca="false">IF(Q844="","",Q844+N(H844)*0.000000001)</f>
        <v/>
      </c>
      <c r="S844" s="32" t="str">
        <f aca="false">IF(R844="","",SUMPRODUCT((I$5:I$4004=I844)*ISNUMBER(R$5:R$4004)*(R$5:R$4004&gt;R844))+1)</f>
        <v/>
      </c>
      <c r="T844" s="32" t="str">
        <f aca="false">IF(S844="","",IF(S844&lt;=Setup!$B$5,"🏆 WINNER",""))</f>
        <v/>
      </c>
      <c r="U844" s="31" t="str">
        <f aca="false">IF(S844="","",I844&amp;"|"&amp;S844)</f>
        <v/>
      </c>
    </row>
    <row r="845" customFormat="false" ht="15" hidden="false" customHeight="false" outlineLevel="0" collapsed="false">
      <c r="A845" s="24" t="n">
        <v>841</v>
      </c>
      <c r="B845" s="25" t="str">
        <f aca="false">IF(OR(C845="",I845="",G845=""),"",IFERROR(VLOOKUP(I845,Setup!$A$9:$B$11,2,0),"???")&amp;"-"&amp;G845&amp;"-"&amp;TEXT(COUNTIFS(I$5:I845,I845,G$5:G845,G845),"0000"))</f>
        <v/>
      </c>
      <c r="C845" s="26"/>
      <c r="D845" s="26"/>
      <c r="E845" s="27"/>
      <c r="F845" s="27"/>
      <c r="G845" s="24" t="str">
        <f aca="false">IF(F845="","",IF(F845&lt;=5,"A",IF(F845&lt;=8,"B",IF(F845&lt;=10,"C","D"))))</f>
        <v/>
      </c>
      <c r="H845" s="28"/>
      <c r="I845" s="27"/>
      <c r="J845" s="26"/>
      <c r="K845" s="27"/>
      <c r="L845" s="27"/>
      <c r="M845" s="27"/>
      <c r="N845" s="27"/>
      <c r="O845" s="24" t="str">
        <f aca="false">IF(G845="","",VLOOKUP(G845,Setup!$A$14:$C$17,3,0))</f>
        <v/>
      </c>
      <c r="P845" s="27"/>
      <c r="Q845" s="29" t="str">
        <f aca="false">IF(OR(P845="",M845&lt;&gt;"Paid",O845=""),"",P845/O845)</f>
        <v/>
      </c>
      <c r="R845" s="30" t="str">
        <f aca="false">IF(Q845="","",Q845+N(H845)*0.000000001)</f>
        <v/>
      </c>
      <c r="S845" s="25" t="str">
        <f aca="false">IF(R845="","",SUMPRODUCT((I$5:I$4004=I845)*ISNUMBER(R$5:R$4004)*(R$5:R$4004&gt;R845))+1)</f>
        <v/>
      </c>
      <c r="T845" s="25" t="str">
        <f aca="false">IF(S845="","",IF(S845&lt;=Setup!$B$5,"🏆 WINNER",""))</f>
        <v/>
      </c>
      <c r="U845" s="24" t="str">
        <f aca="false">IF(S845="","",I845&amp;"|"&amp;S845)</f>
        <v/>
      </c>
    </row>
    <row r="846" customFormat="false" ht="15" hidden="false" customHeight="false" outlineLevel="0" collapsed="false">
      <c r="A846" s="31" t="n">
        <v>842</v>
      </c>
      <c r="B846" s="32" t="str">
        <f aca="false">IF(OR(C846="",I846="",G846=""),"",IFERROR(VLOOKUP(I846,Setup!$A$9:$B$11,2,0),"???")&amp;"-"&amp;G846&amp;"-"&amp;TEXT(COUNTIFS(I$5:I846,I846,G$5:G846,G846),"0000"))</f>
        <v/>
      </c>
      <c r="C846" s="26"/>
      <c r="D846" s="26"/>
      <c r="E846" s="27"/>
      <c r="F846" s="27"/>
      <c r="G846" s="31" t="str">
        <f aca="false">IF(F846="","",IF(F846&lt;=5,"A",IF(F846&lt;=8,"B",IF(F846&lt;=10,"C","D"))))</f>
        <v/>
      </c>
      <c r="H846" s="28"/>
      <c r="I846" s="27"/>
      <c r="J846" s="26"/>
      <c r="K846" s="27"/>
      <c r="L846" s="27"/>
      <c r="M846" s="27"/>
      <c r="N846" s="27"/>
      <c r="O846" s="31" t="str">
        <f aca="false">IF(G846="","",VLOOKUP(G846,Setup!$A$14:$C$17,3,0))</f>
        <v/>
      </c>
      <c r="P846" s="27"/>
      <c r="Q846" s="33" t="str">
        <f aca="false">IF(OR(P846="",M846&lt;&gt;"Paid",O846=""),"",P846/O846)</f>
        <v/>
      </c>
      <c r="R846" s="34" t="str">
        <f aca="false">IF(Q846="","",Q846+N(H846)*0.000000001)</f>
        <v/>
      </c>
      <c r="S846" s="32" t="str">
        <f aca="false">IF(R846="","",SUMPRODUCT((I$5:I$4004=I846)*ISNUMBER(R$5:R$4004)*(R$5:R$4004&gt;R846))+1)</f>
        <v/>
      </c>
      <c r="T846" s="32" t="str">
        <f aca="false">IF(S846="","",IF(S846&lt;=Setup!$B$5,"🏆 WINNER",""))</f>
        <v/>
      </c>
      <c r="U846" s="31" t="str">
        <f aca="false">IF(S846="","",I846&amp;"|"&amp;S846)</f>
        <v/>
      </c>
    </row>
    <row r="847" customFormat="false" ht="15" hidden="false" customHeight="false" outlineLevel="0" collapsed="false">
      <c r="A847" s="24" t="n">
        <v>843</v>
      </c>
      <c r="B847" s="25" t="str">
        <f aca="false">IF(OR(C847="",I847="",G847=""),"",IFERROR(VLOOKUP(I847,Setup!$A$9:$B$11,2,0),"???")&amp;"-"&amp;G847&amp;"-"&amp;TEXT(COUNTIFS(I$5:I847,I847,G$5:G847,G847),"0000"))</f>
        <v/>
      </c>
      <c r="C847" s="26"/>
      <c r="D847" s="26"/>
      <c r="E847" s="27"/>
      <c r="F847" s="27"/>
      <c r="G847" s="24" t="str">
        <f aca="false">IF(F847="","",IF(F847&lt;=5,"A",IF(F847&lt;=8,"B",IF(F847&lt;=10,"C","D"))))</f>
        <v/>
      </c>
      <c r="H847" s="28"/>
      <c r="I847" s="27"/>
      <c r="J847" s="26"/>
      <c r="K847" s="27"/>
      <c r="L847" s="27"/>
      <c r="M847" s="27"/>
      <c r="N847" s="27"/>
      <c r="O847" s="24" t="str">
        <f aca="false">IF(G847="","",VLOOKUP(G847,Setup!$A$14:$C$17,3,0))</f>
        <v/>
      </c>
      <c r="P847" s="27"/>
      <c r="Q847" s="29" t="str">
        <f aca="false">IF(OR(P847="",M847&lt;&gt;"Paid",O847=""),"",P847/O847)</f>
        <v/>
      </c>
      <c r="R847" s="30" t="str">
        <f aca="false">IF(Q847="","",Q847+N(H847)*0.000000001)</f>
        <v/>
      </c>
      <c r="S847" s="25" t="str">
        <f aca="false">IF(R847="","",SUMPRODUCT((I$5:I$4004=I847)*ISNUMBER(R$5:R$4004)*(R$5:R$4004&gt;R847))+1)</f>
        <v/>
      </c>
      <c r="T847" s="25" t="str">
        <f aca="false">IF(S847="","",IF(S847&lt;=Setup!$B$5,"🏆 WINNER",""))</f>
        <v/>
      </c>
      <c r="U847" s="24" t="str">
        <f aca="false">IF(S847="","",I847&amp;"|"&amp;S847)</f>
        <v/>
      </c>
    </row>
    <row r="848" customFormat="false" ht="15" hidden="false" customHeight="false" outlineLevel="0" collapsed="false">
      <c r="A848" s="31" t="n">
        <v>844</v>
      </c>
      <c r="B848" s="32" t="str">
        <f aca="false">IF(OR(C848="",I848="",G848=""),"",IFERROR(VLOOKUP(I848,Setup!$A$9:$B$11,2,0),"???")&amp;"-"&amp;G848&amp;"-"&amp;TEXT(COUNTIFS(I$5:I848,I848,G$5:G848,G848),"0000"))</f>
        <v/>
      </c>
      <c r="C848" s="26"/>
      <c r="D848" s="26"/>
      <c r="E848" s="27"/>
      <c r="F848" s="27"/>
      <c r="G848" s="31" t="str">
        <f aca="false">IF(F848="","",IF(F848&lt;=5,"A",IF(F848&lt;=8,"B",IF(F848&lt;=10,"C","D"))))</f>
        <v/>
      </c>
      <c r="H848" s="28"/>
      <c r="I848" s="27"/>
      <c r="J848" s="26"/>
      <c r="K848" s="27"/>
      <c r="L848" s="27"/>
      <c r="M848" s="27"/>
      <c r="N848" s="27"/>
      <c r="O848" s="31" t="str">
        <f aca="false">IF(G848="","",VLOOKUP(G848,Setup!$A$14:$C$17,3,0))</f>
        <v/>
      </c>
      <c r="P848" s="27"/>
      <c r="Q848" s="33" t="str">
        <f aca="false">IF(OR(P848="",M848&lt;&gt;"Paid",O848=""),"",P848/O848)</f>
        <v/>
      </c>
      <c r="R848" s="34" t="str">
        <f aca="false">IF(Q848="","",Q848+N(H848)*0.000000001)</f>
        <v/>
      </c>
      <c r="S848" s="32" t="str">
        <f aca="false">IF(R848="","",SUMPRODUCT((I$5:I$4004=I848)*ISNUMBER(R$5:R$4004)*(R$5:R$4004&gt;R848))+1)</f>
        <v/>
      </c>
      <c r="T848" s="32" t="str">
        <f aca="false">IF(S848="","",IF(S848&lt;=Setup!$B$5,"🏆 WINNER",""))</f>
        <v/>
      </c>
      <c r="U848" s="31" t="str">
        <f aca="false">IF(S848="","",I848&amp;"|"&amp;S848)</f>
        <v/>
      </c>
    </row>
    <row r="849" customFormat="false" ht="15" hidden="false" customHeight="false" outlineLevel="0" collapsed="false">
      <c r="A849" s="24" t="n">
        <v>845</v>
      </c>
      <c r="B849" s="25" t="str">
        <f aca="false">IF(OR(C849="",I849="",G849=""),"",IFERROR(VLOOKUP(I849,Setup!$A$9:$B$11,2,0),"???")&amp;"-"&amp;G849&amp;"-"&amp;TEXT(COUNTIFS(I$5:I849,I849,G$5:G849,G849),"0000"))</f>
        <v/>
      </c>
      <c r="C849" s="26"/>
      <c r="D849" s="26"/>
      <c r="E849" s="27"/>
      <c r="F849" s="27"/>
      <c r="G849" s="24" t="str">
        <f aca="false">IF(F849="","",IF(F849&lt;=5,"A",IF(F849&lt;=8,"B",IF(F849&lt;=10,"C","D"))))</f>
        <v/>
      </c>
      <c r="H849" s="28"/>
      <c r="I849" s="27"/>
      <c r="J849" s="26"/>
      <c r="K849" s="27"/>
      <c r="L849" s="27"/>
      <c r="M849" s="27"/>
      <c r="N849" s="27"/>
      <c r="O849" s="24" t="str">
        <f aca="false">IF(G849="","",VLOOKUP(G849,Setup!$A$14:$C$17,3,0))</f>
        <v/>
      </c>
      <c r="P849" s="27"/>
      <c r="Q849" s="29" t="str">
        <f aca="false">IF(OR(P849="",M849&lt;&gt;"Paid",O849=""),"",P849/O849)</f>
        <v/>
      </c>
      <c r="R849" s="30" t="str">
        <f aca="false">IF(Q849="","",Q849+N(H849)*0.000000001)</f>
        <v/>
      </c>
      <c r="S849" s="25" t="str">
        <f aca="false">IF(R849="","",SUMPRODUCT((I$5:I$4004=I849)*ISNUMBER(R$5:R$4004)*(R$5:R$4004&gt;R849))+1)</f>
        <v/>
      </c>
      <c r="T849" s="25" t="str">
        <f aca="false">IF(S849="","",IF(S849&lt;=Setup!$B$5,"🏆 WINNER",""))</f>
        <v/>
      </c>
      <c r="U849" s="24" t="str">
        <f aca="false">IF(S849="","",I849&amp;"|"&amp;S849)</f>
        <v/>
      </c>
    </row>
    <row r="850" customFormat="false" ht="15" hidden="false" customHeight="false" outlineLevel="0" collapsed="false">
      <c r="A850" s="31" t="n">
        <v>846</v>
      </c>
      <c r="B850" s="32" t="str">
        <f aca="false">IF(OR(C850="",I850="",G850=""),"",IFERROR(VLOOKUP(I850,Setup!$A$9:$B$11,2,0),"???")&amp;"-"&amp;G850&amp;"-"&amp;TEXT(COUNTIFS(I$5:I850,I850,G$5:G850,G850),"0000"))</f>
        <v/>
      </c>
      <c r="C850" s="26"/>
      <c r="D850" s="26"/>
      <c r="E850" s="27"/>
      <c r="F850" s="27"/>
      <c r="G850" s="31" t="str">
        <f aca="false">IF(F850="","",IF(F850&lt;=5,"A",IF(F850&lt;=8,"B",IF(F850&lt;=10,"C","D"))))</f>
        <v/>
      </c>
      <c r="H850" s="28"/>
      <c r="I850" s="27"/>
      <c r="J850" s="26"/>
      <c r="K850" s="27"/>
      <c r="L850" s="27"/>
      <c r="M850" s="27"/>
      <c r="N850" s="27"/>
      <c r="O850" s="31" t="str">
        <f aca="false">IF(G850="","",VLOOKUP(G850,Setup!$A$14:$C$17,3,0))</f>
        <v/>
      </c>
      <c r="P850" s="27"/>
      <c r="Q850" s="33" t="str">
        <f aca="false">IF(OR(P850="",M850&lt;&gt;"Paid",O850=""),"",P850/O850)</f>
        <v/>
      </c>
      <c r="R850" s="34" t="str">
        <f aca="false">IF(Q850="","",Q850+N(H850)*0.000000001)</f>
        <v/>
      </c>
      <c r="S850" s="32" t="str">
        <f aca="false">IF(R850="","",SUMPRODUCT((I$5:I$4004=I850)*ISNUMBER(R$5:R$4004)*(R$5:R$4004&gt;R850))+1)</f>
        <v/>
      </c>
      <c r="T850" s="32" t="str">
        <f aca="false">IF(S850="","",IF(S850&lt;=Setup!$B$5,"🏆 WINNER",""))</f>
        <v/>
      </c>
      <c r="U850" s="31" t="str">
        <f aca="false">IF(S850="","",I850&amp;"|"&amp;S850)</f>
        <v/>
      </c>
    </row>
    <row r="851" customFormat="false" ht="15" hidden="false" customHeight="false" outlineLevel="0" collapsed="false">
      <c r="A851" s="24" t="n">
        <v>847</v>
      </c>
      <c r="B851" s="25" t="str">
        <f aca="false">IF(OR(C851="",I851="",G851=""),"",IFERROR(VLOOKUP(I851,Setup!$A$9:$B$11,2,0),"???")&amp;"-"&amp;G851&amp;"-"&amp;TEXT(COUNTIFS(I$5:I851,I851,G$5:G851,G851),"0000"))</f>
        <v/>
      </c>
      <c r="C851" s="26"/>
      <c r="D851" s="26"/>
      <c r="E851" s="27"/>
      <c r="F851" s="27"/>
      <c r="G851" s="24" t="str">
        <f aca="false">IF(F851="","",IF(F851&lt;=5,"A",IF(F851&lt;=8,"B",IF(F851&lt;=10,"C","D"))))</f>
        <v/>
      </c>
      <c r="H851" s="28"/>
      <c r="I851" s="27"/>
      <c r="J851" s="26"/>
      <c r="K851" s="27"/>
      <c r="L851" s="27"/>
      <c r="M851" s="27"/>
      <c r="N851" s="27"/>
      <c r="O851" s="24" t="str">
        <f aca="false">IF(G851="","",VLOOKUP(G851,Setup!$A$14:$C$17,3,0))</f>
        <v/>
      </c>
      <c r="P851" s="27"/>
      <c r="Q851" s="29" t="str">
        <f aca="false">IF(OR(P851="",M851&lt;&gt;"Paid",O851=""),"",P851/O851)</f>
        <v/>
      </c>
      <c r="R851" s="30" t="str">
        <f aca="false">IF(Q851="","",Q851+N(H851)*0.000000001)</f>
        <v/>
      </c>
      <c r="S851" s="25" t="str">
        <f aca="false">IF(R851="","",SUMPRODUCT((I$5:I$4004=I851)*ISNUMBER(R$5:R$4004)*(R$5:R$4004&gt;R851))+1)</f>
        <v/>
      </c>
      <c r="T851" s="25" t="str">
        <f aca="false">IF(S851="","",IF(S851&lt;=Setup!$B$5,"🏆 WINNER",""))</f>
        <v/>
      </c>
      <c r="U851" s="24" t="str">
        <f aca="false">IF(S851="","",I851&amp;"|"&amp;S851)</f>
        <v/>
      </c>
    </row>
    <row r="852" customFormat="false" ht="15" hidden="false" customHeight="false" outlineLevel="0" collapsed="false">
      <c r="A852" s="31" t="n">
        <v>848</v>
      </c>
      <c r="B852" s="32" t="str">
        <f aca="false">IF(OR(C852="",I852="",G852=""),"",IFERROR(VLOOKUP(I852,Setup!$A$9:$B$11,2,0),"???")&amp;"-"&amp;G852&amp;"-"&amp;TEXT(COUNTIFS(I$5:I852,I852,G$5:G852,G852),"0000"))</f>
        <v/>
      </c>
      <c r="C852" s="26"/>
      <c r="D852" s="26"/>
      <c r="E852" s="27"/>
      <c r="F852" s="27"/>
      <c r="G852" s="31" t="str">
        <f aca="false">IF(F852="","",IF(F852&lt;=5,"A",IF(F852&lt;=8,"B",IF(F852&lt;=10,"C","D"))))</f>
        <v/>
      </c>
      <c r="H852" s="28"/>
      <c r="I852" s="27"/>
      <c r="J852" s="26"/>
      <c r="K852" s="27"/>
      <c r="L852" s="27"/>
      <c r="M852" s="27"/>
      <c r="N852" s="27"/>
      <c r="O852" s="31" t="str">
        <f aca="false">IF(G852="","",VLOOKUP(G852,Setup!$A$14:$C$17,3,0))</f>
        <v/>
      </c>
      <c r="P852" s="27"/>
      <c r="Q852" s="33" t="str">
        <f aca="false">IF(OR(P852="",M852&lt;&gt;"Paid",O852=""),"",P852/O852)</f>
        <v/>
      </c>
      <c r="R852" s="34" t="str">
        <f aca="false">IF(Q852="","",Q852+N(H852)*0.000000001)</f>
        <v/>
      </c>
      <c r="S852" s="32" t="str">
        <f aca="false">IF(R852="","",SUMPRODUCT((I$5:I$4004=I852)*ISNUMBER(R$5:R$4004)*(R$5:R$4004&gt;R852))+1)</f>
        <v/>
      </c>
      <c r="T852" s="32" t="str">
        <f aca="false">IF(S852="","",IF(S852&lt;=Setup!$B$5,"🏆 WINNER",""))</f>
        <v/>
      </c>
      <c r="U852" s="31" t="str">
        <f aca="false">IF(S852="","",I852&amp;"|"&amp;S852)</f>
        <v/>
      </c>
    </row>
    <row r="853" customFormat="false" ht="15" hidden="false" customHeight="false" outlineLevel="0" collapsed="false">
      <c r="A853" s="24" t="n">
        <v>849</v>
      </c>
      <c r="B853" s="25" t="str">
        <f aca="false">IF(OR(C853="",I853="",G853=""),"",IFERROR(VLOOKUP(I853,Setup!$A$9:$B$11,2,0),"???")&amp;"-"&amp;G853&amp;"-"&amp;TEXT(COUNTIFS(I$5:I853,I853,G$5:G853,G853),"0000"))</f>
        <v/>
      </c>
      <c r="C853" s="26"/>
      <c r="D853" s="26"/>
      <c r="E853" s="27"/>
      <c r="F853" s="27"/>
      <c r="G853" s="24" t="str">
        <f aca="false">IF(F853="","",IF(F853&lt;=5,"A",IF(F853&lt;=8,"B",IF(F853&lt;=10,"C","D"))))</f>
        <v/>
      </c>
      <c r="H853" s="28"/>
      <c r="I853" s="27"/>
      <c r="J853" s="26"/>
      <c r="K853" s="27"/>
      <c r="L853" s="27"/>
      <c r="M853" s="27"/>
      <c r="N853" s="27"/>
      <c r="O853" s="24" t="str">
        <f aca="false">IF(G853="","",VLOOKUP(G853,Setup!$A$14:$C$17,3,0))</f>
        <v/>
      </c>
      <c r="P853" s="27"/>
      <c r="Q853" s="29" t="str">
        <f aca="false">IF(OR(P853="",M853&lt;&gt;"Paid",O853=""),"",P853/O853)</f>
        <v/>
      </c>
      <c r="R853" s="30" t="str">
        <f aca="false">IF(Q853="","",Q853+N(H853)*0.000000001)</f>
        <v/>
      </c>
      <c r="S853" s="25" t="str">
        <f aca="false">IF(R853="","",SUMPRODUCT((I$5:I$4004=I853)*ISNUMBER(R$5:R$4004)*(R$5:R$4004&gt;R853))+1)</f>
        <v/>
      </c>
      <c r="T853" s="25" t="str">
        <f aca="false">IF(S853="","",IF(S853&lt;=Setup!$B$5,"🏆 WINNER",""))</f>
        <v/>
      </c>
      <c r="U853" s="24" t="str">
        <f aca="false">IF(S853="","",I853&amp;"|"&amp;S853)</f>
        <v/>
      </c>
    </row>
    <row r="854" customFormat="false" ht="15" hidden="false" customHeight="false" outlineLevel="0" collapsed="false">
      <c r="A854" s="31" t="n">
        <v>850</v>
      </c>
      <c r="B854" s="32" t="str">
        <f aca="false">IF(OR(C854="",I854="",G854=""),"",IFERROR(VLOOKUP(I854,Setup!$A$9:$B$11,2,0),"???")&amp;"-"&amp;G854&amp;"-"&amp;TEXT(COUNTIFS(I$5:I854,I854,G$5:G854,G854),"0000"))</f>
        <v/>
      </c>
      <c r="C854" s="26"/>
      <c r="D854" s="26"/>
      <c r="E854" s="27"/>
      <c r="F854" s="27"/>
      <c r="G854" s="31" t="str">
        <f aca="false">IF(F854="","",IF(F854&lt;=5,"A",IF(F854&lt;=8,"B",IF(F854&lt;=10,"C","D"))))</f>
        <v/>
      </c>
      <c r="H854" s="28"/>
      <c r="I854" s="27"/>
      <c r="J854" s="26"/>
      <c r="K854" s="27"/>
      <c r="L854" s="27"/>
      <c r="M854" s="27"/>
      <c r="N854" s="27"/>
      <c r="O854" s="31" t="str">
        <f aca="false">IF(G854="","",VLOOKUP(G854,Setup!$A$14:$C$17,3,0))</f>
        <v/>
      </c>
      <c r="P854" s="27"/>
      <c r="Q854" s="33" t="str">
        <f aca="false">IF(OR(P854="",M854&lt;&gt;"Paid",O854=""),"",P854/O854)</f>
        <v/>
      </c>
      <c r="R854" s="34" t="str">
        <f aca="false">IF(Q854="","",Q854+N(H854)*0.000000001)</f>
        <v/>
      </c>
      <c r="S854" s="32" t="str">
        <f aca="false">IF(R854="","",SUMPRODUCT((I$5:I$4004=I854)*ISNUMBER(R$5:R$4004)*(R$5:R$4004&gt;R854))+1)</f>
        <v/>
      </c>
      <c r="T854" s="32" t="str">
        <f aca="false">IF(S854="","",IF(S854&lt;=Setup!$B$5,"🏆 WINNER",""))</f>
        <v/>
      </c>
      <c r="U854" s="31" t="str">
        <f aca="false">IF(S854="","",I854&amp;"|"&amp;S854)</f>
        <v/>
      </c>
    </row>
    <row r="855" customFormat="false" ht="15" hidden="false" customHeight="false" outlineLevel="0" collapsed="false">
      <c r="A855" s="24" t="n">
        <v>851</v>
      </c>
      <c r="B855" s="25" t="str">
        <f aca="false">IF(OR(C855="",I855="",G855=""),"",IFERROR(VLOOKUP(I855,Setup!$A$9:$B$11,2,0),"???")&amp;"-"&amp;G855&amp;"-"&amp;TEXT(COUNTIFS(I$5:I855,I855,G$5:G855,G855),"0000"))</f>
        <v/>
      </c>
      <c r="C855" s="26"/>
      <c r="D855" s="26"/>
      <c r="E855" s="27"/>
      <c r="F855" s="27"/>
      <c r="G855" s="24" t="str">
        <f aca="false">IF(F855="","",IF(F855&lt;=5,"A",IF(F855&lt;=8,"B",IF(F855&lt;=10,"C","D"))))</f>
        <v/>
      </c>
      <c r="H855" s="28"/>
      <c r="I855" s="27"/>
      <c r="J855" s="26"/>
      <c r="K855" s="27"/>
      <c r="L855" s="27"/>
      <c r="M855" s="27"/>
      <c r="N855" s="27"/>
      <c r="O855" s="24" t="str">
        <f aca="false">IF(G855="","",VLOOKUP(G855,Setup!$A$14:$C$17,3,0))</f>
        <v/>
      </c>
      <c r="P855" s="27"/>
      <c r="Q855" s="29" t="str">
        <f aca="false">IF(OR(P855="",M855&lt;&gt;"Paid",O855=""),"",P855/O855)</f>
        <v/>
      </c>
      <c r="R855" s="30" t="str">
        <f aca="false">IF(Q855="","",Q855+N(H855)*0.000000001)</f>
        <v/>
      </c>
      <c r="S855" s="25" t="str">
        <f aca="false">IF(R855="","",SUMPRODUCT((I$5:I$4004=I855)*ISNUMBER(R$5:R$4004)*(R$5:R$4004&gt;R855))+1)</f>
        <v/>
      </c>
      <c r="T855" s="25" t="str">
        <f aca="false">IF(S855="","",IF(S855&lt;=Setup!$B$5,"🏆 WINNER",""))</f>
        <v/>
      </c>
      <c r="U855" s="24" t="str">
        <f aca="false">IF(S855="","",I855&amp;"|"&amp;S855)</f>
        <v/>
      </c>
    </row>
    <row r="856" customFormat="false" ht="15" hidden="false" customHeight="false" outlineLevel="0" collapsed="false">
      <c r="A856" s="31" t="n">
        <v>852</v>
      </c>
      <c r="B856" s="32" t="str">
        <f aca="false">IF(OR(C856="",I856="",G856=""),"",IFERROR(VLOOKUP(I856,Setup!$A$9:$B$11,2,0),"???")&amp;"-"&amp;G856&amp;"-"&amp;TEXT(COUNTIFS(I$5:I856,I856,G$5:G856,G856),"0000"))</f>
        <v/>
      </c>
      <c r="C856" s="26"/>
      <c r="D856" s="26"/>
      <c r="E856" s="27"/>
      <c r="F856" s="27"/>
      <c r="G856" s="31" t="str">
        <f aca="false">IF(F856="","",IF(F856&lt;=5,"A",IF(F856&lt;=8,"B",IF(F856&lt;=10,"C","D"))))</f>
        <v/>
      </c>
      <c r="H856" s="28"/>
      <c r="I856" s="27"/>
      <c r="J856" s="26"/>
      <c r="K856" s="27"/>
      <c r="L856" s="27"/>
      <c r="M856" s="27"/>
      <c r="N856" s="27"/>
      <c r="O856" s="31" t="str">
        <f aca="false">IF(G856="","",VLOOKUP(G856,Setup!$A$14:$C$17,3,0))</f>
        <v/>
      </c>
      <c r="P856" s="27"/>
      <c r="Q856" s="33" t="str">
        <f aca="false">IF(OR(P856="",M856&lt;&gt;"Paid",O856=""),"",P856/O856)</f>
        <v/>
      </c>
      <c r="R856" s="34" t="str">
        <f aca="false">IF(Q856="","",Q856+N(H856)*0.000000001)</f>
        <v/>
      </c>
      <c r="S856" s="32" t="str">
        <f aca="false">IF(R856="","",SUMPRODUCT((I$5:I$4004=I856)*ISNUMBER(R$5:R$4004)*(R$5:R$4004&gt;R856))+1)</f>
        <v/>
      </c>
      <c r="T856" s="32" t="str">
        <f aca="false">IF(S856="","",IF(S856&lt;=Setup!$B$5,"🏆 WINNER",""))</f>
        <v/>
      </c>
      <c r="U856" s="31" t="str">
        <f aca="false">IF(S856="","",I856&amp;"|"&amp;S856)</f>
        <v/>
      </c>
    </row>
    <row r="857" customFormat="false" ht="15" hidden="false" customHeight="false" outlineLevel="0" collapsed="false">
      <c r="A857" s="24" t="n">
        <v>853</v>
      </c>
      <c r="B857" s="25" t="str">
        <f aca="false">IF(OR(C857="",I857="",G857=""),"",IFERROR(VLOOKUP(I857,Setup!$A$9:$B$11,2,0),"???")&amp;"-"&amp;G857&amp;"-"&amp;TEXT(COUNTIFS(I$5:I857,I857,G$5:G857,G857),"0000"))</f>
        <v/>
      </c>
      <c r="C857" s="26"/>
      <c r="D857" s="26"/>
      <c r="E857" s="27"/>
      <c r="F857" s="27"/>
      <c r="G857" s="24" t="str">
        <f aca="false">IF(F857="","",IF(F857&lt;=5,"A",IF(F857&lt;=8,"B",IF(F857&lt;=10,"C","D"))))</f>
        <v/>
      </c>
      <c r="H857" s="28"/>
      <c r="I857" s="27"/>
      <c r="J857" s="26"/>
      <c r="K857" s="27"/>
      <c r="L857" s="27"/>
      <c r="M857" s="27"/>
      <c r="N857" s="27"/>
      <c r="O857" s="24" t="str">
        <f aca="false">IF(G857="","",VLOOKUP(G857,Setup!$A$14:$C$17,3,0))</f>
        <v/>
      </c>
      <c r="P857" s="27"/>
      <c r="Q857" s="29" t="str">
        <f aca="false">IF(OR(P857="",M857&lt;&gt;"Paid",O857=""),"",P857/O857)</f>
        <v/>
      </c>
      <c r="R857" s="30" t="str">
        <f aca="false">IF(Q857="","",Q857+N(H857)*0.000000001)</f>
        <v/>
      </c>
      <c r="S857" s="25" t="str">
        <f aca="false">IF(R857="","",SUMPRODUCT((I$5:I$4004=I857)*ISNUMBER(R$5:R$4004)*(R$5:R$4004&gt;R857))+1)</f>
        <v/>
      </c>
      <c r="T857" s="25" t="str">
        <f aca="false">IF(S857="","",IF(S857&lt;=Setup!$B$5,"🏆 WINNER",""))</f>
        <v/>
      </c>
      <c r="U857" s="24" t="str">
        <f aca="false">IF(S857="","",I857&amp;"|"&amp;S857)</f>
        <v/>
      </c>
    </row>
    <row r="858" customFormat="false" ht="15" hidden="false" customHeight="false" outlineLevel="0" collapsed="false">
      <c r="A858" s="31" t="n">
        <v>854</v>
      </c>
      <c r="B858" s="32" t="str">
        <f aca="false">IF(OR(C858="",I858="",G858=""),"",IFERROR(VLOOKUP(I858,Setup!$A$9:$B$11,2,0),"???")&amp;"-"&amp;G858&amp;"-"&amp;TEXT(COUNTIFS(I$5:I858,I858,G$5:G858,G858),"0000"))</f>
        <v/>
      </c>
      <c r="C858" s="26"/>
      <c r="D858" s="26"/>
      <c r="E858" s="27"/>
      <c r="F858" s="27"/>
      <c r="G858" s="31" t="str">
        <f aca="false">IF(F858="","",IF(F858&lt;=5,"A",IF(F858&lt;=8,"B",IF(F858&lt;=10,"C","D"))))</f>
        <v/>
      </c>
      <c r="H858" s="28"/>
      <c r="I858" s="27"/>
      <c r="J858" s="26"/>
      <c r="K858" s="27"/>
      <c r="L858" s="27"/>
      <c r="M858" s="27"/>
      <c r="N858" s="27"/>
      <c r="O858" s="31" t="str">
        <f aca="false">IF(G858="","",VLOOKUP(G858,Setup!$A$14:$C$17,3,0))</f>
        <v/>
      </c>
      <c r="P858" s="27"/>
      <c r="Q858" s="33" t="str">
        <f aca="false">IF(OR(P858="",M858&lt;&gt;"Paid",O858=""),"",P858/O858)</f>
        <v/>
      </c>
      <c r="R858" s="34" t="str">
        <f aca="false">IF(Q858="","",Q858+N(H858)*0.000000001)</f>
        <v/>
      </c>
      <c r="S858" s="32" t="str">
        <f aca="false">IF(R858="","",SUMPRODUCT((I$5:I$4004=I858)*ISNUMBER(R$5:R$4004)*(R$5:R$4004&gt;R858))+1)</f>
        <v/>
      </c>
      <c r="T858" s="32" t="str">
        <f aca="false">IF(S858="","",IF(S858&lt;=Setup!$B$5,"🏆 WINNER",""))</f>
        <v/>
      </c>
      <c r="U858" s="31" t="str">
        <f aca="false">IF(S858="","",I858&amp;"|"&amp;S858)</f>
        <v/>
      </c>
    </row>
    <row r="859" customFormat="false" ht="15" hidden="false" customHeight="false" outlineLevel="0" collapsed="false">
      <c r="A859" s="24" t="n">
        <v>855</v>
      </c>
      <c r="B859" s="25" t="str">
        <f aca="false">IF(OR(C859="",I859="",G859=""),"",IFERROR(VLOOKUP(I859,Setup!$A$9:$B$11,2,0),"???")&amp;"-"&amp;G859&amp;"-"&amp;TEXT(COUNTIFS(I$5:I859,I859,G$5:G859,G859),"0000"))</f>
        <v/>
      </c>
      <c r="C859" s="26"/>
      <c r="D859" s="26"/>
      <c r="E859" s="27"/>
      <c r="F859" s="27"/>
      <c r="G859" s="24" t="str">
        <f aca="false">IF(F859="","",IF(F859&lt;=5,"A",IF(F859&lt;=8,"B",IF(F859&lt;=10,"C","D"))))</f>
        <v/>
      </c>
      <c r="H859" s="28"/>
      <c r="I859" s="27"/>
      <c r="J859" s="26"/>
      <c r="K859" s="27"/>
      <c r="L859" s="27"/>
      <c r="M859" s="27"/>
      <c r="N859" s="27"/>
      <c r="O859" s="24" t="str">
        <f aca="false">IF(G859="","",VLOOKUP(G859,Setup!$A$14:$C$17,3,0))</f>
        <v/>
      </c>
      <c r="P859" s="27"/>
      <c r="Q859" s="29" t="str">
        <f aca="false">IF(OR(P859="",M859&lt;&gt;"Paid",O859=""),"",P859/O859)</f>
        <v/>
      </c>
      <c r="R859" s="30" t="str">
        <f aca="false">IF(Q859="","",Q859+N(H859)*0.000000001)</f>
        <v/>
      </c>
      <c r="S859" s="25" t="str">
        <f aca="false">IF(R859="","",SUMPRODUCT((I$5:I$4004=I859)*ISNUMBER(R$5:R$4004)*(R$5:R$4004&gt;R859))+1)</f>
        <v/>
      </c>
      <c r="T859" s="25" t="str">
        <f aca="false">IF(S859="","",IF(S859&lt;=Setup!$B$5,"🏆 WINNER",""))</f>
        <v/>
      </c>
      <c r="U859" s="24" t="str">
        <f aca="false">IF(S859="","",I859&amp;"|"&amp;S859)</f>
        <v/>
      </c>
    </row>
    <row r="860" customFormat="false" ht="15" hidden="false" customHeight="false" outlineLevel="0" collapsed="false">
      <c r="A860" s="31" t="n">
        <v>856</v>
      </c>
      <c r="B860" s="32" t="str">
        <f aca="false">IF(OR(C860="",I860="",G860=""),"",IFERROR(VLOOKUP(I860,Setup!$A$9:$B$11,2,0),"???")&amp;"-"&amp;G860&amp;"-"&amp;TEXT(COUNTIFS(I$5:I860,I860,G$5:G860,G860),"0000"))</f>
        <v/>
      </c>
      <c r="C860" s="26"/>
      <c r="D860" s="26"/>
      <c r="E860" s="27"/>
      <c r="F860" s="27"/>
      <c r="G860" s="31" t="str">
        <f aca="false">IF(F860="","",IF(F860&lt;=5,"A",IF(F860&lt;=8,"B",IF(F860&lt;=10,"C","D"))))</f>
        <v/>
      </c>
      <c r="H860" s="28"/>
      <c r="I860" s="27"/>
      <c r="J860" s="26"/>
      <c r="K860" s="27"/>
      <c r="L860" s="27"/>
      <c r="M860" s="27"/>
      <c r="N860" s="27"/>
      <c r="O860" s="31" t="str">
        <f aca="false">IF(G860="","",VLOOKUP(G860,Setup!$A$14:$C$17,3,0))</f>
        <v/>
      </c>
      <c r="P860" s="27"/>
      <c r="Q860" s="33" t="str">
        <f aca="false">IF(OR(P860="",M860&lt;&gt;"Paid",O860=""),"",P860/O860)</f>
        <v/>
      </c>
      <c r="R860" s="34" t="str">
        <f aca="false">IF(Q860="","",Q860+N(H860)*0.000000001)</f>
        <v/>
      </c>
      <c r="S860" s="32" t="str">
        <f aca="false">IF(R860="","",SUMPRODUCT((I$5:I$4004=I860)*ISNUMBER(R$5:R$4004)*(R$5:R$4004&gt;R860))+1)</f>
        <v/>
      </c>
      <c r="T860" s="32" t="str">
        <f aca="false">IF(S860="","",IF(S860&lt;=Setup!$B$5,"🏆 WINNER",""))</f>
        <v/>
      </c>
      <c r="U860" s="31" t="str">
        <f aca="false">IF(S860="","",I860&amp;"|"&amp;S860)</f>
        <v/>
      </c>
    </row>
    <row r="861" customFormat="false" ht="15" hidden="false" customHeight="false" outlineLevel="0" collapsed="false">
      <c r="A861" s="24" t="n">
        <v>857</v>
      </c>
      <c r="B861" s="25" t="str">
        <f aca="false">IF(OR(C861="",I861="",G861=""),"",IFERROR(VLOOKUP(I861,Setup!$A$9:$B$11,2,0),"???")&amp;"-"&amp;G861&amp;"-"&amp;TEXT(COUNTIFS(I$5:I861,I861,G$5:G861,G861),"0000"))</f>
        <v/>
      </c>
      <c r="C861" s="26"/>
      <c r="D861" s="26"/>
      <c r="E861" s="27"/>
      <c r="F861" s="27"/>
      <c r="G861" s="24" t="str">
        <f aca="false">IF(F861="","",IF(F861&lt;=5,"A",IF(F861&lt;=8,"B",IF(F861&lt;=10,"C","D"))))</f>
        <v/>
      </c>
      <c r="H861" s="28"/>
      <c r="I861" s="27"/>
      <c r="J861" s="26"/>
      <c r="K861" s="27"/>
      <c r="L861" s="27"/>
      <c r="M861" s="27"/>
      <c r="N861" s="27"/>
      <c r="O861" s="24" t="str">
        <f aca="false">IF(G861="","",VLOOKUP(G861,Setup!$A$14:$C$17,3,0))</f>
        <v/>
      </c>
      <c r="P861" s="27"/>
      <c r="Q861" s="29" t="str">
        <f aca="false">IF(OR(P861="",M861&lt;&gt;"Paid",O861=""),"",P861/O861)</f>
        <v/>
      </c>
      <c r="R861" s="30" t="str">
        <f aca="false">IF(Q861="","",Q861+N(H861)*0.000000001)</f>
        <v/>
      </c>
      <c r="S861" s="25" t="str">
        <f aca="false">IF(R861="","",SUMPRODUCT((I$5:I$4004=I861)*ISNUMBER(R$5:R$4004)*(R$5:R$4004&gt;R861))+1)</f>
        <v/>
      </c>
      <c r="T861" s="25" t="str">
        <f aca="false">IF(S861="","",IF(S861&lt;=Setup!$B$5,"🏆 WINNER",""))</f>
        <v/>
      </c>
      <c r="U861" s="24" t="str">
        <f aca="false">IF(S861="","",I861&amp;"|"&amp;S861)</f>
        <v/>
      </c>
    </row>
    <row r="862" customFormat="false" ht="15" hidden="false" customHeight="false" outlineLevel="0" collapsed="false">
      <c r="A862" s="31" t="n">
        <v>858</v>
      </c>
      <c r="B862" s="32" t="str">
        <f aca="false">IF(OR(C862="",I862="",G862=""),"",IFERROR(VLOOKUP(I862,Setup!$A$9:$B$11,2,0),"???")&amp;"-"&amp;G862&amp;"-"&amp;TEXT(COUNTIFS(I$5:I862,I862,G$5:G862,G862),"0000"))</f>
        <v/>
      </c>
      <c r="C862" s="26"/>
      <c r="D862" s="26"/>
      <c r="E862" s="27"/>
      <c r="F862" s="27"/>
      <c r="G862" s="31" t="str">
        <f aca="false">IF(F862="","",IF(F862&lt;=5,"A",IF(F862&lt;=8,"B",IF(F862&lt;=10,"C","D"))))</f>
        <v/>
      </c>
      <c r="H862" s="28"/>
      <c r="I862" s="27"/>
      <c r="J862" s="26"/>
      <c r="K862" s="27"/>
      <c r="L862" s="27"/>
      <c r="M862" s="27"/>
      <c r="N862" s="27"/>
      <c r="O862" s="31" t="str">
        <f aca="false">IF(G862="","",VLOOKUP(G862,Setup!$A$14:$C$17,3,0))</f>
        <v/>
      </c>
      <c r="P862" s="27"/>
      <c r="Q862" s="33" t="str">
        <f aca="false">IF(OR(P862="",M862&lt;&gt;"Paid",O862=""),"",P862/O862)</f>
        <v/>
      </c>
      <c r="R862" s="34" t="str">
        <f aca="false">IF(Q862="","",Q862+N(H862)*0.000000001)</f>
        <v/>
      </c>
      <c r="S862" s="32" t="str">
        <f aca="false">IF(R862="","",SUMPRODUCT((I$5:I$4004=I862)*ISNUMBER(R$5:R$4004)*(R$5:R$4004&gt;R862))+1)</f>
        <v/>
      </c>
      <c r="T862" s="32" t="str">
        <f aca="false">IF(S862="","",IF(S862&lt;=Setup!$B$5,"🏆 WINNER",""))</f>
        <v/>
      </c>
      <c r="U862" s="31" t="str">
        <f aca="false">IF(S862="","",I862&amp;"|"&amp;S862)</f>
        <v/>
      </c>
    </row>
    <row r="863" customFormat="false" ht="15" hidden="false" customHeight="false" outlineLevel="0" collapsed="false">
      <c r="A863" s="24" t="n">
        <v>859</v>
      </c>
      <c r="B863" s="25" t="str">
        <f aca="false">IF(OR(C863="",I863="",G863=""),"",IFERROR(VLOOKUP(I863,Setup!$A$9:$B$11,2,0),"???")&amp;"-"&amp;G863&amp;"-"&amp;TEXT(COUNTIFS(I$5:I863,I863,G$5:G863,G863),"0000"))</f>
        <v/>
      </c>
      <c r="C863" s="26"/>
      <c r="D863" s="26"/>
      <c r="E863" s="27"/>
      <c r="F863" s="27"/>
      <c r="G863" s="24" t="str">
        <f aca="false">IF(F863="","",IF(F863&lt;=5,"A",IF(F863&lt;=8,"B",IF(F863&lt;=10,"C","D"))))</f>
        <v/>
      </c>
      <c r="H863" s="28"/>
      <c r="I863" s="27"/>
      <c r="J863" s="26"/>
      <c r="K863" s="27"/>
      <c r="L863" s="27"/>
      <c r="M863" s="27"/>
      <c r="N863" s="27"/>
      <c r="O863" s="24" t="str">
        <f aca="false">IF(G863="","",VLOOKUP(G863,Setup!$A$14:$C$17,3,0))</f>
        <v/>
      </c>
      <c r="P863" s="27"/>
      <c r="Q863" s="29" t="str">
        <f aca="false">IF(OR(P863="",M863&lt;&gt;"Paid",O863=""),"",P863/O863)</f>
        <v/>
      </c>
      <c r="R863" s="30" t="str">
        <f aca="false">IF(Q863="","",Q863+N(H863)*0.000000001)</f>
        <v/>
      </c>
      <c r="S863" s="25" t="str">
        <f aca="false">IF(R863="","",SUMPRODUCT((I$5:I$4004=I863)*ISNUMBER(R$5:R$4004)*(R$5:R$4004&gt;R863))+1)</f>
        <v/>
      </c>
      <c r="T863" s="25" t="str">
        <f aca="false">IF(S863="","",IF(S863&lt;=Setup!$B$5,"🏆 WINNER",""))</f>
        <v/>
      </c>
      <c r="U863" s="24" t="str">
        <f aca="false">IF(S863="","",I863&amp;"|"&amp;S863)</f>
        <v/>
      </c>
    </row>
    <row r="864" customFormat="false" ht="15" hidden="false" customHeight="false" outlineLevel="0" collapsed="false">
      <c r="A864" s="31" t="n">
        <v>860</v>
      </c>
      <c r="B864" s="32" t="str">
        <f aca="false">IF(OR(C864="",I864="",G864=""),"",IFERROR(VLOOKUP(I864,Setup!$A$9:$B$11,2,0),"???")&amp;"-"&amp;G864&amp;"-"&amp;TEXT(COUNTIFS(I$5:I864,I864,G$5:G864,G864),"0000"))</f>
        <v/>
      </c>
      <c r="C864" s="26"/>
      <c r="D864" s="26"/>
      <c r="E864" s="27"/>
      <c r="F864" s="27"/>
      <c r="G864" s="31" t="str">
        <f aca="false">IF(F864="","",IF(F864&lt;=5,"A",IF(F864&lt;=8,"B",IF(F864&lt;=10,"C","D"))))</f>
        <v/>
      </c>
      <c r="H864" s="28"/>
      <c r="I864" s="27"/>
      <c r="J864" s="26"/>
      <c r="K864" s="27"/>
      <c r="L864" s="27"/>
      <c r="M864" s="27"/>
      <c r="N864" s="27"/>
      <c r="O864" s="31" t="str">
        <f aca="false">IF(G864="","",VLOOKUP(G864,Setup!$A$14:$C$17,3,0))</f>
        <v/>
      </c>
      <c r="P864" s="27"/>
      <c r="Q864" s="33" t="str">
        <f aca="false">IF(OR(P864="",M864&lt;&gt;"Paid",O864=""),"",P864/O864)</f>
        <v/>
      </c>
      <c r="R864" s="34" t="str">
        <f aca="false">IF(Q864="","",Q864+N(H864)*0.000000001)</f>
        <v/>
      </c>
      <c r="S864" s="32" t="str">
        <f aca="false">IF(R864="","",SUMPRODUCT((I$5:I$4004=I864)*ISNUMBER(R$5:R$4004)*(R$5:R$4004&gt;R864))+1)</f>
        <v/>
      </c>
      <c r="T864" s="32" t="str">
        <f aca="false">IF(S864="","",IF(S864&lt;=Setup!$B$5,"🏆 WINNER",""))</f>
        <v/>
      </c>
      <c r="U864" s="31" t="str">
        <f aca="false">IF(S864="","",I864&amp;"|"&amp;S864)</f>
        <v/>
      </c>
    </row>
    <row r="865" customFormat="false" ht="15" hidden="false" customHeight="false" outlineLevel="0" collapsed="false">
      <c r="A865" s="24" t="n">
        <v>861</v>
      </c>
      <c r="B865" s="25" t="str">
        <f aca="false">IF(OR(C865="",I865="",G865=""),"",IFERROR(VLOOKUP(I865,Setup!$A$9:$B$11,2,0),"???")&amp;"-"&amp;G865&amp;"-"&amp;TEXT(COUNTIFS(I$5:I865,I865,G$5:G865,G865),"0000"))</f>
        <v/>
      </c>
      <c r="C865" s="26"/>
      <c r="D865" s="26"/>
      <c r="E865" s="27"/>
      <c r="F865" s="27"/>
      <c r="G865" s="24" t="str">
        <f aca="false">IF(F865="","",IF(F865&lt;=5,"A",IF(F865&lt;=8,"B",IF(F865&lt;=10,"C","D"))))</f>
        <v/>
      </c>
      <c r="H865" s="28"/>
      <c r="I865" s="27"/>
      <c r="J865" s="26"/>
      <c r="K865" s="27"/>
      <c r="L865" s="27"/>
      <c r="M865" s="27"/>
      <c r="N865" s="27"/>
      <c r="O865" s="24" t="str">
        <f aca="false">IF(G865="","",VLOOKUP(G865,Setup!$A$14:$C$17,3,0))</f>
        <v/>
      </c>
      <c r="P865" s="27"/>
      <c r="Q865" s="29" t="str">
        <f aca="false">IF(OR(P865="",M865&lt;&gt;"Paid",O865=""),"",P865/O865)</f>
        <v/>
      </c>
      <c r="R865" s="30" t="str">
        <f aca="false">IF(Q865="","",Q865+N(H865)*0.000000001)</f>
        <v/>
      </c>
      <c r="S865" s="25" t="str">
        <f aca="false">IF(R865="","",SUMPRODUCT((I$5:I$4004=I865)*ISNUMBER(R$5:R$4004)*(R$5:R$4004&gt;R865))+1)</f>
        <v/>
      </c>
      <c r="T865" s="25" t="str">
        <f aca="false">IF(S865="","",IF(S865&lt;=Setup!$B$5,"🏆 WINNER",""))</f>
        <v/>
      </c>
      <c r="U865" s="24" t="str">
        <f aca="false">IF(S865="","",I865&amp;"|"&amp;S865)</f>
        <v/>
      </c>
    </row>
    <row r="866" customFormat="false" ht="15" hidden="false" customHeight="false" outlineLevel="0" collapsed="false">
      <c r="A866" s="31" t="n">
        <v>862</v>
      </c>
      <c r="B866" s="32" t="str">
        <f aca="false">IF(OR(C866="",I866="",G866=""),"",IFERROR(VLOOKUP(I866,Setup!$A$9:$B$11,2,0),"???")&amp;"-"&amp;G866&amp;"-"&amp;TEXT(COUNTIFS(I$5:I866,I866,G$5:G866,G866),"0000"))</f>
        <v/>
      </c>
      <c r="C866" s="26"/>
      <c r="D866" s="26"/>
      <c r="E866" s="27"/>
      <c r="F866" s="27"/>
      <c r="G866" s="31" t="str">
        <f aca="false">IF(F866="","",IF(F866&lt;=5,"A",IF(F866&lt;=8,"B",IF(F866&lt;=10,"C","D"))))</f>
        <v/>
      </c>
      <c r="H866" s="28"/>
      <c r="I866" s="27"/>
      <c r="J866" s="26"/>
      <c r="K866" s="27"/>
      <c r="L866" s="27"/>
      <c r="M866" s="27"/>
      <c r="N866" s="27"/>
      <c r="O866" s="31" t="str">
        <f aca="false">IF(G866="","",VLOOKUP(G866,Setup!$A$14:$C$17,3,0))</f>
        <v/>
      </c>
      <c r="P866" s="27"/>
      <c r="Q866" s="33" t="str">
        <f aca="false">IF(OR(P866="",M866&lt;&gt;"Paid",O866=""),"",P866/O866)</f>
        <v/>
      </c>
      <c r="R866" s="34" t="str">
        <f aca="false">IF(Q866="","",Q866+N(H866)*0.000000001)</f>
        <v/>
      </c>
      <c r="S866" s="32" t="str">
        <f aca="false">IF(R866="","",SUMPRODUCT((I$5:I$4004=I866)*ISNUMBER(R$5:R$4004)*(R$5:R$4004&gt;R866))+1)</f>
        <v/>
      </c>
      <c r="T866" s="32" t="str">
        <f aca="false">IF(S866="","",IF(S866&lt;=Setup!$B$5,"🏆 WINNER",""))</f>
        <v/>
      </c>
      <c r="U866" s="31" t="str">
        <f aca="false">IF(S866="","",I866&amp;"|"&amp;S866)</f>
        <v/>
      </c>
    </row>
    <row r="867" customFormat="false" ht="15" hidden="false" customHeight="false" outlineLevel="0" collapsed="false">
      <c r="A867" s="24" t="n">
        <v>863</v>
      </c>
      <c r="B867" s="25" t="str">
        <f aca="false">IF(OR(C867="",I867="",G867=""),"",IFERROR(VLOOKUP(I867,Setup!$A$9:$B$11,2,0),"???")&amp;"-"&amp;G867&amp;"-"&amp;TEXT(COUNTIFS(I$5:I867,I867,G$5:G867,G867),"0000"))</f>
        <v/>
      </c>
      <c r="C867" s="26"/>
      <c r="D867" s="26"/>
      <c r="E867" s="27"/>
      <c r="F867" s="27"/>
      <c r="G867" s="24" t="str">
        <f aca="false">IF(F867="","",IF(F867&lt;=5,"A",IF(F867&lt;=8,"B",IF(F867&lt;=10,"C","D"))))</f>
        <v/>
      </c>
      <c r="H867" s="28"/>
      <c r="I867" s="27"/>
      <c r="J867" s="26"/>
      <c r="K867" s="27"/>
      <c r="L867" s="27"/>
      <c r="M867" s="27"/>
      <c r="N867" s="27"/>
      <c r="O867" s="24" t="str">
        <f aca="false">IF(G867="","",VLOOKUP(G867,Setup!$A$14:$C$17,3,0))</f>
        <v/>
      </c>
      <c r="P867" s="27"/>
      <c r="Q867" s="29" t="str">
        <f aca="false">IF(OR(P867="",M867&lt;&gt;"Paid",O867=""),"",P867/O867)</f>
        <v/>
      </c>
      <c r="R867" s="30" t="str">
        <f aca="false">IF(Q867="","",Q867+N(H867)*0.000000001)</f>
        <v/>
      </c>
      <c r="S867" s="25" t="str">
        <f aca="false">IF(R867="","",SUMPRODUCT((I$5:I$4004=I867)*ISNUMBER(R$5:R$4004)*(R$5:R$4004&gt;R867))+1)</f>
        <v/>
      </c>
      <c r="T867" s="25" t="str">
        <f aca="false">IF(S867="","",IF(S867&lt;=Setup!$B$5,"🏆 WINNER",""))</f>
        <v/>
      </c>
      <c r="U867" s="24" t="str">
        <f aca="false">IF(S867="","",I867&amp;"|"&amp;S867)</f>
        <v/>
      </c>
    </row>
    <row r="868" customFormat="false" ht="15" hidden="false" customHeight="false" outlineLevel="0" collapsed="false">
      <c r="A868" s="31" t="n">
        <v>864</v>
      </c>
      <c r="B868" s="32" t="str">
        <f aca="false">IF(OR(C868="",I868="",G868=""),"",IFERROR(VLOOKUP(I868,Setup!$A$9:$B$11,2,0),"???")&amp;"-"&amp;G868&amp;"-"&amp;TEXT(COUNTIFS(I$5:I868,I868,G$5:G868,G868),"0000"))</f>
        <v/>
      </c>
      <c r="C868" s="26"/>
      <c r="D868" s="26"/>
      <c r="E868" s="27"/>
      <c r="F868" s="27"/>
      <c r="G868" s="31" t="str">
        <f aca="false">IF(F868="","",IF(F868&lt;=5,"A",IF(F868&lt;=8,"B",IF(F868&lt;=10,"C","D"))))</f>
        <v/>
      </c>
      <c r="H868" s="28"/>
      <c r="I868" s="27"/>
      <c r="J868" s="26"/>
      <c r="K868" s="27"/>
      <c r="L868" s="27"/>
      <c r="M868" s="27"/>
      <c r="N868" s="27"/>
      <c r="O868" s="31" t="str">
        <f aca="false">IF(G868="","",VLOOKUP(G868,Setup!$A$14:$C$17,3,0))</f>
        <v/>
      </c>
      <c r="P868" s="27"/>
      <c r="Q868" s="33" t="str">
        <f aca="false">IF(OR(P868="",M868&lt;&gt;"Paid",O868=""),"",P868/O868)</f>
        <v/>
      </c>
      <c r="R868" s="34" t="str">
        <f aca="false">IF(Q868="","",Q868+N(H868)*0.000000001)</f>
        <v/>
      </c>
      <c r="S868" s="32" t="str">
        <f aca="false">IF(R868="","",SUMPRODUCT((I$5:I$4004=I868)*ISNUMBER(R$5:R$4004)*(R$5:R$4004&gt;R868))+1)</f>
        <v/>
      </c>
      <c r="T868" s="32" t="str">
        <f aca="false">IF(S868="","",IF(S868&lt;=Setup!$B$5,"🏆 WINNER",""))</f>
        <v/>
      </c>
      <c r="U868" s="31" t="str">
        <f aca="false">IF(S868="","",I868&amp;"|"&amp;S868)</f>
        <v/>
      </c>
    </row>
    <row r="869" customFormat="false" ht="15" hidden="false" customHeight="false" outlineLevel="0" collapsed="false">
      <c r="A869" s="24" t="n">
        <v>865</v>
      </c>
      <c r="B869" s="25" t="str">
        <f aca="false">IF(OR(C869="",I869="",G869=""),"",IFERROR(VLOOKUP(I869,Setup!$A$9:$B$11,2,0),"???")&amp;"-"&amp;G869&amp;"-"&amp;TEXT(COUNTIFS(I$5:I869,I869,G$5:G869,G869),"0000"))</f>
        <v/>
      </c>
      <c r="C869" s="26"/>
      <c r="D869" s="26"/>
      <c r="E869" s="27"/>
      <c r="F869" s="27"/>
      <c r="G869" s="24" t="str">
        <f aca="false">IF(F869="","",IF(F869&lt;=5,"A",IF(F869&lt;=8,"B",IF(F869&lt;=10,"C","D"))))</f>
        <v/>
      </c>
      <c r="H869" s="28"/>
      <c r="I869" s="27"/>
      <c r="J869" s="26"/>
      <c r="K869" s="27"/>
      <c r="L869" s="27"/>
      <c r="M869" s="27"/>
      <c r="N869" s="27"/>
      <c r="O869" s="24" t="str">
        <f aca="false">IF(G869="","",VLOOKUP(G869,Setup!$A$14:$C$17,3,0))</f>
        <v/>
      </c>
      <c r="P869" s="27"/>
      <c r="Q869" s="29" t="str">
        <f aca="false">IF(OR(P869="",M869&lt;&gt;"Paid",O869=""),"",P869/O869)</f>
        <v/>
      </c>
      <c r="R869" s="30" t="str">
        <f aca="false">IF(Q869="","",Q869+N(H869)*0.000000001)</f>
        <v/>
      </c>
      <c r="S869" s="25" t="str">
        <f aca="false">IF(R869="","",SUMPRODUCT((I$5:I$4004=I869)*ISNUMBER(R$5:R$4004)*(R$5:R$4004&gt;R869))+1)</f>
        <v/>
      </c>
      <c r="T869" s="25" t="str">
        <f aca="false">IF(S869="","",IF(S869&lt;=Setup!$B$5,"🏆 WINNER",""))</f>
        <v/>
      </c>
      <c r="U869" s="24" t="str">
        <f aca="false">IF(S869="","",I869&amp;"|"&amp;S869)</f>
        <v/>
      </c>
    </row>
    <row r="870" customFormat="false" ht="15" hidden="false" customHeight="false" outlineLevel="0" collapsed="false">
      <c r="A870" s="31" t="n">
        <v>866</v>
      </c>
      <c r="B870" s="32" t="str">
        <f aca="false">IF(OR(C870="",I870="",G870=""),"",IFERROR(VLOOKUP(I870,Setup!$A$9:$B$11,2,0),"???")&amp;"-"&amp;G870&amp;"-"&amp;TEXT(COUNTIFS(I$5:I870,I870,G$5:G870,G870),"0000"))</f>
        <v/>
      </c>
      <c r="C870" s="26"/>
      <c r="D870" s="26"/>
      <c r="E870" s="27"/>
      <c r="F870" s="27"/>
      <c r="G870" s="31" t="str">
        <f aca="false">IF(F870="","",IF(F870&lt;=5,"A",IF(F870&lt;=8,"B",IF(F870&lt;=10,"C","D"))))</f>
        <v/>
      </c>
      <c r="H870" s="28"/>
      <c r="I870" s="27"/>
      <c r="J870" s="26"/>
      <c r="K870" s="27"/>
      <c r="L870" s="27"/>
      <c r="M870" s="27"/>
      <c r="N870" s="27"/>
      <c r="O870" s="31" t="str">
        <f aca="false">IF(G870="","",VLOOKUP(G870,Setup!$A$14:$C$17,3,0))</f>
        <v/>
      </c>
      <c r="P870" s="27"/>
      <c r="Q870" s="33" t="str">
        <f aca="false">IF(OR(P870="",M870&lt;&gt;"Paid",O870=""),"",P870/O870)</f>
        <v/>
      </c>
      <c r="R870" s="34" t="str">
        <f aca="false">IF(Q870="","",Q870+N(H870)*0.000000001)</f>
        <v/>
      </c>
      <c r="S870" s="32" t="str">
        <f aca="false">IF(R870="","",SUMPRODUCT((I$5:I$4004=I870)*ISNUMBER(R$5:R$4004)*(R$5:R$4004&gt;R870))+1)</f>
        <v/>
      </c>
      <c r="T870" s="32" t="str">
        <f aca="false">IF(S870="","",IF(S870&lt;=Setup!$B$5,"🏆 WINNER",""))</f>
        <v/>
      </c>
      <c r="U870" s="31" t="str">
        <f aca="false">IF(S870="","",I870&amp;"|"&amp;S870)</f>
        <v/>
      </c>
    </row>
    <row r="871" customFormat="false" ht="15" hidden="false" customHeight="false" outlineLevel="0" collapsed="false">
      <c r="A871" s="24" t="n">
        <v>867</v>
      </c>
      <c r="B871" s="25" t="str">
        <f aca="false">IF(OR(C871="",I871="",G871=""),"",IFERROR(VLOOKUP(I871,Setup!$A$9:$B$11,2,0),"???")&amp;"-"&amp;G871&amp;"-"&amp;TEXT(COUNTIFS(I$5:I871,I871,G$5:G871,G871),"0000"))</f>
        <v/>
      </c>
      <c r="C871" s="26"/>
      <c r="D871" s="26"/>
      <c r="E871" s="27"/>
      <c r="F871" s="27"/>
      <c r="G871" s="24" t="str">
        <f aca="false">IF(F871="","",IF(F871&lt;=5,"A",IF(F871&lt;=8,"B",IF(F871&lt;=10,"C","D"))))</f>
        <v/>
      </c>
      <c r="H871" s="28"/>
      <c r="I871" s="27"/>
      <c r="J871" s="26"/>
      <c r="K871" s="27"/>
      <c r="L871" s="27"/>
      <c r="M871" s="27"/>
      <c r="N871" s="27"/>
      <c r="O871" s="24" t="str">
        <f aca="false">IF(G871="","",VLOOKUP(G871,Setup!$A$14:$C$17,3,0))</f>
        <v/>
      </c>
      <c r="P871" s="27"/>
      <c r="Q871" s="29" t="str">
        <f aca="false">IF(OR(P871="",M871&lt;&gt;"Paid",O871=""),"",P871/O871)</f>
        <v/>
      </c>
      <c r="R871" s="30" t="str">
        <f aca="false">IF(Q871="","",Q871+N(H871)*0.000000001)</f>
        <v/>
      </c>
      <c r="S871" s="25" t="str">
        <f aca="false">IF(R871="","",SUMPRODUCT((I$5:I$4004=I871)*ISNUMBER(R$5:R$4004)*(R$5:R$4004&gt;R871))+1)</f>
        <v/>
      </c>
      <c r="T871" s="25" t="str">
        <f aca="false">IF(S871="","",IF(S871&lt;=Setup!$B$5,"🏆 WINNER",""))</f>
        <v/>
      </c>
      <c r="U871" s="24" t="str">
        <f aca="false">IF(S871="","",I871&amp;"|"&amp;S871)</f>
        <v/>
      </c>
    </row>
    <row r="872" customFormat="false" ht="15" hidden="false" customHeight="false" outlineLevel="0" collapsed="false">
      <c r="A872" s="31" t="n">
        <v>868</v>
      </c>
      <c r="B872" s="32" t="str">
        <f aca="false">IF(OR(C872="",I872="",G872=""),"",IFERROR(VLOOKUP(I872,Setup!$A$9:$B$11,2,0),"???")&amp;"-"&amp;G872&amp;"-"&amp;TEXT(COUNTIFS(I$5:I872,I872,G$5:G872,G872),"0000"))</f>
        <v/>
      </c>
      <c r="C872" s="26"/>
      <c r="D872" s="26"/>
      <c r="E872" s="27"/>
      <c r="F872" s="27"/>
      <c r="G872" s="31" t="str">
        <f aca="false">IF(F872="","",IF(F872&lt;=5,"A",IF(F872&lt;=8,"B",IF(F872&lt;=10,"C","D"))))</f>
        <v/>
      </c>
      <c r="H872" s="28"/>
      <c r="I872" s="27"/>
      <c r="J872" s="26"/>
      <c r="K872" s="27"/>
      <c r="L872" s="27"/>
      <c r="M872" s="27"/>
      <c r="N872" s="27"/>
      <c r="O872" s="31" t="str">
        <f aca="false">IF(G872="","",VLOOKUP(G872,Setup!$A$14:$C$17,3,0))</f>
        <v/>
      </c>
      <c r="P872" s="27"/>
      <c r="Q872" s="33" t="str">
        <f aca="false">IF(OR(P872="",M872&lt;&gt;"Paid",O872=""),"",P872/O872)</f>
        <v/>
      </c>
      <c r="R872" s="34" t="str">
        <f aca="false">IF(Q872="","",Q872+N(H872)*0.000000001)</f>
        <v/>
      </c>
      <c r="S872" s="32" t="str">
        <f aca="false">IF(R872="","",SUMPRODUCT((I$5:I$4004=I872)*ISNUMBER(R$5:R$4004)*(R$5:R$4004&gt;R872))+1)</f>
        <v/>
      </c>
      <c r="T872" s="32" t="str">
        <f aca="false">IF(S872="","",IF(S872&lt;=Setup!$B$5,"🏆 WINNER",""))</f>
        <v/>
      </c>
      <c r="U872" s="31" t="str">
        <f aca="false">IF(S872="","",I872&amp;"|"&amp;S872)</f>
        <v/>
      </c>
    </row>
    <row r="873" customFormat="false" ht="15" hidden="false" customHeight="false" outlineLevel="0" collapsed="false">
      <c r="A873" s="24" t="n">
        <v>869</v>
      </c>
      <c r="B873" s="25" t="str">
        <f aca="false">IF(OR(C873="",I873="",G873=""),"",IFERROR(VLOOKUP(I873,Setup!$A$9:$B$11,2,0),"???")&amp;"-"&amp;G873&amp;"-"&amp;TEXT(COUNTIFS(I$5:I873,I873,G$5:G873,G873),"0000"))</f>
        <v/>
      </c>
      <c r="C873" s="26"/>
      <c r="D873" s="26"/>
      <c r="E873" s="27"/>
      <c r="F873" s="27"/>
      <c r="G873" s="24" t="str">
        <f aca="false">IF(F873="","",IF(F873&lt;=5,"A",IF(F873&lt;=8,"B",IF(F873&lt;=10,"C","D"))))</f>
        <v/>
      </c>
      <c r="H873" s="28"/>
      <c r="I873" s="27"/>
      <c r="J873" s="26"/>
      <c r="K873" s="27"/>
      <c r="L873" s="27"/>
      <c r="M873" s="27"/>
      <c r="N873" s="27"/>
      <c r="O873" s="24" t="str">
        <f aca="false">IF(G873="","",VLOOKUP(G873,Setup!$A$14:$C$17,3,0))</f>
        <v/>
      </c>
      <c r="P873" s="27"/>
      <c r="Q873" s="29" t="str">
        <f aca="false">IF(OR(P873="",M873&lt;&gt;"Paid",O873=""),"",P873/O873)</f>
        <v/>
      </c>
      <c r="R873" s="30" t="str">
        <f aca="false">IF(Q873="","",Q873+N(H873)*0.000000001)</f>
        <v/>
      </c>
      <c r="S873" s="25" t="str">
        <f aca="false">IF(R873="","",SUMPRODUCT((I$5:I$4004=I873)*ISNUMBER(R$5:R$4004)*(R$5:R$4004&gt;R873))+1)</f>
        <v/>
      </c>
      <c r="T873" s="25" t="str">
        <f aca="false">IF(S873="","",IF(S873&lt;=Setup!$B$5,"🏆 WINNER",""))</f>
        <v/>
      </c>
      <c r="U873" s="24" t="str">
        <f aca="false">IF(S873="","",I873&amp;"|"&amp;S873)</f>
        <v/>
      </c>
    </row>
    <row r="874" customFormat="false" ht="15" hidden="false" customHeight="false" outlineLevel="0" collapsed="false">
      <c r="A874" s="31" t="n">
        <v>870</v>
      </c>
      <c r="B874" s="32" t="str">
        <f aca="false">IF(OR(C874="",I874="",G874=""),"",IFERROR(VLOOKUP(I874,Setup!$A$9:$B$11,2,0),"???")&amp;"-"&amp;G874&amp;"-"&amp;TEXT(COUNTIFS(I$5:I874,I874,G$5:G874,G874),"0000"))</f>
        <v/>
      </c>
      <c r="C874" s="26"/>
      <c r="D874" s="26"/>
      <c r="E874" s="27"/>
      <c r="F874" s="27"/>
      <c r="G874" s="31" t="str">
        <f aca="false">IF(F874="","",IF(F874&lt;=5,"A",IF(F874&lt;=8,"B",IF(F874&lt;=10,"C","D"))))</f>
        <v/>
      </c>
      <c r="H874" s="28"/>
      <c r="I874" s="27"/>
      <c r="J874" s="26"/>
      <c r="K874" s="27"/>
      <c r="L874" s="27"/>
      <c r="M874" s="27"/>
      <c r="N874" s="27"/>
      <c r="O874" s="31" t="str">
        <f aca="false">IF(G874="","",VLOOKUP(G874,Setup!$A$14:$C$17,3,0))</f>
        <v/>
      </c>
      <c r="P874" s="27"/>
      <c r="Q874" s="33" t="str">
        <f aca="false">IF(OR(P874="",M874&lt;&gt;"Paid",O874=""),"",P874/O874)</f>
        <v/>
      </c>
      <c r="R874" s="34" t="str">
        <f aca="false">IF(Q874="","",Q874+N(H874)*0.000000001)</f>
        <v/>
      </c>
      <c r="S874" s="32" t="str">
        <f aca="false">IF(R874="","",SUMPRODUCT((I$5:I$4004=I874)*ISNUMBER(R$5:R$4004)*(R$5:R$4004&gt;R874))+1)</f>
        <v/>
      </c>
      <c r="T874" s="32" t="str">
        <f aca="false">IF(S874="","",IF(S874&lt;=Setup!$B$5,"🏆 WINNER",""))</f>
        <v/>
      </c>
      <c r="U874" s="31" t="str">
        <f aca="false">IF(S874="","",I874&amp;"|"&amp;S874)</f>
        <v/>
      </c>
    </row>
    <row r="875" customFormat="false" ht="15" hidden="false" customHeight="false" outlineLevel="0" collapsed="false">
      <c r="A875" s="24" t="n">
        <v>871</v>
      </c>
      <c r="B875" s="25" t="str">
        <f aca="false">IF(OR(C875="",I875="",G875=""),"",IFERROR(VLOOKUP(I875,Setup!$A$9:$B$11,2,0),"???")&amp;"-"&amp;G875&amp;"-"&amp;TEXT(COUNTIFS(I$5:I875,I875,G$5:G875,G875),"0000"))</f>
        <v/>
      </c>
      <c r="C875" s="26"/>
      <c r="D875" s="26"/>
      <c r="E875" s="27"/>
      <c r="F875" s="27"/>
      <c r="G875" s="24" t="str">
        <f aca="false">IF(F875="","",IF(F875&lt;=5,"A",IF(F875&lt;=8,"B",IF(F875&lt;=10,"C","D"))))</f>
        <v/>
      </c>
      <c r="H875" s="28"/>
      <c r="I875" s="27"/>
      <c r="J875" s="26"/>
      <c r="K875" s="27"/>
      <c r="L875" s="27"/>
      <c r="M875" s="27"/>
      <c r="N875" s="27"/>
      <c r="O875" s="24" t="str">
        <f aca="false">IF(G875="","",VLOOKUP(G875,Setup!$A$14:$C$17,3,0))</f>
        <v/>
      </c>
      <c r="P875" s="27"/>
      <c r="Q875" s="29" t="str">
        <f aca="false">IF(OR(P875="",M875&lt;&gt;"Paid",O875=""),"",P875/O875)</f>
        <v/>
      </c>
      <c r="R875" s="30" t="str">
        <f aca="false">IF(Q875="","",Q875+N(H875)*0.000000001)</f>
        <v/>
      </c>
      <c r="S875" s="25" t="str">
        <f aca="false">IF(R875="","",SUMPRODUCT((I$5:I$4004=I875)*ISNUMBER(R$5:R$4004)*(R$5:R$4004&gt;R875))+1)</f>
        <v/>
      </c>
      <c r="T875" s="25" t="str">
        <f aca="false">IF(S875="","",IF(S875&lt;=Setup!$B$5,"🏆 WINNER",""))</f>
        <v/>
      </c>
      <c r="U875" s="24" t="str">
        <f aca="false">IF(S875="","",I875&amp;"|"&amp;S875)</f>
        <v/>
      </c>
    </row>
    <row r="876" customFormat="false" ht="15" hidden="false" customHeight="false" outlineLevel="0" collapsed="false">
      <c r="A876" s="31" t="n">
        <v>872</v>
      </c>
      <c r="B876" s="32" t="str">
        <f aca="false">IF(OR(C876="",I876="",G876=""),"",IFERROR(VLOOKUP(I876,Setup!$A$9:$B$11,2,0),"???")&amp;"-"&amp;G876&amp;"-"&amp;TEXT(COUNTIFS(I$5:I876,I876,G$5:G876,G876),"0000"))</f>
        <v/>
      </c>
      <c r="C876" s="26"/>
      <c r="D876" s="26"/>
      <c r="E876" s="27"/>
      <c r="F876" s="27"/>
      <c r="G876" s="31" t="str">
        <f aca="false">IF(F876="","",IF(F876&lt;=5,"A",IF(F876&lt;=8,"B",IF(F876&lt;=10,"C","D"))))</f>
        <v/>
      </c>
      <c r="H876" s="28"/>
      <c r="I876" s="27"/>
      <c r="J876" s="26"/>
      <c r="K876" s="27"/>
      <c r="L876" s="27"/>
      <c r="M876" s="27"/>
      <c r="N876" s="27"/>
      <c r="O876" s="31" t="str">
        <f aca="false">IF(G876="","",VLOOKUP(G876,Setup!$A$14:$C$17,3,0))</f>
        <v/>
      </c>
      <c r="P876" s="27"/>
      <c r="Q876" s="33" t="str">
        <f aca="false">IF(OR(P876="",M876&lt;&gt;"Paid",O876=""),"",P876/O876)</f>
        <v/>
      </c>
      <c r="R876" s="34" t="str">
        <f aca="false">IF(Q876="","",Q876+N(H876)*0.000000001)</f>
        <v/>
      </c>
      <c r="S876" s="32" t="str">
        <f aca="false">IF(R876="","",SUMPRODUCT((I$5:I$4004=I876)*ISNUMBER(R$5:R$4004)*(R$5:R$4004&gt;R876))+1)</f>
        <v/>
      </c>
      <c r="T876" s="32" t="str">
        <f aca="false">IF(S876="","",IF(S876&lt;=Setup!$B$5,"🏆 WINNER",""))</f>
        <v/>
      </c>
      <c r="U876" s="31" t="str">
        <f aca="false">IF(S876="","",I876&amp;"|"&amp;S876)</f>
        <v/>
      </c>
    </row>
    <row r="877" customFormat="false" ht="15" hidden="false" customHeight="false" outlineLevel="0" collapsed="false">
      <c r="A877" s="24" t="n">
        <v>873</v>
      </c>
      <c r="B877" s="25" t="str">
        <f aca="false">IF(OR(C877="",I877="",G877=""),"",IFERROR(VLOOKUP(I877,Setup!$A$9:$B$11,2,0),"???")&amp;"-"&amp;G877&amp;"-"&amp;TEXT(COUNTIFS(I$5:I877,I877,G$5:G877,G877),"0000"))</f>
        <v/>
      </c>
      <c r="C877" s="26"/>
      <c r="D877" s="26"/>
      <c r="E877" s="27"/>
      <c r="F877" s="27"/>
      <c r="G877" s="24" t="str">
        <f aca="false">IF(F877="","",IF(F877&lt;=5,"A",IF(F877&lt;=8,"B",IF(F877&lt;=10,"C","D"))))</f>
        <v/>
      </c>
      <c r="H877" s="28"/>
      <c r="I877" s="27"/>
      <c r="J877" s="26"/>
      <c r="K877" s="27"/>
      <c r="L877" s="27"/>
      <c r="M877" s="27"/>
      <c r="N877" s="27"/>
      <c r="O877" s="24" t="str">
        <f aca="false">IF(G877="","",VLOOKUP(G877,Setup!$A$14:$C$17,3,0))</f>
        <v/>
      </c>
      <c r="P877" s="27"/>
      <c r="Q877" s="29" t="str">
        <f aca="false">IF(OR(P877="",M877&lt;&gt;"Paid",O877=""),"",P877/O877)</f>
        <v/>
      </c>
      <c r="R877" s="30" t="str">
        <f aca="false">IF(Q877="","",Q877+N(H877)*0.000000001)</f>
        <v/>
      </c>
      <c r="S877" s="25" t="str">
        <f aca="false">IF(R877="","",SUMPRODUCT((I$5:I$4004=I877)*ISNUMBER(R$5:R$4004)*(R$5:R$4004&gt;R877))+1)</f>
        <v/>
      </c>
      <c r="T877" s="25" t="str">
        <f aca="false">IF(S877="","",IF(S877&lt;=Setup!$B$5,"🏆 WINNER",""))</f>
        <v/>
      </c>
      <c r="U877" s="24" t="str">
        <f aca="false">IF(S877="","",I877&amp;"|"&amp;S877)</f>
        <v/>
      </c>
    </row>
    <row r="878" customFormat="false" ht="15" hidden="false" customHeight="false" outlineLevel="0" collapsed="false">
      <c r="A878" s="31" t="n">
        <v>874</v>
      </c>
      <c r="B878" s="32" t="str">
        <f aca="false">IF(OR(C878="",I878="",G878=""),"",IFERROR(VLOOKUP(I878,Setup!$A$9:$B$11,2,0),"???")&amp;"-"&amp;G878&amp;"-"&amp;TEXT(COUNTIFS(I$5:I878,I878,G$5:G878,G878),"0000"))</f>
        <v/>
      </c>
      <c r="C878" s="26"/>
      <c r="D878" s="26"/>
      <c r="E878" s="27"/>
      <c r="F878" s="27"/>
      <c r="G878" s="31" t="str">
        <f aca="false">IF(F878="","",IF(F878&lt;=5,"A",IF(F878&lt;=8,"B",IF(F878&lt;=10,"C","D"))))</f>
        <v/>
      </c>
      <c r="H878" s="28"/>
      <c r="I878" s="27"/>
      <c r="J878" s="26"/>
      <c r="K878" s="27"/>
      <c r="L878" s="27"/>
      <c r="M878" s="27"/>
      <c r="N878" s="27"/>
      <c r="O878" s="31" t="str">
        <f aca="false">IF(G878="","",VLOOKUP(G878,Setup!$A$14:$C$17,3,0))</f>
        <v/>
      </c>
      <c r="P878" s="27"/>
      <c r="Q878" s="33" t="str">
        <f aca="false">IF(OR(P878="",M878&lt;&gt;"Paid",O878=""),"",P878/O878)</f>
        <v/>
      </c>
      <c r="R878" s="34" t="str">
        <f aca="false">IF(Q878="","",Q878+N(H878)*0.000000001)</f>
        <v/>
      </c>
      <c r="S878" s="32" t="str">
        <f aca="false">IF(R878="","",SUMPRODUCT((I$5:I$4004=I878)*ISNUMBER(R$5:R$4004)*(R$5:R$4004&gt;R878))+1)</f>
        <v/>
      </c>
      <c r="T878" s="32" t="str">
        <f aca="false">IF(S878="","",IF(S878&lt;=Setup!$B$5,"🏆 WINNER",""))</f>
        <v/>
      </c>
      <c r="U878" s="31" t="str">
        <f aca="false">IF(S878="","",I878&amp;"|"&amp;S878)</f>
        <v/>
      </c>
    </row>
    <row r="879" customFormat="false" ht="15" hidden="false" customHeight="false" outlineLevel="0" collapsed="false">
      <c r="A879" s="24" t="n">
        <v>875</v>
      </c>
      <c r="B879" s="25" t="str">
        <f aca="false">IF(OR(C879="",I879="",G879=""),"",IFERROR(VLOOKUP(I879,Setup!$A$9:$B$11,2,0),"???")&amp;"-"&amp;G879&amp;"-"&amp;TEXT(COUNTIFS(I$5:I879,I879,G$5:G879,G879),"0000"))</f>
        <v/>
      </c>
      <c r="C879" s="26"/>
      <c r="D879" s="26"/>
      <c r="E879" s="27"/>
      <c r="F879" s="27"/>
      <c r="G879" s="24" t="str">
        <f aca="false">IF(F879="","",IF(F879&lt;=5,"A",IF(F879&lt;=8,"B",IF(F879&lt;=10,"C","D"))))</f>
        <v/>
      </c>
      <c r="H879" s="28"/>
      <c r="I879" s="27"/>
      <c r="J879" s="26"/>
      <c r="K879" s="27"/>
      <c r="L879" s="27"/>
      <c r="M879" s="27"/>
      <c r="N879" s="27"/>
      <c r="O879" s="24" t="str">
        <f aca="false">IF(G879="","",VLOOKUP(G879,Setup!$A$14:$C$17,3,0))</f>
        <v/>
      </c>
      <c r="P879" s="27"/>
      <c r="Q879" s="29" t="str">
        <f aca="false">IF(OR(P879="",M879&lt;&gt;"Paid",O879=""),"",P879/O879)</f>
        <v/>
      </c>
      <c r="R879" s="30" t="str">
        <f aca="false">IF(Q879="","",Q879+N(H879)*0.000000001)</f>
        <v/>
      </c>
      <c r="S879" s="25" t="str">
        <f aca="false">IF(R879="","",SUMPRODUCT((I$5:I$4004=I879)*ISNUMBER(R$5:R$4004)*(R$5:R$4004&gt;R879))+1)</f>
        <v/>
      </c>
      <c r="T879" s="25" t="str">
        <f aca="false">IF(S879="","",IF(S879&lt;=Setup!$B$5,"🏆 WINNER",""))</f>
        <v/>
      </c>
      <c r="U879" s="24" t="str">
        <f aca="false">IF(S879="","",I879&amp;"|"&amp;S879)</f>
        <v/>
      </c>
    </row>
    <row r="880" customFormat="false" ht="15" hidden="false" customHeight="false" outlineLevel="0" collapsed="false">
      <c r="A880" s="31" t="n">
        <v>876</v>
      </c>
      <c r="B880" s="32" t="str">
        <f aca="false">IF(OR(C880="",I880="",G880=""),"",IFERROR(VLOOKUP(I880,Setup!$A$9:$B$11,2,0),"???")&amp;"-"&amp;G880&amp;"-"&amp;TEXT(COUNTIFS(I$5:I880,I880,G$5:G880,G880),"0000"))</f>
        <v/>
      </c>
      <c r="C880" s="26"/>
      <c r="D880" s="26"/>
      <c r="E880" s="27"/>
      <c r="F880" s="27"/>
      <c r="G880" s="31" t="str">
        <f aca="false">IF(F880="","",IF(F880&lt;=5,"A",IF(F880&lt;=8,"B",IF(F880&lt;=10,"C","D"))))</f>
        <v/>
      </c>
      <c r="H880" s="28"/>
      <c r="I880" s="27"/>
      <c r="J880" s="26"/>
      <c r="K880" s="27"/>
      <c r="L880" s="27"/>
      <c r="M880" s="27"/>
      <c r="N880" s="27"/>
      <c r="O880" s="31" t="str">
        <f aca="false">IF(G880="","",VLOOKUP(G880,Setup!$A$14:$C$17,3,0))</f>
        <v/>
      </c>
      <c r="P880" s="27"/>
      <c r="Q880" s="33" t="str">
        <f aca="false">IF(OR(P880="",M880&lt;&gt;"Paid",O880=""),"",P880/O880)</f>
        <v/>
      </c>
      <c r="R880" s="34" t="str">
        <f aca="false">IF(Q880="","",Q880+N(H880)*0.000000001)</f>
        <v/>
      </c>
      <c r="S880" s="32" t="str">
        <f aca="false">IF(R880="","",SUMPRODUCT((I$5:I$4004=I880)*ISNUMBER(R$5:R$4004)*(R$5:R$4004&gt;R880))+1)</f>
        <v/>
      </c>
      <c r="T880" s="32" t="str">
        <f aca="false">IF(S880="","",IF(S880&lt;=Setup!$B$5,"🏆 WINNER",""))</f>
        <v/>
      </c>
      <c r="U880" s="31" t="str">
        <f aca="false">IF(S880="","",I880&amp;"|"&amp;S880)</f>
        <v/>
      </c>
    </row>
    <row r="881" customFormat="false" ht="15" hidden="false" customHeight="false" outlineLevel="0" collapsed="false">
      <c r="A881" s="24" t="n">
        <v>877</v>
      </c>
      <c r="B881" s="25" t="str">
        <f aca="false">IF(OR(C881="",I881="",G881=""),"",IFERROR(VLOOKUP(I881,Setup!$A$9:$B$11,2,0),"???")&amp;"-"&amp;G881&amp;"-"&amp;TEXT(COUNTIFS(I$5:I881,I881,G$5:G881,G881),"0000"))</f>
        <v/>
      </c>
      <c r="C881" s="26"/>
      <c r="D881" s="26"/>
      <c r="E881" s="27"/>
      <c r="F881" s="27"/>
      <c r="G881" s="24" t="str">
        <f aca="false">IF(F881="","",IF(F881&lt;=5,"A",IF(F881&lt;=8,"B",IF(F881&lt;=10,"C","D"))))</f>
        <v/>
      </c>
      <c r="H881" s="28"/>
      <c r="I881" s="27"/>
      <c r="J881" s="26"/>
      <c r="K881" s="27"/>
      <c r="L881" s="27"/>
      <c r="M881" s="27"/>
      <c r="N881" s="27"/>
      <c r="O881" s="24" t="str">
        <f aca="false">IF(G881="","",VLOOKUP(G881,Setup!$A$14:$C$17,3,0))</f>
        <v/>
      </c>
      <c r="P881" s="27"/>
      <c r="Q881" s="29" t="str">
        <f aca="false">IF(OR(P881="",M881&lt;&gt;"Paid",O881=""),"",P881/O881)</f>
        <v/>
      </c>
      <c r="R881" s="30" t="str">
        <f aca="false">IF(Q881="","",Q881+N(H881)*0.000000001)</f>
        <v/>
      </c>
      <c r="S881" s="25" t="str">
        <f aca="false">IF(R881="","",SUMPRODUCT((I$5:I$4004=I881)*ISNUMBER(R$5:R$4004)*(R$5:R$4004&gt;R881))+1)</f>
        <v/>
      </c>
      <c r="T881" s="25" t="str">
        <f aca="false">IF(S881="","",IF(S881&lt;=Setup!$B$5,"🏆 WINNER",""))</f>
        <v/>
      </c>
      <c r="U881" s="24" t="str">
        <f aca="false">IF(S881="","",I881&amp;"|"&amp;S881)</f>
        <v/>
      </c>
    </row>
    <row r="882" customFormat="false" ht="15" hidden="false" customHeight="false" outlineLevel="0" collapsed="false">
      <c r="A882" s="31" t="n">
        <v>878</v>
      </c>
      <c r="B882" s="32" t="str">
        <f aca="false">IF(OR(C882="",I882="",G882=""),"",IFERROR(VLOOKUP(I882,Setup!$A$9:$B$11,2,0),"???")&amp;"-"&amp;G882&amp;"-"&amp;TEXT(COUNTIFS(I$5:I882,I882,G$5:G882,G882),"0000"))</f>
        <v/>
      </c>
      <c r="C882" s="26"/>
      <c r="D882" s="26"/>
      <c r="E882" s="27"/>
      <c r="F882" s="27"/>
      <c r="G882" s="31" t="str">
        <f aca="false">IF(F882="","",IF(F882&lt;=5,"A",IF(F882&lt;=8,"B",IF(F882&lt;=10,"C","D"))))</f>
        <v/>
      </c>
      <c r="H882" s="28"/>
      <c r="I882" s="27"/>
      <c r="J882" s="26"/>
      <c r="K882" s="27"/>
      <c r="L882" s="27"/>
      <c r="M882" s="27"/>
      <c r="N882" s="27"/>
      <c r="O882" s="31" t="str">
        <f aca="false">IF(G882="","",VLOOKUP(G882,Setup!$A$14:$C$17,3,0))</f>
        <v/>
      </c>
      <c r="P882" s="27"/>
      <c r="Q882" s="33" t="str">
        <f aca="false">IF(OR(P882="",M882&lt;&gt;"Paid",O882=""),"",P882/O882)</f>
        <v/>
      </c>
      <c r="R882" s="34" t="str">
        <f aca="false">IF(Q882="","",Q882+N(H882)*0.000000001)</f>
        <v/>
      </c>
      <c r="S882" s="32" t="str">
        <f aca="false">IF(R882="","",SUMPRODUCT((I$5:I$4004=I882)*ISNUMBER(R$5:R$4004)*(R$5:R$4004&gt;R882))+1)</f>
        <v/>
      </c>
      <c r="T882" s="32" t="str">
        <f aca="false">IF(S882="","",IF(S882&lt;=Setup!$B$5,"🏆 WINNER",""))</f>
        <v/>
      </c>
      <c r="U882" s="31" t="str">
        <f aca="false">IF(S882="","",I882&amp;"|"&amp;S882)</f>
        <v/>
      </c>
    </row>
    <row r="883" customFormat="false" ht="15" hidden="false" customHeight="false" outlineLevel="0" collapsed="false">
      <c r="A883" s="24" t="n">
        <v>879</v>
      </c>
      <c r="B883" s="25" t="str">
        <f aca="false">IF(OR(C883="",I883="",G883=""),"",IFERROR(VLOOKUP(I883,Setup!$A$9:$B$11,2,0),"???")&amp;"-"&amp;G883&amp;"-"&amp;TEXT(COUNTIFS(I$5:I883,I883,G$5:G883,G883),"0000"))</f>
        <v/>
      </c>
      <c r="C883" s="26"/>
      <c r="D883" s="26"/>
      <c r="E883" s="27"/>
      <c r="F883" s="27"/>
      <c r="G883" s="24" t="str">
        <f aca="false">IF(F883="","",IF(F883&lt;=5,"A",IF(F883&lt;=8,"B",IF(F883&lt;=10,"C","D"))))</f>
        <v/>
      </c>
      <c r="H883" s="28"/>
      <c r="I883" s="27"/>
      <c r="J883" s="26"/>
      <c r="K883" s="27"/>
      <c r="L883" s="27"/>
      <c r="M883" s="27"/>
      <c r="N883" s="27"/>
      <c r="O883" s="24" t="str">
        <f aca="false">IF(G883="","",VLOOKUP(G883,Setup!$A$14:$C$17,3,0))</f>
        <v/>
      </c>
      <c r="P883" s="27"/>
      <c r="Q883" s="29" t="str">
        <f aca="false">IF(OR(P883="",M883&lt;&gt;"Paid",O883=""),"",P883/O883)</f>
        <v/>
      </c>
      <c r="R883" s="30" t="str">
        <f aca="false">IF(Q883="","",Q883+N(H883)*0.000000001)</f>
        <v/>
      </c>
      <c r="S883" s="25" t="str">
        <f aca="false">IF(R883="","",SUMPRODUCT((I$5:I$4004=I883)*ISNUMBER(R$5:R$4004)*(R$5:R$4004&gt;R883))+1)</f>
        <v/>
      </c>
      <c r="T883" s="25" t="str">
        <f aca="false">IF(S883="","",IF(S883&lt;=Setup!$B$5,"🏆 WINNER",""))</f>
        <v/>
      </c>
      <c r="U883" s="24" t="str">
        <f aca="false">IF(S883="","",I883&amp;"|"&amp;S883)</f>
        <v/>
      </c>
    </row>
    <row r="884" customFormat="false" ht="15" hidden="false" customHeight="false" outlineLevel="0" collapsed="false">
      <c r="A884" s="31" t="n">
        <v>880</v>
      </c>
      <c r="B884" s="32" t="str">
        <f aca="false">IF(OR(C884="",I884="",G884=""),"",IFERROR(VLOOKUP(I884,Setup!$A$9:$B$11,2,0),"???")&amp;"-"&amp;G884&amp;"-"&amp;TEXT(COUNTIFS(I$5:I884,I884,G$5:G884,G884),"0000"))</f>
        <v/>
      </c>
      <c r="C884" s="26"/>
      <c r="D884" s="26"/>
      <c r="E884" s="27"/>
      <c r="F884" s="27"/>
      <c r="G884" s="31" t="str">
        <f aca="false">IF(F884="","",IF(F884&lt;=5,"A",IF(F884&lt;=8,"B",IF(F884&lt;=10,"C","D"))))</f>
        <v/>
      </c>
      <c r="H884" s="28"/>
      <c r="I884" s="27"/>
      <c r="J884" s="26"/>
      <c r="K884" s="27"/>
      <c r="L884" s="27"/>
      <c r="M884" s="27"/>
      <c r="N884" s="27"/>
      <c r="O884" s="31" t="str">
        <f aca="false">IF(G884="","",VLOOKUP(G884,Setup!$A$14:$C$17,3,0))</f>
        <v/>
      </c>
      <c r="P884" s="27"/>
      <c r="Q884" s="33" t="str">
        <f aca="false">IF(OR(P884="",M884&lt;&gt;"Paid",O884=""),"",P884/O884)</f>
        <v/>
      </c>
      <c r="R884" s="34" t="str">
        <f aca="false">IF(Q884="","",Q884+N(H884)*0.000000001)</f>
        <v/>
      </c>
      <c r="S884" s="32" t="str">
        <f aca="false">IF(R884="","",SUMPRODUCT((I$5:I$4004=I884)*ISNUMBER(R$5:R$4004)*(R$5:R$4004&gt;R884))+1)</f>
        <v/>
      </c>
      <c r="T884" s="32" t="str">
        <f aca="false">IF(S884="","",IF(S884&lt;=Setup!$B$5,"🏆 WINNER",""))</f>
        <v/>
      </c>
      <c r="U884" s="31" t="str">
        <f aca="false">IF(S884="","",I884&amp;"|"&amp;S884)</f>
        <v/>
      </c>
    </row>
    <row r="885" customFormat="false" ht="15" hidden="false" customHeight="false" outlineLevel="0" collapsed="false">
      <c r="A885" s="24" t="n">
        <v>881</v>
      </c>
      <c r="B885" s="25" t="str">
        <f aca="false">IF(OR(C885="",I885="",G885=""),"",IFERROR(VLOOKUP(I885,Setup!$A$9:$B$11,2,0),"???")&amp;"-"&amp;G885&amp;"-"&amp;TEXT(COUNTIFS(I$5:I885,I885,G$5:G885,G885),"0000"))</f>
        <v/>
      </c>
      <c r="C885" s="26"/>
      <c r="D885" s="26"/>
      <c r="E885" s="27"/>
      <c r="F885" s="27"/>
      <c r="G885" s="24" t="str">
        <f aca="false">IF(F885="","",IF(F885&lt;=5,"A",IF(F885&lt;=8,"B",IF(F885&lt;=10,"C","D"))))</f>
        <v/>
      </c>
      <c r="H885" s="28"/>
      <c r="I885" s="27"/>
      <c r="J885" s="26"/>
      <c r="K885" s="27"/>
      <c r="L885" s="27"/>
      <c r="M885" s="27"/>
      <c r="N885" s="27"/>
      <c r="O885" s="24" t="str">
        <f aca="false">IF(G885="","",VLOOKUP(G885,Setup!$A$14:$C$17,3,0))</f>
        <v/>
      </c>
      <c r="P885" s="27"/>
      <c r="Q885" s="29" t="str">
        <f aca="false">IF(OR(P885="",M885&lt;&gt;"Paid",O885=""),"",P885/O885)</f>
        <v/>
      </c>
      <c r="R885" s="30" t="str">
        <f aca="false">IF(Q885="","",Q885+N(H885)*0.000000001)</f>
        <v/>
      </c>
      <c r="S885" s="25" t="str">
        <f aca="false">IF(R885="","",SUMPRODUCT((I$5:I$4004=I885)*ISNUMBER(R$5:R$4004)*(R$5:R$4004&gt;R885))+1)</f>
        <v/>
      </c>
      <c r="T885" s="25" t="str">
        <f aca="false">IF(S885="","",IF(S885&lt;=Setup!$B$5,"🏆 WINNER",""))</f>
        <v/>
      </c>
      <c r="U885" s="24" t="str">
        <f aca="false">IF(S885="","",I885&amp;"|"&amp;S885)</f>
        <v/>
      </c>
    </row>
    <row r="886" customFormat="false" ht="15" hidden="false" customHeight="false" outlineLevel="0" collapsed="false">
      <c r="A886" s="31" t="n">
        <v>882</v>
      </c>
      <c r="B886" s="32" t="str">
        <f aca="false">IF(OR(C886="",I886="",G886=""),"",IFERROR(VLOOKUP(I886,Setup!$A$9:$B$11,2,0),"???")&amp;"-"&amp;G886&amp;"-"&amp;TEXT(COUNTIFS(I$5:I886,I886,G$5:G886,G886),"0000"))</f>
        <v/>
      </c>
      <c r="C886" s="26"/>
      <c r="D886" s="26"/>
      <c r="E886" s="27"/>
      <c r="F886" s="27"/>
      <c r="G886" s="31" t="str">
        <f aca="false">IF(F886="","",IF(F886&lt;=5,"A",IF(F886&lt;=8,"B",IF(F886&lt;=10,"C","D"))))</f>
        <v/>
      </c>
      <c r="H886" s="28"/>
      <c r="I886" s="27"/>
      <c r="J886" s="26"/>
      <c r="K886" s="27"/>
      <c r="L886" s="27"/>
      <c r="M886" s="27"/>
      <c r="N886" s="27"/>
      <c r="O886" s="31" t="str">
        <f aca="false">IF(G886="","",VLOOKUP(G886,Setup!$A$14:$C$17,3,0))</f>
        <v/>
      </c>
      <c r="P886" s="27"/>
      <c r="Q886" s="33" t="str">
        <f aca="false">IF(OR(P886="",M886&lt;&gt;"Paid",O886=""),"",P886/O886)</f>
        <v/>
      </c>
      <c r="R886" s="34" t="str">
        <f aca="false">IF(Q886="","",Q886+N(H886)*0.000000001)</f>
        <v/>
      </c>
      <c r="S886" s="32" t="str">
        <f aca="false">IF(R886="","",SUMPRODUCT((I$5:I$4004=I886)*ISNUMBER(R$5:R$4004)*(R$5:R$4004&gt;R886))+1)</f>
        <v/>
      </c>
      <c r="T886" s="32" t="str">
        <f aca="false">IF(S886="","",IF(S886&lt;=Setup!$B$5,"🏆 WINNER",""))</f>
        <v/>
      </c>
      <c r="U886" s="31" t="str">
        <f aca="false">IF(S886="","",I886&amp;"|"&amp;S886)</f>
        <v/>
      </c>
    </row>
    <row r="887" customFormat="false" ht="15" hidden="false" customHeight="false" outlineLevel="0" collapsed="false">
      <c r="A887" s="24" t="n">
        <v>883</v>
      </c>
      <c r="B887" s="25" t="str">
        <f aca="false">IF(OR(C887="",I887="",G887=""),"",IFERROR(VLOOKUP(I887,Setup!$A$9:$B$11,2,0),"???")&amp;"-"&amp;G887&amp;"-"&amp;TEXT(COUNTIFS(I$5:I887,I887,G$5:G887,G887),"0000"))</f>
        <v/>
      </c>
      <c r="C887" s="26"/>
      <c r="D887" s="26"/>
      <c r="E887" s="27"/>
      <c r="F887" s="27"/>
      <c r="G887" s="24" t="str">
        <f aca="false">IF(F887="","",IF(F887&lt;=5,"A",IF(F887&lt;=8,"B",IF(F887&lt;=10,"C","D"))))</f>
        <v/>
      </c>
      <c r="H887" s="28"/>
      <c r="I887" s="27"/>
      <c r="J887" s="26"/>
      <c r="K887" s="27"/>
      <c r="L887" s="27"/>
      <c r="M887" s="27"/>
      <c r="N887" s="27"/>
      <c r="O887" s="24" t="str">
        <f aca="false">IF(G887="","",VLOOKUP(G887,Setup!$A$14:$C$17,3,0))</f>
        <v/>
      </c>
      <c r="P887" s="27"/>
      <c r="Q887" s="29" t="str">
        <f aca="false">IF(OR(P887="",M887&lt;&gt;"Paid",O887=""),"",P887/O887)</f>
        <v/>
      </c>
      <c r="R887" s="30" t="str">
        <f aca="false">IF(Q887="","",Q887+N(H887)*0.000000001)</f>
        <v/>
      </c>
      <c r="S887" s="25" t="str">
        <f aca="false">IF(R887="","",SUMPRODUCT((I$5:I$4004=I887)*ISNUMBER(R$5:R$4004)*(R$5:R$4004&gt;R887))+1)</f>
        <v/>
      </c>
      <c r="T887" s="25" t="str">
        <f aca="false">IF(S887="","",IF(S887&lt;=Setup!$B$5,"🏆 WINNER",""))</f>
        <v/>
      </c>
      <c r="U887" s="24" t="str">
        <f aca="false">IF(S887="","",I887&amp;"|"&amp;S887)</f>
        <v/>
      </c>
    </row>
    <row r="888" customFormat="false" ht="15" hidden="false" customHeight="false" outlineLevel="0" collapsed="false">
      <c r="A888" s="31" t="n">
        <v>884</v>
      </c>
      <c r="B888" s="32" t="str">
        <f aca="false">IF(OR(C888="",I888="",G888=""),"",IFERROR(VLOOKUP(I888,Setup!$A$9:$B$11,2,0),"???")&amp;"-"&amp;G888&amp;"-"&amp;TEXT(COUNTIFS(I$5:I888,I888,G$5:G888,G888),"0000"))</f>
        <v/>
      </c>
      <c r="C888" s="26"/>
      <c r="D888" s="26"/>
      <c r="E888" s="27"/>
      <c r="F888" s="27"/>
      <c r="G888" s="31" t="str">
        <f aca="false">IF(F888="","",IF(F888&lt;=5,"A",IF(F888&lt;=8,"B",IF(F888&lt;=10,"C","D"))))</f>
        <v/>
      </c>
      <c r="H888" s="28"/>
      <c r="I888" s="27"/>
      <c r="J888" s="26"/>
      <c r="K888" s="27"/>
      <c r="L888" s="27"/>
      <c r="M888" s="27"/>
      <c r="N888" s="27"/>
      <c r="O888" s="31" t="str">
        <f aca="false">IF(G888="","",VLOOKUP(G888,Setup!$A$14:$C$17,3,0))</f>
        <v/>
      </c>
      <c r="P888" s="27"/>
      <c r="Q888" s="33" t="str">
        <f aca="false">IF(OR(P888="",M888&lt;&gt;"Paid",O888=""),"",P888/O888)</f>
        <v/>
      </c>
      <c r="R888" s="34" t="str">
        <f aca="false">IF(Q888="","",Q888+N(H888)*0.000000001)</f>
        <v/>
      </c>
      <c r="S888" s="32" t="str">
        <f aca="false">IF(R888="","",SUMPRODUCT((I$5:I$4004=I888)*ISNUMBER(R$5:R$4004)*(R$5:R$4004&gt;R888))+1)</f>
        <v/>
      </c>
      <c r="T888" s="32" t="str">
        <f aca="false">IF(S888="","",IF(S888&lt;=Setup!$B$5,"🏆 WINNER",""))</f>
        <v/>
      </c>
      <c r="U888" s="31" t="str">
        <f aca="false">IF(S888="","",I888&amp;"|"&amp;S888)</f>
        <v/>
      </c>
    </row>
    <row r="889" customFormat="false" ht="15" hidden="false" customHeight="false" outlineLevel="0" collapsed="false">
      <c r="A889" s="24" t="n">
        <v>885</v>
      </c>
      <c r="B889" s="25" t="str">
        <f aca="false">IF(OR(C889="",I889="",G889=""),"",IFERROR(VLOOKUP(I889,Setup!$A$9:$B$11,2,0),"???")&amp;"-"&amp;G889&amp;"-"&amp;TEXT(COUNTIFS(I$5:I889,I889,G$5:G889,G889),"0000"))</f>
        <v/>
      </c>
      <c r="C889" s="26"/>
      <c r="D889" s="26"/>
      <c r="E889" s="27"/>
      <c r="F889" s="27"/>
      <c r="G889" s="24" t="str">
        <f aca="false">IF(F889="","",IF(F889&lt;=5,"A",IF(F889&lt;=8,"B",IF(F889&lt;=10,"C","D"))))</f>
        <v/>
      </c>
      <c r="H889" s="28"/>
      <c r="I889" s="27"/>
      <c r="J889" s="26"/>
      <c r="K889" s="27"/>
      <c r="L889" s="27"/>
      <c r="M889" s="27"/>
      <c r="N889" s="27"/>
      <c r="O889" s="24" t="str">
        <f aca="false">IF(G889="","",VLOOKUP(G889,Setup!$A$14:$C$17,3,0))</f>
        <v/>
      </c>
      <c r="P889" s="27"/>
      <c r="Q889" s="29" t="str">
        <f aca="false">IF(OR(P889="",M889&lt;&gt;"Paid",O889=""),"",P889/O889)</f>
        <v/>
      </c>
      <c r="R889" s="30" t="str">
        <f aca="false">IF(Q889="","",Q889+N(H889)*0.000000001)</f>
        <v/>
      </c>
      <c r="S889" s="25" t="str">
        <f aca="false">IF(R889="","",SUMPRODUCT((I$5:I$4004=I889)*ISNUMBER(R$5:R$4004)*(R$5:R$4004&gt;R889))+1)</f>
        <v/>
      </c>
      <c r="T889" s="25" t="str">
        <f aca="false">IF(S889="","",IF(S889&lt;=Setup!$B$5,"🏆 WINNER",""))</f>
        <v/>
      </c>
      <c r="U889" s="24" t="str">
        <f aca="false">IF(S889="","",I889&amp;"|"&amp;S889)</f>
        <v/>
      </c>
    </row>
    <row r="890" customFormat="false" ht="15" hidden="false" customHeight="false" outlineLevel="0" collapsed="false">
      <c r="A890" s="31" t="n">
        <v>886</v>
      </c>
      <c r="B890" s="32" t="str">
        <f aca="false">IF(OR(C890="",I890="",G890=""),"",IFERROR(VLOOKUP(I890,Setup!$A$9:$B$11,2,0),"???")&amp;"-"&amp;G890&amp;"-"&amp;TEXT(COUNTIFS(I$5:I890,I890,G$5:G890,G890),"0000"))</f>
        <v/>
      </c>
      <c r="C890" s="26"/>
      <c r="D890" s="26"/>
      <c r="E890" s="27"/>
      <c r="F890" s="27"/>
      <c r="G890" s="31" t="str">
        <f aca="false">IF(F890="","",IF(F890&lt;=5,"A",IF(F890&lt;=8,"B",IF(F890&lt;=10,"C","D"))))</f>
        <v/>
      </c>
      <c r="H890" s="28"/>
      <c r="I890" s="27"/>
      <c r="J890" s="26"/>
      <c r="K890" s="27"/>
      <c r="L890" s="27"/>
      <c r="M890" s="27"/>
      <c r="N890" s="27"/>
      <c r="O890" s="31" t="str">
        <f aca="false">IF(G890="","",VLOOKUP(G890,Setup!$A$14:$C$17,3,0))</f>
        <v/>
      </c>
      <c r="P890" s="27"/>
      <c r="Q890" s="33" t="str">
        <f aca="false">IF(OR(P890="",M890&lt;&gt;"Paid",O890=""),"",P890/O890)</f>
        <v/>
      </c>
      <c r="R890" s="34" t="str">
        <f aca="false">IF(Q890="","",Q890+N(H890)*0.000000001)</f>
        <v/>
      </c>
      <c r="S890" s="32" t="str">
        <f aca="false">IF(R890="","",SUMPRODUCT((I$5:I$4004=I890)*ISNUMBER(R$5:R$4004)*(R$5:R$4004&gt;R890))+1)</f>
        <v/>
      </c>
      <c r="T890" s="32" t="str">
        <f aca="false">IF(S890="","",IF(S890&lt;=Setup!$B$5,"🏆 WINNER",""))</f>
        <v/>
      </c>
      <c r="U890" s="31" t="str">
        <f aca="false">IF(S890="","",I890&amp;"|"&amp;S890)</f>
        <v/>
      </c>
    </row>
    <row r="891" customFormat="false" ht="15" hidden="false" customHeight="false" outlineLevel="0" collapsed="false">
      <c r="A891" s="24" t="n">
        <v>887</v>
      </c>
      <c r="B891" s="25" t="str">
        <f aca="false">IF(OR(C891="",I891="",G891=""),"",IFERROR(VLOOKUP(I891,Setup!$A$9:$B$11,2,0),"???")&amp;"-"&amp;G891&amp;"-"&amp;TEXT(COUNTIFS(I$5:I891,I891,G$5:G891,G891),"0000"))</f>
        <v/>
      </c>
      <c r="C891" s="26"/>
      <c r="D891" s="26"/>
      <c r="E891" s="27"/>
      <c r="F891" s="27"/>
      <c r="G891" s="24" t="str">
        <f aca="false">IF(F891="","",IF(F891&lt;=5,"A",IF(F891&lt;=8,"B",IF(F891&lt;=10,"C","D"))))</f>
        <v/>
      </c>
      <c r="H891" s="28"/>
      <c r="I891" s="27"/>
      <c r="J891" s="26"/>
      <c r="K891" s="27"/>
      <c r="L891" s="27"/>
      <c r="M891" s="27"/>
      <c r="N891" s="27"/>
      <c r="O891" s="24" t="str">
        <f aca="false">IF(G891="","",VLOOKUP(G891,Setup!$A$14:$C$17,3,0))</f>
        <v/>
      </c>
      <c r="P891" s="27"/>
      <c r="Q891" s="29" t="str">
        <f aca="false">IF(OR(P891="",M891&lt;&gt;"Paid",O891=""),"",P891/O891)</f>
        <v/>
      </c>
      <c r="R891" s="30" t="str">
        <f aca="false">IF(Q891="","",Q891+N(H891)*0.000000001)</f>
        <v/>
      </c>
      <c r="S891" s="25" t="str">
        <f aca="false">IF(R891="","",SUMPRODUCT((I$5:I$4004=I891)*ISNUMBER(R$5:R$4004)*(R$5:R$4004&gt;R891))+1)</f>
        <v/>
      </c>
      <c r="T891" s="25" t="str">
        <f aca="false">IF(S891="","",IF(S891&lt;=Setup!$B$5,"🏆 WINNER",""))</f>
        <v/>
      </c>
      <c r="U891" s="24" t="str">
        <f aca="false">IF(S891="","",I891&amp;"|"&amp;S891)</f>
        <v/>
      </c>
    </row>
    <row r="892" customFormat="false" ht="15" hidden="false" customHeight="false" outlineLevel="0" collapsed="false">
      <c r="A892" s="31" t="n">
        <v>888</v>
      </c>
      <c r="B892" s="32" t="str">
        <f aca="false">IF(OR(C892="",I892="",G892=""),"",IFERROR(VLOOKUP(I892,Setup!$A$9:$B$11,2,0),"???")&amp;"-"&amp;G892&amp;"-"&amp;TEXT(COUNTIFS(I$5:I892,I892,G$5:G892,G892),"0000"))</f>
        <v/>
      </c>
      <c r="C892" s="26"/>
      <c r="D892" s="26"/>
      <c r="E892" s="27"/>
      <c r="F892" s="27"/>
      <c r="G892" s="31" t="str">
        <f aca="false">IF(F892="","",IF(F892&lt;=5,"A",IF(F892&lt;=8,"B",IF(F892&lt;=10,"C","D"))))</f>
        <v/>
      </c>
      <c r="H892" s="28"/>
      <c r="I892" s="27"/>
      <c r="J892" s="26"/>
      <c r="K892" s="27"/>
      <c r="L892" s="27"/>
      <c r="M892" s="27"/>
      <c r="N892" s="27"/>
      <c r="O892" s="31" t="str">
        <f aca="false">IF(G892="","",VLOOKUP(G892,Setup!$A$14:$C$17,3,0))</f>
        <v/>
      </c>
      <c r="P892" s="27"/>
      <c r="Q892" s="33" t="str">
        <f aca="false">IF(OR(P892="",M892&lt;&gt;"Paid",O892=""),"",P892/O892)</f>
        <v/>
      </c>
      <c r="R892" s="34" t="str">
        <f aca="false">IF(Q892="","",Q892+N(H892)*0.000000001)</f>
        <v/>
      </c>
      <c r="S892" s="32" t="str">
        <f aca="false">IF(R892="","",SUMPRODUCT((I$5:I$4004=I892)*ISNUMBER(R$5:R$4004)*(R$5:R$4004&gt;R892))+1)</f>
        <v/>
      </c>
      <c r="T892" s="32" t="str">
        <f aca="false">IF(S892="","",IF(S892&lt;=Setup!$B$5,"🏆 WINNER",""))</f>
        <v/>
      </c>
      <c r="U892" s="31" t="str">
        <f aca="false">IF(S892="","",I892&amp;"|"&amp;S892)</f>
        <v/>
      </c>
    </row>
    <row r="893" customFormat="false" ht="15" hidden="false" customHeight="false" outlineLevel="0" collapsed="false">
      <c r="A893" s="24" t="n">
        <v>889</v>
      </c>
      <c r="B893" s="25" t="str">
        <f aca="false">IF(OR(C893="",I893="",G893=""),"",IFERROR(VLOOKUP(I893,Setup!$A$9:$B$11,2,0),"???")&amp;"-"&amp;G893&amp;"-"&amp;TEXT(COUNTIFS(I$5:I893,I893,G$5:G893,G893),"0000"))</f>
        <v/>
      </c>
      <c r="C893" s="26"/>
      <c r="D893" s="26"/>
      <c r="E893" s="27"/>
      <c r="F893" s="27"/>
      <c r="G893" s="24" t="str">
        <f aca="false">IF(F893="","",IF(F893&lt;=5,"A",IF(F893&lt;=8,"B",IF(F893&lt;=10,"C","D"))))</f>
        <v/>
      </c>
      <c r="H893" s="28"/>
      <c r="I893" s="27"/>
      <c r="J893" s="26"/>
      <c r="K893" s="27"/>
      <c r="L893" s="27"/>
      <c r="M893" s="27"/>
      <c r="N893" s="27"/>
      <c r="O893" s="24" t="str">
        <f aca="false">IF(G893="","",VLOOKUP(G893,Setup!$A$14:$C$17,3,0))</f>
        <v/>
      </c>
      <c r="P893" s="27"/>
      <c r="Q893" s="29" t="str">
        <f aca="false">IF(OR(P893="",M893&lt;&gt;"Paid",O893=""),"",P893/O893)</f>
        <v/>
      </c>
      <c r="R893" s="30" t="str">
        <f aca="false">IF(Q893="","",Q893+N(H893)*0.000000001)</f>
        <v/>
      </c>
      <c r="S893" s="25" t="str">
        <f aca="false">IF(R893="","",SUMPRODUCT((I$5:I$4004=I893)*ISNUMBER(R$5:R$4004)*(R$5:R$4004&gt;R893))+1)</f>
        <v/>
      </c>
      <c r="T893" s="25" t="str">
        <f aca="false">IF(S893="","",IF(S893&lt;=Setup!$B$5,"🏆 WINNER",""))</f>
        <v/>
      </c>
      <c r="U893" s="24" t="str">
        <f aca="false">IF(S893="","",I893&amp;"|"&amp;S893)</f>
        <v/>
      </c>
    </row>
    <row r="894" customFormat="false" ht="15" hidden="false" customHeight="false" outlineLevel="0" collapsed="false">
      <c r="A894" s="31" t="n">
        <v>890</v>
      </c>
      <c r="B894" s="32" t="str">
        <f aca="false">IF(OR(C894="",I894="",G894=""),"",IFERROR(VLOOKUP(I894,Setup!$A$9:$B$11,2,0),"???")&amp;"-"&amp;G894&amp;"-"&amp;TEXT(COUNTIFS(I$5:I894,I894,G$5:G894,G894),"0000"))</f>
        <v/>
      </c>
      <c r="C894" s="26"/>
      <c r="D894" s="26"/>
      <c r="E894" s="27"/>
      <c r="F894" s="27"/>
      <c r="G894" s="31" t="str">
        <f aca="false">IF(F894="","",IF(F894&lt;=5,"A",IF(F894&lt;=8,"B",IF(F894&lt;=10,"C","D"))))</f>
        <v/>
      </c>
      <c r="H894" s="28"/>
      <c r="I894" s="27"/>
      <c r="J894" s="26"/>
      <c r="K894" s="27"/>
      <c r="L894" s="27"/>
      <c r="M894" s="27"/>
      <c r="N894" s="27"/>
      <c r="O894" s="31" t="str">
        <f aca="false">IF(G894="","",VLOOKUP(G894,Setup!$A$14:$C$17,3,0))</f>
        <v/>
      </c>
      <c r="P894" s="27"/>
      <c r="Q894" s="33" t="str">
        <f aca="false">IF(OR(P894="",M894&lt;&gt;"Paid",O894=""),"",P894/O894)</f>
        <v/>
      </c>
      <c r="R894" s="34" t="str">
        <f aca="false">IF(Q894="","",Q894+N(H894)*0.000000001)</f>
        <v/>
      </c>
      <c r="S894" s="32" t="str">
        <f aca="false">IF(R894="","",SUMPRODUCT((I$5:I$4004=I894)*ISNUMBER(R$5:R$4004)*(R$5:R$4004&gt;R894))+1)</f>
        <v/>
      </c>
      <c r="T894" s="32" t="str">
        <f aca="false">IF(S894="","",IF(S894&lt;=Setup!$B$5,"🏆 WINNER",""))</f>
        <v/>
      </c>
      <c r="U894" s="31" t="str">
        <f aca="false">IF(S894="","",I894&amp;"|"&amp;S894)</f>
        <v/>
      </c>
    </row>
    <row r="895" customFormat="false" ht="15" hidden="false" customHeight="false" outlineLevel="0" collapsed="false">
      <c r="A895" s="24" t="n">
        <v>891</v>
      </c>
      <c r="B895" s="25" t="str">
        <f aca="false">IF(OR(C895="",I895="",G895=""),"",IFERROR(VLOOKUP(I895,Setup!$A$9:$B$11,2,0),"???")&amp;"-"&amp;G895&amp;"-"&amp;TEXT(COUNTIFS(I$5:I895,I895,G$5:G895,G895),"0000"))</f>
        <v/>
      </c>
      <c r="C895" s="26"/>
      <c r="D895" s="26"/>
      <c r="E895" s="27"/>
      <c r="F895" s="27"/>
      <c r="G895" s="24" t="str">
        <f aca="false">IF(F895="","",IF(F895&lt;=5,"A",IF(F895&lt;=8,"B",IF(F895&lt;=10,"C","D"))))</f>
        <v/>
      </c>
      <c r="H895" s="28"/>
      <c r="I895" s="27"/>
      <c r="J895" s="26"/>
      <c r="K895" s="27"/>
      <c r="L895" s="27"/>
      <c r="M895" s="27"/>
      <c r="N895" s="27"/>
      <c r="O895" s="24" t="str">
        <f aca="false">IF(G895="","",VLOOKUP(G895,Setup!$A$14:$C$17,3,0))</f>
        <v/>
      </c>
      <c r="P895" s="27"/>
      <c r="Q895" s="29" t="str">
        <f aca="false">IF(OR(P895="",M895&lt;&gt;"Paid",O895=""),"",P895/O895)</f>
        <v/>
      </c>
      <c r="R895" s="30" t="str">
        <f aca="false">IF(Q895="","",Q895+N(H895)*0.000000001)</f>
        <v/>
      </c>
      <c r="S895" s="25" t="str">
        <f aca="false">IF(R895="","",SUMPRODUCT((I$5:I$4004=I895)*ISNUMBER(R$5:R$4004)*(R$5:R$4004&gt;R895))+1)</f>
        <v/>
      </c>
      <c r="T895" s="25" t="str">
        <f aca="false">IF(S895="","",IF(S895&lt;=Setup!$B$5,"🏆 WINNER",""))</f>
        <v/>
      </c>
      <c r="U895" s="24" t="str">
        <f aca="false">IF(S895="","",I895&amp;"|"&amp;S895)</f>
        <v/>
      </c>
    </row>
    <row r="896" customFormat="false" ht="15" hidden="false" customHeight="false" outlineLevel="0" collapsed="false">
      <c r="A896" s="31" t="n">
        <v>892</v>
      </c>
      <c r="B896" s="32" t="str">
        <f aca="false">IF(OR(C896="",I896="",G896=""),"",IFERROR(VLOOKUP(I896,Setup!$A$9:$B$11,2,0),"???")&amp;"-"&amp;G896&amp;"-"&amp;TEXT(COUNTIFS(I$5:I896,I896,G$5:G896,G896),"0000"))</f>
        <v/>
      </c>
      <c r="C896" s="26"/>
      <c r="D896" s="26"/>
      <c r="E896" s="27"/>
      <c r="F896" s="27"/>
      <c r="G896" s="31" t="str">
        <f aca="false">IF(F896="","",IF(F896&lt;=5,"A",IF(F896&lt;=8,"B",IF(F896&lt;=10,"C","D"))))</f>
        <v/>
      </c>
      <c r="H896" s="28"/>
      <c r="I896" s="27"/>
      <c r="J896" s="26"/>
      <c r="K896" s="27"/>
      <c r="L896" s="27"/>
      <c r="M896" s="27"/>
      <c r="N896" s="27"/>
      <c r="O896" s="31" t="str">
        <f aca="false">IF(G896="","",VLOOKUP(G896,Setup!$A$14:$C$17,3,0))</f>
        <v/>
      </c>
      <c r="P896" s="27"/>
      <c r="Q896" s="33" t="str">
        <f aca="false">IF(OR(P896="",M896&lt;&gt;"Paid",O896=""),"",P896/O896)</f>
        <v/>
      </c>
      <c r="R896" s="34" t="str">
        <f aca="false">IF(Q896="","",Q896+N(H896)*0.000000001)</f>
        <v/>
      </c>
      <c r="S896" s="32" t="str">
        <f aca="false">IF(R896="","",SUMPRODUCT((I$5:I$4004=I896)*ISNUMBER(R$5:R$4004)*(R$5:R$4004&gt;R896))+1)</f>
        <v/>
      </c>
      <c r="T896" s="32" t="str">
        <f aca="false">IF(S896="","",IF(S896&lt;=Setup!$B$5,"🏆 WINNER",""))</f>
        <v/>
      </c>
      <c r="U896" s="31" t="str">
        <f aca="false">IF(S896="","",I896&amp;"|"&amp;S896)</f>
        <v/>
      </c>
    </row>
    <row r="897" customFormat="false" ht="15" hidden="false" customHeight="false" outlineLevel="0" collapsed="false">
      <c r="A897" s="24" t="n">
        <v>893</v>
      </c>
      <c r="B897" s="25" t="str">
        <f aca="false">IF(OR(C897="",I897="",G897=""),"",IFERROR(VLOOKUP(I897,Setup!$A$9:$B$11,2,0),"???")&amp;"-"&amp;G897&amp;"-"&amp;TEXT(COUNTIFS(I$5:I897,I897,G$5:G897,G897),"0000"))</f>
        <v/>
      </c>
      <c r="C897" s="26"/>
      <c r="D897" s="26"/>
      <c r="E897" s="27"/>
      <c r="F897" s="27"/>
      <c r="G897" s="24" t="str">
        <f aca="false">IF(F897="","",IF(F897&lt;=5,"A",IF(F897&lt;=8,"B",IF(F897&lt;=10,"C","D"))))</f>
        <v/>
      </c>
      <c r="H897" s="28"/>
      <c r="I897" s="27"/>
      <c r="J897" s="26"/>
      <c r="K897" s="27"/>
      <c r="L897" s="27"/>
      <c r="M897" s="27"/>
      <c r="N897" s="27"/>
      <c r="O897" s="24" t="str">
        <f aca="false">IF(G897="","",VLOOKUP(G897,Setup!$A$14:$C$17,3,0))</f>
        <v/>
      </c>
      <c r="P897" s="27"/>
      <c r="Q897" s="29" t="str">
        <f aca="false">IF(OR(P897="",M897&lt;&gt;"Paid",O897=""),"",P897/O897)</f>
        <v/>
      </c>
      <c r="R897" s="30" t="str">
        <f aca="false">IF(Q897="","",Q897+N(H897)*0.000000001)</f>
        <v/>
      </c>
      <c r="S897" s="25" t="str">
        <f aca="false">IF(R897="","",SUMPRODUCT((I$5:I$4004=I897)*ISNUMBER(R$5:R$4004)*(R$5:R$4004&gt;R897))+1)</f>
        <v/>
      </c>
      <c r="T897" s="25" t="str">
        <f aca="false">IF(S897="","",IF(S897&lt;=Setup!$B$5,"🏆 WINNER",""))</f>
        <v/>
      </c>
      <c r="U897" s="24" t="str">
        <f aca="false">IF(S897="","",I897&amp;"|"&amp;S897)</f>
        <v/>
      </c>
    </row>
    <row r="898" customFormat="false" ht="15" hidden="false" customHeight="false" outlineLevel="0" collapsed="false">
      <c r="A898" s="31" t="n">
        <v>894</v>
      </c>
      <c r="B898" s="32" t="str">
        <f aca="false">IF(OR(C898="",I898="",G898=""),"",IFERROR(VLOOKUP(I898,Setup!$A$9:$B$11,2,0),"???")&amp;"-"&amp;G898&amp;"-"&amp;TEXT(COUNTIFS(I$5:I898,I898,G$5:G898,G898),"0000"))</f>
        <v/>
      </c>
      <c r="C898" s="26"/>
      <c r="D898" s="26"/>
      <c r="E898" s="27"/>
      <c r="F898" s="27"/>
      <c r="G898" s="31" t="str">
        <f aca="false">IF(F898="","",IF(F898&lt;=5,"A",IF(F898&lt;=8,"B",IF(F898&lt;=10,"C","D"))))</f>
        <v/>
      </c>
      <c r="H898" s="28"/>
      <c r="I898" s="27"/>
      <c r="J898" s="26"/>
      <c r="K898" s="27"/>
      <c r="L898" s="27"/>
      <c r="M898" s="27"/>
      <c r="N898" s="27"/>
      <c r="O898" s="31" t="str">
        <f aca="false">IF(G898="","",VLOOKUP(G898,Setup!$A$14:$C$17,3,0))</f>
        <v/>
      </c>
      <c r="P898" s="27"/>
      <c r="Q898" s="33" t="str">
        <f aca="false">IF(OR(P898="",M898&lt;&gt;"Paid",O898=""),"",P898/O898)</f>
        <v/>
      </c>
      <c r="R898" s="34" t="str">
        <f aca="false">IF(Q898="","",Q898+N(H898)*0.000000001)</f>
        <v/>
      </c>
      <c r="S898" s="32" t="str">
        <f aca="false">IF(R898="","",SUMPRODUCT((I$5:I$4004=I898)*ISNUMBER(R$5:R$4004)*(R$5:R$4004&gt;R898))+1)</f>
        <v/>
      </c>
      <c r="T898" s="32" t="str">
        <f aca="false">IF(S898="","",IF(S898&lt;=Setup!$B$5,"🏆 WINNER",""))</f>
        <v/>
      </c>
      <c r="U898" s="31" t="str">
        <f aca="false">IF(S898="","",I898&amp;"|"&amp;S898)</f>
        <v/>
      </c>
    </row>
    <row r="899" customFormat="false" ht="15" hidden="false" customHeight="false" outlineLevel="0" collapsed="false">
      <c r="A899" s="24" t="n">
        <v>895</v>
      </c>
      <c r="B899" s="25" t="str">
        <f aca="false">IF(OR(C899="",I899="",G899=""),"",IFERROR(VLOOKUP(I899,Setup!$A$9:$B$11,2,0),"???")&amp;"-"&amp;G899&amp;"-"&amp;TEXT(COUNTIFS(I$5:I899,I899,G$5:G899,G899),"0000"))</f>
        <v/>
      </c>
      <c r="C899" s="26"/>
      <c r="D899" s="26"/>
      <c r="E899" s="27"/>
      <c r="F899" s="27"/>
      <c r="G899" s="24" t="str">
        <f aca="false">IF(F899="","",IF(F899&lt;=5,"A",IF(F899&lt;=8,"B",IF(F899&lt;=10,"C","D"))))</f>
        <v/>
      </c>
      <c r="H899" s="28"/>
      <c r="I899" s="27"/>
      <c r="J899" s="26"/>
      <c r="K899" s="27"/>
      <c r="L899" s="27"/>
      <c r="M899" s="27"/>
      <c r="N899" s="27"/>
      <c r="O899" s="24" t="str">
        <f aca="false">IF(G899="","",VLOOKUP(G899,Setup!$A$14:$C$17,3,0))</f>
        <v/>
      </c>
      <c r="P899" s="27"/>
      <c r="Q899" s="29" t="str">
        <f aca="false">IF(OR(P899="",M899&lt;&gt;"Paid",O899=""),"",P899/O899)</f>
        <v/>
      </c>
      <c r="R899" s="30" t="str">
        <f aca="false">IF(Q899="","",Q899+N(H899)*0.000000001)</f>
        <v/>
      </c>
      <c r="S899" s="25" t="str">
        <f aca="false">IF(R899="","",SUMPRODUCT((I$5:I$4004=I899)*ISNUMBER(R$5:R$4004)*(R$5:R$4004&gt;R899))+1)</f>
        <v/>
      </c>
      <c r="T899" s="25" t="str">
        <f aca="false">IF(S899="","",IF(S899&lt;=Setup!$B$5,"🏆 WINNER",""))</f>
        <v/>
      </c>
      <c r="U899" s="24" t="str">
        <f aca="false">IF(S899="","",I899&amp;"|"&amp;S899)</f>
        <v/>
      </c>
    </row>
    <row r="900" customFormat="false" ht="15" hidden="false" customHeight="false" outlineLevel="0" collapsed="false">
      <c r="A900" s="31" t="n">
        <v>896</v>
      </c>
      <c r="B900" s="32" t="str">
        <f aca="false">IF(OR(C900="",I900="",G900=""),"",IFERROR(VLOOKUP(I900,Setup!$A$9:$B$11,2,0),"???")&amp;"-"&amp;G900&amp;"-"&amp;TEXT(COUNTIFS(I$5:I900,I900,G$5:G900,G900),"0000"))</f>
        <v/>
      </c>
      <c r="C900" s="26"/>
      <c r="D900" s="26"/>
      <c r="E900" s="27"/>
      <c r="F900" s="27"/>
      <c r="G900" s="31" t="str">
        <f aca="false">IF(F900="","",IF(F900&lt;=5,"A",IF(F900&lt;=8,"B",IF(F900&lt;=10,"C","D"))))</f>
        <v/>
      </c>
      <c r="H900" s="28"/>
      <c r="I900" s="27"/>
      <c r="J900" s="26"/>
      <c r="K900" s="27"/>
      <c r="L900" s="27"/>
      <c r="M900" s="27"/>
      <c r="N900" s="27"/>
      <c r="O900" s="31" t="str">
        <f aca="false">IF(G900="","",VLOOKUP(G900,Setup!$A$14:$C$17,3,0))</f>
        <v/>
      </c>
      <c r="P900" s="27"/>
      <c r="Q900" s="33" t="str">
        <f aca="false">IF(OR(P900="",M900&lt;&gt;"Paid",O900=""),"",P900/O900)</f>
        <v/>
      </c>
      <c r="R900" s="34" t="str">
        <f aca="false">IF(Q900="","",Q900+N(H900)*0.000000001)</f>
        <v/>
      </c>
      <c r="S900" s="32" t="str">
        <f aca="false">IF(R900="","",SUMPRODUCT((I$5:I$4004=I900)*ISNUMBER(R$5:R$4004)*(R$5:R$4004&gt;R900))+1)</f>
        <v/>
      </c>
      <c r="T900" s="32" t="str">
        <f aca="false">IF(S900="","",IF(S900&lt;=Setup!$B$5,"🏆 WINNER",""))</f>
        <v/>
      </c>
      <c r="U900" s="31" t="str">
        <f aca="false">IF(S900="","",I900&amp;"|"&amp;S900)</f>
        <v/>
      </c>
    </row>
    <row r="901" customFormat="false" ht="15" hidden="false" customHeight="false" outlineLevel="0" collapsed="false">
      <c r="A901" s="24" t="n">
        <v>897</v>
      </c>
      <c r="B901" s="25" t="str">
        <f aca="false">IF(OR(C901="",I901="",G901=""),"",IFERROR(VLOOKUP(I901,Setup!$A$9:$B$11,2,0),"???")&amp;"-"&amp;G901&amp;"-"&amp;TEXT(COUNTIFS(I$5:I901,I901,G$5:G901,G901),"0000"))</f>
        <v/>
      </c>
      <c r="C901" s="26"/>
      <c r="D901" s="26"/>
      <c r="E901" s="27"/>
      <c r="F901" s="27"/>
      <c r="G901" s="24" t="str">
        <f aca="false">IF(F901="","",IF(F901&lt;=5,"A",IF(F901&lt;=8,"B",IF(F901&lt;=10,"C","D"))))</f>
        <v/>
      </c>
      <c r="H901" s="28"/>
      <c r="I901" s="27"/>
      <c r="J901" s="26"/>
      <c r="K901" s="27"/>
      <c r="L901" s="27"/>
      <c r="M901" s="27"/>
      <c r="N901" s="27"/>
      <c r="O901" s="24" t="str">
        <f aca="false">IF(G901="","",VLOOKUP(G901,Setup!$A$14:$C$17,3,0))</f>
        <v/>
      </c>
      <c r="P901" s="27"/>
      <c r="Q901" s="29" t="str">
        <f aca="false">IF(OR(P901="",M901&lt;&gt;"Paid",O901=""),"",P901/O901)</f>
        <v/>
      </c>
      <c r="R901" s="30" t="str">
        <f aca="false">IF(Q901="","",Q901+N(H901)*0.000000001)</f>
        <v/>
      </c>
      <c r="S901" s="25" t="str">
        <f aca="false">IF(R901="","",SUMPRODUCT((I$5:I$4004=I901)*ISNUMBER(R$5:R$4004)*(R$5:R$4004&gt;R901))+1)</f>
        <v/>
      </c>
      <c r="T901" s="25" t="str">
        <f aca="false">IF(S901="","",IF(S901&lt;=Setup!$B$5,"🏆 WINNER",""))</f>
        <v/>
      </c>
      <c r="U901" s="24" t="str">
        <f aca="false">IF(S901="","",I901&amp;"|"&amp;S901)</f>
        <v/>
      </c>
    </row>
    <row r="902" customFormat="false" ht="15" hidden="false" customHeight="false" outlineLevel="0" collapsed="false">
      <c r="A902" s="31" t="n">
        <v>898</v>
      </c>
      <c r="B902" s="32" t="str">
        <f aca="false">IF(OR(C902="",I902="",G902=""),"",IFERROR(VLOOKUP(I902,Setup!$A$9:$B$11,2,0),"???")&amp;"-"&amp;G902&amp;"-"&amp;TEXT(COUNTIFS(I$5:I902,I902,G$5:G902,G902),"0000"))</f>
        <v/>
      </c>
      <c r="C902" s="26"/>
      <c r="D902" s="26"/>
      <c r="E902" s="27"/>
      <c r="F902" s="27"/>
      <c r="G902" s="31" t="str">
        <f aca="false">IF(F902="","",IF(F902&lt;=5,"A",IF(F902&lt;=8,"B",IF(F902&lt;=10,"C","D"))))</f>
        <v/>
      </c>
      <c r="H902" s="28"/>
      <c r="I902" s="27"/>
      <c r="J902" s="26"/>
      <c r="K902" s="27"/>
      <c r="L902" s="27"/>
      <c r="M902" s="27"/>
      <c r="N902" s="27"/>
      <c r="O902" s="31" t="str">
        <f aca="false">IF(G902="","",VLOOKUP(G902,Setup!$A$14:$C$17,3,0))</f>
        <v/>
      </c>
      <c r="P902" s="27"/>
      <c r="Q902" s="33" t="str">
        <f aca="false">IF(OR(P902="",M902&lt;&gt;"Paid",O902=""),"",P902/O902)</f>
        <v/>
      </c>
      <c r="R902" s="34" t="str">
        <f aca="false">IF(Q902="","",Q902+N(H902)*0.000000001)</f>
        <v/>
      </c>
      <c r="S902" s="32" t="str">
        <f aca="false">IF(R902="","",SUMPRODUCT((I$5:I$4004=I902)*ISNUMBER(R$5:R$4004)*(R$5:R$4004&gt;R902))+1)</f>
        <v/>
      </c>
      <c r="T902" s="32" t="str">
        <f aca="false">IF(S902="","",IF(S902&lt;=Setup!$B$5,"🏆 WINNER",""))</f>
        <v/>
      </c>
      <c r="U902" s="31" t="str">
        <f aca="false">IF(S902="","",I902&amp;"|"&amp;S902)</f>
        <v/>
      </c>
    </row>
    <row r="903" customFormat="false" ht="15" hidden="false" customHeight="false" outlineLevel="0" collapsed="false">
      <c r="A903" s="24" t="n">
        <v>899</v>
      </c>
      <c r="B903" s="25" t="str">
        <f aca="false">IF(OR(C903="",I903="",G903=""),"",IFERROR(VLOOKUP(I903,Setup!$A$9:$B$11,2,0),"???")&amp;"-"&amp;G903&amp;"-"&amp;TEXT(COUNTIFS(I$5:I903,I903,G$5:G903,G903),"0000"))</f>
        <v/>
      </c>
      <c r="C903" s="26"/>
      <c r="D903" s="26"/>
      <c r="E903" s="27"/>
      <c r="F903" s="27"/>
      <c r="G903" s="24" t="str">
        <f aca="false">IF(F903="","",IF(F903&lt;=5,"A",IF(F903&lt;=8,"B",IF(F903&lt;=10,"C","D"))))</f>
        <v/>
      </c>
      <c r="H903" s="28"/>
      <c r="I903" s="27"/>
      <c r="J903" s="26"/>
      <c r="K903" s="27"/>
      <c r="L903" s="27"/>
      <c r="M903" s="27"/>
      <c r="N903" s="27"/>
      <c r="O903" s="24" t="str">
        <f aca="false">IF(G903="","",VLOOKUP(G903,Setup!$A$14:$C$17,3,0))</f>
        <v/>
      </c>
      <c r="P903" s="27"/>
      <c r="Q903" s="29" t="str">
        <f aca="false">IF(OR(P903="",M903&lt;&gt;"Paid",O903=""),"",P903/O903)</f>
        <v/>
      </c>
      <c r="R903" s="30" t="str">
        <f aca="false">IF(Q903="","",Q903+N(H903)*0.000000001)</f>
        <v/>
      </c>
      <c r="S903" s="25" t="str">
        <f aca="false">IF(R903="","",SUMPRODUCT((I$5:I$4004=I903)*ISNUMBER(R$5:R$4004)*(R$5:R$4004&gt;R903))+1)</f>
        <v/>
      </c>
      <c r="T903" s="25" t="str">
        <f aca="false">IF(S903="","",IF(S903&lt;=Setup!$B$5,"🏆 WINNER",""))</f>
        <v/>
      </c>
      <c r="U903" s="24" t="str">
        <f aca="false">IF(S903="","",I903&amp;"|"&amp;S903)</f>
        <v/>
      </c>
    </row>
    <row r="904" customFormat="false" ht="15" hidden="false" customHeight="false" outlineLevel="0" collapsed="false">
      <c r="A904" s="31" t="n">
        <v>900</v>
      </c>
      <c r="B904" s="32" t="str">
        <f aca="false">IF(OR(C904="",I904="",G904=""),"",IFERROR(VLOOKUP(I904,Setup!$A$9:$B$11,2,0),"???")&amp;"-"&amp;G904&amp;"-"&amp;TEXT(COUNTIFS(I$5:I904,I904,G$5:G904,G904),"0000"))</f>
        <v/>
      </c>
      <c r="C904" s="26"/>
      <c r="D904" s="26"/>
      <c r="E904" s="27"/>
      <c r="F904" s="27"/>
      <c r="G904" s="31" t="str">
        <f aca="false">IF(F904="","",IF(F904&lt;=5,"A",IF(F904&lt;=8,"B",IF(F904&lt;=10,"C","D"))))</f>
        <v/>
      </c>
      <c r="H904" s="28"/>
      <c r="I904" s="27"/>
      <c r="J904" s="26"/>
      <c r="K904" s="27"/>
      <c r="L904" s="27"/>
      <c r="M904" s="27"/>
      <c r="N904" s="27"/>
      <c r="O904" s="31" t="str">
        <f aca="false">IF(G904="","",VLOOKUP(G904,Setup!$A$14:$C$17,3,0))</f>
        <v/>
      </c>
      <c r="P904" s="27"/>
      <c r="Q904" s="33" t="str">
        <f aca="false">IF(OR(P904="",M904&lt;&gt;"Paid",O904=""),"",P904/O904)</f>
        <v/>
      </c>
      <c r="R904" s="34" t="str">
        <f aca="false">IF(Q904="","",Q904+N(H904)*0.000000001)</f>
        <v/>
      </c>
      <c r="S904" s="32" t="str">
        <f aca="false">IF(R904="","",SUMPRODUCT((I$5:I$4004=I904)*ISNUMBER(R$5:R$4004)*(R$5:R$4004&gt;R904))+1)</f>
        <v/>
      </c>
      <c r="T904" s="32" t="str">
        <f aca="false">IF(S904="","",IF(S904&lt;=Setup!$B$5,"🏆 WINNER",""))</f>
        <v/>
      </c>
      <c r="U904" s="31" t="str">
        <f aca="false">IF(S904="","",I904&amp;"|"&amp;S904)</f>
        <v/>
      </c>
    </row>
    <row r="905" customFormat="false" ht="15" hidden="false" customHeight="false" outlineLevel="0" collapsed="false">
      <c r="A905" s="24" t="n">
        <v>901</v>
      </c>
      <c r="B905" s="25" t="str">
        <f aca="false">IF(OR(C905="",I905="",G905=""),"",IFERROR(VLOOKUP(I905,Setup!$A$9:$B$11,2,0),"???")&amp;"-"&amp;G905&amp;"-"&amp;TEXT(COUNTIFS(I$5:I905,I905,G$5:G905,G905),"0000"))</f>
        <v/>
      </c>
      <c r="C905" s="26"/>
      <c r="D905" s="26"/>
      <c r="E905" s="27"/>
      <c r="F905" s="27"/>
      <c r="G905" s="24" t="str">
        <f aca="false">IF(F905="","",IF(F905&lt;=5,"A",IF(F905&lt;=8,"B",IF(F905&lt;=10,"C","D"))))</f>
        <v/>
      </c>
      <c r="H905" s="28"/>
      <c r="I905" s="27"/>
      <c r="J905" s="26"/>
      <c r="K905" s="27"/>
      <c r="L905" s="27"/>
      <c r="M905" s="27"/>
      <c r="N905" s="27"/>
      <c r="O905" s="24" t="str">
        <f aca="false">IF(G905="","",VLOOKUP(G905,Setup!$A$14:$C$17,3,0))</f>
        <v/>
      </c>
      <c r="P905" s="27"/>
      <c r="Q905" s="29" t="str">
        <f aca="false">IF(OR(P905="",M905&lt;&gt;"Paid",O905=""),"",P905/O905)</f>
        <v/>
      </c>
      <c r="R905" s="30" t="str">
        <f aca="false">IF(Q905="","",Q905+N(H905)*0.000000001)</f>
        <v/>
      </c>
      <c r="S905" s="25" t="str">
        <f aca="false">IF(R905="","",SUMPRODUCT((I$5:I$4004=I905)*ISNUMBER(R$5:R$4004)*(R$5:R$4004&gt;R905))+1)</f>
        <v/>
      </c>
      <c r="T905" s="25" t="str">
        <f aca="false">IF(S905="","",IF(S905&lt;=Setup!$B$5,"🏆 WINNER",""))</f>
        <v/>
      </c>
      <c r="U905" s="24" t="str">
        <f aca="false">IF(S905="","",I905&amp;"|"&amp;S905)</f>
        <v/>
      </c>
    </row>
    <row r="906" customFormat="false" ht="15" hidden="false" customHeight="false" outlineLevel="0" collapsed="false">
      <c r="A906" s="31" t="n">
        <v>902</v>
      </c>
      <c r="B906" s="32" t="str">
        <f aca="false">IF(OR(C906="",I906="",G906=""),"",IFERROR(VLOOKUP(I906,Setup!$A$9:$B$11,2,0),"???")&amp;"-"&amp;G906&amp;"-"&amp;TEXT(COUNTIFS(I$5:I906,I906,G$5:G906,G906),"0000"))</f>
        <v/>
      </c>
      <c r="C906" s="26"/>
      <c r="D906" s="26"/>
      <c r="E906" s="27"/>
      <c r="F906" s="27"/>
      <c r="G906" s="31" t="str">
        <f aca="false">IF(F906="","",IF(F906&lt;=5,"A",IF(F906&lt;=8,"B",IF(F906&lt;=10,"C","D"))))</f>
        <v/>
      </c>
      <c r="H906" s="28"/>
      <c r="I906" s="27"/>
      <c r="J906" s="26"/>
      <c r="K906" s="27"/>
      <c r="L906" s="27"/>
      <c r="M906" s="27"/>
      <c r="N906" s="27"/>
      <c r="O906" s="31" t="str">
        <f aca="false">IF(G906="","",VLOOKUP(G906,Setup!$A$14:$C$17,3,0))</f>
        <v/>
      </c>
      <c r="P906" s="27"/>
      <c r="Q906" s="33" t="str">
        <f aca="false">IF(OR(P906="",M906&lt;&gt;"Paid",O906=""),"",P906/O906)</f>
        <v/>
      </c>
      <c r="R906" s="34" t="str">
        <f aca="false">IF(Q906="","",Q906+N(H906)*0.000000001)</f>
        <v/>
      </c>
      <c r="S906" s="32" t="str">
        <f aca="false">IF(R906="","",SUMPRODUCT((I$5:I$4004=I906)*ISNUMBER(R$5:R$4004)*(R$5:R$4004&gt;R906))+1)</f>
        <v/>
      </c>
      <c r="T906" s="32" t="str">
        <f aca="false">IF(S906="","",IF(S906&lt;=Setup!$B$5,"🏆 WINNER",""))</f>
        <v/>
      </c>
      <c r="U906" s="31" t="str">
        <f aca="false">IF(S906="","",I906&amp;"|"&amp;S906)</f>
        <v/>
      </c>
    </row>
    <row r="907" customFormat="false" ht="15" hidden="false" customHeight="false" outlineLevel="0" collapsed="false">
      <c r="A907" s="24" t="n">
        <v>903</v>
      </c>
      <c r="B907" s="25" t="str">
        <f aca="false">IF(OR(C907="",I907="",G907=""),"",IFERROR(VLOOKUP(I907,Setup!$A$9:$B$11,2,0),"???")&amp;"-"&amp;G907&amp;"-"&amp;TEXT(COUNTIFS(I$5:I907,I907,G$5:G907,G907),"0000"))</f>
        <v/>
      </c>
      <c r="C907" s="26"/>
      <c r="D907" s="26"/>
      <c r="E907" s="27"/>
      <c r="F907" s="27"/>
      <c r="G907" s="24" t="str">
        <f aca="false">IF(F907="","",IF(F907&lt;=5,"A",IF(F907&lt;=8,"B",IF(F907&lt;=10,"C","D"))))</f>
        <v/>
      </c>
      <c r="H907" s="28"/>
      <c r="I907" s="27"/>
      <c r="J907" s="26"/>
      <c r="K907" s="27"/>
      <c r="L907" s="27"/>
      <c r="M907" s="27"/>
      <c r="N907" s="27"/>
      <c r="O907" s="24" t="str">
        <f aca="false">IF(G907="","",VLOOKUP(G907,Setup!$A$14:$C$17,3,0))</f>
        <v/>
      </c>
      <c r="P907" s="27"/>
      <c r="Q907" s="29" t="str">
        <f aca="false">IF(OR(P907="",M907&lt;&gt;"Paid",O907=""),"",P907/O907)</f>
        <v/>
      </c>
      <c r="R907" s="30" t="str">
        <f aca="false">IF(Q907="","",Q907+N(H907)*0.000000001)</f>
        <v/>
      </c>
      <c r="S907" s="25" t="str">
        <f aca="false">IF(R907="","",SUMPRODUCT((I$5:I$4004=I907)*ISNUMBER(R$5:R$4004)*(R$5:R$4004&gt;R907))+1)</f>
        <v/>
      </c>
      <c r="T907" s="25" t="str">
        <f aca="false">IF(S907="","",IF(S907&lt;=Setup!$B$5,"🏆 WINNER",""))</f>
        <v/>
      </c>
      <c r="U907" s="24" t="str">
        <f aca="false">IF(S907="","",I907&amp;"|"&amp;S907)</f>
        <v/>
      </c>
    </row>
    <row r="908" customFormat="false" ht="15" hidden="false" customHeight="false" outlineLevel="0" collapsed="false">
      <c r="A908" s="31" t="n">
        <v>904</v>
      </c>
      <c r="B908" s="32" t="str">
        <f aca="false">IF(OR(C908="",I908="",G908=""),"",IFERROR(VLOOKUP(I908,Setup!$A$9:$B$11,2,0),"???")&amp;"-"&amp;G908&amp;"-"&amp;TEXT(COUNTIFS(I$5:I908,I908,G$5:G908,G908),"0000"))</f>
        <v/>
      </c>
      <c r="C908" s="26"/>
      <c r="D908" s="26"/>
      <c r="E908" s="27"/>
      <c r="F908" s="27"/>
      <c r="G908" s="31" t="str">
        <f aca="false">IF(F908="","",IF(F908&lt;=5,"A",IF(F908&lt;=8,"B",IF(F908&lt;=10,"C","D"))))</f>
        <v/>
      </c>
      <c r="H908" s="28"/>
      <c r="I908" s="27"/>
      <c r="J908" s="26"/>
      <c r="K908" s="27"/>
      <c r="L908" s="27"/>
      <c r="M908" s="27"/>
      <c r="N908" s="27"/>
      <c r="O908" s="31" t="str">
        <f aca="false">IF(G908="","",VLOOKUP(G908,Setup!$A$14:$C$17,3,0))</f>
        <v/>
      </c>
      <c r="P908" s="27"/>
      <c r="Q908" s="33" t="str">
        <f aca="false">IF(OR(P908="",M908&lt;&gt;"Paid",O908=""),"",P908/O908)</f>
        <v/>
      </c>
      <c r="R908" s="34" t="str">
        <f aca="false">IF(Q908="","",Q908+N(H908)*0.000000001)</f>
        <v/>
      </c>
      <c r="S908" s="32" t="str">
        <f aca="false">IF(R908="","",SUMPRODUCT((I$5:I$4004=I908)*ISNUMBER(R$5:R$4004)*(R$5:R$4004&gt;R908))+1)</f>
        <v/>
      </c>
      <c r="T908" s="32" t="str">
        <f aca="false">IF(S908="","",IF(S908&lt;=Setup!$B$5,"🏆 WINNER",""))</f>
        <v/>
      </c>
      <c r="U908" s="31" t="str">
        <f aca="false">IF(S908="","",I908&amp;"|"&amp;S908)</f>
        <v/>
      </c>
    </row>
    <row r="909" customFormat="false" ht="15" hidden="false" customHeight="false" outlineLevel="0" collapsed="false">
      <c r="A909" s="24" t="n">
        <v>905</v>
      </c>
      <c r="B909" s="25" t="str">
        <f aca="false">IF(OR(C909="",I909="",G909=""),"",IFERROR(VLOOKUP(I909,Setup!$A$9:$B$11,2,0),"???")&amp;"-"&amp;G909&amp;"-"&amp;TEXT(COUNTIFS(I$5:I909,I909,G$5:G909,G909),"0000"))</f>
        <v/>
      </c>
      <c r="C909" s="26"/>
      <c r="D909" s="26"/>
      <c r="E909" s="27"/>
      <c r="F909" s="27"/>
      <c r="G909" s="24" t="str">
        <f aca="false">IF(F909="","",IF(F909&lt;=5,"A",IF(F909&lt;=8,"B",IF(F909&lt;=10,"C","D"))))</f>
        <v/>
      </c>
      <c r="H909" s="28"/>
      <c r="I909" s="27"/>
      <c r="J909" s="26"/>
      <c r="K909" s="27"/>
      <c r="L909" s="27"/>
      <c r="M909" s="27"/>
      <c r="N909" s="27"/>
      <c r="O909" s="24" t="str">
        <f aca="false">IF(G909="","",VLOOKUP(G909,Setup!$A$14:$C$17,3,0))</f>
        <v/>
      </c>
      <c r="P909" s="27"/>
      <c r="Q909" s="29" t="str">
        <f aca="false">IF(OR(P909="",M909&lt;&gt;"Paid",O909=""),"",P909/O909)</f>
        <v/>
      </c>
      <c r="R909" s="30" t="str">
        <f aca="false">IF(Q909="","",Q909+N(H909)*0.000000001)</f>
        <v/>
      </c>
      <c r="S909" s="25" t="str">
        <f aca="false">IF(R909="","",SUMPRODUCT((I$5:I$4004=I909)*ISNUMBER(R$5:R$4004)*(R$5:R$4004&gt;R909))+1)</f>
        <v/>
      </c>
      <c r="T909" s="25" t="str">
        <f aca="false">IF(S909="","",IF(S909&lt;=Setup!$B$5,"🏆 WINNER",""))</f>
        <v/>
      </c>
      <c r="U909" s="24" t="str">
        <f aca="false">IF(S909="","",I909&amp;"|"&amp;S909)</f>
        <v/>
      </c>
    </row>
    <row r="910" customFormat="false" ht="15" hidden="false" customHeight="false" outlineLevel="0" collapsed="false">
      <c r="A910" s="31" t="n">
        <v>906</v>
      </c>
      <c r="B910" s="32" t="str">
        <f aca="false">IF(OR(C910="",I910="",G910=""),"",IFERROR(VLOOKUP(I910,Setup!$A$9:$B$11,2,0),"???")&amp;"-"&amp;G910&amp;"-"&amp;TEXT(COUNTIFS(I$5:I910,I910,G$5:G910,G910),"0000"))</f>
        <v/>
      </c>
      <c r="C910" s="26"/>
      <c r="D910" s="26"/>
      <c r="E910" s="27"/>
      <c r="F910" s="27"/>
      <c r="G910" s="31" t="str">
        <f aca="false">IF(F910="","",IF(F910&lt;=5,"A",IF(F910&lt;=8,"B",IF(F910&lt;=10,"C","D"))))</f>
        <v/>
      </c>
      <c r="H910" s="28"/>
      <c r="I910" s="27"/>
      <c r="J910" s="26"/>
      <c r="K910" s="27"/>
      <c r="L910" s="27"/>
      <c r="M910" s="27"/>
      <c r="N910" s="27"/>
      <c r="O910" s="31" t="str">
        <f aca="false">IF(G910="","",VLOOKUP(G910,Setup!$A$14:$C$17,3,0))</f>
        <v/>
      </c>
      <c r="P910" s="27"/>
      <c r="Q910" s="33" t="str">
        <f aca="false">IF(OR(P910="",M910&lt;&gt;"Paid",O910=""),"",P910/O910)</f>
        <v/>
      </c>
      <c r="R910" s="34" t="str">
        <f aca="false">IF(Q910="","",Q910+N(H910)*0.000000001)</f>
        <v/>
      </c>
      <c r="S910" s="32" t="str">
        <f aca="false">IF(R910="","",SUMPRODUCT((I$5:I$4004=I910)*ISNUMBER(R$5:R$4004)*(R$5:R$4004&gt;R910))+1)</f>
        <v/>
      </c>
      <c r="T910" s="32" t="str">
        <f aca="false">IF(S910="","",IF(S910&lt;=Setup!$B$5,"🏆 WINNER",""))</f>
        <v/>
      </c>
      <c r="U910" s="31" t="str">
        <f aca="false">IF(S910="","",I910&amp;"|"&amp;S910)</f>
        <v/>
      </c>
    </row>
    <row r="911" customFormat="false" ht="15" hidden="false" customHeight="false" outlineLevel="0" collapsed="false">
      <c r="A911" s="24" t="n">
        <v>907</v>
      </c>
      <c r="B911" s="25" t="str">
        <f aca="false">IF(OR(C911="",I911="",G911=""),"",IFERROR(VLOOKUP(I911,Setup!$A$9:$B$11,2,0),"???")&amp;"-"&amp;G911&amp;"-"&amp;TEXT(COUNTIFS(I$5:I911,I911,G$5:G911,G911),"0000"))</f>
        <v/>
      </c>
      <c r="C911" s="26"/>
      <c r="D911" s="26"/>
      <c r="E911" s="27"/>
      <c r="F911" s="27"/>
      <c r="G911" s="24" t="str">
        <f aca="false">IF(F911="","",IF(F911&lt;=5,"A",IF(F911&lt;=8,"B",IF(F911&lt;=10,"C","D"))))</f>
        <v/>
      </c>
      <c r="H911" s="28"/>
      <c r="I911" s="27"/>
      <c r="J911" s="26"/>
      <c r="K911" s="27"/>
      <c r="L911" s="27"/>
      <c r="M911" s="27"/>
      <c r="N911" s="27"/>
      <c r="O911" s="24" t="str">
        <f aca="false">IF(G911="","",VLOOKUP(G911,Setup!$A$14:$C$17,3,0))</f>
        <v/>
      </c>
      <c r="P911" s="27"/>
      <c r="Q911" s="29" t="str">
        <f aca="false">IF(OR(P911="",M911&lt;&gt;"Paid",O911=""),"",P911/O911)</f>
        <v/>
      </c>
      <c r="R911" s="30" t="str">
        <f aca="false">IF(Q911="","",Q911+N(H911)*0.000000001)</f>
        <v/>
      </c>
      <c r="S911" s="25" t="str">
        <f aca="false">IF(R911="","",SUMPRODUCT((I$5:I$4004=I911)*ISNUMBER(R$5:R$4004)*(R$5:R$4004&gt;R911))+1)</f>
        <v/>
      </c>
      <c r="T911" s="25" t="str">
        <f aca="false">IF(S911="","",IF(S911&lt;=Setup!$B$5,"🏆 WINNER",""))</f>
        <v/>
      </c>
      <c r="U911" s="24" t="str">
        <f aca="false">IF(S911="","",I911&amp;"|"&amp;S911)</f>
        <v/>
      </c>
    </row>
    <row r="912" customFormat="false" ht="15" hidden="false" customHeight="false" outlineLevel="0" collapsed="false">
      <c r="A912" s="31" t="n">
        <v>908</v>
      </c>
      <c r="B912" s="32" t="str">
        <f aca="false">IF(OR(C912="",I912="",G912=""),"",IFERROR(VLOOKUP(I912,Setup!$A$9:$B$11,2,0),"???")&amp;"-"&amp;G912&amp;"-"&amp;TEXT(COUNTIFS(I$5:I912,I912,G$5:G912,G912),"0000"))</f>
        <v/>
      </c>
      <c r="C912" s="26"/>
      <c r="D912" s="26"/>
      <c r="E912" s="27"/>
      <c r="F912" s="27"/>
      <c r="G912" s="31" t="str">
        <f aca="false">IF(F912="","",IF(F912&lt;=5,"A",IF(F912&lt;=8,"B",IF(F912&lt;=10,"C","D"))))</f>
        <v/>
      </c>
      <c r="H912" s="28"/>
      <c r="I912" s="27"/>
      <c r="J912" s="26"/>
      <c r="K912" s="27"/>
      <c r="L912" s="27"/>
      <c r="M912" s="27"/>
      <c r="N912" s="27"/>
      <c r="O912" s="31" t="str">
        <f aca="false">IF(G912="","",VLOOKUP(G912,Setup!$A$14:$C$17,3,0))</f>
        <v/>
      </c>
      <c r="P912" s="27"/>
      <c r="Q912" s="33" t="str">
        <f aca="false">IF(OR(P912="",M912&lt;&gt;"Paid",O912=""),"",P912/O912)</f>
        <v/>
      </c>
      <c r="R912" s="34" t="str">
        <f aca="false">IF(Q912="","",Q912+N(H912)*0.000000001)</f>
        <v/>
      </c>
      <c r="S912" s="32" t="str">
        <f aca="false">IF(R912="","",SUMPRODUCT((I$5:I$4004=I912)*ISNUMBER(R$5:R$4004)*(R$5:R$4004&gt;R912))+1)</f>
        <v/>
      </c>
      <c r="T912" s="32" t="str">
        <f aca="false">IF(S912="","",IF(S912&lt;=Setup!$B$5,"🏆 WINNER",""))</f>
        <v/>
      </c>
      <c r="U912" s="31" t="str">
        <f aca="false">IF(S912="","",I912&amp;"|"&amp;S912)</f>
        <v/>
      </c>
    </row>
    <row r="913" customFormat="false" ht="15" hidden="false" customHeight="false" outlineLevel="0" collapsed="false">
      <c r="A913" s="24" t="n">
        <v>909</v>
      </c>
      <c r="B913" s="25" t="str">
        <f aca="false">IF(OR(C913="",I913="",G913=""),"",IFERROR(VLOOKUP(I913,Setup!$A$9:$B$11,2,0),"???")&amp;"-"&amp;G913&amp;"-"&amp;TEXT(COUNTIFS(I$5:I913,I913,G$5:G913,G913),"0000"))</f>
        <v/>
      </c>
      <c r="C913" s="26"/>
      <c r="D913" s="26"/>
      <c r="E913" s="27"/>
      <c r="F913" s="27"/>
      <c r="G913" s="24" t="str">
        <f aca="false">IF(F913="","",IF(F913&lt;=5,"A",IF(F913&lt;=8,"B",IF(F913&lt;=10,"C","D"))))</f>
        <v/>
      </c>
      <c r="H913" s="28"/>
      <c r="I913" s="27"/>
      <c r="J913" s="26"/>
      <c r="K913" s="27"/>
      <c r="L913" s="27"/>
      <c r="M913" s="27"/>
      <c r="N913" s="27"/>
      <c r="O913" s="24" t="str">
        <f aca="false">IF(G913="","",VLOOKUP(G913,Setup!$A$14:$C$17,3,0))</f>
        <v/>
      </c>
      <c r="P913" s="27"/>
      <c r="Q913" s="29" t="str">
        <f aca="false">IF(OR(P913="",M913&lt;&gt;"Paid",O913=""),"",P913/O913)</f>
        <v/>
      </c>
      <c r="R913" s="30" t="str">
        <f aca="false">IF(Q913="","",Q913+N(H913)*0.000000001)</f>
        <v/>
      </c>
      <c r="S913" s="25" t="str">
        <f aca="false">IF(R913="","",SUMPRODUCT((I$5:I$4004=I913)*ISNUMBER(R$5:R$4004)*(R$5:R$4004&gt;R913))+1)</f>
        <v/>
      </c>
      <c r="T913" s="25" t="str">
        <f aca="false">IF(S913="","",IF(S913&lt;=Setup!$B$5,"🏆 WINNER",""))</f>
        <v/>
      </c>
      <c r="U913" s="24" t="str">
        <f aca="false">IF(S913="","",I913&amp;"|"&amp;S913)</f>
        <v/>
      </c>
    </row>
    <row r="914" customFormat="false" ht="15" hidden="false" customHeight="false" outlineLevel="0" collapsed="false">
      <c r="A914" s="31" t="n">
        <v>910</v>
      </c>
      <c r="B914" s="32" t="str">
        <f aca="false">IF(OR(C914="",I914="",G914=""),"",IFERROR(VLOOKUP(I914,Setup!$A$9:$B$11,2,0),"???")&amp;"-"&amp;G914&amp;"-"&amp;TEXT(COUNTIFS(I$5:I914,I914,G$5:G914,G914),"0000"))</f>
        <v/>
      </c>
      <c r="C914" s="26"/>
      <c r="D914" s="26"/>
      <c r="E914" s="27"/>
      <c r="F914" s="27"/>
      <c r="G914" s="31" t="str">
        <f aca="false">IF(F914="","",IF(F914&lt;=5,"A",IF(F914&lt;=8,"B",IF(F914&lt;=10,"C","D"))))</f>
        <v/>
      </c>
      <c r="H914" s="28"/>
      <c r="I914" s="27"/>
      <c r="J914" s="26"/>
      <c r="K914" s="27"/>
      <c r="L914" s="27"/>
      <c r="M914" s="27"/>
      <c r="N914" s="27"/>
      <c r="O914" s="31" t="str">
        <f aca="false">IF(G914="","",VLOOKUP(G914,Setup!$A$14:$C$17,3,0))</f>
        <v/>
      </c>
      <c r="P914" s="27"/>
      <c r="Q914" s="33" t="str">
        <f aca="false">IF(OR(P914="",M914&lt;&gt;"Paid",O914=""),"",P914/O914)</f>
        <v/>
      </c>
      <c r="R914" s="34" t="str">
        <f aca="false">IF(Q914="","",Q914+N(H914)*0.000000001)</f>
        <v/>
      </c>
      <c r="S914" s="32" t="str">
        <f aca="false">IF(R914="","",SUMPRODUCT((I$5:I$4004=I914)*ISNUMBER(R$5:R$4004)*(R$5:R$4004&gt;R914))+1)</f>
        <v/>
      </c>
      <c r="T914" s="32" t="str">
        <f aca="false">IF(S914="","",IF(S914&lt;=Setup!$B$5,"🏆 WINNER",""))</f>
        <v/>
      </c>
      <c r="U914" s="31" t="str">
        <f aca="false">IF(S914="","",I914&amp;"|"&amp;S914)</f>
        <v/>
      </c>
    </row>
    <row r="915" customFormat="false" ht="15" hidden="false" customHeight="false" outlineLevel="0" collapsed="false">
      <c r="A915" s="24" t="n">
        <v>911</v>
      </c>
      <c r="B915" s="25" t="str">
        <f aca="false">IF(OR(C915="",I915="",G915=""),"",IFERROR(VLOOKUP(I915,Setup!$A$9:$B$11,2,0),"???")&amp;"-"&amp;G915&amp;"-"&amp;TEXT(COUNTIFS(I$5:I915,I915,G$5:G915,G915),"0000"))</f>
        <v/>
      </c>
      <c r="C915" s="26"/>
      <c r="D915" s="26"/>
      <c r="E915" s="27"/>
      <c r="F915" s="27"/>
      <c r="G915" s="24" t="str">
        <f aca="false">IF(F915="","",IF(F915&lt;=5,"A",IF(F915&lt;=8,"B",IF(F915&lt;=10,"C","D"))))</f>
        <v/>
      </c>
      <c r="H915" s="28"/>
      <c r="I915" s="27"/>
      <c r="J915" s="26"/>
      <c r="K915" s="27"/>
      <c r="L915" s="27"/>
      <c r="M915" s="27"/>
      <c r="N915" s="27"/>
      <c r="O915" s="24" t="str">
        <f aca="false">IF(G915="","",VLOOKUP(G915,Setup!$A$14:$C$17,3,0))</f>
        <v/>
      </c>
      <c r="P915" s="27"/>
      <c r="Q915" s="29" t="str">
        <f aca="false">IF(OR(P915="",M915&lt;&gt;"Paid",O915=""),"",P915/O915)</f>
        <v/>
      </c>
      <c r="R915" s="30" t="str">
        <f aca="false">IF(Q915="","",Q915+N(H915)*0.000000001)</f>
        <v/>
      </c>
      <c r="S915" s="25" t="str">
        <f aca="false">IF(R915="","",SUMPRODUCT((I$5:I$4004=I915)*ISNUMBER(R$5:R$4004)*(R$5:R$4004&gt;R915))+1)</f>
        <v/>
      </c>
      <c r="T915" s="25" t="str">
        <f aca="false">IF(S915="","",IF(S915&lt;=Setup!$B$5,"🏆 WINNER",""))</f>
        <v/>
      </c>
      <c r="U915" s="24" t="str">
        <f aca="false">IF(S915="","",I915&amp;"|"&amp;S915)</f>
        <v/>
      </c>
    </row>
    <row r="916" customFormat="false" ht="15" hidden="false" customHeight="false" outlineLevel="0" collapsed="false">
      <c r="A916" s="31" t="n">
        <v>912</v>
      </c>
      <c r="B916" s="32" t="str">
        <f aca="false">IF(OR(C916="",I916="",G916=""),"",IFERROR(VLOOKUP(I916,Setup!$A$9:$B$11,2,0),"???")&amp;"-"&amp;G916&amp;"-"&amp;TEXT(COUNTIFS(I$5:I916,I916,G$5:G916,G916),"0000"))</f>
        <v/>
      </c>
      <c r="C916" s="26"/>
      <c r="D916" s="26"/>
      <c r="E916" s="27"/>
      <c r="F916" s="27"/>
      <c r="G916" s="31" t="str">
        <f aca="false">IF(F916="","",IF(F916&lt;=5,"A",IF(F916&lt;=8,"B",IF(F916&lt;=10,"C","D"))))</f>
        <v/>
      </c>
      <c r="H916" s="28"/>
      <c r="I916" s="27"/>
      <c r="J916" s="26"/>
      <c r="K916" s="27"/>
      <c r="L916" s="27"/>
      <c r="M916" s="27"/>
      <c r="N916" s="27"/>
      <c r="O916" s="31" t="str">
        <f aca="false">IF(G916="","",VLOOKUP(G916,Setup!$A$14:$C$17,3,0))</f>
        <v/>
      </c>
      <c r="P916" s="27"/>
      <c r="Q916" s="33" t="str">
        <f aca="false">IF(OR(P916="",M916&lt;&gt;"Paid",O916=""),"",P916/O916)</f>
        <v/>
      </c>
      <c r="R916" s="34" t="str">
        <f aca="false">IF(Q916="","",Q916+N(H916)*0.000000001)</f>
        <v/>
      </c>
      <c r="S916" s="32" t="str">
        <f aca="false">IF(R916="","",SUMPRODUCT((I$5:I$4004=I916)*ISNUMBER(R$5:R$4004)*(R$5:R$4004&gt;R916))+1)</f>
        <v/>
      </c>
      <c r="T916" s="32" t="str">
        <f aca="false">IF(S916="","",IF(S916&lt;=Setup!$B$5,"🏆 WINNER",""))</f>
        <v/>
      </c>
      <c r="U916" s="31" t="str">
        <f aca="false">IF(S916="","",I916&amp;"|"&amp;S916)</f>
        <v/>
      </c>
    </row>
    <row r="917" customFormat="false" ht="15" hidden="false" customHeight="false" outlineLevel="0" collapsed="false">
      <c r="A917" s="24" t="n">
        <v>913</v>
      </c>
      <c r="B917" s="25" t="str">
        <f aca="false">IF(OR(C917="",I917="",G917=""),"",IFERROR(VLOOKUP(I917,Setup!$A$9:$B$11,2,0),"???")&amp;"-"&amp;G917&amp;"-"&amp;TEXT(COUNTIFS(I$5:I917,I917,G$5:G917,G917),"0000"))</f>
        <v/>
      </c>
      <c r="C917" s="26"/>
      <c r="D917" s="26"/>
      <c r="E917" s="27"/>
      <c r="F917" s="27"/>
      <c r="G917" s="24" t="str">
        <f aca="false">IF(F917="","",IF(F917&lt;=5,"A",IF(F917&lt;=8,"B",IF(F917&lt;=10,"C","D"))))</f>
        <v/>
      </c>
      <c r="H917" s="28"/>
      <c r="I917" s="27"/>
      <c r="J917" s="26"/>
      <c r="K917" s="27"/>
      <c r="L917" s="27"/>
      <c r="M917" s="27"/>
      <c r="N917" s="27"/>
      <c r="O917" s="24" t="str">
        <f aca="false">IF(G917="","",VLOOKUP(G917,Setup!$A$14:$C$17,3,0))</f>
        <v/>
      </c>
      <c r="P917" s="27"/>
      <c r="Q917" s="29" t="str">
        <f aca="false">IF(OR(P917="",M917&lt;&gt;"Paid",O917=""),"",P917/O917)</f>
        <v/>
      </c>
      <c r="R917" s="30" t="str">
        <f aca="false">IF(Q917="","",Q917+N(H917)*0.000000001)</f>
        <v/>
      </c>
      <c r="S917" s="25" t="str">
        <f aca="false">IF(R917="","",SUMPRODUCT((I$5:I$4004=I917)*ISNUMBER(R$5:R$4004)*(R$5:R$4004&gt;R917))+1)</f>
        <v/>
      </c>
      <c r="T917" s="25" t="str">
        <f aca="false">IF(S917="","",IF(S917&lt;=Setup!$B$5,"🏆 WINNER",""))</f>
        <v/>
      </c>
      <c r="U917" s="24" t="str">
        <f aca="false">IF(S917="","",I917&amp;"|"&amp;S917)</f>
        <v/>
      </c>
    </row>
    <row r="918" customFormat="false" ht="15" hidden="false" customHeight="false" outlineLevel="0" collapsed="false">
      <c r="A918" s="31" t="n">
        <v>914</v>
      </c>
      <c r="B918" s="32" t="str">
        <f aca="false">IF(OR(C918="",I918="",G918=""),"",IFERROR(VLOOKUP(I918,Setup!$A$9:$B$11,2,0),"???")&amp;"-"&amp;G918&amp;"-"&amp;TEXT(COUNTIFS(I$5:I918,I918,G$5:G918,G918),"0000"))</f>
        <v/>
      </c>
      <c r="C918" s="26"/>
      <c r="D918" s="26"/>
      <c r="E918" s="27"/>
      <c r="F918" s="27"/>
      <c r="G918" s="31" t="str">
        <f aca="false">IF(F918="","",IF(F918&lt;=5,"A",IF(F918&lt;=8,"B",IF(F918&lt;=10,"C","D"))))</f>
        <v/>
      </c>
      <c r="H918" s="28"/>
      <c r="I918" s="27"/>
      <c r="J918" s="26"/>
      <c r="K918" s="27"/>
      <c r="L918" s="27"/>
      <c r="M918" s="27"/>
      <c r="N918" s="27"/>
      <c r="O918" s="31" t="str">
        <f aca="false">IF(G918="","",VLOOKUP(G918,Setup!$A$14:$C$17,3,0))</f>
        <v/>
      </c>
      <c r="P918" s="27"/>
      <c r="Q918" s="33" t="str">
        <f aca="false">IF(OR(P918="",M918&lt;&gt;"Paid",O918=""),"",P918/O918)</f>
        <v/>
      </c>
      <c r="R918" s="34" t="str">
        <f aca="false">IF(Q918="","",Q918+N(H918)*0.000000001)</f>
        <v/>
      </c>
      <c r="S918" s="32" t="str">
        <f aca="false">IF(R918="","",SUMPRODUCT((I$5:I$4004=I918)*ISNUMBER(R$5:R$4004)*(R$5:R$4004&gt;R918))+1)</f>
        <v/>
      </c>
      <c r="T918" s="32" t="str">
        <f aca="false">IF(S918="","",IF(S918&lt;=Setup!$B$5,"🏆 WINNER",""))</f>
        <v/>
      </c>
      <c r="U918" s="31" t="str">
        <f aca="false">IF(S918="","",I918&amp;"|"&amp;S918)</f>
        <v/>
      </c>
    </row>
    <row r="919" customFormat="false" ht="15" hidden="false" customHeight="false" outlineLevel="0" collapsed="false">
      <c r="A919" s="24" t="n">
        <v>915</v>
      </c>
      <c r="B919" s="25" t="str">
        <f aca="false">IF(OR(C919="",I919="",G919=""),"",IFERROR(VLOOKUP(I919,Setup!$A$9:$B$11,2,0),"???")&amp;"-"&amp;G919&amp;"-"&amp;TEXT(COUNTIFS(I$5:I919,I919,G$5:G919,G919),"0000"))</f>
        <v/>
      </c>
      <c r="C919" s="26"/>
      <c r="D919" s="26"/>
      <c r="E919" s="27"/>
      <c r="F919" s="27"/>
      <c r="G919" s="24" t="str">
        <f aca="false">IF(F919="","",IF(F919&lt;=5,"A",IF(F919&lt;=8,"B",IF(F919&lt;=10,"C","D"))))</f>
        <v/>
      </c>
      <c r="H919" s="28"/>
      <c r="I919" s="27"/>
      <c r="J919" s="26"/>
      <c r="K919" s="27"/>
      <c r="L919" s="27"/>
      <c r="M919" s="27"/>
      <c r="N919" s="27"/>
      <c r="O919" s="24" t="str">
        <f aca="false">IF(G919="","",VLOOKUP(G919,Setup!$A$14:$C$17,3,0))</f>
        <v/>
      </c>
      <c r="P919" s="27"/>
      <c r="Q919" s="29" t="str">
        <f aca="false">IF(OR(P919="",M919&lt;&gt;"Paid",O919=""),"",P919/O919)</f>
        <v/>
      </c>
      <c r="R919" s="30" t="str">
        <f aca="false">IF(Q919="","",Q919+N(H919)*0.000000001)</f>
        <v/>
      </c>
      <c r="S919" s="25" t="str">
        <f aca="false">IF(R919="","",SUMPRODUCT((I$5:I$4004=I919)*ISNUMBER(R$5:R$4004)*(R$5:R$4004&gt;R919))+1)</f>
        <v/>
      </c>
      <c r="T919" s="25" t="str">
        <f aca="false">IF(S919="","",IF(S919&lt;=Setup!$B$5,"🏆 WINNER",""))</f>
        <v/>
      </c>
      <c r="U919" s="24" t="str">
        <f aca="false">IF(S919="","",I919&amp;"|"&amp;S919)</f>
        <v/>
      </c>
    </row>
    <row r="920" customFormat="false" ht="15" hidden="false" customHeight="false" outlineLevel="0" collapsed="false">
      <c r="A920" s="31" t="n">
        <v>916</v>
      </c>
      <c r="B920" s="32" t="str">
        <f aca="false">IF(OR(C920="",I920="",G920=""),"",IFERROR(VLOOKUP(I920,Setup!$A$9:$B$11,2,0),"???")&amp;"-"&amp;G920&amp;"-"&amp;TEXT(COUNTIFS(I$5:I920,I920,G$5:G920,G920),"0000"))</f>
        <v/>
      </c>
      <c r="C920" s="26"/>
      <c r="D920" s="26"/>
      <c r="E920" s="27"/>
      <c r="F920" s="27"/>
      <c r="G920" s="31" t="str">
        <f aca="false">IF(F920="","",IF(F920&lt;=5,"A",IF(F920&lt;=8,"B",IF(F920&lt;=10,"C","D"))))</f>
        <v/>
      </c>
      <c r="H920" s="28"/>
      <c r="I920" s="27"/>
      <c r="J920" s="26"/>
      <c r="K920" s="27"/>
      <c r="L920" s="27"/>
      <c r="M920" s="27"/>
      <c r="N920" s="27"/>
      <c r="O920" s="31" t="str">
        <f aca="false">IF(G920="","",VLOOKUP(G920,Setup!$A$14:$C$17,3,0))</f>
        <v/>
      </c>
      <c r="P920" s="27"/>
      <c r="Q920" s="33" t="str">
        <f aca="false">IF(OR(P920="",M920&lt;&gt;"Paid",O920=""),"",P920/O920)</f>
        <v/>
      </c>
      <c r="R920" s="34" t="str">
        <f aca="false">IF(Q920="","",Q920+N(H920)*0.000000001)</f>
        <v/>
      </c>
      <c r="S920" s="32" t="str">
        <f aca="false">IF(R920="","",SUMPRODUCT((I$5:I$4004=I920)*ISNUMBER(R$5:R$4004)*(R$5:R$4004&gt;R920))+1)</f>
        <v/>
      </c>
      <c r="T920" s="32" t="str">
        <f aca="false">IF(S920="","",IF(S920&lt;=Setup!$B$5,"🏆 WINNER",""))</f>
        <v/>
      </c>
      <c r="U920" s="31" t="str">
        <f aca="false">IF(S920="","",I920&amp;"|"&amp;S920)</f>
        <v/>
      </c>
    </row>
    <row r="921" customFormat="false" ht="15" hidden="false" customHeight="false" outlineLevel="0" collapsed="false">
      <c r="A921" s="24" t="n">
        <v>917</v>
      </c>
      <c r="B921" s="25" t="str">
        <f aca="false">IF(OR(C921="",I921="",G921=""),"",IFERROR(VLOOKUP(I921,Setup!$A$9:$B$11,2,0),"???")&amp;"-"&amp;G921&amp;"-"&amp;TEXT(COUNTIFS(I$5:I921,I921,G$5:G921,G921),"0000"))</f>
        <v/>
      </c>
      <c r="C921" s="26"/>
      <c r="D921" s="26"/>
      <c r="E921" s="27"/>
      <c r="F921" s="27"/>
      <c r="G921" s="24" t="str">
        <f aca="false">IF(F921="","",IF(F921&lt;=5,"A",IF(F921&lt;=8,"B",IF(F921&lt;=10,"C","D"))))</f>
        <v/>
      </c>
      <c r="H921" s="28"/>
      <c r="I921" s="27"/>
      <c r="J921" s="26"/>
      <c r="K921" s="27"/>
      <c r="L921" s="27"/>
      <c r="M921" s="27"/>
      <c r="N921" s="27"/>
      <c r="O921" s="24" t="str">
        <f aca="false">IF(G921="","",VLOOKUP(G921,Setup!$A$14:$C$17,3,0))</f>
        <v/>
      </c>
      <c r="P921" s="27"/>
      <c r="Q921" s="29" t="str">
        <f aca="false">IF(OR(P921="",M921&lt;&gt;"Paid",O921=""),"",P921/O921)</f>
        <v/>
      </c>
      <c r="R921" s="30" t="str">
        <f aca="false">IF(Q921="","",Q921+N(H921)*0.000000001)</f>
        <v/>
      </c>
      <c r="S921" s="25" t="str">
        <f aca="false">IF(R921="","",SUMPRODUCT((I$5:I$4004=I921)*ISNUMBER(R$5:R$4004)*(R$5:R$4004&gt;R921))+1)</f>
        <v/>
      </c>
      <c r="T921" s="25" t="str">
        <f aca="false">IF(S921="","",IF(S921&lt;=Setup!$B$5,"🏆 WINNER",""))</f>
        <v/>
      </c>
      <c r="U921" s="24" t="str">
        <f aca="false">IF(S921="","",I921&amp;"|"&amp;S921)</f>
        <v/>
      </c>
    </row>
    <row r="922" customFormat="false" ht="15" hidden="false" customHeight="false" outlineLevel="0" collapsed="false">
      <c r="A922" s="31" t="n">
        <v>918</v>
      </c>
      <c r="B922" s="32" t="str">
        <f aca="false">IF(OR(C922="",I922="",G922=""),"",IFERROR(VLOOKUP(I922,Setup!$A$9:$B$11,2,0),"???")&amp;"-"&amp;G922&amp;"-"&amp;TEXT(COUNTIFS(I$5:I922,I922,G$5:G922,G922),"0000"))</f>
        <v/>
      </c>
      <c r="C922" s="26"/>
      <c r="D922" s="26"/>
      <c r="E922" s="27"/>
      <c r="F922" s="27"/>
      <c r="G922" s="31" t="str">
        <f aca="false">IF(F922="","",IF(F922&lt;=5,"A",IF(F922&lt;=8,"B",IF(F922&lt;=10,"C","D"))))</f>
        <v/>
      </c>
      <c r="H922" s="28"/>
      <c r="I922" s="27"/>
      <c r="J922" s="26"/>
      <c r="K922" s="27"/>
      <c r="L922" s="27"/>
      <c r="M922" s="27"/>
      <c r="N922" s="27"/>
      <c r="O922" s="31" t="str">
        <f aca="false">IF(G922="","",VLOOKUP(G922,Setup!$A$14:$C$17,3,0))</f>
        <v/>
      </c>
      <c r="P922" s="27"/>
      <c r="Q922" s="33" t="str">
        <f aca="false">IF(OR(P922="",M922&lt;&gt;"Paid",O922=""),"",P922/O922)</f>
        <v/>
      </c>
      <c r="R922" s="34" t="str">
        <f aca="false">IF(Q922="","",Q922+N(H922)*0.000000001)</f>
        <v/>
      </c>
      <c r="S922" s="32" t="str">
        <f aca="false">IF(R922="","",SUMPRODUCT((I$5:I$4004=I922)*ISNUMBER(R$5:R$4004)*(R$5:R$4004&gt;R922))+1)</f>
        <v/>
      </c>
      <c r="T922" s="32" t="str">
        <f aca="false">IF(S922="","",IF(S922&lt;=Setup!$B$5,"🏆 WINNER",""))</f>
        <v/>
      </c>
      <c r="U922" s="31" t="str">
        <f aca="false">IF(S922="","",I922&amp;"|"&amp;S922)</f>
        <v/>
      </c>
    </row>
    <row r="923" customFormat="false" ht="15" hidden="false" customHeight="false" outlineLevel="0" collapsed="false">
      <c r="A923" s="24" t="n">
        <v>919</v>
      </c>
      <c r="B923" s="25" t="str">
        <f aca="false">IF(OR(C923="",I923="",G923=""),"",IFERROR(VLOOKUP(I923,Setup!$A$9:$B$11,2,0),"???")&amp;"-"&amp;G923&amp;"-"&amp;TEXT(COUNTIFS(I$5:I923,I923,G$5:G923,G923),"0000"))</f>
        <v/>
      </c>
      <c r="C923" s="26"/>
      <c r="D923" s="26"/>
      <c r="E923" s="27"/>
      <c r="F923" s="27"/>
      <c r="G923" s="24" t="str">
        <f aca="false">IF(F923="","",IF(F923&lt;=5,"A",IF(F923&lt;=8,"B",IF(F923&lt;=10,"C","D"))))</f>
        <v/>
      </c>
      <c r="H923" s="28"/>
      <c r="I923" s="27"/>
      <c r="J923" s="26"/>
      <c r="K923" s="27"/>
      <c r="L923" s="27"/>
      <c r="M923" s="27"/>
      <c r="N923" s="27"/>
      <c r="O923" s="24" t="str">
        <f aca="false">IF(G923="","",VLOOKUP(G923,Setup!$A$14:$C$17,3,0))</f>
        <v/>
      </c>
      <c r="P923" s="27"/>
      <c r="Q923" s="29" t="str">
        <f aca="false">IF(OR(P923="",M923&lt;&gt;"Paid",O923=""),"",P923/O923)</f>
        <v/>
      </c>
      <c r="R923" s="30" t="str">
        <f aca="false">IF(Q923="","",Q923+N(H923)*0.000000001)</f>
        <v/>
      </c>
      <c r="S923" s="25" t="str">
        <f aca="false">IF(R923="","",SUMPRODUCT((I$5:I$4004=I923)*ISNUMBER(R$5:R$4004)*(R$5:R$4004&gt;R923))+1)</f>
        <v/>
      </c>
      <c r="T923" s="25" t="str">
        <f aca="false">IF(S923="","",IF(S923&lt;=Setup!$B$5,"🏆 WINNER",""))</f>
        <v/>
      </c>
      <c r="U923" s="24" t="str">
        <f aca="false">IF(S923="","",I923&amp;"|"&amp;S923)</f>
        <v/>
      </c>
    </row>
    <row r="924" customFormat="false" ht="15" hidden="false" customHeight="false" outlineLevel="0" collapsed="false">
      <c r="A924" s="31" t="n">
        <v>920</v>
      </c>
      <c r="B924" s="32" t="str">
        <f aca="false">IF(OR(C924="",I924="",G924=""),"",IFERROR(VLOOKUP(I924,Setup!$A$9:$B$11,2,0),"???")&amp;"-"&amp;G924&amp;"-"&amp;TEXT(COUNTIFS(I$5:I924,I924,G$5:G924,G924),"0000"))</f>
        <v/>
      </c>
      <c r="C924" s="26"/>
      <c r="D924" s="26"/>
      <c r="E924" s="27"/>
      <c r="F924" s="27"/>
      <c r="G924" s="31" t="str">
        <f aca="false">IF(F924="","",IF(F924&lt;=5,"A",IF(F924&lt;=8,"B",IF(F924&lt;=10,"C","D"))))</f>
        <v/>
      </c>
      <c r="H924" s="28"/>
      <c r="I924" s="27"/>
      <c r="J924" s="26"/>
      <c r="K924" s="27"/>
      <c r="L924" s="27"/>
      <c r="M924" s="27"/>
      <c r="N924" s="27"/>
      <c r="O924" s="31" t="str">
        <f aca="false">IF(G924="","",VLOOKUP(G924,Setup!$A$14:$C$17,3,0))</f>
        <v/>
      </c>
      <c r="P924" s="27"/>
      <c r="Q924" s="33" t="str">
        <f aca="false">IF(OR(P924="",M924&lt;&gt;"Paid",O924=""),"",P924/O924)</f>
        <v/>
      </c>
      <c r="R924" s="34" t="str">
        <f aca="false">IF(Q924="","",Q924+N(H924)*0.000000001)</f>
        <v/>
      </c>
      <c r="S924" s="32" t="str">
        <f aca="false">IF(R924="","",SUMPRODUCT((I$5:I$4004=I924)*ISNUMBER(R$5:R$4004)*(R$5:R$4004&gt;R924))+1)</f>
        <v/>
      </c>
      <c r="T924" s="32" t="str">
        <f aca="false">IF(S924="","",IF(S924&lt;=Setup!$B$5,"🏆 WINNER",""))</f>
        <v/>
      </c>
      <c r="U924" s="31" t="str">
        <f aca="false">IF(S924="","",I924&amp;"|"&amp;S924)</f>
        <v/>
      </c>
    </row>
    <row r="925" customFormat="false" ht="15" hidden="false" customHeight="false" outlineLevel="0" collapsed="false">
      <c r="A925" s="24" t="n">
        <v>921</v>
      </c>
      <c r="B925" s="25" t="str">
        <f aca="false">IF(OR(C925="",I925="",G925=""),"",IFERROR(VLOOKUP(I925,Setup!$A$9:$B$11,2,0),"???")&amp;"-"&amp;G925&amp;"-"&amp;TEXT(COUNTIFS(I$5:I925,I925,G$5:G925,G925),"0000"))</f>
        <v/>
      </c>
      <c r="C925" s="26"/>
      <c r="D925" s="26"/>
      <c r="E925" s="27"/>
      <c r="F925" s="27"/>
      <c r="G925" s="24" t="str">
        <f aca="false">IF(F925="","",IF(F925&lt;=5,"A",IF(F925&lt;=8,"B",IF(F925&lt;=10,"C","D"))))</f>
        <v/>
      </c>
      <c r="H925" s="28"/>
      <c r="I925" s="27"/>
      <c r="J925" s="26"/>
      <c r="K925" s="27"/>
      <c r="L925" s="27"/>
      <c r="M925" s="27"/>
      <c r="N925" s="27"/>
      <c r="O925" s="24" t="str">
        <f aca="false">IF(G925="","",VLOOKUP(G925,Setup!$A$14:$C$17,3,0))</f>
        <v/>
      </c>
      <c r="P925" s="27"/>
      <c r="Q925" s="29" t="str">
        <f aca="false">IF(OR(P925="",M925&lt;&gt;"Paid",O925=""),"",P925/O925)</f>
        <v/>
      </c>
      <c r="R925" s="30" t="str">
        <f aca="false">IF(Q925="","",Q925+N(H925)*0.000000001)</f>
        <v/>
      </c>
      <c r="S925" s="25" t="str">
        <f aca="false">IF(R925="","",SUMPRODUCT((I$5:I$4004=I925)*ISNUMBER(R$5:R$4004)*(R$5:R$4004&gt;R925))+1)</f>
        <v/>
      </c>
      <c r="T925" s="25" t="str">
        <f aca="false">IF(S925="","",IF(S925&lt;=Setup!$B$5,"🏆 WINNER",""))</f>
        <v/>
      </c>
      <c r="U925" s="24" t="str">
        <f aca="false">IF(S925="","",I925&amp;"|"&amp;S925)</f>
        <v/>
      </c>
    </row>
    <row r="926" customFormat="false" ht="15" hidden="false" customHeight="false" outlineLevel="0" collapsed="false">
      <c r="A926" s="31" t="n">
        <v>922</v>
      </c>
      <c r="B926" s="32" t="str">
        <f aca="false">IF(OR(C926="",I926="",G926=""),"",IFERROR(VLOOKUP(I926,Setup!$A$9:$B$11,2,0),"???")&amp;"-"&amp;G926&amp;"-"&amp;TEXT(COUNTIFS(I$5:I926,I926,G$5:G926,G926),"0000"))</f>
        <v/>
      </c>
      <c r="C926" s="26"/>
      <c r="D926" s="26"/>
      <c r="E926" s="27"/>
      <c r="F926" s="27"/>
      <c r="G926" s="31" t="str">
        <f aca="false">IF(F926="","",IF(F926&lt;=5,"A",IF(F926&lt;=8,"B",IF(F926&lt;=10,"C","D"))))</f>
        <v/>
      </c>
      <c r="H926" s="28"/>
      <c r="I926" s="27"/>
      <c r="J926" s="26"/>
      <c r="K926" s="27"/>
      <c r="L926" s="27"/>
      <c r="M926" s="27"/>
      <c r="N926" s="27"/>
      <c r="O926" s="31" t="str">
        <f aca="false">IF(G926="","",VLOOKUP(G926,Setup!$A$14:$C$17,3,0))</f>
        <v/>
      </c>
      <c r="P926" s="27"/>
      <c r="Q926" s="33" t="str">
        <f aca="false">IF(OR(P926="",M926&lt;&gt;"Paid",O926=""),"",P926/O926)</f>
        <v/>
      </c>
      <c r="R926" s="34" t="str">
        <f aca="false">IF(Q926="","",Q926+N(H926)*0.000000001)</f>
        <v/>
      </c>
      <c r="S926" s="32" t="str">
        <f aca="false">IF(R926="","",SUMPRODUCT((I$5:I$4004=I926)*ISNUMBER(R$5:R$4004)*(R$5:R$4004&gt;R926))+1)</f>
        <v/>
      </c>
      <c r="T926" s="32" t="str">
        <f aca="false">IF(S926="","",IF(S926&lt;=Setup!$B$5,"🏆 WINNER",""))</f>
        <v/>
      </c>
      <c r="U926" s="31" t="str">
        <f aca="false">IF(S926="","",I926&amp;"|"&amp;S926)</f>
        <v/>
      </c>
    </row>
    <row r="927" customFormat="false" ht="15" hidden="false" customHeight="false" outlineLevel="0" collapsed="false">
      <c r="A927" s="24" t="n">
        <v>923</v>
      </c>
      <c r="B927" s="25" t="str">
        <f aca="false">IF(OR(C927="",I927="",G927=""),"",IFERROR(VLOOKUP(I927,Setup!$A$9:$B$11,2,0),"???")&amp;"-"&amp;G927&amp;"-"&amp;TEXT(COUNTIFS(I$5:I927,I927,G$5:G927,G927),"0000"))</f>
        <v/>
      </c>
      <c r="C927" s="26"/>
      <c r="D927" s="26"/>
      <c r="E927" s="27"/>
      <c r="F927" s="27"/>
      <c r="G927" s="24" t="str">
        <f aca="false">IF(F927="","",IF(F927&lt;=5,"A",IF(F927&lt;=8,"B",IF(F927&lt;=10,"C","D"))))</f>
        <v/>
      </c>
      <c r="H927" s="28"/>
      <c r="I927" s="27"/>
      <c r="J927" s="26"/>
      <c r="K927" s="27"/>
      <c r="L927" s="27"/>
      <c r="M927" s="27"/>
      <c r="N927" s="27"/>
      <c r="O927" s="24" t="str">
        <f aca="false">IF(G927="","",VLOOKUP(G927,Setup!$A$14:$C$17,3,0))</f>
        <v/>
      </c>
      <c r="P927" s="27"/>
      <c r="Q927" s="29" t="str">
        <f aca="false">IF(OR(P927="",M927&lt;&gt;"Paid",O927=""),"",P927/O927)</f>
        <v/>
      </c>
      <c r="R927" s="30" t="str">
        <f aca="false">IF(Q927="","",Q927+N(H927)*0.000000001)</f>
        <v/>
      </c>
      <c r="S927" s="25" t="str">
        <f aca="false">IF(R927="","",SUMPRODUCT((I$5:I$4004=I927)*ISNUMBER(R$5:R$4004)*(R$5:R$4004&gt;R927))+1)</f>
        <v/>
      </c>
      <c r="T927" s="25" t="str">
        <f aca="false">IF(S927="","",IF(S927&lt;=Setup!$B$5,"🏆 WINNER",""))</f>
        <v/>
      </c>
      <c r="U927" s="24" t="str">
        <f aca="false">IF(S927="","",I927&amp;"|"&amp;S927)</f>
        <v/>
      </c>
    </row>
    <row r="928" customFormat="false" ht="15" hidden="false" customHeight="false" outlineLevel="0" collapsed="false">
      <c r="A928" s="31" t="n">
        <v>924</v>
      </c>
      <c r="B928" s="32" t="str">
        <f aca="false">IF(OR(C928="",I928="",G928=""),"",IFERROR(VLOOKUP(I928,Setup!$A$9:$B$11,2,0),"???")&amp;"-"&amp;G928&amp;"-"&amp;TEXT(COUNTIFS(I$5:I928,I928,G$5:G928,G928),"0000"))</f>
        <v/>
      </c>
      <c r="C928" s="26"/>
      <c r="D928" s="26"/>
      <c r="E928" s="27"/>
      <c r="F928" s="27"/>
      <c r="G928" s="31" t="str">
        <f aca="false">IF(F928="","",IF(F928&lt;=5,"A",IF(F928&lt;=8,"B",IF(F928&lt;=10,"C","D"))))</f>
        <v/>
      </c>
      <c r="H928" s="28"/>
      <c r="I928" s="27"/>
      <c r="J928" s="26"/>
      <c r="K928" s="27"/>
      <c r="L928" s="27"/>
      <c r="M928" s="27"/>
      <c r="N928" s="27"/>
      <c r="O928" s="31" t="str">
        <f aca="false">IF(G928="","",VLOOKUP(G928,Setup!$A$14:$C$17,3,0))</f>
        <v/>
      </c>
      <c r="P928" s="27"/>
      <c r="Q928" s="33" t="str">
        <f aca="false">IF(OR(P928="",M928&lt;&gt;"Paid",O928=""),"",P928/O928)</f>
        <v/>
      </c>
      <c r="R928" s="34" t="str">
        <f aca="false">IF(Q928="","",Q928+N(H928)*0.000000001)</f>
        <v/>
      </c>
      <c r="S928" s="32" t="str">
        <f aca="false">IF(R928="","",SUMPRODUCT((I$5:I$4004=I928)*ISNUMBER(R$5:R$4004)*(R$5:R$4004&gt;R928))+1)</f>
        <v/>
      </c>
      <c r="T928" s="32" t="str">
        <f aca="false">IF(S928="","",IF(S928&lt;=Setup!$B$5,"🏆 WINNER",""))</f>
        <v/>
      </c>
      <c r="U928" s="31" t="str">
        <f aca="false">IF(S928="","",I928&amp;"|"&amp;S928)</f>
        <v/>
      </c>
    </row>
    <row r="929" customFormat="false" ht="15" hidden="false" customHeight="false" outlineLevel="0" collapsed="false">
      <c r="A929" s="24" t="n">
        <v>925</v>
      </c>
      <c r="B929" s="25" t="str">
        <f aca="false">IF(OR(C929="",I929="",G929=""),"",IFERROR(VLOOKUP(I929,Setup!$A$9:$B$11,2,0),"???")&amp;"-"&amp;G929&amp;"-"&amp;TEXT(COUNTIFS(I$5:I929,I929,G$5:G929,G929),"0000"))</f>
        <v/>
      </c>
      <c r="C929" s="26"/>
      <c r="D929" s="26"/>
      <c r="E929" s="27"/>
      <c r="F929" s="27"/>
      <c r="G929" s="24" t="str">
        <f aca="false">IF(F929="","",IF(F929&lt;=5,"A",IF(F929&lt;=8,"B",IF(F929&lt;=10,"C","D"))))</f>
        <v/>
      </c>
      <c r="H929" s="28"/>
      <c r="I929" s="27"/>
      <c r="J929" s="26"/>
      <c r="K929" s="27"/>
      <c r="L929" s="27"/>
      <c r="M929" s="27"/>
      <c r="N929" s="27"/>
      <c r="O929" s="24" t="str">
        <f aca="false">IF(G929="","",VLOOKUP(G929,Setup!$A$14:$C$17,3,0))</f>
        <v/>
      </c>
      <c r="P929" s="27"/>
      <c r="Q929" s="29" t="str">
        <f aca="false">IF(OR(P929="",M929&lt;&gt;"Paid",O929=""),"",P929/O929)</f>
        <v/>
      </c>
      <c r="R929" s="30" t="str">
        <f aca="false">IF(Q929="","",Q929+N(H929)*0.000000001)</f>
        <v/>
      </c>
      <c r="S929" s="25" t="str">
        <f aca="false">IF(R929="","",SUMPRODUCT((I$5:I$4004=I929)*ISNUMBER(R$5:R$4004)*(R$5:R$4004&gt;R929))+1)</f>
        <v/>
      </c>
      <c r="T929" s="25" t="str">
        <f aca="false">IF(S929="","",IF(S929&lt;=Setup!$B$5,"🏆 WINNER",""))</f>
        <v/>
      </c>
      <c r="U929" s="24" t="str">
        <f aca="false">IF(S929="","",I929&amp;"|"&amp;S929)</f>
        <v/>
      </c>
    </row>
    <row r="930" customFormat="false" ht="15" hidden="false" customHeight="false" outlineLevel="0" collapsed="false">
      <c r="A930" s="31" t="n">
        <v>926</v>
      </c>
      <c r="B930" s="32" t="str">
        <f aca="false">IF(OR(C930="",I930="",G930=""),"",IFERROR(VLOOKUP(I930,Setup!$A$9:$B$11,2,0),"???")&amp;"-"&amp;G930&amp;"-"&amp;TEXT(COUNTIFS(I$5:I930,I930,G$5:G930,G930),"0000"))</f>
        <v/>
      </c>
      <c r="C930" s="26"/>
      <c r="D930" s="26"/>
      <c r="E930" s="27"/>
      <c r="F930" s="27"/>
      <c r="G930" s="31" t="str">
        <f aca="false">IF(F930="","",IF(F930&lt;=5,"A",IF(F930&lt;=8,"B",IF(F930&lt;=10,"C","D"))))</f>
        <v/>
      </c>
      <c r="H930" s="28"/>
      <c r="I930" s="27"/>
      <c r="J930" s="26"/>
      <c r="K930" s="27"/>
      <c r="L930" s="27"/>
      <c r="M930" s="27"/>
      <c r="N930" s="27"/>
      <c r="O930" s="31" t="str">
        <f aca="false">IF(G930="","",VLOOKUP(G930,Setup!$A$14:$C$17,3,0))</f>
        <v/>
      </c>
      <c r="P930" s="27"/>
      <c r="Q930" s="33" t="str">
        <f aca="false">IF(OR(P930="",M930&lt;&gt;"Paid",O930=""),"",P930/O930)</f>
        <v/>
      </c>
      <c r="R930" s="34" t="str">
        <f aca="false">IF(Q930="","",Q930+N(H930)*0.000000001)</f>
        <v/>
      </c>
      <c r="S930" s="32" t="str">
        <f aca="false">IF(R930="","",SUMPRODUCT((I$5:I$4004=I930)*ISNUMBER(R$5:R$4004)*(R$5:R$4004&gt;R930))+1)</f>
        <v/>
      </c>
      <c r="T930" s="32" t="str">
        <f aca="false">IF(S930="","",IF(S930&lt;=Setup!$B$5,"🏆 WINNER",""))</f>
        <v/>
      </c>
      <c r="U930" s="31" t="str">
        <f aca="false">IF(S930="","",I930&amp;"|"&amp;S930)</f>
        <v/>
      </c>
    </row>
    <row r="931" customFormat="false" ht="15" hidden="false" customHeight="false" outlineLevel="0" collapsed="false">
      <c r="A931" s="24" t="n">
        <v>927</v>
      </c>
      <c r="B931" s="25" t="str">
        <f aca="false">IF(OR(C931="",I931="",G931=""),"",IFERROR(VLOOKUP(I931,Setup!$A$9:$B$11,2,0),"???")&amp;"-"&amp;G931&amp;"-"&amp;TEXT(COUNTIFS(I$5:I931,I931,G$5:G931,G931),"0000"))</f>
        <v/>
      </c>
      <c r="C931" s="26"/>
      <c r="D931" s="26"/>
      <c r="E931" s="27"/>
      <c r="F931" s="27"/>
      <c r="G931" s="24" t="str">
        <f aca="false">IF(F931="","",IF(F931&lt;=5,"A",IF(F931&lt;=8,"B",IF(F931&lt;=10,"C","D"))))</f>
        <v/>
      </c>
      <c r="H931" s="28"/>
      <c r="I931" s="27"/>
      <c r="J931" s="26"/>
      <c r="K931" s="27"/>
      <c r="L931" s="27"/>
      <c r="M931" s="27"/>
      <c r="N931" s="27"/>
      <c r="O931" s="24" t="str">
        <f aca="false">IF(G931="","",VLOOKUP(G931,Setup!$A$14:$C$17,3,0))</f>
        <v/>
      </c>
      <c r="P931" s="27"/>
      <c r="Q931" s="29" t="str">
        <f aca="false">IF(OR(P931="",M931&lt;&gt;"Paid",O931=""),"",P931/O931)</f>
        <v/>
      </c>
      <c r="R931" s="30" t="str">
        <f aca="false">IF(Q931="","",Q931+N(H931)*0.000000001)</f>
        <v/>
      </c>
      <c r="S931" s="25" t="str">
        <f aca="false">IF(R931="","",SUMPRODUCT((I$5:I$4004=I931)*ISNUMBER(R$5:R$4004)*(R$5:R$4004&gt;R931))+1)</f>
        <v/>
      </c>
      <c r="T931" s="25" t="str">
        <f aca="false">IF(S931="","",IF(S931&lt;=Setup!$B$5,"🏆 WINNER",""))</f>
        <v/>
      </c>
      <c r="U931" s="24" t="str">
        <f aca="false">IF(S931="","",I931&amp;"|"&amp;S931)</f>
        <v/>
      </c>
    </row>
    <row r="932" customFormat="false" ht="15" hidden="false" customHeight="false" outlineLevel="0" collapsed="false">
      <c r="A932" s="31" t="n">
        <v>928</v>
      </c>
      <c r="B932" s="32" t="str">
        <f aca="false">IF(OR(C932="",I932="",G932=""),"",IFERROR(VLOOKUP(I932,Setup!$A$9:$B$11,2,0),"???")&amp;"-"&amp;G932&amp;"-"&amp;TEXT(COUNTIFS(I$5:I932,I932,G$5:G932,G932),"0000"))</f>
        <v/>
      </c>
      <c r="C932" s="26"/>
      <c r="D932" s="26"/>
      <c r="E932" s="27"/>
      <c r="F932" s="27"/>
      <c r="G932" s="31" t="str">
        <f aca="false">IF(F932="","",IF(F932&lt;=5,"A",IF(F932&lt;=8,"B",IF(F932&lt;=10,"C","D"))))</f>
        <v/>
      </c>
      <c r="H932" s="28"/>
      <c r="I932" s="27"/>
      <c r="J932" s="26"/>
      <c r="K932" s="27"/>
      <c r="L932" s="27"/>
      <c r="M932" s="27"/>
      <c r="N932" s="27"/>
      <c r="O932" s="31" t="str">
        <f aca="false">IF(G932="","",VLOOKUP(G932,Setup!$A$14:$C$17,3,0))</f>
        <v/>
      </c>
      <c r="P932" s="27"/>
      <c r="Q932" s="33" t="str">
        <f aca="false">IF(OR(P932="",M932&lt;&gt;"Paid",O932=""),"",P932/O932)</f>
        <v/>
      </c>
      <c r="R932" s="34" t="str">
        <f aca="false">IF(Q932="","",Q932+N(H932)*0.000000001)</f>
        <v/>
      </c>
      <c r="S932" s="32" t="str">
        <f aca="false">IF(R932="","",SUMPRODUCT((I$5:I$4004=I932)*ISNUMBER(R$5:R$4004)*(R$5:R$4004&gt;R932))+1)</f>
        <v/>
      </c>
      <c r="T932" s="32" t="str">
        <f aca="false">IF(S932="","",IF(S932&lt;=Setup!$B$5,"🏆 WINNER",""))</f>
        <v/>
      </c>
      <c r="U932" s="31" t="str">
        <f aca="false">IF(S932="","",I932&amp;"|"&amp;S932)</f>
        <v/>
      </c>
    </row>
    <row r="933" customFormat="false" ht="15" hidden="false" customHeight="false" outlineLevel="0" collapsed="false">
      <c r="A933" s="24" t="n">
        <v>929</v>
      </c>
      <c r="B933" s="25" t="str">
        <f aca="false">IF(OR(C933="",I933="",G933=""),"",IFERROR(VLOOKUP(I933,Setup!$A$9:$B$11,2,0),"???")&amp;"-"&amp;G933&amp;"-"&amp;TEXT(COUNTIFS(I$5:I933,I933,G$5:G933,G933),"0000"))</f>
        <v/>
      </c>
      <c r="C933" s="26"/>
      <c r="D933" s="26"/>
      <c r="E933" s="27"/>
      <c r="F933" s="27"/>
      <c r="G933" s="24" t="str">
        <f aca="false">IF(F933="","",IF(F933&lt;=5,"A",IF(F933&lt;=8,"B",IF(F933&lt;=10,"C","D"))))</f>
        <v/>
      </c>
      <c r="H933" s="28"/>
      <c r="I933" s="27"/>
      <c r="J933" s="26"/>
      <c r="K933" s="27"/>
      <c r="L933" s="27"/>
      <c r="M933" s="27"/>
      <c r="N933" s="27"/>
      <c r="O933" s="24" t="str">
        <f aca="false">IF(G933="","",VLOOKUP(G933,Setup!$A$14:$C$17,3,0))</f>
        <v/>
      </c>
      <c r="P933" s="27"/>
      <c r="Q933" s="29" t="str">
        <f aca="false">IF(OR(P933="",M933&lt;&gt;"Paid",O933=""),"",P933/O933)</f>
        <v/>
      </c>
      <c r="R933" s="30" t="str">
        <f aca="false">IF(Q933="","",Q933+N(H933)*0.000000001)</f>
        <v/>
      </c>
      <c r="S933" s="25" t="str">
        <f aca="false">IF(R933="","",SUMPRODUCT((I$5:I$4004=I933)*ISNUMBER(R$5:R$4004)*(R$5:R$4004&gt;R933))+1)</f>
        <v/>
      </c>
      <c r="T933" s="25" t="str">
        <f aca="false">IF(S933="","",IF(S933&lt;=Setup!$B$5,"🏆 WINNER",""))</f>
        <v/>
      </c>
      <c r="U933" s="24" t="str">
        <f aca="false">IF(S933="","",I933&amp;"|"&amp;S933)</f>
        <v/>
      </c>
    </row>
    <row r="934" customFormat="false" ht="15" hidden="false" customHeight="false" outlineLevel="0" collapsed="false">
      <c r="A934" s="31" t="n">
        <v>930</v>
      </c>
      <c r="B934" s="32" t="str">
        <f aca="false">IF(OR(C934="",I934="",G934=""),"",IFERROR(VLOOKUP(I934,Setup!$A$9:$B$11,2,0),"???")&amp;"-"&amp;G934&amp;"-"&amp;TEXT(COUNTIFS(I$5:I934,I934,G$5:G934,G934),"0000"))</f>
        <v/>
      </c>
      <c r="C934" s="26"/>
      <c r="D934" s="26"/>
      <c r="E934" s="27"/>
      <c r="F934" s="27"/>
      <c r="G934" s="31" t="str">
        <f aca="false">IF(F934="","",IF(F934&lt;=5,"A",IF(F934&lt;=8,"B",IF(F934&lt;=10,"C","D"))))</f>
        <v/>
      </c>
      <c r="H934" s="28"/>
      <c r="I934" s="27"/>
      <c r="J934" s="26"/>
      <c r="K934" s="27"/>
      <c r="L934" s="27"/>
      <c r="M934" s="27"/>
      <c r="N934" s="27"/>
      <c r="O934" s="31" t="str">
        <f aca="false">IF(G934="","",VLOOKUP(G934,Setup!$A$14:$C$17,3,0))</f>
        <v/>
      </c>
      <c r="P934" s="27"/>
      <c r="Q934" s="33" t="str">
        <f aca="false">IF(OR(P934="",M934&lt;&gt;"Paid",O934=""),"",P934/O934)</f>
        <v/>
      </c>
      <c r="R934" s="34" t="str">
        <f aca="false">IF(Q934="","",Q934+N(H934)*0.000000001)</f>
        <v/>
      </c>
      <c r="S934" s="32" t="str">
        <f aca="false">IF(R934="","",SUMPRODUCT((I$5:I$4004=I934)*ISNUMBER(R$5:R$4004)*(R$5:R$4004&gt;R934))+1)</f>
        <v/>
      </c>
      <c r="T934" s="32" t="str">
        <f aca="false">IF(S934="","",IF(S934&lt;=Setup!$B$5,"🏆 WINNER",""))</f>
        <v/>
      </c>
      <c r="U934" s="31" t="str">
        <f aca="false">IF(S934="","",I934&amp;"|"&amp;S934)</f>
        <v/>
      </c>
    </row>
    <row r="935" customFormat="false" ht="15" hidden="false" customHeight="false" outlineLevel="0" collapsed="false">
      <c r="A935" s="24" t="n">
        <v>931</v>
      </c>
      <c r="B935" s="25" t="str">
        <f aca="false">IF(OR(C935="",I935="",G935=""),"",IFERROR(VLOOKUP(I935,Setup!$A$9:$B$11,2,0),"???")&amp;"-"&amp;G935&amp;"-"&amp;TEXT(COUNTIFS(I$5:I935,I935,G$5:G935,G935),"0000"))</f>
        <v/>
      </c>
      <c r="C935" s="26"/>
      <c r="D935" s="26"/>
      <c r="E935" s="27"/>
      <c r="F935" s="27"/>
      <c r="G935" s="24" t="str">
        <f aca="false">IF(F935="","",IF(F935&lt;=5,"A",IF(F935&lt;=8,"B",IF(F935&lt;=10,"C","D"))))</f>
        <v/>
      </c>
      <c r="H935" s="28"/>
      <c r="I935" s="27"/>
      <c r="J935" s="26"/>
      <c r="K935" s="27"/>
      <c r="L935" s="27"/>
      <c r="M935" s="27"/>
      <c r="N935" s="27"/>
      <c r="O935" s="24" t="str">
        <f aca="false">IF(G935="","",VLOOKUP(G935,Setup!$A$14:$C$17,3,0))</f>
        <v/>
      </c>
      <c r="P935" s="27"/>
      <c r="Q935" s="29" t="str">
        <f aca="false">IF(OR(P935="",M935&lt;&gt;"Paid",O935=""),"",P935/O935)</f>
        <v/>
      </c>
      <c r="R935" s="30" t="str">
        <f aca="false">IF(Q935="","",Q935+N(H935)*0.000000001)</f>
        <v/>
      </c>
      <c r="S935" s="25" t="str">
        <f aca="false">IF(R935="","",SUMPRODUCT((I$5:I$4004=I935)*ISNUMBER(R$5:R$4004)*(R$5:R$4004&gt;R935))+1)</f>
        <v/>
      </c>
      <c r="T935" s="25" t="str">
        <f aca="false">IF(S935="","",IF(S935&lt;=Setup!$B$5,"🏆 WINNER",""))</f>
        <v/>
      </c>
      <c r="U935" s="24" t="str">
        <f aca="false">IF(S935="","",I935&amp;"|"&amp;S935)</f>
        <v/>
      </c>
    </row>
    <row r="936" customFormat="false" ht="15" hidden="false" customHeight="false" outlineLevel="0" collapsed="false">
      <c r="A936" s="31" t="n">
        <v>932</v>
      </c>
      <c r="B936" s="32" t="str">
        <f aca="false">IF(OR(C936="",I936="",G936=""),"",IFERROR(VLOOKUP(I936,Setup!$A$9:$B$11,2,0),"???")&amp;"-"&amp;G936&amp;"-"&amp;TEXT(COUNTIFS(I$5:I936,I936,G$5:G936,G936),"0000"))</f>
        <v/>
      </c>
      <c r="C936" s="26"/>
      <c r="D936" s="26"/>
      <c r="E936" s="27"/>
      <c r="F936" s="27"/>
      <c r="G936" s="31" t="str">
        <f aca="false">IF(F936="","",IF(F936&lt;=5,"A",IF(F936&lt;=8,"B",IF(F936&lt;=10,"C","D"))))</f>
        <v/>
      </c>
      <c r="H936" s="28"/>
      <c r="I936" s="27"/>
      <c r="J936" s="26"/>
      <c r="K936" s="27"/>
      <c r="L936" s="27"/>
      <c r="M936" s="27"/>
      <c r="N936" s="27"/>
      <c r="O936" s="31" t="str">
        <f aca="false">IF(G936="","",VLOOKUP(G936,Setup!$A$14:$C$17,3,0))</f>
        <v/>
      </c>
      <c r="P936" s="27"/>
      <c r="Q936" s="33" t="str">
        <f aca="false">IF(OR(P936="",M936&lt;&gt;"Paid",O936=""),"",P936/O936)</f>
        <v/>
      </c>
      <c r="R936" s="34" t="str">
        <f aca="false">IF(Q936="","",Q936+N(H936)*0.000000001)</f>
        <v/>
      </c>
      <c r="S936" s="32" t="str">
        <f aca="false">IF(R936="","",SUMPRODUCT((I$5:I$4004=I936)*ISNUMBER(R$5:R$4004)*(R$5:R$4004&gt;R936))+1)</f>
        <v/>
      </c>
      <c r="T936" s="32" t="str">
        <f aca="false">IF(S936="","",IF(S936&lt;=Setup!$B$5,"🏆 WINNER",""))</f>
        <v/>
      </c>
      <c r="U936" s="31" t="str">
        <f aca="false">IF(S936="","",I936&amp;"|"&amp;S936)</f>
        <v/>
      </c>
    </row>
    <row r="937" customFormat="false" ht="15" hidden="false" customHeight="false" outlineLevel="0" collapsed="false">
      <c r="A937" s="24" t="n">
        <v>933</v>
      </c>
      <c r="B937" s="25" t="str">
        <f aca="false">IF(OR(C937="",I937="",G937=""),"",IFERROR(VLOOKUP(I937,Setup!$A$9:$B$11,2,0),"???")&amp;"-"&amp;G937&amp;"-"&amp;TEXT(COUNTIFS(I$5:I937,I937,G$5:G937,G937),"0000"))</f>
        <v/>
      </c>
      <c r="C937" s="26"/>
      <c r="D937" s="26"/>
      <c r="E937" s="27"/>
      <c r="F937" s="27"/>
      <c r="G937" s="24" t="str">
        <f aca="false">IF(F937="","",IF(F937&lt;=5,"A",IF(F937&lt;=8,"B",IF(F937&lt;=10,"C","D"))))</f>
        <v/>
      </c>
      <c r="H937" s="28"/>
      <c r="I937" s="27"/>
      <c r="J937" s="26"/>
      <c r="K937" s="27"/>
      <c r="L937" s="27"/>
      <c r="M937" s="27"/>
      <c r="N937" s="27"/>
      <c r="O937" s="24" t="str">
        <f aca="false">IF(G937="","",VLOOKUP(G937,Setup!$A$14:$C$17,3,0))</f>
        <v/>
      </c>
      <c r="P937" s="27"/>
      <c r="Q937" s="29" t="str">
        <f aca="false">IF(OR(P937="",M937&lt;&gt;"Paid",O937=""),"",P937/O937)</f>
        <v/>
      </c>
      <c r="R937" s="30" t="str">
        <f aca="false">IF(Q937="","",Q937+N(H937)*0.000000001)</f>
        <v/>
      </c>
      <c r="S937" s="25" t="str">
        <f aca="false">IF(R937="","",SUMPRODUCT((I$5:I$4004=I937)*ISNUMBER(R$5:R$4004)*(R$5:R$4004&gt;R937))+1)</f>
        <v/>
      </c>
      <c r="T937" s="25" t="str">
        <f aca="false">IF(S937="","",IF(S937&lt;=Setup!$B$5,"🏆 WINNER",""))</f>
        <v/>
      </c>
      <c r="U937" s="24" t="str">
        <f aca="false">IF(S937="","",I937&amp;"|"&amp;S937)</f>
        <v/>
      </c>
    </row>
    <row r="938" customFormat="false" ht="15" hidden="false" customHeight="false" outlineLevel="0" collapsed="false">
      <c r="A938" s="31" t="n">
        <v>934</v>
      </c>
      <c r="B938" s="32" t="str">
        <f aca="false">IF(OR(C938="",I938="",G938=""),"",IFERROR(VLOOKUP(I938,Setup!$A$9:$B$11,2,0),"???")&amp;"-"&amp;G938&amp;"-"&amp;TEXT(COUNTIFS(I$5:I938,I938,G$5:G938,G938),"0000"))</f>
        <v/>
      </c>
      <c r="C938" s="26"/>
      <c r="D938" s="26"/>
      <c r="E938" s="27"/>
      <c r="F938" s="27"/>
      <c r="G938" s="31" t="str">
        <f aca="false">IF(F938="","",IF(F938&lt;=5,"A",IF(F938&lt;=8,"B",IF(F938&lt;=10,"C","D"))))</f>
        <v/>
      </c>
      <c r="H938" s="28"/>
      <c r="I938" s="27"/>
      <c r="J938" s="26"/>
      <c r="K938" s="27"/>
      <c r="L938" s="27"/>
      <c r="M938" s="27"/>
      <c r="N938" s="27"/>
      <c r="O938" s="31" t="str">
        <f aca="false">IF(G938="","",VLOOKUP(G938,Setup!$A$14:$C$17,3,0))</f>
        <v/>
      </c>
      <c r="P938" s="27"/>
      <c r="Q938" s="33" t="str">
        <f aca="false">IF(OR(P938="",M938&lt;&gt;"Paid",O938=""),"",P938/O938)</f>
        <v/>
      </c>
      <c r="R938" s="34" t="str">
        <f aca="false">IF(Q938="","",Q938+N(H938)*0.000000001)</f>
        <v/>
      </c>
      <c r="S938" s="32" t="str">
        <f aca="false">IF(R938="","",SUMPRODUCT((I$5:I$4004=I938)*ISNUMBER(R$5:R$4004)*(R$5:R$4004&gt;R938))+1)</f>
        <v/>
      </c>
      <c r="T938" s="32" t="str">
        <f aca="false">IF(S938="","",IF(S938&lt;=Setup!$B$5,"🏆 WINNER",""))</f>
        <v/>
      </c>
      <c r="U938" s="31" t="str">
        <f aca="false">IF(S938="","",I938&amp;"|"&amp;S938)</f>
        <v/>
      </c>
    </row>
    <row r="939" customFormat="false" ht="15" hidden="false" customHeight="false" outlineLevel="0" collapsed="false">
      <c r="A939" s="24" t="n">
        <v>935</v>
      </c>
      <c r="B939" s="25" t="str">
        <f aca="false">IF(OR(C939="",I939="",G939=""),"",IFERROR(VLOOKUP(I939,Setup!$A$9:$B$11,2,0),"???")&amp;"-"&amp;G939&amp;"-"&amp;TEXT(COUNTIFS(I$5:I939,I939,G$5:G939,G939),"0000"))</f>
        <v/>
      </c>
      <c r="C939" s="26"/>
      <c r="D939" s="26"/>
      <c r="E939" s="27"/>
      <c r="F939" s="27"/>
      <c r="G939" s="24" t="str">
        <f aca="false">IF(F939="","",IF(F939&lt;=5,"A",IF(F939&lt;=8,"B",IF(F939&lt;=10,"C","D"))))</f>
        <v/>
      </c>
      <c r="H939" s="28"/>
      <c r="I939" s="27"/>
      <c r="J939" s="26"/>
      <c r="K939" s="27"/>
      <c r="L939" s="27"/>
      <c r="M939" s="27"/>
      <c r="N939" s="27"/>
      <c r="O939" s="24" t="str">
        <f aca="false">IF(G939="","",VLOOKUP(G939,Setup!$A$14:$C$17,3,0))</f>
        <v/>
      </c>
      <c r="P939" s="27"/>
      <c r="Q939" s="29" t="str">
        <f aca="false">IF(OR(P939="",M939&lt;&gt;"Paid",O939=""),"",P939/O939)</f>
        <v/>
      </c>
      <c r="R939" s="30" t="str">
        <f aca="false">IF(Q939="","",Q939+N(H939)*0.000000001)</f>
        <v/>
      </c>
      <c r="S939" s="25" t="str">
        <f aca="false">IF(R939="","",SUMPRODUCT((I$5:I$4004=I939)*ISNUMBER(R$5:R$4004)*(R$5:R$4004&gt;R939))+1)</f>
        <v/>
      </c>
      <c r="T939" s="25" t="str">
        <f aca="false">IF(S939="","",IF(S939&lt;=Setup!$B$5,"🏆 WINNER",""))</f>
        <v/>
      </c>
      <c r="U939" s="24" t="str">
        <f aca="false">IF(S939="","",I939&amp;"|"&amp;S939)</f>
        <v/>
      </c>
    </row>
    <row r="940" customFormat="false" ht="15" hidden="false" customHeight="false" outlineLevel="0" collapsed="false">
      <c r="A940" s="31" t="n">
        <v>936</v>
      </c>
      <c r="B940" s="32" t="str">
        <f aca="false">IF(OR(C940="",I940="",G940=""),"",IFERROR(VLOOKUP(I940,Setup!$A$9:$B$11,2,0),"???")&amp;"-"&amp;G940&amp;"-"&amp;TEXT(COUNTIFS(I$5:I940,I940,G$5:G940,G940),"0000"))</f>
        <v/>
      </c>
      <c r="C940" s="26"/>
      <c r="D940" s="26"/>
      <c r="E940" s="27"/>
      <c r="F940" s="27"/>
      <c r="G940" s="31" t="str">
        <f aca="false">IF(F940="","",IF(F940&lt;=5,"A",IF(F940&lt;=8,"B",IF(F940&lt;=10,"C","D"))))</f>
        <v/>
      </c>
      <c r="H940" s="28"/>
      <c r="I940" s="27"/>
      <c r="J940" s="26"/>
      <c r="K940" s="27"/>
      <c r="L940" s="27"/>
      <c r="M940" s="27"/>
      <c r="N940" s="27"/>
      <c r="O940" s="31" t="str">
        <f aca="false">IF(G940="","",VLOOKUP(G940,Setup!$A$14:$C$17,3,0))</f>
        <v/>
      </c>
      <c r="P940" s="27"/>
      <c r="Q940" s="33" t="str">
        <f aca="false">IF(OR(P940="",M940&lt;&gt;"Paid",O940=""),"",P940/O940)</f>
        <v/>
      </c>
      <c r="R940" s="34" t="str">
        <f aca="false">IF(Q940="","",Q940+N(H940)*0.000000001)</f>
        <v/>
      </c>
      <c r="S940" s="32" t="str">
        <f aca="false">IF(R940="","",SUMPRODUCT((I$5:I$4004=I940)*ISNUMBER(R$5:R$4004)*(R$5:R$4004&gt;R940))+1)</f>
        <v/>
      </c>
      <c r="T940" s="32" t="str">
        <f aca="false">IF(S940="","",IF(S940&lt;=Setup!$B$5,"🏆 WINNER",""))</f>
        <v/>
      </c>
      <c r="U940" s="31" t="str">
        <f aca="false">IF(S940="","",I940&amp;"|"&amp;S940)</f>
        <v/>
      </c>
    </row>
    <row r="941" customFormat="false" ht="15" hidden="false" customHeight="false" outlineLevel="0" collapsed="false">
      <c r="A941" s="24" t="n">
        <v>937</v>
      </c>
      <c r="B941" s="25" t="str">
        <f aca="false">IF(OR(C941="",I941="",G941=""),"",IFERROR(VLOOKUP(I941,Setup!$A$9:$B$11,2,0),"???")&amp;"-"&amp;G941&amp;"-"&amp;TEXT(COUNTIFS(I$5:I941,I941,G$5:G941,G941),"0000"))</f>
        <v/>
      </c>
      <c r="C941" s="26"/>
      <c r="D941" s="26"/>
      <c r="E941" s="27"/>
      <c r="F941" s="27"/>
      <c r="G941" s="24" t="str">
        <f aca="false">IF(F941="","",IF(F941&lt;=5,"A",IF(F941&lt;=8,"B",IF(F941&lt;=10,"C","D"))))</f>
        <v/>
      </c>
      <c r="H941" s="28"/>
      <c r="I941" s="27"/>
      <c r="J941" s="26"/>
      <c r="K941" s="27"/>
      <c r="L941" s="27"/>
      <c r="M941" s="27"/>
      <c r="N941" s="27"/>
      <c r="O941" s="24" t="str">
        <f aca="false">IF(G941="","",VLOOKUP(G941,Setup!$A$14:$C$17,3,0))</f>
        <v/>
      </c>
      <c r="P941" s="27"/>
      <c r="Q941" s="29" t="str">
        <f aca="false">IF(OR(P941="",M941&lt;&gt;"Paid",O941=""),"",P941/O941)</f>
        <v/>
      </c>
      <c r="R941" s="30" t="str">
        <f aca="false">IF(Q941="","",Q941+N(H941)*0.000000001)</f>
        <v/>
      </c>
      <c r="S941" s="25" t="str">
        <f aca="false">IF(R941="","",SUMPRODUCT((I$5:I$4004=I941)*ISNUMBER(R$5:R$4004)*(R$5:R$4004&gt;R941))+1)</f>
        <v/>
      </c>
      <c r="T941" s="25" t="str">
        <f aca="false">IF(S941="","",IF(S941&lt;=Setup!$B$5,"🏆 WINNER",""))</f>
        <v/>
      </c>
      <c r="U941" s="24" t="str">
        <f aca="false">IF(S941="","",I941&amp;"|"&amp;S941)</f>
        <v/>
      </c>
    </row>
    <row r="942" customFormat="false" ht="15" hidden="false" customHeight="false" outlineLevel="0" collapsed="false">
      <c r="A942" s="31" t="n">
        <v>938</v>
      </c>
      <c r="B942" s="32" t="str">
        <f aca="false">IF(OR(C942="",I942="",G942=""),"",IFERROR(VLOOKUP(I942,Setup!$A$9:$B$11,2,0),"???")&amp;"-"&amp;G942&amp;"-"&amp;TEXT(COUNTIFS(I$5:I942,I942,G$5:G942,G942),"0000"))</f>
        <v/>
      </c>
      <c r="C942" s="26"/>
      <c r="D942" s="26"/>
      <c r="E942" s="27"/>
      <c r="F942" s="27"/>
      <c r="G942" s="31" t="str">
        <f aca="false">IF(F942="","",IF(F942&lt;=5,"A",IF(F942&lt;=8,"B",IF(F942&lt;=10,"C","D"))))</f>
        <v/>
      </c>
      <c r="H942" s="28"/>
      <c r="I942" s="27"/>
      <c r="J942" s="26"/>
      <c r="K942" s="27"/>
      <c r="L942" s="27"/>
      <c r="M942" s="27"/>
      <c r="N942" s="27"/>
      <c r="O942" s="31" t="str">
        <f aca="false">IF(G942="","",VLOOKUP(G942,Setup!$A$14:$C$17,3,0))</f>
        <v/>
      </c>
      <c r="P942" s="27"/>
      <c r="Q942" s="33" t="str">
        <f aca="false">IF(OR(P942="",M942&lt;&gt;"Paid",O942=""),"",P942/O942)</f>
        <v/>
      </c>
      <c r="R942" s="34" t="str">
        <f aca="false">IF(Q942="","",Q942+N(H942)*0.000000001)</f>
        <v/>
      </c>
      <c r="S942" s="32" t="str">
        <f aca="false">IF(R942="","",SUMPRODUCT((I$5:I$4004=I942)*ISNUMBER(R$5:R$4004)*(R$5:R$4004&gt;R942))+1)</f>
        <v/>
      </c>
      <c r="T942" s="32" t="str">
        <f aca="false">IF(S942="","",IF(S942&lt;=Setup!$B$5,"🏆 WINNER",""))</f>
        <v/>
      </c>
      <c r="U942" s="31" t="str">
        <f aca="false">IF(S942="","",I942&amp;"|"&amp;S942)</f>
        <v/>
      </c>
    </row>
    <row r="943" customFormat="false" ht="15" hidden="false" customHeight="false" outlineLevel="0" collapsed="false">
      <c r="A943" s="24" t="n">
        <v>939</v>
      </c>
      <c r="B943" s="25" t="str">
        <f aca="false">IF(OR(C943="",I943="",G943=""),"",IFERROR(VLOOKUP(I943,Setup!$A$9:$B$11,2,0),"???")&amp;"-"&amp;G943&amp;"-"&amp;TEXT(COUNTIFS(I$5:I943,I943,G$5:G943,G943),"0000"))</f>
        <v/>
      </c>
      <c r="C943" s="26"/>
      <c r="D943" s="26"/>
      <c r="E943" s="27"/>
      <c r="F943" s="27"/>
      <c r="G943" s="24" t="str">
        <f aca="false">IF(F943="","",IF(F943&lt;=5,"A",IF(F943&lt;=8,"B",IF(F943&lt;=10,"C","D"))))</f>
        <v/>
      </c>
      <c r="H943" s="28"/>
      <c r="I943" s="27"/>
      <c r="J943" s="26"/>
      <c r="K943" s="27"/>
      <c r="L943" s="27"/>
      <c r="M943" s="27"/>
      <c r="N943" s="27"/>
      <c r="O943" s="24" t="str">
        <f aca="false">IF(G943="","",VLOOKUP(G943,Setup!$A$14:$C$17,3,0))</f>
        <v/>
      </c>
      <c r="P943" s="27"/>
      <c r="Q943" s="29" t="str">
        <f aca="false">IF(OR(P943="",M943&lt;&gt;"Paid",O943=""),"",P943/O943)</f>
        <v/>
      </c>
      <c r="R943" s="30" t="str">
        <f aca="false">IF(Q943="","",Q943+N(H943)*0.000000001)</f>
        <v/>
      </c>
      <c r="S943" s="25" t="str">
        <f aca="false">IF(R943="","",SUMPRODUCT((I$5:I$4004=I943)*ISNUMBER(R$5:R$4004)*(R$5:R$4004&gt;R943))+1)</f>
        <v/>
      </c>
      <c r="T943" s="25" t="str">
        <f aca="false">IF(S943="","",IF(S943&lt;=Setup!$B$5,"🏆 WINNER",""))</f>
        <v/>
      </c>
      <c r="U943" s="24" t="str">
        <f aca="false">IF(S943="","",I943&amp;"|"&amp;S943)</f>
        <v/>
      </c>
    </row>
    <row r="944" customFormat="false" ht="15" hidden="false" customHeight="false" outlineLevel="0" collapsed="false">
      <c r="A944" s="31" t="n">
        <v>940</v>
      </c>
      <c r="B944" s="32" t="str">
        <f aca="false">IF(OR(C944="",I944="",G944=""),"",IFERROR(VLOOKUP(I944,Setup!$A$9:$B$11,2,0),"???")&amp;"-"&amp;G944&amp;"-"&amp;TEXT(COUNTIFS(I$5:I944,I944,G$5:G944,G944),"0000"))</f>
        <v/>
      </c>
      <c r="C944" s="26"/>
      <c r="D944" s="26"/>
      <c r="E944" s="27"/>
      <c r="F944" s="27"/>
      <c r="G944" s="31" t="str">
        <f aca="false">IF(F944="","",IF(F944&lt;=5,"A",IF(F944&lt;=8,"B",IF(F944&lt;=10,"C","D"))))</f>
        <v/>
      </c>
      <c r="H944" s="28"/>
      <c r="I944" s="27"/>
      <c r="J944" s="26"/>
      <c r="K944" s="27"/>
      <c r="L944" s="27"/>
      <c r="M944" s="27"/>
      <c r="N944" s="27"/>
      <c r="O944" s="31" t="str">
        <f aca="false">IF(G944="","",VLOOKUP(G944,Setup!$A$14:$C$17,3,0))</f>
        <v/>
      </c>
      <c r="P944" s="27"/>
      <c r="Q944" s="33" t="str">
        <f aca="false">IF(OR(P944="",M944&lt;&gt;"Paid",O944=""),"",P944/O944)</f>
        <v/>
      </c>
      <c r="R944" s="34" t="str">
        <f aca="false">IF(Q944="","",Q944+N(H944)*0.000000001)</f>
        <v/>
      </c>
      <c r="S944" s="32" t="str">
        <f aca="false">IF(R944="","",SUMPRODUCT((I$5:I$4004=I944)*ISNUMBER(R$5:R$4004)*(R$5:R$4004&gt;R944))+1)</f>
        <v/>
      </c>
      <c r="T944" s="32" t="str">
        <f aca="false">IF(S944="","",IF(S944&lt;=Setup!$B$5,"🏆 WINNER",""))</f>
        <v/>
      </c>
      <c r="U944" s="31" t="str">
        <f aca="false">IF(S944="","",I944&amp;"|"&amp;S944)</f>
        <v/>
      </c>
    </row>
    <row r="945" customFormat="false" ht="15" hidden="false" customHeight="false" outlineLevel="0" collapsed="false">
      <c r="A945" s="24" t="n">
        <v>941</v>
      </c>
      <c r="B945" s="25" t="str">
        <f aca="false">IF(OR(C945="",I945="",G945=""),"",IFERROR(VLOOKUP(I945,Setup!$A$9:$B$11,2,0),"???")&amp;"-"&amp;G945&amp;"-"&amp;TEXT(COUNTIFS(I$5:I945,I945,G$5:G945,G945),"0000"))</f>
        <v/>
      </c>
      <c r="C945" s="26"/>
      <c r="D945" s="26"/>
      <c r="E945" s="27"/>
      <c r="F945" s="27"/>
      <c r="G945" s="24" t="str">
        <f aca="false">IF(F945="","",IF(F945&lt;=5,"A",IF(F945&lt;=8,"B",IF(F945&lt;=10,"C","D"))))</f>
        <v/>
      </c>
      <c r="H945" s="28"/>
      <c r="I945" s="27"/>
      <c r="J945" s="26"/>
      <c r="K945" s="27"/>
      <c r="L945" s="27"/>
      <c r="M945" s="27"/>
      <c r="N945" s="27"/>
      <c r="O945" s="24" t="str">
        <f aca="false">IF(G945="","",VLOOKUP(G945,Setup!$A$14:$C$17,3,0))</f>
        <v/>
      </c>
      <c r="P945" s="27"/>
      <c r="Q945" s="29" t="str">
        <f aca="false">IF(OR(P945="",M945&lt;&gt;"Paid",O945=""),"",P945/O945)</f>
        <v/>
      </c>
      <c r="R945" s="30" t="str">
        <f aca="false">IF(Q945="","",Q945+N(H945)*0.000000001)</f>
        <v/>
      </c>
      <c r="S945" s="25" t="str">
        <f aca="false">IF(R945="","",SUMPRODUCT((I$5:I$4004=I945)*ISNUMBER(R$5:R$4004)*(R$5:R$4004&gt;R945))+1)</f>
        <v/>
      </c>
      <c r="T945" s="25" t="str">
        <f aca="false">IF(S945="","",IF(S945&lt;=Setup!$B$5,"🏆 WINNER",""))</f>
        <v/>
      </c>
      <c r="U945" s="24" t="str">
        <f aca="false">IF(S945="","",I945&amp;"|"&amp;S945)</f>
        <v/>
      </c>
    </row>
    <row r="946" customFormat="false" ht="15" hidden="false" customHeight="false" outlineLevel="0" collapsed="false">
      <c r="A946" s="31" t="n">
        <v>942</v>
      </c>
      <c r="B946" s="32" t="str">
        <f aca="false">IF(OR(C946="",I946="",G946=""),"",IFERROR(VLOOKUP(I946,Setup!$A$9:$B$11,2,0),"???")&amp;"-"&amp;G946&amp;"-"&amp;TEXT(COUNTIFS(I$5:I946,I946,G$5:G946,G946),"0000"))</f>
        <v/>
      </c>
      <c r="C946" s="26"/>
      <c r="D946" s="26"/>
      <c r="E946" s="27"/>
      <c r="F946" s="27"/>
      <c r="G946" s="31" t="str">
        <f aca="false">IF(F946="","",IF(F946&lt;=5,"A",IF(F946&lt;=8,"B",IF(F946&lt;=10,"C","D"))))</f>
        <v/>
      </c>
      <c r="H946" s="28"/>
      <c r="I946" s="27"/>
      <c r="J946" s="26"/>
      <c r="K946" s="27"/>
      <c r="L946" s="27"/>
      <c r="M946" s="27"/>
      <c r="N946" s="27"/>
      <c r="O946" s="31" t="str">
        <f aca="false">IF(G946="","",VLOOKUP(G946,Setup!$A$14:$C$17,3,0))</f>
        <v/>
      </c>
      <c r="P946" s="27"/>
      <c r="Q946" s="33" t="str">
        <f aca="false">IF(OR(P946="",M946&lt;&gt;"Paid",O946=""),"",P946/O946)</f>
        <v/>
      </c>
      <c r="R946" s="34" t="str">
        <f aca="false">IF(Q946="","",Q946+N(H946)*0.000000001)</f>
        <v/>
      </c>
      <c r="S946" s="32" t="str">
        <f aca="false">IF(R946="","",SUMPRODUCT((I$5:I$4004=I946)*ISNUMBER(R$5:R$4004)*(R$5:R$4004&gt;R946))+1)</f>
        <v/>
      </c>
      <c r="T946" s="32" t="str">
        <f aca="false">IF(S946="","",IF(S946&lt;=Setup!$B$5,"🏆 WINNER",""))</f>
        <v/>
      </c>
      <c r="U946" s="31" t="str">
        <f aca="false">IF(S946="","",I946&amp;"|"&amp;S946)</f>
        <v/>
      </c>
    </row>
    <row r="947" customFormat="false" ht="15" hidden="false" customHeight="false" outlineLevel="0" collapsed="false">
      <c r="A947" s="24" t="n">
        <v>943</v>
      </c>
      <c r="B947" s="25" t="str">
        <f aca="false">IF(OR(C947="",I947="",G947=""),"",IFERROR(VLOOKUP(I947,Setup!$A$9:$B$11,2,0),"???")&amp;"-"&amp;G947&amp;"-"&amp;TEXT(COUNTIFS(I$5:I947,I947,G$5:G947,G947),"0000"))</f>
        <v/>
      </c>
      <c r="C947" s="26"/>
      <c r="D947" s="26"/>
      <c r="E947" s="27"/>
      <c r="F947" s="27"/>
      <c r="G947" s="24" t="str">
        <f aca="false">IF(F947="","",IF(F947&lt;=5,"A",IF(F947&lt;=8,"B",IF(F947&lt;=10,"C","D"))))</f>
        <v/>
      </c>
      <c r="H947" s="28"/>
      <c r="I947" s="27"/>
      <c r="J947" s="26"/>
      <c r="K947" s="27"/>
      <c r="L947" s="27"/>
      <c r="M947" s="27"/>
      <c r="N947" s="27"/>
      <c r="O947" s="24" t="str">
        <f aca="false">IF(G947="","",VLOOKUP(G947,Setup!$A$14:$C$17,3,0))</f>
        <v/>
      </c>
      <c r="P947" s="27"/>
      <c r="Q947" s="29" t="str">
        <f aca="false">IF(OR(P947="",M947&lt;&gt;"Paid",O947=""),"",P947/O947)</f>
        <v/>
      </c>
      <c r="R947" s="30" t="str">
        <f aca="false">IF(Q947="","",Q947+N(H947)*0.000000001)</f>
        <v/>
      </c>
      <c r="S947" s="25" t="str">
        <f aca="false">IF(R947="","",SUMPRODUCT((I$5:I$4004=I947)*ISNUMBER(R$5:R$4004)*(R$5:R$4004&gt;R947))+1)</f>
        <v/>
      </c>
      <c r="T947" s="25" t="str">
        <f aca="false">IF(S947="","",IF(S947&lt;=Setup!$B$5,"🏆 WINNER",""))</f>
        <v/>
      </c>
      <c r="U947" s="24" t="str">
        <f aca="false">IF(S947="","",I947&amp;"|"&amp;S947)</f>
        <v/>
      </c>
    </row>
    <row r="948" customFormat="false" ht="15" hidden="false" customHeight="false" outlineLevel="0" collapsed="false">
      <c r="A948" s="31" t="n">
        <v>944</v>
      </c>
      <c r="B948" s="32" t="str">
        <f aca="false">IF(OR(C948="",I948="",G948=""),"",IFERROR(VLOOKUP(I948,Setup!$A$9:$B$11,2,0),"???")&amp;"-"&amp;G948&amp;"-"&amp;TEXT(COUNTIFS(I$5:I948,I948,G$5:G948,G948),"0000"))</f>
        <v/>
      </c>
      <c r="C948" s="26"/>
      <c r="D948" s="26"/>
      <c r="E948" s="27"/>
      <c r="F948" s="27"/>
      <c r="G948" s="31" t="str">
        <f aca="false">IF(F948="","",IF(F948&lt;=5,"A",IF(F948&lt;=8,"B",IF(F948&lt;=10,"C","D"))))</f>
        <v/>
      </c>
      <c r="H948" s="28"/>
      <c r="I948" s="27"/>
      <c r="J948" s="26"/>
      <c r="K948" s="27"/>
      <c r="L948" s="27"/>
      <c r="M948" s="27"/>
      <c r="N948" s="27"/>
      <c r="O948" s="31" t="str">
        <f aca="false">IF(G948="","",VLOOKUP(G948,Setup!$A$14:$C$17,3,0))</f>
        <v/>
      </c>
      <c r="P948" s="27"/>
      <c r="Q948" s="33" t="str">
        <f aca="false">IF(OR(P948="",M948&lt;&gt;"Paid",O948=""),"",P948/O948)</f>
        <v/>
      </c>
      <c r="R948" s="34" t="str">
        <f aca="false">IF(Q948="","",Q948+N(H948)*0.000000001)</f>
        <v/>
      </c>
      <c r="S948" s="32" t="str">
        <f aca="false">IF(R948="","",SUMPRODUCT((I$5:I$4004=I948)*ISNUMBER(R$5:R$4004)*(R$5:R$4004&gt;R948))+1)</f>
        <v/>
      </c>
      <c r="T948" s="32" t="str">
        <f aca="false">IF(S948="","",IF(S948&lt;=Setup!$B$5,"🏆 WINNER",""))</f>
        <v/>
      </c>
      <c r="U948" s="31" t="str">
        <f aca="false">IF(S948="","",I948&amp;"|"&amp;S948)</f>
        <v/>
      </c>
    </row>
    <row r="949" customFormat="false" ht="15" hidden="false" customHeight="false" outlineLevel="0" collapsed="false">
      <c r="A949" s="24" t="n">
        <v>945</v>
      </c>
      <c r="B949" s="25" t="str">
        <f aca="false">IF(OR(C949="",I949="",G949=""),"",IFERROR(VLOOKUP(I949,Setup!$A$9:$B$11,2,0),"???")&amp;"-"&amp;G949&amp;"-"&amp;TEXT(COUNTIFS(I$5:I949,I949,G$5:G949,G949),"0000"))</f>
        <v/>
      </c>
      <c r="C949" s="26"/>
      <c r="D949" s="26"/>
      <c r="E949" s="27"/>
      <c r="F949" s="27"/>
      <c r="G949" s="24" t="str">
        <f aca="false">IF(F949="","",IF(F949&lt;=5,"A",IF(F949&lt;=8,"B",IF(F949&lt;=10,"C","D"))))</f>
        <v/>
      </c>
      <c r="H949" s="28"/>
      <c r="I949" s="27"/>
      <c r="J949" s="26"/>
      <c r="K949" s="27"/>
      <c r="L949" s="27"/>
      <c r="M949" s="27"/>
      <c r="N949" s="27"/>
      <c r="O949" s="24" t="str">
        <f aca="false">IF(G949="","",VLOOKUP(G949,Setup!$A$14:$C$17,3,0))</f>
        <v/>
      </c>
      <c r="P949" s="27"/>
      <c r="Q949" s="29" t="str">
        <f aca="false">IF(OR(P949="",M949&lt;&gt;"Paid",O949=""),"",P949/O949)</f>
        <v/>
      </c>
      <c r="R949" s="30" t="str">
        <f aca="false">IF(Q949="","",Q949+N(H949)*0.000000001)</f>
        <v/>
      </c>
      <c r="S949" s="25" t="str">
        <f aca="false">IF(R949="","",SUMPRODUCT((I$5:I$4004=I949)*ISNUMBER(R$5:R$4004)*(R$5:R$4004&gt;R949))+1)</f>
        <v/>
      </c>
      <c r="T949" s="25" t="str">
        <f aca="false">IF(S949="","",IF(S949&lt;=Setup!$B$5,"🏆 WINNER",""))</f>
        <v/>
      </c>
      <c r="U949" s="24" t="str">
        <f aca="false">IF(S949="","",I949&amp;"|"&amp;S949)</f>
        <v/>
      </c>
    </row>
    <row r="950" customFormat="false" ht="15" hidden="false" customHeight="false" outlineLevel="0" collapsed="false">
      <c r="A950" s="31" t="n">
        <v>946</v>
      </c>
      <c r="B950" s="32" t="str">
        <f aca="false">IF(OR(C950="",I950="",G950=""),"",IFERROR(VLOOKUP(I950,Setup!$A$9:$B$11,2,0),"???")&amp;"-"&amp;G950&amp;"-"&amp;TEXT(COUNTIFS(I$5:I950,I950,G$5:G950,G950),"0000"))</f>
        <v/>
      </c>
      <c r="C950" s="26"/>
      <c r="D950" s="26"/>
      <c r="E950" s="27"/>
      <c r="F950" s="27"/>
      <c r="G950" s="31" t="str">
        <f aca="false">IF(F950="","",IF(F950&lt;=5,"A",IF(F950&lt;=8,"B",IF(F950&lt;=10,"C","D"))))</f>
        <v/>
      </c>
      <c r="H950" s="28"/>
      <c r="I950" s="27"/>
      <c r="J950" s="26"/>
      <c r="K950" s="27"/>
      <c r="L950" s="27"/>
      <c r="M950" s="27"/>
      <c r="N950" s="27"/>
      <c r="O950" s="31" t="str">
        <f aca="false">IF(G950="","",VLOOKUP(G950,Setup!$A$14:$C$17,3,0))</f>
        <v/>
      </c>
      <c r="P950" s="27"/>
      <c r="Q950" s="33" t="str">
        <f aca="false">IF(OR(P950="",M950&lt;&gt;"Paid",O950=""),"",P950/O950)</f>
        <v/>
      </c>
      <c r="R950" s="34" t="str">
        <f aca="false">IF(Q950="","",Q950+N(H950)*0.000000001)</f>
        <v/>
      </c>
      <c r="S950" s="32" t="str">
        <f aca="false">IF(R950="","",SUMPRODUCT((I$5:I$4004=I950)*ISNUMBER(R$5:R$4004)*(R$5:R$4004&gt;R950))+1)</f>
        <v/>
      </c>
      <c r="T950" s="32" t="str">
        <f aca="false">IF(S950="","",IF(S950&lt;=Setup!$B$5,"🏆 WINNER",""))</f>
        <v/>
      </c>
      <c r="U950" s="31" t="str">
        <f aca="false">IF(S950="","",I950&amp;"|"&amp;S950)</f>
        <v/>
      </c>
    </row>
    <row r="951" customFormat="false" ht="15" hidden="false" customHeight="false" outlineLevel="0" collapsed="false">
      <c r="A951" s="24" t="n">
        <v>947</v>
      </c>
      <c r="B951" s="25" t="str">
        <f aca="false">IF(OR(C951="",I951="",G951=""),"",IFERROR(VLOOKUP(I951,Setup!$A$9:$B$11,2,0),"???")&amp;"-"&amp;G951&amp;"-"&amp;TEXT(COUNTIFS(I$5:I951,I951,G$5:G951,G951),"0000"))</f>
        <v/>
      </c>
      <c r="C951" s="26"/>
      <c r="D951" s="26"/>
      <c r="E951" s="27"/>
      <c r="F951" s="27"/>
      <c r="G951" s="24" t="str">
        <f aca="false">IF(F951="","",IF(F951&lt;=5,"A",IF(F951&lt;=8,"B",IF(F951&lt;=10,"C","D"))))</f>
        <v/>
      </c>
      <c r="H951" s="28"/>
      <c r="I951" s="27"/>
      <c r="J951" s="26"/>
      <c r="K951" s="27"/>
      <c r="L951" s="27"/>
      <c r="M951" s="27"/>
      <c r="N951" s="27"/>
      <c r="O951" s="24" t="str">
        <f aca="false">IF(G951="","",VLOOKUP(G951,Setup!$A$14:$C$17,3,0))</f>
        <v/>
      </c>
      <c r="P951" s="27"/>
      <c r="Q951" s="29" t="str">
        <f aca="false">IF(OR(P951="",M951&lt;&gt;"Paid",O951=""),"",P951/O951)</f>
        <v/>
      </c>
      <c r="R951" s="30" t="str">
        <f aca="false">IF(Q951="","",Q951+N(H951)*0.000000001)</f>
        <v/>
      </c>
      <c r="S951" s="25" t="str">
        <f aca="false">IF(R951="","",SUMPRODUCT((I$5:I$4004=I951)*ISNUMBER(R$5:R$4004)*(R$5:R$4004&gt;R951))+1)</f>
        <v/>
      </c>
      <c r="T951" s="25" t="str">
        <f aca="false">IF(S951="","",IF(S951&lt;=Setup!$B$5,"🏆 WINNER",""))</f>
        <v/>
      </c>
      <c r="U951" s="24" t="str">
        <f aca="false">IF(S951="","",I951&amp;"|"&amp;S951)</f>
        <v/>
      </c>
    </row>
    <row r="952" customFormat="false" ht="15" hidden="false" customHeight="false" outlineLevel="0" collapsed="false">
      <c r="A952" s="31" t="n">
        <v>948</v>
      </c>
      <c r="B952" s="32" t="str">
        <f aca="false">IF(OR(C952="",I952="",G952=""),"",IFERROR(VLOOKUP(I952,Setup!$A$9:$B$11,2,0),"???")&amp;"-"&amp;G952&amp;"-"&amp;TEXT(COUNTIFS(I$5:I952,I952,G$5:G952,G952),"0000"))</f>
        <v/>
      </c>
      <c r="C952" s="26"/>
      <c r="D952" s="26"/>
      <c r="E952" s="27"/>
      <c r="F952" s="27"/>
      <c r="G952" s="31" t="str">
        <f aca="false">IF(F952="","",IF(F952&lt;=5,"A",IF(F952&lt;=8,"B",IF(F952&lt;=10,"C","D"))))</f>
        <v/>
      </c>
      <c r="H952" s="28"/>
      <c r="I952" s="27"/>
      <c r="J952" s="26"/>
      <c r="K952" s="27"/>
      <c r="L952" s="27"/>
      <c r="M952" s="27"/>
      <c r="N952" s="27"/>
      <c r="O952" s="31" t="str">
        <f aca="false">IF(G952="","",VLOOKUP(G952,Setup!$A$14:$C$17,3,0))</f>
        <v/>
      </c>
      <c r="P952" s="27"/>
      <c r="Q952" s="33" t="str">
        <f aca="false">IF(OR(P952="",M952&lt;&gt;"Paid",O952=""),"",P952/O952)</f>
        <v/>
      </c>
      <c r="R952" s="34" t="str">
        <f aca="false">IF(Q952="","",Q952+N(H952)*0.000000001)</f>
        <v/>
      </c>
      <c r="S952" s="32" t="str">
        <f aca="false">IF(R952="","",SUMPRODUCT((I$5:I$4004=I952)*ISNUMBER(R$5:R$4004)*(R$5:R$4004&gt;R952))+1)</f>
        <v/>
      </c>
      <c r="T952" s="32" t="str">
        <f aca="false">IF(S952="","",IF(S952&lt;=Setup!$B$5,"🏆 WINNER",""))</f>
        <v/>
      </c>
      <c r="U952" s="31" t="str">
        <f aca="false">IF(S952="","",I952&amp;"|"&amp;S952)</f>
        <v/>
      </c>
    </row>
    <row r="953" customFormat="false" ht="15" hidden="false" customHeight="false" outlineLevel="0" collapsed="false">
      <c r="A953" s="24" t="n">
        <v>949</v>
      </c>
      <c r="B953" s="25" t="str">
        <f aca="false">IF(OR(C953="",I953="",G953=""),"",IFERROR(VLOOKUP(I953,Setup!$A$9:$B$11,2,0),"???")&amp;"-"&amp;G953&amp;"-"&amp;TEXT(COUNTIFS(I$5:I953,I953,G$5:G953,G953),"0000"))</f>
        <v/>
      </c>
      <c r="C953" s="26"/>
      <c r="D953" s="26"/>
      <c r="E953" s="27"/>
      <c r="F953" s="27"/>
      <c r="G953" s="24" t="str">
        <f aca="false">IF(F953="","",IF(F953&lt;=5,"A",IF(F953&lt;=8,"B",IF(F953&lt;=10,"C","D"))))</f>
        <v/>
      </c>
      <c r="H953" s="28"/>
      <c r="I953" s="27"/>
      <c r="J953" s="26"/>
      <c r="K953" s="27"/>
      <c r="L953" s="27"/>
      <c r="M953" s="27"/>
      <c r="N953" s="27"/>
      <c r="O953" s="24" t="str">
        <f aca="false">IF(G953="","",VLOOKUP(G953,Setup!$A$14:$C$17,3,0))</f>
        <v/>
      </c>
      <c r="P953" s="27"/>
      <c r="Q953" s="29" t="str">
        <f aca="false">IF(OR(P953="",M953&lt;&gt;"Paid",O953=""),"",P953/O953)</f>
        <v/>
      </c>
      <c r="R953" s="30" t="str">
        <f aca="false">IF(Q953="","",Q953+N(H953)*0.000000001)</f>
        <v/>
      </c>
      <c r="S953" s="25" t="str">
        <f aca="false">IF(R953="","",SUMPRODUCT((I$5:I$4004=I953)*ISNUMBER(R$5:R$4004)*(R$5:R$4004&gt;R953))+1)</f>
        <v/>
      </c>
      <c r="T953" s="25" t="str">
        <f aca="false">IF(S953="","",IF(S953&lt;=Setup!$B$5,"🏆 WINNER",""))</f>
        <v/>
      </c>
      <c r="U953" s="24" t="str">
        <f aca="false">IF(S953="","",I953&amp;"|"&amp;S953)</f>
        <v/>
      </c>
    </row>
    <row r="954" customFormat="false" ht="15" hidden="false" customHeight="false" outlineLevel="0" collapsed="false">
      <c r="A954" s="31" t="n">
        <v>950</v>
      </c>
      <c r="B954" s="32" t="str">
        <f aca="false">IF(OR(C954="",I954="",G954=""),"",IFERROR(VLOOKUP(I954,Setup!$A$9:$B$11,2,0),"???")&amp;"-"&amp;G954&amp;"-"&amp;TEXT(COUNTIFS(I$5:I954,I954,G$5:G954,G954),"0000"))</f>
        <v/>
      </c>
      <c r="C954" s="26"/>
      <c r="D954" s="26"/>
      <c r="E954" s="27"/>
      <c r="F954" s="27"/>
      <c r="G954" s="31" t="str">
        <f aca="false">IF(F954="","",IF(F954&lt;=5,"A",IF(F954&lt;=8,"B",IF(F954&lt;=10,"C","D"))))</f>
        <v/>
      </c>
      <c r="H954" s="28"/>
      <c r="I954" s="27"/>
      <c r="J954" s="26"/>
      <c r="K954" s="27"/>
      <c r="L954" s="27"/>
      <c r="M954" s="27"/>
      <c r="N954" s="27"/>
      <c r="O954" s="31" t="str">
        <f aca="false">IF(G954="","",VLOOKUP(G954,Setup!$A$14:$C$17,3,0))</f>
        <v/>
      </c>
      <c r="P954" s="27"/>
      <c r="Q954" s="33" t="str">
        <f aca="false">IF(OR(P954="",M954&lt;&gt;"Paid",O954=""),"",P954/O954)</f>
        <v/>
      </c>
      <c r="R954" s="34" t="str">
        <f aca="false">IF(Q954="","",Q954+N(H954)*0.000000001)</f>
        <v/>
      </c>
      <c r="S954" s="32" t="str">
        <f aca="false">IF(R954="","",SUMPRODUCT((I$5:I$4004=I954)*ISNUMBER(R$5:R$4004)*(R$5:R$4004&gt;R954))+1)</f>
        <v/>
      </c>
      <c r="T954" s="32" t="str">
        <f aca="false">IF(S954="","",IF(S954&lt;=Setup!$B$5,"🏆 WINNER",""))</f>
        <v/>
      </c>
      <c r="U954" s="31" t="str">
        <f aca="false">IF(S954="","",I954&amp;"|"&amp;S954)</f>
        <v/>
      </c>
    </row>
    <row r="955" customFormat="false" ht="15" hidden="false" customHeight="false" outlineLevel="0" collapsed="false">
      <c r="A955" s="24" t="n">
        <v>951</v>
      </c>
      <c r="B955" s="25" t="str">
        <f aca="false">IF(OR(C955="",I955="",G955=""),"",IFERROR(VLOOKUP(I955,Setup!$A$9:$B$11,2,0),"???")&amp;"-"&amp;G955&amp;"-"&amp;TEXT(COUNTIFS(I$5:I955,I955,G$5:G955,G955),"0000"))</f>
        <v/>
      </c>
      <c r="C955" s="26"/>
      <c r="D955" s="26"/>
      <c r="E955" s="27"/>
      <c r="F955" s="27"/>
      <c r="G955" s="24" t="str">
        <f aca="false">IF(F955="","",IF(F955&lt;=5,"A",IF(F955&lt;=8,"B",IF(F955&lt;=10,"C","D"))))</f>
        <v/>
      </c>
      <c r="H955" s="28"/>
      <c r="I955" s="27"/>
      <c r="J955" s="26"/>
      <c r="K955" s="27"/>
      <c r="L955" s="27"/>
      <c r="M955" s="27"/>
      <c r="N955" s="27"/>
      <c r="O955" s="24" t="str">
        <f aca="false">IF(G955="","",VLOOKUP(G955,Setup!$A$14:$C$17,3,0))</f>
        <v/>
      </c>
      <c r="P955" s="27"/>
      <c r="Q955" s="29" t="str">
        <f aca="false">IF(OR(P955="",M955&lt;&gt;"Paid",O955=""),"",P955/O955)</f>
        <v/>
      </c>
      <c r="R955" s="30" t="str">
        <f aca="false">IF(Q955="","",Q955+N(H955)*0.000000001)</f>
        <v/>
      </c>
      <c r="S955" s="25" t="str">
        <f aca="false">IF(R955="","",SUMPRODUCT((I$5:I$4004=I955)*ISNUMBER(R$5:R$4004)*(R$5:R$4004&gt;R955))+1)</f>
        <v/>
      </c>
      <c r="T955" s="25" t="str">
        <f aca="false">IF(S955="","",IF(S955&lt;=Setup!$B$5,"🏆 WINNER",""))</f>
        <v/>
      </c>
      <c r="U955" s="24" t="str">
        <f aca="false">IF(S955="","",I955&amp;"|"&amp;S955)</f>
        <v/>
      </c>
    </row>
    <row r="956" customFormat="false" ht="15" hidden="false" customHeight="false" outlineLevel="0" collapsed="false">
      <c r="A956" s="31" t="n">
        <v>952</v>
      </c>
      <c r="B956" s="32" t="str">
        <f aca="false">IF(OR(C956="",I956="",G956=""),"",IFERROR(VLOOKUP(I956,Setup!$A$9:$B$11,2,0),"???")&amp;"-"&amp;G956&amp;"-"&amp;TEXT(COUNTIFS(I$5:I956,I956,G$5:G956,G956),"0000"))</f>
        <v/>
      </c>
      <c r="C956" s="26"/>
      <c r="D956" s="26"/>
      <c r="E956" s="27"/>
      <c r="F956" s="27"/>
      <c r="G956" s="31" t="str">
        <f aca="false">IF(F956="","",IF(F956&lt;=5,"A",IF(F956&lt;=8,"B",IF(F956&lt;=10,"C","D"))))</f>
        <v/>
      </c>
      <c r="H956" s="28"/>
      <c r="I956" s="27"/>
      <c r="J956" s="26"/>
      <c r="K956" s="27"/>
      <c r="L956" s="27"/>
      <c r="M956" s="27"/>
      <c r="N956" s="27"/>
      <c r="O956" s="31" t="str">
        <f aca="false">IF(G956="","",VLOOKUP(G956,Setup!$A$14:$C$17,3,0))</f>
        <v/>
      </c>
      <c r="P956" s="27"/>
      <c r="Q956" s="33" t="str">
        <f aca="false">IF(OR(P956="",M956&lt;&gt;"Paid",O956=""),"",P956/O956)</f>
        <v/>
      </c>
      <c r="R956" s="34" t="str">
        <f aca="false">IF(Q956="","",Q956+N(H956)*0.000000001)</f>
        <v/>
      </c>
      <c r="S956" s="32" t="str">
        <f aca="false">IF(R956="","",SUMPRODUCT((I$5:I$4004=I956)*ISNUMBER(R$5:R$4004)*(R$5:R$4004&gt;R956))+1)</f>
        <v/>
      </c>
      <c r="T956" s="32" t="str">
        <f aca="false">IF(S956="","",IF(S956&lt;=Setup!$B$5,"🏆 WINNER",""))</f>
        <v/>
      </c>
      <c r="U956" s="31" t="str">
        <f aca="false">IF(S956="","",I956&amp;"|"&amp;S956)</f>
        <v/>
      </c>
    </row>
    <row r="957" customFormat="false" ht="15" hidden="false" customHeight="false" outlineLevel="0" collapsed="false">
      <c r="A957" s="24" t="n">
        <v>953</v>
      </c>
      <c r="B957" s="25" t="str">
        <f aca="false">IF(OR(C957="",I957="",G957=""),"",IFERROR(VLOOKUP(I957,Setup!$A$9:$B$11,2,0),"???")&amp;"-"&amp;G957&amp;"-"&amp;TEXT(COUNTIFS(I$5:I957,I957,G$5:G957,G957),"0000"))</f>
        <v/>
      </c>
      <c r="C957" s="26"/>
      <c r="D957" s="26"/>
      <c r="E957" s="27"/>
      <c r="F957" s="27"/>
      <c r="G957" s="24" t="str">
        <f aca="false">IF(F957="","",IF(F957&lt;=5,"A",IF(F957&lt;=8,"B",IF(F957&lt;=10,"C","D"))))</f>
        <v/>
      </c>
      <c r="H957" s="28"/>
      <c r="I957" s="27"/>
      <c r="J957" s="26"/>
      <c r="K957" s="27"/>
      <c r="L957" s="27"/>
      <c r="M957" s="27"/>
      <c r="N957" s="27"/>
      <c r="O957" s="24" t="str">
        <f aca="false">IF(G957="","",VLOOKUP(G957,Setup!$A$14:$C$17,3,0))</f>
        <v/>
      </c>
      <c r="P957" s="27"/>
      <c r="Q957" s="29" t="str">
        <f aca="false">IF(OR(P957="",M957&lt;&gt;"Paid",O957=""),"",P957/O957)</f>
        <v/>
      </c>
      <c r="R957" s="30" t="str">
        <f aca="false">IF(Q957="","",Q957+N(H957)*0.000000001)</f>
        <v/>
      </c>
      <c r="S957" s="25" t="str">
        <f aca="false">IF(R957="","",SUMPRODUCT((I$5:I$4004=I957)*ISNUMBER(R$5:R$4004)*(R$5:R$4004&gt;R957))+1)</f>
        <v/>
      </c>
      <c r="T957" s="25" t="str">
        <f aca="false">IF(S957="","",IF(S957&lt;=Setup!$B$5,"🏆 WINNER",""))</f>
        <v/>
      </c>
      <c r="U957" s="24" t="str">
        <f aca="false">IF(S957="","",I957&amp;"|"&amp;S957)</f>
        <v/>
      </c>
    </row>
    <row r="958" customFormat="false" ht="15" hidden="false" customHeight="false" outlineLevel="0" collapsed="false">
      <c r="A958" s="31" t="n">
        <v>954</v>
      </c>
      <c r="B958" s="32" t="str">
        <f aca="false">IF(OR(C958="",I958="",G958=""),"",IFERROR(VLOOKUP(I958,Setup!$A$9:$B$11,2,0),"???")&amp;"-"&amp;G958&amp;"-"&amp;TEXT(COUNTIFS(I$5:I958,I958,G$5:G958,G958),"0000"))</f>
        <v/>
      </c>
      <c r="C958" s="26"/>
      <c r="D958" s="26"/>
      <c r="E958" s="27"/>
      <c r="F958" s="27"/>
      <c r="G958" s="31" t="str">
        <f aca="false">IF(F958="","",IF(F958&lt;=5,"A",IF(F958&lt;=8,"B",IF(F958&lt;=10,"C","D"))))</f>
        <v/>
      </c>
      <c r="H958" s="28"/>
      <c r="I958" s="27"/>
      <c r="J958" s="26"/>
      <c r="K958" s="27"/>
      <c r="L958" s="27"/>
      <c r="M958" s="27"/>
      <c r="N958" s="27"/>
      <c r="O958" s="31" t="str">
        <f aca="false">IF(G958="","",VLOOKUP(G958,Setup!$A$14:$C$17,3,0))</f>
        <v/>
      </c>
      <c r="P958" s="27"/>
      <c r="Q958" s="33" t="str">
        <f aca="false">IF(OR(P958="",M958&lt;&gt;"Paid",O958=""),"",P958/O958)</f>
        <v/>
      </c>
      <c r="R958" s="34" t="str">
        <f aca="false">IF(Q958="","",Q958+N(H958)*0.000000001)</f>
        <v/>
      </c>
      <c r="S958" s="32" t="str">
        <f aca="false">IF(R958="","",SUMPRODUCT((I$5:I$4004=I958)*ISNUMBER(R$5:R$4004)*(R$5:R$4004&gt;R958))+1)</f>
        <v/>
      </c>
      <c r="T958" s="32" t="str">
        <f aca="false">IF(S958="","",IF(S958&lt;=Setup!$B$5,"🏆 WINNER",""))</f>
        <v/>
      </c>
      <c r="U958" s="31" t="str">
        <f aca="false">IF(S958="","",I958&amp;"|"&amp;S958)</f>
        <v/>
      </c>
    </row>
    <row r="959" customFormat="false" ht="15" hidden="false" customHeight="false" outlineLevel="0" collapsed="false">
      <c r="A959" s="24" t="n">
        <v>955</v>
      </c>
      <c r="B959" s="25" t="str">
        <f aca="false">IF(OR(C959="",I959="",G959=""),"",IFERROR(VLOOKUP(I959,Setup!$A$9:$B$11,2,0),"???")&amp;"-"&amp;G959&amp;"-"&amp;TEXT(COUNTIFS(I$5:I959,I959,G$5:G959,G959),"0000"))</f>
        <v/>
      </c>
      <c r="C959" s="26"/>
      <c r="D959" s="26"/>
      <c r="E959" s="27"/>
      <c r="F959" s="27"/>
      <c r="G959" s="24" t="str">
        <f aca="false">IF(F959="","",IF(F959&lt;=5,"A",IF(F959&lt;=8,"B",IF(F959&lt;=10,"C","D"))))</f>
        <v/>
      </c>
      <c r="H959" s="28"/>
      <c r="I959" s="27"/>
      <c r="J959" s="26"/>
      <c r="K959" s="27"/>
      <c r="L959" s="27"/>
      <c r="M959" s="27"/>
      <c r="N959" s="27"/>
      <c r="O959" s="24" t="str">
        <f aca="false">IF(G959="","",VLOOKUP(G959,Setup!$A$14:$C$17,3,0))</f>
        <v/>
      </c>
      <c r="P959" s="27"/>
      <c r="Q959" s="29" t="str">
        <f aca="false">IF(OR(P959="",M959&lt;&gt;"Paid",O959=""),"",P959/O959)</f>
        <v/>
      </c>
      <c r="R959" s="30" t="str">
        <f aca="false">IF(Q959="","",Q959+N(H959)*0.000000001)</f>
        <v/>
      </c>
      <c r="S959" s="25" t="str">
        <f aca="false">IF(R959="","",SUMPRODUCT((I$5:I$4004=I959)*ISNUMBER(R$5:R$4004)*(R$5:R$4004&gt;R959))+1)</f>
        <v/>
      </c>
      <c r="T959" s="25" t="str">
        <f aca="false">IF(S959="","",IF(S959&lt;=Setup!$B$5,"🏆 WINNER",""))</f>
        <v/>
      </c>
      <c r="U959" s="24" t="str">
        <f aca="false">IF(S959="","",I959&amp;"|"&amp;S959)</f>
        <v/>
      </c>
    </row>
    <row r="960" customFormat="false" ht="15" hidden="false" customHeight="false" outlineLevel="0" collapsed="false">
      <c r="A960" s="31" t="n">
        <v>956</v>
      </c>
      <c r="B960" s="32" t="str">
        <f aca="false">IF(OR(C960="",I960="",G960=""),"",IFERROR(VLOOKUP(I960,Setup!$A$9:$B$11,2,0),"???")&amp;"-"&amp;G960&amp;"-"&amp;TEXT(COUNTIFS(I$5:I960,I960,G$5:G960,G960),"0000"))</f>
        <v/>
      </c>
      <c r="C960" s="26"/>
      <c r="D960" s="26"/>
      <c r="E960" s="27"/>
      <c r="F960" s="27"/>
      <c r="G960" s="31" t="str">
        <f aca="false">IF(F960="","",IF(F960&lt;=5,"A",IF(F960&lt;=8,"B",IF(F960&lt;=10,"C","D"))))</f>
        <v/>
      </c>
      <c r="H960" s="28"/>
      <c r="I960" s="27"/>
      <c r="J960" s="26"/>
      <c r="K960" s="27"/>
      <c r="L960" s="27"/>
      <c r="M960" s="27"/>
      <c r="N960" s="27"/>
      <c r="O960" s="31" t="str">
        <f aca="false">IF(G960="","",VLOOKUP(G960,Setup!$A$14:$C$17,3,0))</f>
        <v/>
      </c>
      <c r="P960" s="27"/>
      <c r="Q960" s="33" t="str">
        <f aca="false">IF(OR(P960="",M960&lt;&gt;"Paid",O960=""),"",P960/O960)</f>
        <v/>
      </c>
      <c r="R960" s="34" t="str">
        <f aca="false">IF(Q960="","",Q960+N(H960)*0.000000001)</f>
        <v/>
      </c>
      <c r="S960" s="32" t="str">
        <f aca="false">IF(R960="","",SUMPRODUCT((I$5:I$4004=I960)*ISNUMBER(R$5:R$4004)*(R$5:R$4004&gt;R960))+1)</f>
        <v/>
      </c>
      <c r="T960" s="32" t="str">
        <f aca="false">IF(S960="","",IF(S960&lt;=Setup!$B$5,"🏆 WINNER",""))</f>
        <v/>
      </c>
      <c r="U960" s="31" t="str">
        <f aca="false">IF(S960="","",I960&amp;"|"&amp;S960)</f>
        <v/>
      </c>
    </row>
    <row r="961" customFormat="false" ht="15" hidden="false" customHeight="false" outlineLevel="0" collapsed="false">
      <c r="A961" s="24" t="n">
        <v>957</v>
      </c>
      <c r="B961" s="25" t="str">
        <f aca="false">IF(OR(C961="",I961="",G961=""),"",IFERROR(VLOOKUP(I961,Setup!$A$9:$B$11,2,0),"???")&amp;"-"&amp;G961&amp;"-"&amp;TEXT(COUNTIFS(I$5:I961,I961,G$5:G961,G961),"0000"))</f>
        <v/>
      </c>
      <c r="C961" s="26"/>
      <c r="D961" s="26"/>
      <c r="E961" s="27"/>
      <c r="F961" s="27"/>
      <c r="G961" s="24" t="str">
        <f aca="false">IF(F961="","",IF(F961&lt;=5,"A",IF(F961&lt;=8,"B",IF(F961&lt;=10,"C","D"))))</f>
        <v/>
      </c>
      <c r="H961" s="28"/>
      <c r="I961" s="27"/>
      <c r="J961" s="26"/>
      <c r="K961" s="27"/>
      <c r="L961" s="27"/>
      <c r="M961" s="27"/>
      <c r="N961" s="27"/>
      <c r="O961" s="24" t="str">
        <f aca="false">IF(G961="","",VLOOKUP(G961,Setup!$A$14:$C$17,3,0))</f>
        <v/>
      </c>
      <c r="P961" s="27"/>
      <c r="Q961" s="29" t="str">
        <f aca="false">IF(OR(P961="",M961&lt;&gt;"Paid",O961=""),"",P961/O961)</f>
        <v/>
      </c>
      <c r="R961" s="30" t="str">
        <f aca="false">IF(Q961="","",Q961+N(H961)*0.000000001)</f>
        <v/>
      </c>
      <c r="S961" s="25" t="str">
        <f aca="false">IF(R961="","",SUMPRODUCT((I$5:I$4004=I961)*ISNUMBER(R$5:R$4004)*(R$5:R$4004&gt;R961))+1)</f>
        <v/>
      </c>
      <c r="T961" s="25" t="str">
        <f aca="false">IF(S961="","",IF(S961&lt;=Setup!$B$5,"🏆 WINNER",""))</f>
        <v/>
      </c>
      <c r="U961" s="24" t="str">
        <f aca="false">IF(S961="","",I961&amp;"|"&amp;S961)</f>
        <v/>
      </c>
    </row>
    <row r="962" customFormat="false" ht="15" hidden="false" customHeight="false" outlineLevel="0" collapsed="false">
      <c r="A962" s="31" t="n">
        <v>958</v>
      </c>
      <c r="B962" s="32" t="str">
        <f aca="false">IF(OR(C962="",I962="",G962=""),"",IFERROR(VLOOKUP(I962,Setup!$A$9:$B$11,2,0),"???")&amp;"-"&amp;G962&amp;"-"&amp;TEXT(COUNTIFS(I$5:I962,I962,G$5:G962,G962),"0000"))</f>
        <v/>
      </c>
      <c r="C962" s="26"/>
      <c r="D962" s="26"/>
      <c r="E962" s="27"/>
      <c r="F962" s="27"/>
      <c r="G962" s="31" t="str">
        <f aca="false">IF(F962="","",IF(F962&lt;=5,"A",IF(F962&lt;=8,"B",IF(F962&lt;=10,"C","D"))))</f>
        <v/>
      </c>
      <c r="H962" s="28"/>
      <c r="I962" s="27"/>
      <c r="J962" s="26"/>
      <c r="K962" s="27"/>
      <c r="L962" s="27"/>
      <c r="M962" s="27"/>
      <c r="N962" s="27"/>
      <c r="O962" s="31" t="str">
        <f aca="false">IF(G962="","",VLOOKUP(G962,Setup!$A$14:$C$17,3,0))</f>
        <v/>
      </c>
      <c r="P962" s="27"/>
      <c r="Q962" s="33" t="str">
        <f aca="false">IF(OR(P962="",M962&lt;&gt;"Paid",O962=""),"",P962/O962)</f>
        <v/>
      </c>
      <c r="R962" s="34" t="str">
        <f aca="false">IF(Q962="","",Q962+N(H962)*0.000000001)</f>
        <v/>
      </c>
      <c r="S962" s="32" t="str">
        <f aca="false">IF(R962="","",SUMPRODUCT((I$5:I$4004=I962)*ISNUMBER(R$5:R$4004)*(R$5:R$4004&gt;R962))+1)</f>
        <v/>
      </c>
      <c r="T962" s="32" t="str">
        <f aca="false">IF(S962="","",IF(S962&lt;=Setup!$B$5,"🏆 WINNER",""))</f>
        <v/>
      </c>
      <c r="U962" s="31" t="str">
        <f aca="false">IF(S962="","",I962&amp;"|"&amp;S962)</f>
        <v/>
      </c>
    </row>
    <row r="963" customFormat="false" ht="15" hidden="false" customHeight="false" outlineLevel="0" collapsed="false">
      <c r="A963" s="24" t="n">
        <v>959</v>
      </c>
      <c r="B963" s="25" t="str">
        <f aca="false">IF(OR(C963="",I963="",G963=""),"",IFERROR(VLOOKUP(I963,Setup!$A$9:$B$11,2,0),"???")&amp;"-"&amp;G963&amp;"-"&amp;TEXT(COUNTIFS(I$5:I963,I963,G$5:G963,G963),"0000"))</f>
        <v/>
      </c>
      <c r="C963" s="26"/>
      <c r="D963" s="26"/>
      <c r="E963" s="27"/>
      <c r="F963" s="27"/>
      <c r="G963" s="24" t="str">
        <f aca="false">IF(F963="","",IF(F963&lt;=5,"A",IF(F963&lt;=8,"B",IF(F963&lt;=10,"C","D"))))</f>
        <v/>
      </c>
      <c r="H963" s="28"/>
      <c r="I963" s="27"/>
      <c r="J963" s="26"/>
      <c r="K963" s="27"/>
      <c r="L963" s="27"/>
      <c r="M963" s="27"/>
      <c r="N963" s="27"/>
      <c r="O963" s="24" t="str">
        <f aca="false">IF(G963="","",VLOOKUP(G963,Setup!$A$14:$C$17,3,0))</f>
        <v/>
      </c>
      <c r="P963" s="27"/>
      <c r="Q963" s="29" t="str">
        <f aca="false">IF(OR(P963="",M963&lt;&gt;"Paid",O963=""),"",P963/O963)</f>
        <v/>
      </c>
      <c r="R963" s="30" t="str">
        <f aca="false">IF(Q963="","",Q963+N(H963)*0.000000001)</f>
        <v/>
      </c>
      <c r="S963" s="25" t="str">
        <f aca="false">IF(R963="","",SUMPRODUCT((I$5:I$4004=I963)*ISNUMBER(R$5:R$4004)*(R$5:R$4004&gt;R963))+1)</f>
        <v/>
      </c>
      <c r="T963" s="25" t="str">
        <f aca="false">IF(S963="","",IF(S963&lt;=Setup!$B$5,"🏆 WINNER",""))</f>
        <v/>
      </c>
      <c r="U963" s="24" t="str">
        <f aca="false">IF(S963="","",I963&amp;"|"&amp;S963)</f>
        <v/>
      </c>
    </row>
    <row r="964" customFormat="false" ht="15" hidden="false" customHeight="false" outlineLevel="0" collapsed="false">
      <c r="A964" s="31" t="n">
        <v>960</v>
      </c>
      <c r="B964" s="32" t="str">
        <f aca="false">IF(OR(C964="",I964="",G964=""),"",IFERROR(VLOOKUP(I964,Setup!$A$9:$B$11,2,0),"???")&amp;"-"&amp;G964&amp;"-"&amp;TEXT(COUNTIFS(I$5:I964,I964,G$5:G964,G964),"0000"))</f>
        <v/>
      </c>
      <c r="C964" s="26"/>
      <c r="D964" s="26"/>
      <c r="E964" s="27"/>
      <c r="F964" s="27"/>
      <c r="G964" s="31" t="str">
        <f aca="false">IF(F964="","",IF(F964&lt;=5,"A",IF(F964&lt;=8,"B",IF(F964&lt;=10,"C","D"))))</f>
        <v/>
      </c>
      <c r="H964" s="28"/>
      <c r="I964" s="27"/>
      <c r="J964" s="26"/>
      <c r="K964" s="27"/>
      <c r="L964" s="27"/>
      <c r="M964" s="27"/>
      <c r="N964" s="27"/>
      <c r="O964" s="31" t="str">
        <f aca="false">IF(G964="","",VLOOKUP(G964,Setup!$A$14:$C$17,3,0))</f>
        <v/>
      </c>
      <c r="P964" s="27"/>
      <c r="Q964" s="33" t="str">
        <f aca="false">IF(OR(P964="",M964&lt;&gt;"Paid",O964=""),"",P964/O964)</f>
        <v/>
      </c>
      <c r="R964" s="34" t="str">
        <f aca="false">IF(Q964="","",Q964+N(H964)*0.000000001)</f>
        <v/>
      </c>
      <c r="S964" s="32" t="str">
        <f aca="false">IF(R964="","",SUMPRODUCT((I$5:I$4004=I964)*ISNUMBER(R$5:R$4004)*(R$5:R$4004&gt;R964))+1)</f>
        <v/>
      </c>
      <c r="T964" s="32" t="str">
        <f aca="false">IF(S964="","",IF(S964&lt;=Setup!$B$5,"🏆 WINNER",""))</f>
        <v/>
      </c>
      <c r="U964" s="31" t="str">
        <f aca="false">IF(S964="","",I964&amp;"|"&amp;S964)</f>
        <v/>
      </c>
    </row>
    <row r="965" customFormat="false" ht="15" hidden="false" customHeight="false" outlineLevel="0" collapsed="false">
      <c r="A965" s="24" t="n">
        <v>961</v>
      </c>
      <c r="B965" s="25" t="str">
        <f aca="false">IF(OR(C965="",I965="",G965=""),"",IFERROR(VLOOKUP(I965,Setup!$A$9:$B$11,2,0),"???")&amp;"-"&amp;G965&amp;"-"&amp;TEXT(COUNTIFS(I$5:I965,I965,G$5:G965,G965),"0000"))</f>
        <v/>
      </c>
      <c r="C965" s="26"/>
      <c r="D965" s="26"/>
      <c r="E965" s="27"/>
      <c r="F965" s="27"/>
      <c r="G965" s="24" t="str">
        <f aca="false">IF(F965="","",IF(F965&lt;=5,"A",IF(F965&lt;=8,"B",IF(F965&lt;=10,"C","D"))))</f>
        <v/>
      </c>
      <c r="H965" s="28"/>
      <c r="I965" s="27"/>
      <c r="J965" s="26"/>
      <c r="K965" s="27"/>
      <c r="L965" s="27"/>
      <c r="M965" s="27"/>
      <c r="N965" s="27"/>
      <c r="O965" s="24" t="str">
        <f aca="false">IF(G965="","",VLOOKUP(G965,Setup!$A$14:$C$17,3,0))</f>
        <v/>
      </c>
      <c r="P965" s="27"/>
      <c r="Q965" s="29" t="str">
        <f aca="false">IF(OR(P965="",M965&lt;&gt;"Paid",O965=""),"",P965/O965)</f>
        <v/>
      </c>
      <c r="R965" s="30" t="str">
        <f aca="false">IF(Q965="","",Q965+N(H965)*0.000000001)</f>
        <v/>
      </c>
      <c r="S965" s="25" t="str">
        <f aca="false">IF(R965="","",SUMPRODUCT((I$5:I$4004=I965)*ISNUMBER(R$5:R$4004)*(R$5:R$4004&gt;R965))+1)</f>
        <v/>
      </c>
      <c r="T965" s="25" t="str">
        <f aca="false">IF(S965="","",IF(S965&lt;=Setup!$B$5,"🏆 WINNER",""))</f>
        <v/>
      </c>
      <c r="U965" s="24" t="str">
        <f aca="false">IF(S965="","",I965&amp;"|"&amp;S965)</f>
        <v/>
      </c>
    </row>
    <row r="966" customFormat="false" ht="15" hidden="false" customHeight="false" outlineLevel="0" collapsed="false">
      <c r="A966" s="31" t="n">
        <v>962</v>
      </c>
      <c r="B966" s="32" t="str">
        <f aca="false">IF(OR(C966="",I966="",G966=""),"",IFERROR(VLOOKUP(I966,Setup!$A$9:$B$11,2,0),"???")&amp;"-"&amp;G966&amp;"-"&amp;TEXT(COUNTIFS(I$5:I966,I966,G$5:G966,G966),"0000"))</f>
        <v/>
      </c>
      <c r="C966" s="26"/>
      <c r="D966" s="26"/>
      <c r="E966" s="27"/>
      <c r="F966" s="27"/>
      <c r="G966" s="31" t="str">
        <f aca="false">IF(F966="","",IF(F966&lt;=5,"A",IF(F966&lt;=8,"B",IF(F966&lt;=10,"C","D"))))</f>
        <v/>
      </c>
      <c r="H966" s="28"/>
      <c r="I966" s="27"/>
      <c r="J966" s="26"/>
      <c r="K966" s="27"/>
      <c r="L966" s="27"/>
      <c r="M966" s="27"/>
      <c r="N966" s="27"/>
      <c r="O966" s="31" t="str">
        <f aca="false">IF(G966="","",VLOOKUP(G966,Setup!$A$14:$C$17,3,0))</f>
        <v/>
      </c>
      <c r="P966" s="27"/>
      <c r="Q966" s="33" t="str">
        <f aca="false">IF(OR(P966="",M966&lt;&gt;"Paid",O966=""),"",P966/O966)</f>
        <v/>
      </c>
      <c r="R966" s="34" t="str">
        <f aca="false">IF(Q966="","",Q966+N(H966)*0.000000001)</f>
        <v/>
      </c>
      <c r="S966" s="32" t="str">
        <f aca="false">IF(R966="","",SUMPRODUCT((I$5:I$4004=I966)*ISNUMBER(R$5:R$4004)*(R$5:R$4004&gt;R966))+1)</f>
        <v/>
      </c>
      <c r="T966" s="32" t="str">
        <f aca="false">IF(S966="","",IF(S966&lt;=Setup!$B$5,"🏆 WINNER",""))</f>
        <v/>
      </c>
      <c r="U966" s="31" t="str">
        <f aca="false">IF(S966="","",I966&amp;"|"&amp;S966)</f>
        <v/>
      </c>
    </row>
    <row r="967" customFormat="false" ht="15" hidden="false" customHeight="false" outlineLevel="0" collapsed="false">
      <c r="A967" s="24" t="n">
        <v>963</v>
      </c>
      <c r="B967" s="25" t="str">
        <f aca="false">IF(OR(C967="",I967="",G967=""),"",IFERROR(VLOOKUP(I967,Setup!$A$9:$B$11,2,0),"???")&amp;"-"&amp;G967&amp;"-"&amp;TEXT(COUNTIFS(I$5:I967,I967,G$5:G967,G967),"0000"))</f>
        <v/>
      </c>
      <c r="C967" s="26"/>
      <c r="D967" s="26"/>
      <c r="E967" s="27"/>
      <c r="F967" s="27"/>
      <c r="G967" s="24" t="str">
        <f aca="false">IF(F967="","",IF(F967&lt;=5,"A",IF(F967&lt;=8,"B",IF(F967&lt;=10,"C","D"))))</f>
        <v/>
      </c>
      <c r="H967" s="28"/>
      <c r="I967" s="27"/>
      <c r="J967" s="26"/>
      <c r="K967" s="27"/>
      <c r="L967" s="27"/>
      <c r="M967" s="27"/>
      <c r="N967" s="27"/>
      <c r="O967" s="24" t="str">
        <f aca="false">IF(G967="","",VLOOKUP(G967,Setup!$A$14:$C$17,3,0))</f>
        <v/>
      </c>
      <c r="P967" s="27"/>
      <c r="Q967" s="29" t="str">
        <f aca="false">IF(OR(P967="",M967&lt;&gt;"Paid",O967=""),"",P967/O967)</f>
        <v/>
      </c>
      <c r="R967" s="30" t="str">
        <f aca="false">IF(Q967="","",Q967+N(H967)*0.000000001)</f>
        <v/>
      </c>
      <c r="S967" s="25" t="str">
        <f aca="false">IF(R967="","",SUMPRODUCT((I$5:I$4004=I967)*ISNUMBER(R$5:R$4004)*(R$5:R$4004&gt;R967))+1)</f>
        <v/>
      </c>
      <c r="T967" s="25" t="str">
        <f aca="false">IF(S967="","",IF(S967&lt;=Setup!$B$5,"🏆 WINNER",""))</f>
        <v/>
      </c>
      <c r="U967" s="24" t="str">
        <f aca="false">IF(S967="","",I967&amp;"|"&amp;S967)</f>
        <v/>
      </c>
    </row>
    <row r="968" customFormat="false" ht="15" hidden="false" customHeight="false" outlineLevel="0" collapsed="false">
      <c r="A968" s="31" t="n">
        <v>964</v>
      </c>
      <c r="B968" s="32" t="str">
        <f aca="false">IF(OR(C968="",I968="",G968=""),"",IFERROR(VLOOKUP(I968,Setup!$A$9:$B$11,2,0),"???")&amp;"-"&amp;G968&amp;"-"&amp;TEXT(COUNTIFS(I$5:I968,I968,G$5:G968,G968),"0000"))</f>
        <v/>
      </c>
      <c r="C968" s="26"/>
      <c r="D968" s="26"/>
      <c r="E968" s="27"/>
      <c r="F968" s="27"/>
      <c r="G968" s="31" t="str">
        <f aca="false">IF(F968="","",IF(F968&lt;=5,"A",IF(F968&lt;=8,"B",IF(F968&lt;=10,"C","D"))))</f>
        <v/>
      </c>
      <c r="H968" s="28"/>
      <c r="I968" s="27"/>
      <c r="J968" s="26"/>
      <c r="K968" s="27"/>
      <c r="L968" s="27"/>
      <c r="M968" s="27"/>
      <c r="N968" s="27"/>
      <c r="O968" s="31" t="str">
        <f aca="false">IF(G968="","",VLOOKUP(G968,Setup!$A$14:$C$17,3,0))</f>
        <v/>
      </c>
      <c r="P968" s="27"/>
      <c r="Q968" s="33" t="str">
        <f aca="false">IF(OR(P968="",M968&lt;&gt;"Paid",O968=""),"",P968/O968)</f>
        <v/>
      </c>
      <c r="R968" s="34" t="str">
        <f aca="false">IF(Q968="","",Q968+N(H968)*0.000000001)</f>
        <v/>
      </c>
      <c r="S968" s="32" t="str">
        <f aca="false">IF(R968="","",SUMPRODUCT((I$5:I$4004=I968)*ISNUMBER(R$5:R$4004)*(R$5:R$4004&gt;R968))+1)</f>
        <v/>
      </c>
      <c r="T968" s="32" t="str">
        <f aca="false">IF(S968="","",IF(S968&lt;=Setup!$B$5,"🏆 WINNER",""))</f>
        <v/>
      </c>
      <c r="U968" s="31" t="str">
        <f aca="false">IF(S968="","",I968&amp;"|"&amp;S968)</f>
        <v/>
      </c>
    </row>
    <row r="969" customFormat="false" ht="15" hidden="false" customHeight="false" outlineLevel="0" collapsed="false">
      <c r="A969" s="24" t="n">
        <v>965</v>
      </c>
      <c r="B969" s="25" t="str">
        <f aca="false">IF(OR(C969="",I969="",G969=""),"",IFERROR(VLOOKUP(I969,Setup!$A$9:$B$11,2,0),"???")&amp;"-"&amp;G969&amp;"-"&amp;TEXT(COUNTIFS(I$5:I969,I969,G$5:G969,G969),"0000"))</f>
        <v/>
      </c>
      <c r="C969" s="26"/>
      <c r="D969" s="26"/>
      <c r="E969" s="27"/>
      <c r="F969" s="27"/>
      <c r="G969" s="24" t="str">
        <f aca="false">IF(F969="","",IF(F969&lt;=5,"A",IF(F969&lt;=8,"B",IF(F969&lt;=10,"C","D"))))</f>
        <v/>
      </c>
      <c r="H969" s="28"/>
      <c r="I969" s="27"/>
      <c r="J969" s="26"/>
      <c r="K969" s="27"/>
      <c r="L969" s="27"/>
      <c r="M969" s="27"/>
      <c r="N969" s="27"/>
      <c r="O969" s="24" t="str">
        <f aca="false">IF(G969="","",VLOOKUP(G969,Setup!$A$14:$C$17,3,0))</f>
        <v/>
      </c>
      <c r="P969" s="27"/>
      <c r="Q969" s="29" t="str">
        <f aca="false">IF(OR(P969="",M969&lt;&gt;"Paid",O969=""),"",P969/O969)</f>
        <v/>
      </c>
      <c r="R969" s="30" t="str">
        <f aca="false">IF(Q969="","",Q969+N(H969)*0.000000001)</f>
        <v/>
      </c>
      <c r="S969" s="25" t="str">
        <f aca="false">IF(R969="","",SUMPRODUCT((I$5:I$4004=I969)*ISNUMBER(R$5:R$4004)*(R$5:R$4004&gt;R969))+1)</f>
        <v/>
      </c>
      <c r="T969" s="25" t="str">
        <f aca="false">IF(S969="","",IF(S969&lt;=Setup!$B$5,"🏆 WINNER",""))</f>
        <v/>
      </c>
      <c r="U969" s="24" t="str">
        <f aca="false">IF(S969="","",I969&amp;"|"&amp;S969)</f>
        <v/>
      </c>
    </row>
    <row r="970" customFormat="false" ht="15" hidden="false" customHeight="false" outlineLevel="0" collapsed="false">
      <c r="A970" s="31" t="n">
        <v>966</v>
      </c>
      <c r="B970" s="32" t="str">
        <f aca="false">IF(OR(C970="",I970="",G970=""),"",IFERROR(VLOOKUP(I970,Setup!$A$9:$B$11,2,0),"???")&amp;"-"&amp;G970&amp;"-"&amp;TEXT(COUNTIFS(I$5:I970,I970,G$5:G970,G970),"0000"))</f>
        <v/>
      </c>
      <c r="C970" s="26"/>
      <c r="D970" s="26"/>
      <c r="E970" s="27"/>
      <c r="F970" s="27"/>
      <c r="G970" s="31" t="str">
        <f aca="false">IF(F970="","",IF(F970&lt;=5,"A",IF(F970&lt;=8,"B",IF(F970&lt;=10,"C","D"))))</f>
        <v/>
      </c>
      <c r="H970" s="28"/>
      <c r="I970" s="27"/>
      <c r="J970" s="26"/>
      <c r="K970" s="27"/>
      <c r="L970" s="27"/>
      <c r="M970" s="27"/>
      <c r="N970" s="27"/>
      <c r="O970" s="31" t="str">
        <f aca="false">IF(G970="","",VLOOKUP(G970,Setup!$A$14:$C$17,3,0))</f>
        <v/>
      </c>
      <c r="P970" s="27"/>
      <c r="Q970" s="33" t="str">
        <f aca="false">IF(OR(P970="",M970&lt;&gt;"Paid",O970=""),"",P970/O970)</f>
        <v/>
      </c>
      <c r="R970" s="34" t="str">
        <f aca="false">IF(Q970="","",Q970+N(H970)*0.000000001)</f>
        <v/>
      </c>
      <c r="S970" s="32" t="str">
        <f aca="false">IF(R970="","",SUMPRODUCT((I$5:I$4004=I970)*ISNUMBER(R$5:R$4004)*(R$5:R$4004&gt;R970))+1)</f>
        <v/>
      </c>
      <c r="T970" s="32" t="str">
        <f aca="false">IF(S970="","",IF(S970&lt;=Setup!$B$5,"🏆 WINNER",""))</f>
        <v/>
      </c>
      <c r="U970" s="31" t="str">
        <f aca="false">IF(S970="","",I970&amp;"|"&amp;S970)</f>
        <v/>
      </c>
    </row>
    <row r="971" customFormat="false" ht="15" hidden="false" customHeight="false" outlineLevel="0" collapsed="false">
      <c r="A971" s="24" t="n">
        <v>967</v>
      </c>
      <c r="B971" s="25" t="str">
        <f aca="false">IF(OR(C971="",I971="",G971=""),"",IFERROR(VLOOKUP(I971,Setup!$A$9:$B$11,2,0),"???")&amp;"-"&amp;G971&amp;"-"&amp;TEXT(COUNTIFS(I$5:I971,I971,G$5:G971,G971),"0000"))</f>
        <v/>
      </c>
      <c r="C971" s="26"/>
      <c r="D971" s="26"/>
      <c r="E971" s="27"/>
      <c r="F971" s="27"/>
      <c r="G971" s="24" t="str">
        <f aca="false">IF(F971="","",IF(F971&lt;=5,"A",IF(F971&lt;=8,"B",IF(F971&lt;=10,"C","D"))))</f>
        <v/>
      </c>
      <c r="H971" s="28"/>
      <c r="I971" s="27"/>
      <c r="J971" s="26"/>
      <c r="K971" s="27"/>
      <c r="L971" s="27"/>
      <c r="M971" s="27"/>
      <c r="N971" s="27"/>
      <c r="O971" s="24" t="str">
        <f aca="false">IF(G971="","",VLOOKUP(G971,Setup!$A$14:$C$17,3,0))</f>
        <v/>
      </c>
      <c r="P971" s="27"/>
      <c r="Q971" s="29" t="str">
        <f aca="false">IF(OR(P971="",M971&lt;&gt;"Paid",O971=""),"",P971/O971)</f>
        <v/>
      </c>
      <c r="R971" s="30" t="str">
        <f aca="false">IF(Q971="","",Q971+N(H971)*0.000000001)</f>
        <v/>
      </c>
      <c r="S971" s="25" t="str">
        <f aca="false">IF(R971="","",SUMPRODUCT((I$5:I$4004=I971)*ISNUMBER(R$5:R$4004)*(R$5:R$4004&gt;R971))+1)</f>
        <v/>
      </c>
      <c r="T971" s="25" t="str">
        <f aca="false">IF(S971="","",IF(S971&lt;=Setup!$B$5,"🏆 WINNER",""))</f>
        <v/>
      </c>
      <c r="U971" s="24" t="str">
        <f aca="false">IF(S971="","",I971&amp;"|"&amp;S971)</f>
        <v/>
      </c>
    </row>
    <row r="972" customFormat="false" ht="15" hidden="false" customHeight="false" outlineLevel="0" collapsed="false">
      <c r="A972" s="31" t="n">
        <v>968</v>
      </c>
      <c r="B972" s="32" t="str">
        <f aca="false">IF(OR(C972="",I972="",G972=""),"",IFERROR(VLOOKUP(I972,Setup!$A$9:$B$11,2,0),"???")&amp;"-"&amp;G972&amp;"-"&amp;TEXT(COUNTIFS(I$5:I972,I972,G$5:G972,G972),"0000"))</f>
        <v/>
      </c>
      <c r="C972" s="26"/>
      <c r="D972" s="26"/>
      <c r="E972" s="27"/>
      <c r="F972" s="27"/>
      <c r="G972" s="31" t="str">
        <f aca="false">IF(F972="","",IF(F972&lt;=5,"A",IF(F972&lt;=8,"B",IF(F972&lt;=10,"C","D"))))</f>
        <v/>
      </c>
      <c r="H972" s="28"/>
      <c r="I972" s="27"/>
      <c r="J972" s="26"/>
      <c r="K972" s="27"/>
      <c r="L972" s="27"/>
      <c r="M972" s="27"/>
      <c r="N972" s="27"/>
      <c r="O972" s="31" t="str">
        <f aca="false">IF(G972="","",VLOOKUP(G972,Setup!$A$14:$C$17,3,0))</f>
        <v/>
      </c>
      <c r="P972" s="27"/>
      <c r="Q972" s="33" t="str">
        <f aca="false">IF(OR(P972="",M972&lt;&gt;"Paid",O972=""),"",P972/O972)</f>
        <v/>
      </c>
      <c r="R972" s="34" t="str">
        <f aca="false">IF(Q972="","",Q972+N(H972)*0.000000001)</f>
        <v/>
      </c>
      <c r="S972" s="32" t="str">
        <f aca="false">IF(R972="","",SUMPRODUCT((I$5:I$4004=I972)*ISNUMBER(R$5:R$4004)*(R$5:R$4004&gt;R972))+1)</f>
        <v/>
      </c>
      <c r="T972" s="32" t="str">
        <f aca="false">IF(S972="","",IF(S972&lt;=Setup!$B$5,"🏆 WINNER",""))</f>
        <v/>
      </c>
      <c r="U972" s="31" t="str">
        <f aca="false">IF(S972="","",I972&amp;"|"&amp;S972)</f>
        <v/>
      </c>
    </row>
    <row r="973" customFormat="false" ht="15" hidden="false" customHeight="false" outlineLevel="0" collapsed="false">
      <c r="A973" s="24" t="n">
        <v>969</v>
      </c>
      <c r="B973" s="25" t="str">
        <f aca="false">IF(OR(C973="",I973="",G973=""),"",IFERROR(VLOOKUP(I973,Setup!$A$9:$B$11,2,0),"???")&amp;"-"&amp;G973&amp;"-"&amp;TEXT(COUNTIFS(I$5:I973,I973,G$5:G973,G973),"0000"))</f>
        <v/>
      </c>
      <c r="C973" s="26"/>
      <c r="D973" s="26"/>
      <c r="E973" s="27"/>
      <c r="F973" s="27"/>
      <c r="G973" s="24" t="str">
        <f aca="false">IF(F973="","",IF(F973&lt;=5,"A",IF(F973&lt;=8,"B",IF(F973&lt;=10,"C","D"))))</f>
        <v/>
      </c>
      <c r="H973" s="28"/>
      <c r="I973" s="27"/>
      <c r="J973" s="26"/>
      <c r="K973" s="27"/>
      <c r="L973" s="27"/>
      <c r="M973" s="27"/>
      <c r="N973" s="27"/>
      <c r="O973" s="24" t="str">
        <f aca="false">IF(G973="","",VLOOKUP(G973,Setup!$A$14:$C$17,3,0))</f>
        <v/>
      </c>
      <c r="P973" s="27"/>
      <c r="Q973" s="29" t="str">
        <f aca="false">IF(OR(P973="",M973&lt;&gt;"Paid",O973=""),"",P973/O973)</f>
        <v/>
      </c>
      <c r="R973" s="30" t="str">
        <f aca="false">IF(Q973="","",Q973+N(H973)*0.000000001)</f>
        <v/>
      </c>
      <c r="S973" s="25" t="str">
        <f aca="false">IF(R973="","",SUMPRODUCT((I$5:I$4004=I973)*ISNUMBER(R$5:R$4004)*(R$5:R$4004&gt;R973))+1)</f>
        <v/>
      </c>
      <c r="T973" s="25" t="str">
        <f aca="false">IF(S973="","",IF(S973&lt;=Setup!$B$5,"🏆 WINNER",""))</f>
        <v/>
      </c>
      <c r="U973" s="24" t="str">
        <f aca="false">IF(S973="","",I973&amp;"|"&amp;S973)</f>
        <v/>
      </c>
    </row>
    <row r="974" customFormat="false" ht="15" hidden="false" customHeight="false" outlineLevel="0" collapsed="false">
      <c r="A974" s="31" t="n">
        <v>970</v>
      </c>
      <c r="B974" s="32" t="str">
        <f aca="false">IF(OR(C974="",I974="",G974=""),"",IFERROR(VLOOKUP(I974,Setup!$A$9:$B$11,2,0),"???")&amp;"-"&amp;G974&amp;"-"&amp;TEXT(COUNTIFS(I$5:I974,I974,G$5:G974,G974),"0000"))</f>
        <v/>
      </c>
      <c r="C974" s="26"/>
      <c r="D974" s="26"/>
      <c r="E974" s="27"/>
      <c r="F974" s="27"/>
      <c r="G974" s="31" t="str">
        <f aca="false">IF(F974="","",IF(F974&lt;=5,"A",IF(F974&lt;=8,"B",IF(F974&lt;=10,"C","D"))))</f>
        <v/>
      </c>
      <c r="H974" s="28"/>
      <c r="I974" s="27"/>
      <c r="J974" s="26"/>
      <c r="K974" s="27"/>
      <c r="L974" s="27"/>
      <c r="M974" s="27"/>
      <c r="N974" s="27"/>
      <c r="O974" s="31" t="str">
        <f aca="false">IF(G974="","",VLOOKUP(G974,Setup!$A$14:$C$17,3,0))</f>
        <v/>
      </c>
      <c r="P974" s="27"/>
      <c r="Q974" s="33" t="str">
        <f aca="false">IF(OR(P974="",M974&lt;&gt;"Paid",O974=""),"",P974/O974)</f>
        <v/>
      </c>
      <c r="R974" s="34" t="str">
        <f aca="false">IF(Q974="","",Q974+N(H974)*0.000000001)</f>
        <v/>
      </c>
      <c r="S974" s="32" t="str">
        <f aca="false">IF(R974="","",SUMPRODUCT((I$5:I$4004=I974)*ISNUMBER(R$5:R$4004)*(R$5:R$4004&gt;R974))+1)</f>
        <v/>
      </c>
      <c r="T974" s="32" t="str">
        <f aca="false">IF(S974="","",IF(S974&lt;=Setup!$B$5,"🏆 WINNER",""))</f>
        <v/>
      </c>
      <c r="U974" s="31" t="str">
        <f aca="false">IF(S974="","",I974&amp;"|"&amp;S974)</f>
        <v/>
      </c>
    </row>
    <row r="975" customFormat="false" ht="15" hidden="false" customHeight="false" outlineLevel="0" collapsed="false">
      <c r="A975" s="24" t="n">
        <v>971</v>
      </c>
      <c r="B975" s="25" t="str">
        <f aca="false">IF(OR(C975="",I975="",G975=""),"",IFERROR(VLOOKUP(I975,Setup!$A$9:$B$11,2,0),"???")&amp;"-"&amp;G975&amp;"-"&amp;TEXT(COUNTIFS(I$5:I975,I975,G$5:G975,G975),"0000"))</f>
        <v/>
      </c>
      <c r="C975" s="26"/>
      <c r="D975" s="26"/>
      <c r="E975" s="27"/>
      <c r="F975" s="27"/>
      <c r="G975" s="24" t="str">
        <f aca="false">IF(F975="","",IF(F975&lt;=5,"A",IF(F975&lt;=8,"B",IF(F975&lt;=10,"C","D"))))</f>
        <v/>
      </c>
      <c r="H975" s="28"/>
      <c r="I975" s="27"/>
      <c r="J975" s="26"/>
      <c r="K975" s="27"/>
      <c r="L975" s="27"/>
      <c r="M975" s="27"/>
      <c r="N975" s="27"/>
      <c r="O975" s="24" t="str">
        <f aca="false">IF(G975="","",VLOOKUP(G975,Setup!$A$14:$C$17,3,0))</f>
        <v/>
      </c>
      <c r="P975" s="27"/>
      <c r="Q975" s="29" t="str">
        <f aca="false">IF(OR(P975="",M975&lt;&gt;"Paid",O975=""),"",P975/O975)</f>
        <v/>
      </c>
      <c r="R975" s="30" t="str">
        <f aca="false">IF(Q975="","",Q975+N(H975)*0.000000001)</f>
        <v/>
      </c>
      <c r="S975" s="25" t="str">
        <f aca="false">IF(R975="","",SUMPRODUCT((I$5:I$4004=I975)*ISNUMBER(R$5:R$4004)*(R$5:R$4004&gt;R975))+1)</f>
        <v/>
      </c>
      <c r="T975" s="25" t="str">
        <f aca="false">IF(S975="","",IF(S975&lt;=Setup!$B$5,"🏆 WINNER",""))</f>
        <v/>
      </c>
      <c r="U975" s="24" t="str">
        <f aca="false">IF(S975="","",I975&amp;"|"&amp;S975)</f>
        <v/>
      </c>
    </row>
    <row r="976" customFormat="false" ht="15" hidden="false" customHeight="false" outlineLevel="0" collapsed="false">
      <c r="A976" s="31" t="n">
        <v>972</v>
      </c>
      <c r="B976" s="32" t="str">
        <f aca="false">IF(OR(C976="",I976="",G976=""),"",IFERROR(VLOOKUP(I976,Setup!$A$9:$B$11,2,0),"???")&amp;"-"&amp;G976&amp;"-"&amp;TEXT(COUNTIFS(I$5:I976,I976,G$5:G976,G976),"0000"))</f>
        <v/>
      </c>
      <c r="C976" s="26"/>
      <c r="D976" s="26"/>
      <c r="E976" s="27"/>
      <c r="F976" s="27"/>
      <c r="G976" s="31" t="str">
        <f aca="false">IF(F976="","",IF(F976&lt;=5,"A",IF(F976&lt;=8,"B",IF(F976&lt;=10,"C","D"))))</f>
        <v/>
      </c>
      <c r="H976" s="28"/>
      <c r="I976" s="27"/>
      <c r="J976" s="26"/>
      <c r="K976" s="27"/>
      <c r="L976" s="27"/>
      <c r="M976" s="27"/>
      <c r="N976" s="27"/>
      <c r="O976" s="31" t="str">
        <f aca="false">IF(G976="","",VLOOKUP(G976,Setup!$A$14:$C$17,3,0))</f>
        <v/>
      </c>
      <c r="P976" s="27"/>
      <c r="Q976" s="33" t="str">
        <f aca="false">IF(OR(P976="",M976&lt;&gt;"Paid",O976=""),"",P976/O976)</f>
        <v/>
      </c>
      <c r="R976" s="34" t="str">
        <f aca="false">IF(Q976="","",Q976+N(H976)*0.000000001)</f>
        <v/>
      </c>
      <c r="S976" s="32" t="str">
        <f aca="false">IF(R976="","",SUMPRODUCT((I$5:I$4004=I976)*ISNUMBER(R$5:R$4004)*(R$5:R$4004&gt;R976))+1)</f>
        <v/>
      </c>
      <c r="T976" s="32" t="str">
        <f aca="false">IF(S976="","",IF(S976&lt;=Setup!$B$5,"🏆 WINNER",""))</f>
        <v/>
      </c>
      <c r="U976" s="31" t="str">
        <f aca="false">IF(S976="","",I976&amp;"|"&amp;S976)</f>
        <v/>
      </c>
    </row>
    <row r="977" customFormat="false" ht="15" hidden="false" customHeight="false" outlineLevel="0" collapsed="false">
      <c r="A977" s="24" t="n">
        <v>973</v>
      </c>
      <c r="B977" s="25" t="str">
        <f aca="false">IF(OR(C977="",I977="",G977=""),"",IFERROR(VLOOKUP(I977,Setup!$A$9:$B$11,2,0),"???")&amp;"-"&amp;G977&amp;"-"&amp;TEXT(COUNTIFS(I$5:I977,I977,G$5:G977,G977),"0000"))</f>
        <v/>
      </c>
      <c r="C977" s="26"/>
      <c r="D977" s="26"/>
      <c r="E977" s="27"/>
      <c r="F977" s="27"/>
      <c r="G977" s="24" t="str">
        <f aca="false">IF(F977="","",IF(F977&lt;=5,"A",IF(F977&lt;=8,"B",IF(F977&lt;=10,"C","D"))))</f>
        <v/>
      </c>
      <c r="H977" s="28"/>
      <c r="I977" s="27"/>
      <c r="J977" s="26"/>
      <c r="K977" s="27"/>
      <c r="L977" s="27"/>
      <c r="M977" s="27"/>
      <c r="N977" s="27"/>
      <c r="O977" s="24" t="str">
        <f aca="false">IF(G977="","",VLOOKUP(G977,Setup!$A$14:$C$17,3,0))</f>
        <v/>
      </c>
      <c r="P977" s="27"/>
      <c r="Q977" s="29" t="str">
        <f aca="false">IF(OR(P977="",M977&lt;&gt;"Paid",O977=""),"",P977/O977)</f>
        <v/>
      </c>
      <c r="R977" s="30" t="str">
        <f aca="false">IF(Q977="","",Q977+N(H977)*0.000000001)</f>
        <v/>
      </c>
      <c r="S977" s="25" t="str">
        <f aca="false">IF(R977="","",SUMPRODUCT((I$5:I$4004=I977)*ISNUMBER(R$5:R$4004)*(R$5:R$4004&gt;R977))+1)</f>
        <v/>
      </c>
      <c r="T977" s="25" t="str">
        <f aca="false">IF(S977="","",IF(S977&lt;=Setup!$B$5,"🏆 WINNER",""))</f>
        <v/>
      </c>
      <c r="U977" s="24" t="str">
        <f aca="false">IF(S977="","",I977&amp;"|"&amp;S977)</f>
        <v/>
      </c>
    </row>
    <row r="978" customFormat="false" ht="15" hidden="false" customHeight="false" outlineLevel="0" collapsed="false">
      <c r="A978" s="31" t="n">
        <v>974</v>
      </c>
      <c r="B978" s="32" t="str">
        <f aca="false">IF(OR(C978="",I978="",G978=""),"",IFERROR(VLOOKUP(I978,Setup!$A$9:$B$11,2,0),"???")&amp;"-"&amp;G978&amp;"-"&amp;TEXT(COUNTIFS(I$5:I978,I978,G$5:G978,G978),"0000"))</f>
        <v/>
      </c>
      <c r="C978" s="26"/>
      <c r="D978" s="26"/>
      <c r="E978" s="27"/>
      <c r="F978" s="27"/>
      <c r="G978" s="31" t="str">
        <f aca="false">IF(F978="","",IF(F978&lt;=5,"A",IF(F978&lt;=8,"B",IF(F978&lt;=10,"C","D"))))</f>
        <v/>
      </c>
      <c r="H978" s="28"/>
      <c r="I978" s="27"/>
      <c r="J978" s="26"/>
      <c r="K978" s="27"/>
      <c r="L978" s="27"/>
      <c r="M978" s="27"/>
      <c r="N978" s="27"/>
      <c r="O978" s="31" t="str">
        <f aca="false">IF(G978="","",VLOOKUP(G978,Setup!$A$14:$C$17,3,0))</f>
        <v/>
      </c>
      <c r="P978" s="27"/>
      <c r="Q978" s="33" t="str">
        <f aca="false">IF(OR(P978="",M978&lt;&gt;"Paid",O978=""),"",P978/O978)</f>
        <v/>
      </c>
      <c r="R978" s="34" t="str">
        <f aca="false">IF(Q978="","",Q978+N(H978)*0.000000001)</f>
        <v/>
      </c>
      <c r="S978" s="32" t="str">
        <f aca="false">IF(R978="","",SUMPRODUCT((I$5:I$4004=I978)*ISNUMBER(R$5:R$4004)*(R$5:R$4004&gt;R978))+1)</f>
        <v/>
      </c>
      <c r="T978" s="32" t="str">
        <f aca="false">IF(S978="","",IF(S978&lt;=Setup!$B$5,"🏆 WINNER",""))</f>
        <v/>
      </c>
      <c r="U978" s="31" t="str">
        <f aca="false">IF(S978="","",I978&amp;"|"&amp;S978)</f>
        <v/>
      </c>
    </row>
    <row r="979" customFormat="false" ht="15" hidden="false" customHeight="false" outlineLevel="0" collapsed="false">
      <c r="A979" s="24" t="n">
        <v>975</v>
      </c>
      <c r="B979" s="25" t="str">
        <f aca="false">IF(OR(C979="",I979="",G979=""),"",IFERROR(VLOOKUP(I979,Setup!$A$9:$B$11,2,0),"???")&amp;"-"&amp;G979&amp;"-"&amp;TEXT(COUNTIFS(I$5:I979,I979,G$5:G979,G979),"0000"))</f>
        <v/>
      </c>
      <c r="C979" s="26"/>
      <c r="D979" s="26"/>
      <c r="E979" s="27"/>
      <c r="F979" s="27"/>
      <c r="G979" s="24" t="str">
        <f aca="false">IF(F979="","",IF(F979&lt;=5,"A",IF(F979&lt;=8,"B",IF(F979&lt;=10,"C","D"))))</f>
        <v/>
      </c>
      <c r="H979" s="28"/>
      <c r="I979" s="27"/>
      <c r="J979" s="26"/>
      <c r="K979" s="27"/>
      <c r="L979" s="27"/>
      <c r="M979" s="27"/>
      <c r="N979" s="27"/>
      <c r="O979" s="24" t="str">
        <f aca="false">IF(G979="","",VLOOKUP(G979,Setup!$A$14:$C$17,3,0))</f>
        <v/>
      </c>
      <c r="P979" s="27"/>
      <c r="Q979" s="29" t="str">
        <f aca="false">IF(OR(P979="",M979&lt;&gt;"Paid",O979=""),"",P979/O979)</f>
        <v/>
      </c>
      <c r="R979" s="30" t="str">
        <f aca="false">IF(Q979="","",Q979+N(H979)*0.000000001)</f>
        <v/>
      </c>
      <c r="S979" s="25" t="str">
        <f aca="false">IF(R979="","",SUMPRODUCT((I$5:I$4004=I979)*ISNUMBER(R$5:R$4004)*(R$5:R$4004&gt;R979))+1)</f>
        <v/>
      </c>
      <c r="T979" s="25" t="str">
        <f aca="false">IF(S979="","",IF(S979&lt;=Setup!$B$5,"🏆 WINNER",""))</f>
        <v/>
      </c>
      <c r="U979" s="24" t="str">
        <f aca="false">IF(S979="","",I979&amp;"|"&amp;S979)</f>
        <v/>
      </c>
    </row>
    <row r="980" customFormat="false" ht="15" hidden="false" customHeight="false" outlineLevel="0" collapsed="false">
      <c r="A980" s="31" t="n">
        <v>976</v>
      </c>
      <c r="B980" s="32" t="str">
        <f aca="false">IF(OR(C980="",I980="",G980=""),"",IFERROR(VLOOKUP(I980,Setup!$A$9:$B$11,2,0),"???")&amp;"-"&amp;G980&amp;"-"&amp;TEXT(COUNTIFS(I$5:I980,I980,G$5:G980,G980),"0000"))</f>
        <v/>
      </c>
      <c r="C980" s="26"/>
      <c r="D980" s="26"/>
      <c r="E980" s="27"/>
      <c r="F980" s="27"/>
      <c r="G980" s="31" t="str">
        <f aca="false">IF(F980="","",IF(F980&lt;=5,"A",IF(F980&lt;=8,"B",IF(F980&lt;=10,"C","D"))))</f>
        <v/>
      </c>
      <c r="H980" s="28"/>
      <c r="I980" s="27"/>
      <c r="J980" s="26"/>
      <c r="K980" s="27"/>
      <c r="L980" s="27"/>
      <c r="M980" s="27"/>
      <c r="N980" s="27"/>
      <c r="O980" s="31" t="str">
        <f aca="false">IF(G980="","",VLOOKUP(G980,Setup!$A$14:$C$17,3,0))</f>
        <v/>
      </c>
      <c r="P980" s="27"/>
      <c r="Q980" s="33" t="str">
        <f aca="false">IF(OR(P980="",M980&lt;&gt;"Paid",O980=""),"",P980/O980)</f>
        <v/>
      </c>
      <c r="R980" s="34" t="str">
        <f aca="false">IF(Q980="","",Q980+N(H980)*0.000000001)</f>
        <v/>
      </c>
      <c r="S980" s="32" t="str">
        <f aca="false">IF(R980="","",SUMPRODUCT((I$5:I$4004=I980)*ISNUMBER(R$5:R$4004)*(R$5:R$4004&gt;R980))+1)</f>
        <v/>
      </c>
      <c r="T980" s="32" t="str">
        <f aca="false">IF(S980="","",IF(S980&lt;=Setup!$B$5,"🏆 WINNER",""))</f>
        <v/>
      </c>
      <c r="U980" s="31" t="str">
        <f aca="false">IF(S980="","",I980&amp;"|"&amp;S980)</f>
        <v/>
      </c>
    </row>
    <row r="981" customFormat="false" ht="15" hidden="false" customHeight="false" outlineLevel="0" collapsed="false">
      <c r="A981" s="24" t="n">
        <v>977</v>
      </c>
      <c r="B981" s="25" t="str">
        <f aca="false">IF(OR(C981="",I981="",G981=""),"",IFERROR(VLOOKUP(I981,Setup!$A$9:$B$11,2,0),"???")&amp;"-"&amp;G981&amp;"-"&amp;TEXT(COUNTIFS(I$5:I981,I981,G$5:G981,G981),"0000"))</f>
        <v/>
      </c>
      <c r="C981" s="26"/>
      <c r="D981" s="26"/>
      <c r="E981" s="27"/>
      <c r="F981" s="27"/>
      <c r="G981" s="24" t="str">
        <f aca="false">IF(F981="","",IF(F981&lt;=5,"A",IF(F981&lt;=8,"B",IF(F981&lt;=10,"C","D"))))</f>
        <v/>
      </c>
      <c r="H981" s="28"/>
      <c r="I981" s="27"/>
      <c r="J981" s="26"/>
      <c r="K981" s="27"/>
      <c r="L981" s="27"/>
      <c r="M981" s="27"/>
      <c r="N981" s="27"/>
      <c r="O981" s="24" t="str">
        <f aca="false">IF(G981="","",VLOOKUP(G981,Setup!$A$14:$C$17,3,0))</f>
        <v/>
      </c>
      <c r="P981" s="27"/>
      <c r="Q981" s="29" t="str">
        <f aca="false">IF(OR(P981="",M981&lt;&gt;"Paid",O981=""),"",P981/O981)</f>
        <v/>
      </c>
      <c r="R981" s="30" t="str">
        <f aca="false">IF(Q981="","",Q981+N(H981)*0.000000001)</f>
        <v/>
      </c>
      <c r="S981" s="25" t="str">
        <f aca="false">IF(R981="","",SUMPRODUCT((I$5:I$4004=I981)*ISNUMBER(R$5:R$4004)*(R$5:R$4004&gt;R981))+1)</f>
        <v/>
      </c>
      <c r="T981" s="25" t="str">
        <f aca="false">IF(S981="","",IF(S981&lt;=Setup!$B$5,"🏆 WINNER",""))</f>
        <v/>
      </c>
      <c r="U981" s="24" t="str">
        <f aca="false">IF(S981="","",I981&amp;"|"&amp;S981)</f>
        <v/>
      </c>
    </row>
    <row r="982" customFormat="false" ht="15" hidden="false" customHeight="false" outlineLevel="0" collapsed="false">
      <c r="A982" s="31" t="n">
        <v>978</v>
      </c>
      <c r="B982" s="32" t="str">
        <f aca="false">IF(OR(C982="",I982="",G982=""),"",IFERROR(VLOOKUP(I982,Setup!$A$9:$B$11,2,0),"???")&amp;"-"&amp;G982&amp;"-"&amp;TEXT(COUNTIFS(I$5:I982,I982,G$5:G982,G982),"0000"))</f>
        <v/>
      </c>
      <c r="C982" s="26"/>
      <c r="D982" s="26"/>
      <c r="E982" s="27"/>
      <c r="F982" s="27"/>
      <c r="G982" s="31" t="str">
        <f aca="false">IF(F982="","",IF(F982&lt;=5,"A",IF(F982&lt;=8,"B",IF(F982&lt;=10,"C","D"))))</f>
        <v/>
      </c>
      <c r="H982" s="28"/>
      <c r="I982" s="27"/>
      <c r="J982" s="26"/>
      <c r="K982" s="27"/>
      <c r="L982" s="27"/>
      <c r="M982" s="27"/>
      <c r="N982" s="27"/>
      <c r="O982" s="31" t="str">
        <f aca="false">IF(G982="","",VLOOKUP(G982,Setup!$A$14:$C$17,3,0))</f>
        <v/>
      </c>
      <c r="P982" s="27"/>
      <c r="Q982" s="33" t="str">
        <f aca="false">IF(OR(P982="",M982&lt;&gt;"Paid",O982=""),"",P982/O982)</f>
        <v/>
      </c>
      <c r="R982" s="34" t="str">
        <f aca="false">IF(Q982="","",Q982+N(H982)*0.000000001)</f>
        <v/>
      </c>
      <c r="S982" s="32" t="str">
        <f aca="false">IF(R982="","",SUMPRODUCT((I$5:I$4004=I982)*ISNUMBER(R$5:R$4004)*(R$5:R$4004&gt;R982))+1)</f>
        <v/>
      </c>
      <c r="T982" s="32" t="str">
        <f aca="false">IF(S982="","",IF(S982&lt;=Setup!$B$5,"🏆 WINNER",""))</f>
        <v/>
      </c>
      <c r="U982" s="31" t="str">
        <f aca="false">IF(S982="","",I982&amp;"|"&amp;S982)</f>
        <v/>
      </c>
    </row>
    <row r="983" customFormat="false" ht="15" hidden="false" customHeight="false" outlineLevel="0" collapsed="false">
      <c r="A983" s="24" t="n">
        <v>979</v>
      </c>
      <c r="B983" s="25" t="str">
        <f aca="false">IF(OR(C983="",I983="",G983=""),"",IFERROR(VLOOKUP(I983,Setup!$A$9:$B$11,2,0),"???")&amp;"-"&amp;G983&amp;"-"&amp;TEXT(COUNTIFS(I$5:I983,I983,G$5:G983,G983),"0000"))</f>
        <v/>
      </c>
      <c r="C983" s="26"/>
      <c r="D983" s="26"/>
      <c r="E983" s="27"/>
      <c r="F983" s="27"/>
      <c r="G983" s="24" t="str">
        <f aca="false">IF(F983="","",IF(F983&lt;=5,"A",IF(F983&lt;=8,"B",IF(F983&lt;=10,"C","D"))))</f>
        <v/>
      </c>
      <c r="H983" s="28"/>
      <c r="I983" s="27"/>
      <c r="J983" s="26"/>
      <c r="K983" s="27"/>
      <c r="L983" s="27"/>
      <c r="M983" s="27"/>
      <c r="N983" s="27"/>
      <c r="O983" s="24" t="str">
        <f aca="false">IF(G983="","",VLOOKUP(G983,Setup!$A$14:$C$17,3,0))</f>
        <v/>
      </c>
      <c r="P983" s="27"/>
      <c r="Q983" s="29" t="str">
        <f aca="false">IF(OR(P983="",M983&lt;&gt;"Paid",O983=""),"",P983/O983)</f>
        <v/>
      </c>
      <c r="R983" s="30" t="str">
        <f aca="false">IF(Q983="","",Q983+N(H983)*0.000000001)</f>
        <v/>
      </c>
      <c r="S983" s="25" t="str">
        <f aca="false">IF(R983="","",SUMPRODUCT((I$5:I$4004=I983)*ISNUMBER(R$5:R$4004)*(R$5:R$4004&gt;R983))+1)</f>
        <v/>
      </c>
      <c r="T983" s="25" t="str">
        <f aca="false">IF(S983="","",IF(S983&lt;=Setup!$B$5,"🏆 WINNER",""))</f>
        <v/>
      </c>
      <c r="U983" s="24" t="str">
        <f aca="false">IF(S983="","",I983&amp;"|"&amp;S983)</f>
        <v/>
      </c>
    </row>
    <row r="984" customFormat="false" ht="15" hidden="false" customHeight="false" outlineLevel="0" collapsed="false">
      <c r="A984" s="31" t="n">
        <v>980</v>
      </c>
      <c r="B984" s="32" t="str">
        <f aca="false">IF(OR(C984="",I984="",G984=""),"",IFERROR(VLOOKUP(I984,Setup!$A$9:$B$11,2,0),"???")&amp;"-"&amp;G984&amp;"-"&amp;TEXT(COUNTIFS(I$5:I984,I984,G$5:G984,G984),"0000"))</f>
        <v/>
      </c>
      <c r="C984" s="26"/>
      <c r="D984" s="26"/>
      <c r="E984" s="27"/>
      <c r="F984" s="27"/>
      <c r="G984" s="31" t="str">
        <f aca="false">IF(F984="","",IF(F984&lt;=5,"A",IF(F984&lt;=8,"B",IF(F984&lt;=10,"C","D"))))</f>
        <v/>
      </c>
      <c r="H984" s="28"/>
      <c r="I984" s="27"/>
      <c r="J984" s="26"/>
      <c r="K984" s="27"/>
      <c r="L984" s="27"/>
      <c r="M984" s="27"/>
      <c r="N984" s="27"/>
      <c r="O984" s="31" t="str">
        <f aca="false">IF(G984="","",VLOOKUP(G984,Setup!$A$14:$C$17,3,0))</f>
        <v/>
      </c>
      <c r="P984" s="27"/>
      <c r="Q984" s="33" t="str">
        <f aca="false">IF(OR(P984="",M984&lt;&gt;"Paid",O984=""),"",P984/O984)</f>
        <v/>
      </c>
      <c r="R984" s="34" t="str">
        <f aca="false">IF(Q984="","",Q984+N(H984)*0.000000001)</f>
        <v/>
      </c>
      <c r="S984" s="32" t="str">
        <f aca="false">IF(R984="","",SUMPRODUCT((I$5:I$4004=I984)*ISNUMBER(R$5:R$4004)*(R$5:R$4004&gt;R984))+1)</f>
        <v/>
      </c>
      <c r="T984" s="32" t="str">
        <f aca="false">IF(S984="","",IF(S984&lt;=Setup!$B$5,"🏆 WINNER",""))</f>
        <v/>
      </c>
      <c r="U984" s="31" t="str">
        <f aca="false">IF(S984="","",I984&amp;"|"&amp;S984)</f>
        <v/>
      </c>
    </row>
    <row r="985" customFormat="false" ht="15" hidden="false" customHeight="false" outlineLevel="0" collapsed="false">
      <c r="A985" s="24" t="n">
        <v>981</v>
      </c>
      <c r="B985" s="25" t="str">
        <f aca="false">IF(OR(C985="",I985="",G985=""),"",IFERROR(VLOOKUP(I985,Setup!$A$9:$B$11,2,0),"???")&amp;"-"&amp;G985&amp;"-"&amp;TEXT(COUNTIFS(I$5:I985,I985,G$5:G985,G985),"0000"))</f>
        <v/>
      </c>
      <c r="C985" s="26"/>
      <c r="D985" s="26"/>
      <c r="E985" s="27"/>
      <c r="F985" s="27"/>
      <c r="G985" s="24" t="str">
        <f aca="false">IF(F985="","",IF(F985&lt;=5,"A",IF(F985&lt;=8,"B",IF(F985&lt;=10,"C","D"))))</f>
        <v/>
      </c>
      <c r="H985" s="28"/>
      <c r="I985" s="27"/>
      <c r="J985" s="26"/>
      <c r="K985" s="27"/>
      <c r="L985" s="27"/>
      <c r="M985" s="27"/>
      <c r="N985" s="27"/>
      <c r="O985" s="24" t="str">
        <f aca="false">IF(G985="","",VLOOKUP(G985,Setup!$A$14:$C$17,3,0))</f>
        <v/>
      </c>
      <c r="P985" s="27"/>
      <c r="Q985" s="29" t="str">
        <f aca="false">IF(OR(P985="",M985&lt;&gt;"Paid",O985=""),"",P985/O985)</f>
        <v/>
      </c>
      <c r="R985" s="30" t="str">
        <f aca="false">IF(Q985="","",Q985+N(H985)*0.000000001)</f>
        <v/>
      </c>
      <c r="S985" s="25" t="str">
        <f aca="false">IF(R985="","",SUMPRODUCT((I$5:I$4004=I985)*ISNUMBER(R$5:R$4004)*(R$5:R$4004&gt;R985))+1)</f>
        <v/>
      </c>
      <c r="T985" s="25" t="str">
        <f aca="false">IF(S985="","",IF(S985&lt;=Setup!$B$5,"🏆 WINNER",""))</f>
        <v/>
      </c>
      <c r="U985" s="24" t="str">
        <f aca="false">IF(S985="","",I985&amp;"|"&amp;S985)</f>
        <v/>
      </c>
    </row>
    <row r="986" customFormat="false" ht="15" hidden="false" customHeight="false" outlineLevel="0" collapsed="false">
      <c r="A986" s="31" t="n">
        <v>982</v>
      </c>
      <c r="B986" s="32" t="str">
        <f aca="false">IF(OR(C986="",I986="",G986=""),"",IFERROR(VLOOKUP(I986,Setup!$A$9:$B$11,2,0),"???")&amp;"-"&amp;G986&amp;"-"&amp;TEXT(COUNTIFS(I$5:I986,I986,G$5:G986,G986),"0000"))</f>
        <v/>
      </c>
      <c r="C986" s="26"/>
      <c r="D986" s="26"/>
      <c r="E986" s="27"/>
      <c r="F986" s="27"/>
      <c r="G986" s="31" t="str">
        <f aca="false">IF(F986="","",IF(F986&lt;=5,"A",IF(F986&lt;=8,"B",IF(F986&lt;=10,"C","D"))))</f>
        <v/>
      </c>
      <c r="H986" s="28"/>
      <c r="I986" s="27"/>
      <c r="J986" s="26"/>
      <c r="K986" s="27"/>
      <c r="L986" s="27"/>
      <c r="M986" s="27"/>
      <c r="N986" s="27"/>
      <c r="O986" s="31" t="str">
        <f aca="false">IF(G986="","",VLOOKUP(G986,Setup!$A$14:$C$17,3,0))</f>
        <v/>
      </c>
      <c r="P986" s="27"/>
      <c r="Q986" s="33" t="str">
        <f aca="false">IF(OR(P986="",M986&lt;&gt;"Paid",O986=""),"",P986/O986)</f>
        <v/>
      </c>
      <c r="R986" s="34" t="str">
        <f aca="false">IF(Q986="","",Q986+N(H986)*0.000000001)</f>
        <v/>
      </c>
      <c r="S986" s="32" t="str">
        <f aca="false">IF(R986="","",SUMPRODUCT((I$5:I$4004=I986)*ISNUMBER(R$5:R$4004)*(R$5:R$4004&gt;R986))+1)</f>
        <v/>
      </c>
      <c r="T986" s="32" t="str">
        <f aca="false">IF(S986="","",IF(S986&lt;=Setup!$B$5,"🏆 WINNER",""))</f>
        <v/>
      </c>
      <c r="U986" s="31" t="str">
        <f aca="false">IF(S986="","",I986&amp;"|"&amp;S986)</f>
        <v/>
      </c>
    </row>
    <row r="987" customFormat="false" ht="15" hidden="false" customHeight="false" outlineLevel="0" collapsed="false">
      <c r="A987" s="24" t="n">
        <v>983</v>
      </c>
      <c r="B987" s="25" t="str">
        <f aca="false">IF(OR(C987="",I987="",G987=""),"",IFERROR(VLOOKUP(I987,Setup!$A$9:$B$11,2,0),"???")&amp;"-"&amp;G987&amp;"-"&amp;TEXT(COUNTIFS(I$5:I987,I987,G$5:G987,G987),"0000"))</f>
        <v/>
      </c>
      <c r="C987" s="26"/>
      <c r="D987" s="26"/>
      <c r="E987" s="27"/>
      <c r="F987" s="27"/>
      <c r="G987" s="24" t="str">
        <f aca="false">IF(F987="","",IF(F987&lt;=5,"A",IF(F987&lt;=8,"B",IF(F987&lt;=10,"C","D"))))</f>
        <v/>
      </c>
      <c r="H987" s="28"/>
      <c r="I987" s="27"/>
      <c r="J987" s="26"/>
      <c r="K987" s="27"/>
      <c r="L987" s="27"/>
      <c r="M987" s="27"/>
      <c r="N987" s="27"/>
      <c r="O987" s="24" t="str">
        <f aca="false">IF(G987="","",VLOOKUP(G987,Setup!$A$14:$C$17,3,0))</f>
        <v/>
      </c>
      <c r="P987" s="27"/>
      <c r="Q987" s="29" t="str">
        <f aca="false">IF(OR(P987="",M987&lt;&gt;"Paid",O987=""),"",P987/O987)</f>
        <v/>
      </c>
      <c r="R987" s="30" t="str">
        <f aca="false">IF(Q987="","",Q987+N(H987)*0.000000001)</f>
        <v/>
      </c>
      <c r="S987" s="25" t="str">
        <f aca="false">IF(R987="","",SUMPRODUCT((I$5:I$4004=I987)*ISNUMBER(R$5:R$4004)*(R$5:R$4004&gt;R987))+1)</f>
        <v/>
      </c>
      <c r="T987" s="25" t="str">
        <f aca="false">IF(S987="","",IF(S987&lt;=Setup!$B$5,"🏆 WINNER",""))</f>
        <v/>
      </c>
      <c r="U987" s="24" t="str">
        <f aca="false">IF(S987="","",I987&amp;"|"&amp;S987)</f>
        <v/>
      </c>
    </row>
    <row r="988" customFormat="false" ht="15" hidden="false" customHeight="false" outlineLevel="0" collapsed="false">
      <c r="A988" s="31" t="n">
        <v>984</v>
      </c>
      <c r="B988" s="32" t="str">
        <f aca="false">IF(OR(C988="",I988="",G988=""),"",IFERROR(VLOOKUP(I988,Setup!$A$9:$B$11,2,0),"???")&amp;"-"&amp;G988&amp;"-"&amp;TEXT(COUNTIFS(I$5:I988,I988,G$5:G988,G988),"0000"))</f>
        <v/>
      </c>
      <c r="C988" s="26"/>
      <c r="D988" s="26"/>
      <c r="E988" s="27"/>
      <c r="F988" s="27"/>
      <c r="G988" s="31" t="str">
        <f aca="false">IF(F988="","",IF(F988&lt;=5,"A",IF(F988&lt;=8,"B",IF(F988&lt;=10,"C","D"))))</f>
        <v/>
      </c>
      <c r="H988" s="28"/>
      <c r="I988" s="27"/>
      <c r="J988" s="26"/>
      <c r="K988" s="27"/>
      <c r="L988" s="27"/>
      <c r="M988" s="27"/>
      <c r="N988" s="27"/>
      <c r="O988" s="31" t="str">
        <f aca="false">IF(G988="","",VLOOKUP(G988,Setup!$A$14:$C$17,3,0))</f>
        <v/>
      </c>
      <c r="P988" s="27"/>
      <c r="Q988" s="33" t="str">
        <f aca="false">IF(OR(P988="",M988&lt;&gt;"Paid",O988=""),"",P988/O988)</f>
        <v/>
      </c>
      <c r="R988" s="34" t="str">
        <f aca="false">IF(Q988="","",Q988+N(H988)*0.000000001)</f>
        <v/>
      </c>
      <c r="S988" s="32" t="str">
        <f aca="false">IF(R988="","",SUMPRODUCT((I$5:I$4004=I988)*ISNUMBER(R$5:R$4004)*(R$5:R$4004&gt;R988))+1)</f>
        <v/>
      </c>
      <c r="T988" s="32" t="str">
        <f aca="false">IF(S988="","",IF(S988&lt;=Setup!$B$5,"🏆 WINNER",""))</f>
        <v/>
      </c>
      <c r="U988" s="31" t="str">
        <f aca="false">IF(S988="","",I988&amp;"|"&amp;S988)</f>
        <v/>
      </c>
    </row>
    <row r="989" customFormat="false" ht="15" hidden="false" customHeight="false" outlineLevel="0" collapsed="false">
      <c r="A989" s="24" t="n">
        <v>985</v>
      </c>
      <c r="B989" s="25" t="str">
        <f aca="false">IF(OR(C989="",I989="",G989=""),"",IFERROR(VLOOKUP(I989,Setup!$A$9:$B$11,2,0),"???")&amp;"-"&amp;G989&amp;"-"&amp;TEXT(COUNTIFS(I$5:I989,I989,G$5:G989,G989),"0000"))</f>
        <v/>
      </c>
      <c r="C989" s="26"/>
      <c r="D989" s="26"/>
      <c r="E989" s="27"/>
      <c r="F989" s="27"/>
      <c r="G989" s="24" t="str">
        <f aca="false">IF(F989="","",IF(F989&lt;=5,"A",IF(F989&lt;=8,"B",IF(F989&lt;=10,"C","D"))))</f>
        <v/>
      </c>
      <c r="H989" s="28"/>
      <c r="I989" s="27"/>
      <c r="J989" s="26"/>
      <c r="K989" s="27"/>
      <c r="L989" s="27"/>
      <c r="M989" s="27"/>
      <c r="N989" s="27"/>
      <c r="O989" s="24" t="str">
        <f aca="false">IF(G989="","",VLOOKUP(G989,Setup!$A$14:$C$17,3,0))</f>
        <v/>
      </c>
      <c r="P989" s="27"/>
      <c r="Q989" s="29" t="str">
        <f aca="false">IF(OR(P989="",M989&lt;&gt;"Paid",O989=""),"",P989/O989)</f>
        <v/>
      </c>
      <c r="R989" s="30" t="str">
        <f aca="false">IF(Q989="","",Q989+N(H989)*0.000000001)</f>
        <v/>
      </c>
      <c r="S989" s="25" t="str">
        <f aca="false">IF(R989="","",SUMPRODUCT((I$5:I$4004=I989)*ISNUMBER(R$5:R$4004)*(R$5:R$4004&gt;R989))+1)</f>
        <v/>
      </c>
      <c r="T989" s="25" t="str">
        <f aca="false">IF(S989="","",IF(S989&lt;=Setup!$B$5,"🏆 WINNER",""))</f>
        <v/>
      </c>
      <c r="U989" s="24" t="str">
        <f aca="false">IF(S989="","",I989&amp;"|"&amp;S989)</f>
        <v/>
      </c>
    </row>
    <row r="990" customFormat="false" ht="15" hidden="false" customHeight="false" outlineLevel="0" collapsed="false">
      <c r="A990" s="31" t="n">
        <v>986</v>
      </c>
      <c r="B990" s="32" t="str">
        <f aca="false">IF(OR(C990="",I990="",G990=""),"",IFERROR(VLOOKUP(I990,Setup!$A$9:$B$11,2,0),"???")&amp;"-"&amp;G990&amp;"-"&amp;TEXT(COUNTIFS(I$5:I990,I990,G$5:G990,G990),"0000"))</f>
        <v/>
      </c>
      <c r="C990" s="26"/>
      <c r="D990" s="26"/>
      <c r="E990" s="27"/>
      <c r="F990" s="27"/>
      <c r="G990" s="31" t="str">
        <f aca="false">IF(F990="","",IF(F990&lt;=5,"A",IF(F990&lt;=8,"B",IF(F990&lt;=10,"C","D"))))</f>
        <v/>
      </c>
      <c r="H990" s="28"/>
      <c r="I990" s="27"/>
      <c r="J990" s="26"/>
      <c r="K990" s="27"/>
      <c r="L990" s="27"/>
      <c r="M990" s="27"/>
      <c r="N990" s="27"/>
      <c r="O990" s="31" t="str">
        <f aca="false">IF(G990="","",VLOOKUP(G990,Setup!$A$14:$C$17,3,0))</f>
        <v/>
      </c>
      <c r="P990" s="27"/>
      <c r="Q990" s="33" t="str">
        <f aca="false">IF(OR(P990="",M990&lt;&gt;"Paid",O990=""),"",P990/O990)</f>
        <v/>
      </c>
      <c r="R990" s="34" t="str">
        <f aca="false">IF(Q990="","",Q990+N(H990)*0.000000001)</f>
        <v/>
      </c>
      <c r="S990" s="32" t="str">
        <f aca="false">IF(R990="","",SUMPRODUCT((I$5:I$4004=I990)*ISNUMBER(R$5:R$4004)*(R$5:R$4004&gt;R990))+1)</f>
        <v/>
      </c>
      <c r="T990" s="32" t="str">
        <f aca="false">IF(S990="","",IF(S990&lt;=Setup!$B$5,"🏆 WINNER",""))</f>
        <v/>
      </c>
      <c r="U990" s="31" t="str">
        <f aca="false">IF(S990="","",I990&amp;"|"&amp;S990)</f>
        <v/>
      </c>
    </row>
    <row r="991" customFormat="false" ht="15" hidden="false" customHeight="false" outlineLevel="0" collapsed="false">
      <c r="A991" s="24" t="n">
        <v>987</v>
      </c>
      <c r="B991" s="25" t="str">
        <f aca="false">IF(OR(C991="",I991="",G991=""),"",IFERROR(VLOOKUP(I991,Setup!$A$9:$B$11,2,0),"???")&amp;"-"&amp;G991&amp;"-"&amp;TEXT(COUNTIFS(I$5:I991,I991,G$5:G991,G991),"0000"))</f>
        <v/>
      </c>
      <c r="C991" s="26"/>
      <c r="D991" s="26"/>
      <c r="E991" s="27"/>
      <c r="F991" s="27"/>
      <c r="G991" s="24" t="str">
        <f aca="false">IF(F991="","",IF(F991&lt;=5,"A",IF(F991&lt;=8,"B",IF(F991&lt;=10,"C","D"))))</f>
        <v/>
      </c>
      <c r="H991" s="28"/>
      <c r="I991" s="27"/>
      <c r="J991" s="26"/>
      <c r="K991" s="27"/>
      <c r="L991" s="27"/>
      <c r="M991" s="27"/>
      <c r="N991" s="27"/>
      <c r="O991" s="24" t="str">
        <f aca="false">IF(G991="","",VLOOKUP(G991,Setup!$A$14:$C$17,3,0))</f>
        <v/>
      </c>
      <c r="P991" s="27"/>
      <c r="Q991" s="29" t="str">
        <f aca="false">IF(OR(P991="",M991&lt;&gt;"Paid",O991=""),"",P991/O991)</f>
        <v/>
      </c>
      <c r="R991" s="30" t="str">
        <f aca="false">IF(Q991="","",Q991+N(H991)*0.000000001)</f>
        <v/>
      </c>
      <c r="S991" s="25" t="str">
        <f aca="false">IF(R991="","",SUMPRODUCT((I$5:I$4004=I991)*ISNUMBER(R$5:R$4004)*(R$5:R$4004&gt;R991))+1)</f>
        <v/>
      </c>
      <c r="T991" s="25" t="str">
        <f aca="false">IF(S991="","",IF(S991&lt;=Setup!$B$5,"🏆 WINNER",""))</f>
        <v/>
      </c>
      <c r="U991" s="24" t="str">
        <f aca="false">IF(S991="","",I991&amp;"|"&amp;S991)</f>
        <v/>
      </c>
    </row>
    <row r="992" customFormat="false" ht="15" hidden="false" customHeight="false" outlineLevel="0" collapsed="false">
      <c r="A992" s="31" t="n">
        <v>988</v>
      </c>
      <c r="B992" s="32" t="str">
        <f aca="false">IF(OR(C992="",I992="",G992=""),"",IFERROR(VLOOKUP(I992,Setup!$A$9:$B$11,2,0),"???")&amp;"-"&amp;G992&amp;"-"&amp;TEXT(COUNTIFS(I$5:I992,I992,G$5:G992,G992),"0000"))</f>
        <v/>
      </c>
      <c r="C992" s="26"/>
      <c r="D992" s="26"/>
      <c r="E992" s="27"/>
      <c r="F992" s="27"/>
      <c r="G992" s="31" t="str">
        <f aca="false">IF(F992="","",IF(F992&lt;=5,"A",IF(F992&lt;=8,"B",IF(F992&lt;=10,"C","D"))))</f>
        <v/>
      </c>
      <c r="H992" s="28"/>
      <c r="I992" s="27"/>
      <c r="J992" s="26"/>
      <c r="K992" s="27"/>
      <c r="L992" s="27"/>
      <c r="M992" s="27"/>
      <c r="N992" s="27"/>
      <c r="O992" s="31" t="str">
        <f aca="false">IF(G992="","",VLOOKUP(G992,Setup!$A$14:$C$17,3,0))</f>
        <v/>
      </c>
      <c r="P992" s="27"/>
      <c r="Q992" s="33" t="str">
        <f aca="false">IF(OR(P992="",M992&lt;&gt;"Paid",O992=""),"",P992/O992)</f>
        <v/>
      </c>
      <c r="R992" s="34" t="str">
        <f aca="false">IF(Q992="","",Q992+N(H992)*0.000000001)</f>
        <v/>
      </c>
      <c r="S992" s="32" t="str">
        <f aca="false">IF(R992="","",SUMPRODUCT((I$5:I$4004=I992)*ISNUMBER(R$5:R$4004)*(R$5:R$4004&gt;R992))+1)</f>
        <v/>
      </c>
      <c r="T992" s="32" t="str">
        <f aca="false">IF(S992="","",IF(S992&lt;=Setup!$B$5,"🏆 WINNER",""))</f>
        <v/>
      </c>
      <c r="U992" s="31" t="str">
        <f aca="false">IF(S992="","",I992&amp;"|"&amp;S992)</f>
        <v/>
      </c>
    </row>
    <row r="993" customFormat="false" ht="15" hidden="false" customHeight="false" outlineLevel="0" collapsed="false">
      <c r="A993" s="24" t="n">
        <v>989</v>
      </c>
      <c r="B993" s="25" t="str">
        <f aca="false">IF(OR(C993="",I993="",G993=""),"",IFERROR(VLOOKUP(I993,Setup!$A$9:$B$11,2,0),"???")&amp;"-"&amp;G993&amp;"-"&amp;TEXT(COUNTIFS(I$5:I993,I993,G$5:G993,G993),"0000"))</f>
        <v/>
      </c>
      <c r="C993" s="26"/>
      <c r="D993" s="26"/>
      <c r="E993" s="27"/>
      <c r="F993" s="27"/>
      <c r="G993" s="24" t="str">
        <f aca="false">IF(F993="","",IF(F993&lt;=5,"A",IF(F993&lt;=8,"B",IF(F993&lt;=10,"C","D"))))</f>
        <v/>
      </c>
      <c r="H993" s="28"/>
      <c r="I993" s="27"/>
      <c r="J993" s="26"/>
      <c r="K993" s="27"/>
      <c r="L993" s="27"/>
      <c r="M993" s="27"/>
      <c r="N993" s="27"/>
      <c r="O993" s="24" t="str">
        <f aca="false">IF(G993="","",VLOOKUP(G993,Setup!$A$14:$C$17,3,0))</f>
        <v/>
      </c>
      <c r="P993" s="27"/>
      <c r="Q993" s="29" t="str">
        <f aca="false">IF(OR(P993="",M993&lt;&gt;"Paid",O993=""),"",P993/O993)</f>
        <v/>
      </c>
      <c r="R993" s="30" t="str">
        <f aca="false">IF(Q993="","",Q993+N(H993)*0.000000001)</f>
        <v/>
      </c>
      <c r="S993" s="25" t="str">
        <f aca="false">IF(R993="","",SUMPRODUCT((I$5:I$4004=I993)*ISNUMBER(R$5:R$4004)*(R$5:R$4004&gt;R993))+1)</f>
        <v/>
      </c>
      <c r="T993" s="25" t="str">
        <f aca="false">IF(S993="","",IF(S993&lt;=Setup!$B$5,"🏆 WINNER",""))</f>
        <v/>
      </c>
      <c r="U993" s="24" t="str">
        <f aca="false">IF(S993="","",I993&amp;"|"&amp;S993)</f>
        <v/>
      </c>
    </row>
    <row r="994" customFormat="false" ht="15" hidden="false" customHeight="false" outlineLevel="0" collapsed="false">
      <c r="A994" s="31" t="n">
        <v>990</v>
      </c>
      <c r="B994" s="32" t="str">
        <f aca="false">IF(OR(C994="",I994="",G994=""),"",IFERROR(VLOOKUP(I994,Setup!$A$9:$B$11,2,0),"???")&amp;"-"&amp;G994&amp;"-"&amp;TEXT(COUNTIFS(I$5:I994,I994,G$5:G994,G994),"0000"))</f>
        <v/>
      </c>
      <c r="C994" s="26"/>
      <c r="D994" s="26"/>
      <c r="E994" s="27"/>
      <c r="F994" s="27"/>
      <c r="G994" s="31" t="str">
        <f aca="false">IF(F994="","",IF(F994&lt;=5,"A",IF(F994&lt;=8,"B",IF(F994&lt;=10,"C","D"))))</f>
        <v/>
      </c>
      <c r="H994" s="28"/>
      <c r="I994" s="27"/>
      <c r="J994" s="26"/>
      <c r="K994" s="27"/>
      <c r="L994" s="27"/>
      <c r="M994" s="27"/>
      <c r="N994" s="27"/>
      <c r="O994" s="31" t="str">
        <f aca="false">IF(G994="","",VLOOKUP(G994,Setup!$A$14:$C$17,3,0))</f>
        <v/>
      </c>
      <c r="P994" s="27"/>
      <c r="Q994" s="33" t="str">
        <f aca="false">IF(OR(P994="",M994&lt;&gt;"Paid",O994=""),"",P994/O994)</f>
        <v/>
      </c>
      <c r="R994" s="34" t="str">
        <f aca="false">IF(Q994="","",Q994+N(H994)*0.000000001)</f>
        <v/>
      </c>
      <c r="S994" s="32" t="str">
        <f aca="false">IF(R994="","",SUMPRODUCT((I$5:I$4004=I994)*ISNUMBER(R$5:R$4004)*(R$5:R$4004&gt;R994))+1)</f>
        <v/>
      </c>
      <c r="T994" s="32" t="str">
        <f aca="false">IF(S994="","",IF(S994&lt;=Setup!$B$5,"🏆 WINNER",""))</f>
        <v/>
      </c>
      <c r="U994" s="31" t="str">
        <f aca="false">IF(S994="","",I994&amp;"|"&amp;S994)</f>
        <v/>
      </c>
    </row>
    <row r="995" customFormat="false" ht="15" hidden="false" customHeight="false" outlineLevel="0" collapsed="false">
      <c r="A995" s="24" t="n">
        <v>991</v>
      </c>
      <c r="B995" s="25" t="str">
        <f aca="false">IF(OR(C995="",I995="",G995=""),"",IFERROR(VLOOKUP(I995,Setup!$A$9:$B$11,2,0),"???")&amp;"-"&amp;G995&amp;"-"&amp;TEXT(COUNTIFS(I$5:I995,I995,G$5:G995,G995),"0000"))</f>
        <v/>
      </c>
      <c r="C995" s="26"/>
      <c r="D995" s="26"/>
      <c r="E995" s="27"/>
      <c r="F995" s="27"/>
      <c r="G995" s="24" t="str">
        <f aca="false">IF(F995="","",IF(F995&lt;=5,"A",IF(F995&lt;=8,"B",IF(F995&lt;=10,"C","D"))))</f>
        <v/>
      </c>
      <c r="H995" s="28"/>
      <c r="I995" s="27"/>
      <c r="J995" s="26"/>
      <c r="K995" s="27"/>
      <c r="L995" s="27"/>
      <c r="M995" s="27"/>
      <c r="N995" s="27"/>
      <c r="O995" s="24" t="str">
        <f aca="false">IF(G995="","",VLOOKUP(G995,Setup!$A$14:$C$17,3,0))</f>
        <v/>
      </c>
      <c r="P995" s="27"/>
      <c r="Q995" s="29" t="str">
        <f aca="false">IF(OR(P995="",M995&lt;&gt;"Paid",O995=""),"",P995/O995)</f>
        <v/>
      </c>
      <c r="R995" s="30" t="str">
        <f aca="false">IF(Q995="","",Q995+N(H995)*0.000000001)</f>
        <v/>
      </c>
      <c r="S995" s="25" t="str">
        <f aca="false">IF(R995="","",SUMPRODUCT((I$5:I$4004=I995)*ISNUMBER(R$5:R$4004)*(R$5:R$4004&gt;R995))+1)</f>
        <v/>
      </c>
      <c r="T995" s="25" t="str">
        <f aca="false">IF(S995="","",IF(S995&lt;=Setup!$B$5,"🏆 WINNER",""))</f>
        <v/>
      </c>
      <c r="U995" s="24" t="str">
        <f aca="false">IF(S995="","",I995&amp;"|"&amp;S995)</f>
        <v/>
      </c>
    </row>
    <row r="996" customFormat="false" ht="15" hidden="false" customHeight="false" outlineLevel="0" collapsed="false">
      <c r="A996" s="31" t="n">
        <v>992</v>
      </c>
      <c r="B996" s="32" t="str">
        <f aca="false">IF(OR(C996="",I996="",G996=""),"",IFERROR(VLOOKUP(I996,Setup!$A$9:$B$11,2,0),"???")&amp;"-"&amp;G996&amp;"-"&amp;TEXT(COUNTIFS(I$5:I996,I996,G$5:G996,G996),"0000"))</f>
        <v/>
      </c>
      <c r="C996" s="26"/>
      <c r="D996" s="26"/>
      <c r="E996" s="27"/>
      <c r="F996" s="27"/>
      <c r="G996" s="31" t="str">
        <f aca="false">IF(F996="","",IF(F996&lt;=5,"A",IF(F996&lt;=8,"B",IF(F996&lt;=10,"C","D"))))</f>
        <v/>
      </c>
      <c r="H996" s="28"/>
      <c r="I996" s="27"/>
      <c r="J996" s="26"/>
      <c r="K996" s="27"/>
      <c r="L996" s="27"/>
      <c r="M996" s="27"/>
      <c r="N996" s="27"/>
      <c r="O996" s="31" t="str">
        <f aca="false">IF(G996="","",VLOOKUP(G996,Setup!$A$14:$C$17,3,0))</f>
        <v/>
      </c>
      <c r="P996" s="27"/>
      <c r="Q996" s="33" t="str">
        <f aca="false">IF(OR(P996="",M996&lt;&gt;"Paid",O996=""),"",P996/O996)</f>
        <v/>
      </c>
      <c r="R996" s="34" t="str">
        <f aca="false">IF(Q996="","",Q996+N(H996)*0.000000001)</f>
        <v/>
      </c>
      <c r="S996" s="32" t="str">
        <f aca="false">IF(R996="","",SUMPRODUCT((I$5:I$4004=I996)*ISNUMBER(R$5:R$4004)*(R$5:R$4004&gt;R996))+1)</f>
        <v/>
      </c>
      <c r="T996" s="32" t="str">
        <f aca="false">IF(S996="","",IF(S996&lt;=Setup!$B$5,"🏆 WINNER",""))</f>
        <v/>
      </c>
      <c r="U996" s="31" t="str">
        <f aca="false">IF(S996="","",I996&amp;"|"&amp;S996)</f>
        <v/>
      </c>
    </row>
    <row r="997" customFormat="false" ht="15" hidden="false" customHeight="false" outlineLevel="0" collapsed="false">
      <c r="A997" s="24" t="n">
        <v>993</v>
      </c>
      <c r="B997" s="25" t="str">
        <f aca="false">IF(OR(C997="",I997="",G997=""),"",IFERROR(VLOOKUP(I997,Setup!$A$9:$B$11,2,0),"???")&amp;"-"&amp;G997&amp;"-"&amp;TEXT(COUNTIFS(I$5:I997,I997,G$5:G997,G997),"0000"))</f>
        <v/>
      </c>
      <c r="C997" s="26"/>
      <c r="D997" s="26"/>
      <c r="E997" s="27"/>
      <c r="F997" s="27"/>
      <c r="G997" s="24" t="str">
        <f aca="false">IF(F997="","",IF(F997&lt;=5,"A",IF(F997&lt;=8,"B",IF(F997&lt;=10,"C","D"))))</f>
        <v/>
      </c>
      <c r="H997" s="28"/>
      <c r="I997" s="27"/>
      <c r="J997" s="26"/>
      <c r="K997" s="27"/>
      <c r="L997" s="27"/>
      <c r="M997" s="27"/>
      <c r="N997" s="27"/>
      <c r="O997" s="24" t="str">
        <f aca="false">IF(G997="","",VLOOKUP(G997,Setup!$A$14:$C$17,3,0))</f>
        <v/>
      </c>
      <c r="P997" s="27"/>
      <c r="Q997" s="29" t="str">
        <f aca="false">IF(OR(P997="",M997&lt;&gt;"Paid",O997=""),"",P997/O997)</f>
        <v/>
      </c>
      <c r="R997" s="30" t="str">
        <f aca="false">IF(Q997="","",Q997+N(H997)*0.000000001)</f>
        <v/>
      </c>
      <c r="S997" s="25" t="str">
        <f aca="false">IF(R997="","",SUMPRODUCT((I$5:I$4004=I997)*ISNUMBER(R$5:R$4004)*(R$5:R$4004&gt;R997))+1)</f>
        <v/>
      </c>
      <c r="T997" s="25" t="str">
        <f aca="false">IF(S997="","",IF(S997&lt;=Setup!$B$5,"🏆 WINNER",""))</f>
        <v/>
      </c>
      <c r="U997" s="24" t="str">
        <f aca="false">IF(S997="","",I997&amp;"|"&amp;S997)</f>
        <v/>
      </c>
    </row>
    <row r="998" customFormat="false" ht="15" hidden="false" customHeight="false" outlineLevel="0" collapsed="false">
      <c r="A998" s="31" t="n">
        <v>994</v>
      </c>
      <c r="B998" s="32" t="str">
        <f aca="false">IF(OR(C998="",I998="",G998=""),"",IFERROR(VLOOKUP(I998,Setup!$A$9:$B$11,2,0),"???")&amp;"-"&amp;G998&amp;"-"&amp;TEXT(COUNTIFS(I$5:I998,I998,G$5:G998,G998),"0000"))</f>
        <v/>
      </c>
      <c r="C998" s="26"/>
      <c r="D998" s="26"/>
      <c r="E998" s="27"/>
      <c r="F998" s="27"/>
      <c r="G998" s="31" t="str">
        <f aca="false">IF(F998="","",IF(F998&lt;=5,"A",IF(F998&lt;=8,"B",IF(F998&lt;=10,"C","D"))))</f>
        <v/>
      </c>
      <c r="H998" s="28"/>
      <c r="I998" s="27"/>
      <c r="J998" s="26"/>
      <c r="K998" s="27"/>
      <c r="L998" s="27"/>
      <c r="M998" s="27"/>
      <c r="N998" s="27"/>
      <c r="O998" s="31" t="str">
        <f aca="false">IF(G998="","",VLOOKUP(G998,Setup!$A$14:$C$17,3,0))</f>
        <v/>
      </c>
      <c r="P998" s="27"/>
      <c r="Q998" s="33" t="str">
        <f aca="false">IF(OR(P998="",M998&lt;&gt;"Paid",O998=""),"",P998/O998)</f>
        <v/>
      </c>
      <c r="R998" s="34" t="str">
        <f aca="false">IF(Q998="","",Q998+N(H998)*0.000000001)</f>
        <v/>
      </c>
      <c r="S998" s="32" t="str">
        <f aca="false">IF(R998="","",SUMPRODUCT((I$5:I$4004=I998)*ISNUMBER(R$5:R$4004)*(R$5:R$4004&gt;R998))+1)</f>
        <v/>
      </c>
      <c r="T998" s="32" t="str">
        <f aca="false">IF(S998="","",IF(S998&lt;=Setup!$B$5,"🏆 WINNER",""))</f>
        <v/>
      </c>
      <c r="U998" s="31" t="str">
        <f aca="false">IF(S998="","",I998&amp;"|"&amp;S998)</f>
        <v/>
      </c>
    </row>
    <row r="999" customFormat="false" ht="15" hidden="false" customHeight="false" outlineLevel="0" collapsed="false">
      <c r="A999" s="24" t="n">
        <v>995</v>
      </c>
      <c r="B999" s="25" t="str">
        <f aca="false">IF(OR(C999="",I999="",G999=""),"",IFERROR(VLOOKUP(I999,Setup!$A$9:$B$11,2,0),"???")&amp;"-"&amp;G999&amp;"-"&amp;TEXT(COUNTIFS(I$5:I999,I999,G$5:G999,G999),"0000"))</f>
        <v/>
      </c>
      <c r="C999" s="26"/>
      <c r="D999" s="26"/>
      <c r="E999" s="27"/>
      <c r="F999" s="27"/>
      <c r="G999" s="24" t="str">
        <f aca="false">IF(F999="","",IF(F999&lt;=5,"A",IF(F999&lt;=8,"B",IF(F999&lt;=10,"C","D"))))</f>
        <v/>
      </c>
      <c r="H999" s="28"/>
      <c r="I999" s="27"/>
      <c r="J999" s="26"/>
      <c r="K999" s="27"/>
      <c r="L999" s="27"/>
      <c r="M999" s="27"/>
      <c r="N999" s="27"/>
      <c r="O999" s="24" t="str">
        <f aca="false">IF(G999="","",VLOOKUP(G999,Setup!$A$14:$C$17,3,0))</f>
        <v/>
      </c>
      <c r="P999" s="27"/>
      <c r="Q999" s="29" t="str">
        <f aca="false">IF(OR(P999="",M999&lt;&gt;"Paid",O999=""),"",P999/O999)</f>
        <v/>
      </c>
      <c r="R999" s="30" t="str">
        <f aca="false">IF(Q999="","",Q999+N(H999)*0.000000001)</f>
        <v/>
      </c>
      <c r="S999" s="25" t="str">
        <f aca="false">IF(R999="","",SUMPRODUCT((I$5:I$4004=I999)*ISNUMBER(R$5:R$4004)*(R$5:R$4004&gt;R999))+1)</f>
        <v/>
      </c>
      <c r="T999" s="25" t="str">
        <f aca="false">IF(S999="","",IF(S999&lt;=Setup!$B$5,"🏆 WINNER",""))</f>
        <v/>
      </c>
      <c r="U999" s="24" t="str">
        <f aca="false">IF(S999="","",I999&amp;"|"&amp;S999)</f>
        <v/>
      </c>
    </row>
    <row r="1000" customFormat="false" ht="15" hidden="false" customHeight="false" outlineLevel="0" collapsed="false">
      <c r="A1000" s="31" t="n">
        <v>996</v>
      </c>
      <c r="B1000" s="32" t="str">
        <f aca="false">IF(OR(C1000="",I1000="",G1000=""),"",IFERROR(VLOOKUP(I1000,Setup!$A$9:$B$11,2,0),"???")&amp;"-"&amp;G1000&amp;"-"&amp;TEXT(COUNTIFS(I$5:I1000,I1000,G$5:G1000,G1000),"0000"))</f>
        <v/>
      </c>
      <c r="C1000" s="26"/>
      <c r="D1000" s="26"/>
      <c r="E1000" s="27"/>
      <c r="F1000" s="27"/>
      <c r="G1000" s="31" t="str">
        <f aca="false">IF(F1000="","",IF(F1000&lt;=5,"A",IF(F1000&lt;=8,"B",IF(F1000&lt;=10,"C","D"))))</f>
        <v/>
      </c>
      <c r="H1000" s="28"/>
      <c r="I1000" s="27"/>
      <c r="J1000" s="26"/>
      <c r="K1000" s="27"/>
      <c r="L1000" s="27"/>
      <c r="M1000" s="27"/>
      <c r="N1000" s="27"/>
      <c r="O1000" s="31" t="str">
        <f aca="false">IF(G1000="","",VLOOKUP(G1000,Setup!$A$14:$C$17,3,0))</f>
        <v/>
      </c>
      <c r="P1000" s="27"/>
      <c r="Q1000" s="33" t="str">
        <f aca="false">IF(OR(P1000="",M1000&lt;&gt;"Paid",O1000=""),"",P1000/O1000)</f>
        <v/>
      </c>
      <c r="R1000" s="34" t="str">
        <f aca="false">IF(Q1000="","",Q1000+N(H1000)*0.000000001)</f>
        <v/>
      </c>
      <c r="S1000" s="32" t="str">
        <f aca="false">IF(R1000="","",SUMPRODUCT((I$5:I$4004=I1000)*ISNUMBER(R$5:R$4004)*(R$5:R$4004&gt;R1000))+1)</f>
        <v/>
      </c>
      <c r="T1000" s="32" t="str">
        <f aca="false">IF(S1000="","",IF(S1000&lt;=Setup!$B$5,"🏆 WINNER",""))</f>
        <v/>
      </c>
      <c r="U1000" s="31" t="str">
        <f aca="false">IF(S1000="","",I1000&amp;"|"&amp;S1000)</f>
        <v/>
      </c>
    </row>
    <row r="1001" customFormat="false" ht="15" hidden="false" customHeight="false" outlineLevel="0" collapsed="false">
      <c r="A1001" s="24" t="n">
        <v>997</v>
      </c>
      <c r="B1001" s="25" t="str">
        <f aca="false">IF(OR(C1001="",I1001="",G1001=""),"",IFERROR(VLOOKUP(I1001,Setup!$A$9:$B$11,2,0),"???")&amp;"-"&amp;G1001&amp;"-"&amp;TEXT(COUNTIFS(I$5:I1001,I1001,G$5:G1001,G1001),"0000"))</f>
        <v/>
      </c>
      <c r="C1001" s="26"/>
      <c r="D1001" s="26"/>
      <c r="E1001" s="27"/>
      <c r="F1001" s="27"/>
      <c r="G1001" s="24" t="str">
        <f aca="false">IF(F1001="","",IF(F1001&lt;=5,"A",IF(F1001&lt;=8,"B",IF(F1001&lt;=10,"C","D"))))</f>
        <v/>
      </c>
      <c r="H1001" s="28"/>
      <c r="I1001" s="27"/>
      <c r="J1001" s="26"/>
      <c r="K1001" s="27"/>
      <c r="L1001" s="27"/>
      <c r="M1001" s="27"/>
      <c r="N1001" s="27"/>
      <c r="O1001" s="24" t="str">
        <f aca="false">IF(G1001="","",VLOOKUP(G1001,Setup!$A$14:$C$17,3,0))</f>
        <v/>
      </c>
      <c r="P1001" s="27"/>
      <c r="Q1001" s="29" t="str">
        <f aca="false">IF(OR(P1001="",M1001&lt;&gt;"Paid",O1001=""),"",P1001/O1001)</f>
        <v/>
      </c>
      <c r="R1001" s="30" t="str">
        <f aca="false">IF(Q1001="","",Q1001+N(H1001)*0.000000001)</f>
        <v/>
      </c>
      <c r="S1001" s="25" t="str">
        <f aca="false">IF(R1001="","",SUMPRODUCT((I$5:I$4004=I1001)*ISNUMBER(R$5:R$4004)*(R$5:R$4004&gt;R1001))+1)</f>
        <v/>
      </c>
      <c r="T1001" s="25" t="str">
        <f aca="false">IF(S1001="","",IF(S1001&lt;=Setup!$B$5,"🏆 WINNER",""))</f>
        <v/>
      </c>
      <c r="U1001" s="24" t="str">
        <f aca="false">IF(S1001="","",I1001&amp;"|"&amp;S1001)</f>
        <v/>
      </c>
    </row>
    <row r="1002" customFormat="false" ht="15" hidden="false" customHeight="false" outlineLevel="0" collapsed="false">
      <c r="A1002" s="31" t="n">
        <v>998</v>
      </c>
      <c r="B1002" s="32" t="str">
        <f aca="false">IF(OR(C1002="",I1002="",G1002=""),"",IFERROR(VLOOKUP(I1002,Setup!$A$9:$B$11,2,0),"???")&amp;"-"&amp;G1002&amp;"-"&amp;TEXT(COUNTIFS(I$5:I1002,I1002,G$5:G1002,G1002),"0000"))</f>
        <v/>
      </c>
      <c r="C1002" s="26"/>
      <c r="D1002" s="26"/>
      <c r="E1002" s="27"/>
      <c r="F1002" s="27"/>
      <c r="G1002" s="31" t="str">
        <f aca="false">IF(F1002="","",IF(F1002&lt;=5,"A",IF(F1002&lt;=8,"B",IF(F1002&lt;=10,"C","D"))))</f>
        <v/>
      </c>
      <c r="H1002" s="28"/>
      <c r="I1002" s="27"/>
      <c r="J1002" s="26"/>
      <c r="K1002" s="27"/>
      <c r="L1002" s="27"/>
      <c r="M1002" s="27"/>
      <c r="N1002" s="27"/>
      <c r="O1002" s="31" t="str">
        <f aca="false">IF(G1002="","",VLOOKUP(G1002,Setup!$A$14:$C$17,3,0))</f>
        <v/>
      </c>
      <c r="P1002" s="27"/>
      <c r="Q1002" s="33" t="str">
        <f aca="false">IF(OR(P1002="",M1002&lt;&gt;"Paid",O1002=""),"",P1002/O1002)</f>
        <v/>
      </c>
      <c r="R1002" s="34" t="str">
        <f aca="false">IF(Q1002="","",Q1002+N(H1002)*0.000000001)</f>
        <v/>
      </c>
      <c r="S1002" s="32" t="str">
        <f aca="false">IF(R1002="","",SUMPRODUCT((I$5:I$4004=I1002)*ISNUMBER(R$5:R$4004)*(R$5:R$4004&gt;R1002))+1)</f>
        <v/>
      </c>
      <c r="T1002" s="32" t="str">
        <f aca="false">IF(S1002="","",IF(S1002&lt;=Setup!$B$5,"🏆 WINNER",""))</f>
        <v/>
      </c>
      <c r="U1002" s="31" t="str">
        <f aca="false">IF(S1002="","",I1002&amp;"|"&amp;S1002)</f>
        <v/>
      </c>
    </row>
    <row r="1003" customFormat="false" ht="15" hidden="false" customHeight="false" outlineLevel="0" collapsed="false">
      <c r="A1003" s="24" t="n">
        <v>999</v>
      </c>
      <c r="B1003" s="25" t="str">
        <f aca="false">IF(OR(C1003="",I1003="",G1003=""),"",IFERROR(VLOOKUP(I1003,Setup!$A$9:$B$11,2,0),"???")&amp;"-"&amp;G1003&amp;"-"&amp;TEXT(COUNTIFS(I$5:I1003,I1003,G$5:G1003,G1003),"0000"))</f>
        <v/>
      </c>
      <c r="C1003" s="26"/>
      <c r="D1003" s="26"/>
      <c r="E1003" s="27"/>
      <c r="F1003" s="27"/>
      <c r="G1003" s="24" t="str">
        <f aca="false">IF(F1003="","",IF(F1003&lt;=5,"A",IF(F1003&lt;=8,"B",IF(F1003&lt;=10,"C","D"))))</f>
        <v/>
      </c>
      <c r="H1003" s="28"/>
      <c r="I1003" s="27"/>
      <c r="J1003" s="26"/>
      <c r="K1003" s="27"/>
      <c r="L1003" s="27"/>
      <c r="M1003" s="27"/>
      <c r="N1003" s="27"/>
      <c r="O1003" s="24" t="str">
        <f aca="false">IF(G1003="","",VLOOKUP(G1003,Setup!$A$14:$C$17,3,0))</f>
        <v/>
      </c>
      <c r="P1003" s="27"/>
      <c r="Q1003" s="29" t="str">
        <f aca="false">IF(OR(P1003="",M1003&lt;&gt;"Paid",O1003=""),"",P1003/O1003)</f>
        <v/>
      </c>
      <c r="R1003" s="30" t="str">
        <f aca="false">IF(Q1003="","",Q1003+N(H1003)*0.000000001)</f>
        <v/>
      </c>
      <c r="S1003" s="25" t="str">
        <f aca="false">IF(R1003="","",SUMPRODUCT((I$5:I$4004=I1003)*ISNUMBER(R$5:R$4004)*(R$5:R$4004&gt;R1003))+1)</f>
        <v/>
      </c>
      <c r="T1003" s="25" t="str">
        <f aca="false">IF(S1003="","",IF(S1003&lt;=Setup!$B$5,"🏆 WINNER",""))</f>
        <v/>
      </c>
      <c r="U1003" s="24" t="str">
        <f aca="false">IF(S1003="","",I1003&amp;"|"&amp;S1003)</f>
        <v/>
      </c>
    </row>
    <row r="1004" customFormat="false" ht="15" hidden="false" customHeight="false" outlineLevel="0" collapsed="false">
      <c r="A1004" s="31" t="n">
        <v>1000</v>
      </c>
      <c r="B1004" s="32" t="str">
        <f aca="false">IF(OR(C1004="",I1004="",G1004=""),"",IFERROR(VLOOKUP(I1004,Setup!$A$9:$B$11,2,0),"???")&amp;"-"&amp;G1004&amp;"-"&amp;TEXT(COUNTIFS(I$5:I1004,I1004,G$5:G1004,G1004),"0000"))</f>
        <v/>
      </c>
      <c r="C1004" s="26"/>
      <c r="D1004" s="26"/>
      <c r="E1004" s="27"/>
      <c r="F1004" s="27"/>
      <c r="G1004" s="31" t="str">
        <f aca="false">IF(F1004="","",IF(F1004&lt;=5,"A",IF(F1004&lt;=8,"B",IF(F1004&lt;=10,"C","D"))))</f>
        <v/>
      </c>
      <c r="H1004" s="28"/>
      <c r="I1004" s="27"/>
      <c r="J1004" s="26"/>
      <c r="K1004" s="27"/>
      <c r="L1004" s="27"/>
      <c r="M1004" s="27"/>
      <c r="N1004" s="27"/>
      <c r="O1004" s="31" t="str">
        <f aca="false">IF(G1004="","",VLOOKUP(G1004,Setup!$A$14:$C$17,3,0))</f>
        <v/>
      </c>
      <c r="P1004" s="27"/>
      <c r="Q1004" s="33" t="str">
        <f aca="false">IF(OR(P1004="",M1004&lt;&gt;"Paid",O1004=""),"",P1004/O1004)</f>
        <v/>
      </c>
      <c r="R1004" s="34" t="str">
        <f aca="false">IF(Q1004="","",Q1004+N(H1004)*0.000000001)</f>
        <v/>
      </c>
      <c r="S1004" s="32" t="str">
        <f aca="false">IF(R1004="","",SUMPRODUCT((I$5:I$4004=I1004)*ISNUMBER(R$5:R$4004)*(R$5:R$4004&gt;R1004))+1)</f>
        <v/>
      </c>
      <c r="T1004" s="32" t="str">
        <f aca="false">IF(S1004="","",IF(S1004&lt;=Setup!$B$5,"🏆 WINNER",""))</f>
        <v/>
      </c>
      <c r="U1004" s="31" t="str">
        <f aca="false">IF(S1004="","",I1004&amp;"|"&amp;S1004)</f>
        <v/>
      </c>
    </row>
    <row r="1005" customFormat="false" ht="15" hidden="false" customHeight="false" outlineLevel="0" collapsed="false">
      <c r="A1005" s="24" t="n">
        <v>1001</v>
      </c>
      <c r="B1005" s="25" t="str">
        <f aca="false">IF(OR(C1005="",I1005="",G1005=""),"",IFERROR(VLOOKUP(I1005,Setup!$A$9:$B$11,2,0),"???")&amp;"-"&amp;G1005&amp;"-"&amp;TEXT(COUNTIFS(I$5:I1005,I1005,G$5:G1005,G1005),"0000"))</f>
        <v/>
      </c>
      <c r="C1005" s="26"/>
      <c r="D1005" s="26"/>
      <c r="E1005" s="27"/>
      <c r="F1005" s="27"/>
      <c r="G1005" s="24" t="str">
        <f aca="false">IF(F1005="","",IF(F1005&lt;=5,"A",IF(F1005&lt;=8,"B",IF(F1005&lt;=10,"C","D"))))</f>
        <v/>
      </c>
      <c r="H1005" s="28"/>
      <c r="I1005" s="27"/>
      <c r="J1005" s="26"/>
      <c r="K1005" s="27"/>
      <c r="L1005" s="27"/>
      <c r="M1005" s="27"/>
      <c r="N1005" s="27"/>
      <c r="O1005" s="24" t="str">
        <f aca="false">IF(G1005="","",VLOOKUP(G1005,Setup!$A$14:$C$17,3,0))</f>
        <v/>
      </c>
      <c r="P1005" s="27"/>
      <c r="Q1005" s="29" t="str">
        <f aca="false">IF(OR(P1005="",M1005&lt;&gt;"Paid",O1005=""),"",P1005/O1005)</f>
        <v/>
      </c>
      <c r="R1005" s="30" t="str">
        <f aca="false">IF(Q1005="","",Q1005+N(H1005)*0.000000001)</f>
        <v/>
      </c>
      <c r="S1005" s="25" t="str">
        <f aca="false">IF(R1005="","",SUMPRODUCT((I$5:I$4004=I1005)*ISNUMBER(R$5:R$4004)*(R$5:R$4004&gt;R1005))+1)</f>
        <v/>
      </c>
      <c r="T1005" s="25" t="str">
        <f aca="false">IF(S1005="","",IF(S1005&lt;=Setup!$B$5,"🏆 WINNER",""))</f>
        <v/>
      </c>
      <c r="U1005" s="24" t="str">
        <f aca="false">IF(S1005="","",I1005&amp;"|"&amp;S1005)</f>
        <v/>
      </c>
    </row>
    <row r="1006" customFormat="false" ht="15" hidden="false" customHeight="false" outlineLevel="0" collapsed="false">
      <c r="A1006" s="31" t="n">
        <v>1002</v>
      </c>
      <c r="B1006" s="32" t="str">
        <f aca="false">IF(OR(C1006="",I1006="",G1006=""),"",IFERROR(VLOOKUP(I1006,Setup!$A$9:$B$11,2,0),"???")&amp;"-"&amp;G1006&amp;"-"&amp;TEXT(COUNTIFS(I$5:I1006,I1006,G$5:G1006,G1006),"0000"))</f>
        <v/>
      </c>
      <c r="C1006" s="26"/>
      <c r="D1006" s="26"/>
      <c r="E1006" s="27"/>
      <c r="F1006" s="27"/>
      <c r="G1006" s="31" t="str">
        <f aca="false">IF(F1006="","",IF(F1006&lt;=5,"A",IF(F1006&lt;=8,"B",IF(F1006&lt;=10,"C","D"))))</f>
        <v/>
      </c>
      <c r="H1006" s="28"/>
      <c r="I1006" s="27"/>
      <c r="J1006" s="26"/>
      <c r="K1006" s="27"/>
      <c r="L1006" s="27"/>
      <c r="M1006" s="27"/>
      <c r="N1006" s="27"/>
      <c r="O1006" s="31" t="str">
        <f aca="false">IF(G1006="","",VLOOKUP(G1006,Setup!$A$14:$C$17,3,0))</f>
        <v/>
      </c>
      <c r="P1006" s="27"/>
      <c r="Q1006" s="33" t="str">
        <f aca="false">IF(OR(P1006="",M1006&lt;&gt;"Paid",O1006=""),"",P1006/O1006)</f>
        <v/>
      </c>
      <c r="R1006" s="34" t="str">
        <f aca="false">IF(Q1006="","",Q1006+N(H1006)*0.000000001)</f>
        <v/>
      </c>
      <c r="S1006" s="32" t="str">
        <f aca="false">IF(R1006="","",SUMPRODUCT((I$5:I$4004=I1006)*ISNUMBER(R$5:R$4004)*(R$5:R$4004&gt;R1006))+1)</f>
        <v/>
      </c>
      <c r="T1006" s="32" t="str">
        <f aca="false">IF(S1006="","",IF(S1006&lt;=Setup!$B$5,"🏆 WINNER",""))</f>
        <v/>
      </c>
      <c r="U1006" s="31" t="str">
        <f aca="false">IF(S1006="","",I1006&amp;"|"&amp;S1006)</f>
        <v/>
      </c>
    </row>
    <row r="1007" customFormat="false" ht="15" hidden="false" customHeight="false" outlineLevel="0" collapsed="false">
      <c r="A1007" s="24" t="n">
        <v>1003</v>
      </c>
      <c r="B1007" s="25" t="str">
        <f aca="false">IF(OR(C1007="",I1007="",G1007=""),"",IFERROR(VLOOKUP(I1007,Setup!$A$9:$B$11,2,0),"???")&amp;"-"&amp;G1007&amp;"-"&amp;TEXT(COUNTIFS(I$5:I1007,I1007,G$5:G1007,G1007),"0000"))</f>
        <v/>
      </c>
      <c r="C1007" s="26"/>
      <c r="D1007" s="26"/>
      <c r="E1007" s="27"/>
      <c r="F1007" s="27"/>
      <c r="G1007" s="24" t="str">
        <f aca="false">IF(F1007="","",IF(F1007&lt;=5,"A",IF(F1007&lt;=8,"B",IF(F1007&lt;=10,"C","D"))))</f>
        <v/>
      </c>
      <c r="H1007" s="28"/>
      <c r="I1007" s="27"/>
      <c r="J1007" s="26"/>
      <c r="K1007" s="27"/>
      <c r="L1007" s="27"/>
      <c r="M1007" s="27"/>
      <c r="N1007" s="27"/>
      <c r="O1007" s="24" t="str">
        <f aca="false">IF(G1007="","",VLOOKUP(G1007,Setup!$A$14:$C$17,3,0))</f>
        <v/>
      </c>
      <c r="P1007" s="27"/>
      <c r="Q1007" s="29" t="str">
        <f aca="false">IF(OR(P1007="",M1007&lt;&gt;"Paid",O1007=""),"",P1007/O1007)</f>
        <v/>
      </c>
      <c r="R1007" s="30" t="str">
        <f aca="false">IF(Q1007="","",Q1007+N(H1007)*0.000000001)</f>
        <v/>
      </c>
      <c r="S1007" s="25" t="str">
        <f aca="false">IF(R1007="","",SUMPRODUCT((I$5:I$4004=I1007)*ISNUMBER(R$5:R$4004)*(R$5:R$4004&gt;R1007))+1)</f>
        <v/>
      </c>
      <c r="T1007" s="25" t="str">
        <f aca="false">IF(S1007="","",IF(S1007&lt;=Setup!$B$5,"🏆 WINNER",""))</f>
        <v/>
      </c>
      <c r="U1007" s="24" t="str">
        <f aca="false">IF(S1007="","",I1007&amp;"|"&amp;S1007)</f>
        <v/>
      </c>
    </row>
    <row r="1008" customFormat="false" ht="15" hidden="false" customHeight="false" outlineLevel="0" collapsed="false">
      <c r="A1008" s="31" t="n">
        <v>1004</v>
      </c>
      <c r="B1008" s="32" t="str">
        <f aca="false">IF(OR(C1008="",I1008="",G1008=""),"",IFERROR(VLOOKUP(I1008,Setup!$A$9:$B$11,2,0),"???")&amp;"-"&amp;G1008&amp;"-"&amp;TEXT(COUNTIFS(I$5:I1008,I1008,G$5:G1008,G1008),"0000"))</f>
        <v/>
      </c>
      <c r="C1008" s="26"/>
      <c r="D1008" s="26"/>
      <c r="E1008" s="27"/>
      <c r="F1008" s="27"/>
      <c r="G1008" s="31" t="str">
        <f aca="false">IF(F1008="","",IF(F1008&lt;=5,"A",IF(F1008&lt;=8,"B",IF(F1008&lt;=10,"C","D"))))</f>
        <v/>
      </c>
      <c r="H1008" s="28"/>
      <c r="I1008" s="27"/>
      <c r="J1008" s="26"/>
      <c r="K1008" s="27"/>
      <c r="L1008" s="27"/>
      <c r="M1008" s="27"/>
      <c r="N1008" s="27"/>
      <c r="O1008" s="31" t="str">
        <f aca="false">IF(G1008="","",VLOOKUP(G1008,Setup!$A$14:$C$17,3,0))</f>
        <v/>
      </c>
      <c r="P1008" s="27"/>
      <c r="Q1008" s="33" t="str">
        <f aca="false">IF(OR(P1008="",M1008&lt;&gt;"Paid",O1008=""),"",P1008/O1008)</f>
        <v/>
      </c>
      <c r="R1008" s="34" t="str">
        <f aca="false">IF(Q1008="","",Q1008+N(H1008)*0.000000001)</f>
        <v/>
      </c>
      <c r="S1008" s="32" t="str">
        <f aca="false">IF(R1008="","",SUMPRODUCT((I$5:I$4004=I1008)*ISNUMBER(R$5:R$4004)*(R$5:R$4004&gt;R1008))+1)</f>
        <v/>
      </c>
      <c r="T1008" s="32" t="str">
        <f aca="false">IF(S1008="","",IF(S1008&lt;=Setup!$B$5,"🏆 WINNER",""))</f>
        <v/>
      </c>
      <c r="U1008" s="31" t="str">
        <f aca="false">IF(S1008="","",I1008&amp;"|"&amp;S1008)</f>
        <v/>
      </c>
    </row>
    <row r="1009" customFormat="false" ht="15" hidden="false" customHeight="false" outlineLevel="0" collapsed="false">
      <c r="A1009" s="24" t="n">
        <v>1005</v>
      </c>
      <c r="B1009" s="25" t="str">
        <f aca="false">IF(OR(C1009="",I1009="",G1009=""),"",IFERROR(VLOOKUP(I1009,Setup!$A$9:$B$11,2,0),"???")&amp;"-"&amp;G1009&amp;"-"&amp;TEXT(COUNTIFS(I$5:I1009,I1009,G$5:G1009,G1009),"0000"))</f>
        <v/>
      </c>
      <c r="C1009" s="26"/>
      <c r="D1009" s="26"/>
      <c r="E1009" s="27"/>
      <c r="F1009" s="27"/>
      <c r="G1009" s="24" t="str">
        <f aca="false">IF(F1009="","",IF(F1009&lt;=5,"A",IF(F1009&lt;=8,"B",IF(F1009&lt;=10,"C","D"))))</f>
        <v/>
      </c>
      <c r="H1009" s="28"/>
      <c r="I1009" s="27"/>
      <c r="J1009" s="26"/>
      <c r="K1009" s="27"/>
      <c r="L1009" s="27"/>
      <c r="M1009" s="27"/>
      <c r="N1009" s="27"/>
      <c r="O1009" s="24" t="str">
        <f aca="false">IF(G1009="","",VLOOKUP(G1009,Setup!$A$14:$C$17,3,0))</f>
        <v/>
      </c>
      <c r="P1009" s="27"/>
      <c r="Q1009" s="29" t="str">
        <f aca="false">IF(OR(P1009="",M1009&lt;&gt;"Paid",O1009=""),"",P1009/O1009)</f>
        <v/>
      </c>
      <c r="R1009" s="30" t="str">
        <f aca="false">IF(Q1009="","",Q1009+N(H1009)*0.000000001)</f>
        <v/>
      </c>
      <c r="S1009" s="25" t="str">
        <f aca="false">IF(R1009="","",SUMPRODUCT((I$5:I$4004=I1009)*ISNUMBER(R$5:R$4004)*(R$5:R$4004&gt;R1009))+1)</f>
        <v/>
      </c>
      <c r="T1009" s="25" t="str">
        <f aca="false">IF(S1009="","",IF(S1009&lt;=Setup!$B$5,"🏆 WINNER",""))</f>
        <v/>
      </c>
      <c r="U1009" s="24" t="str">
        <f aca="false">IF(S1009="","",I1009&amp;"|"&amp;S1009)</f>
        <v/>
      </c>
    </row>
    <row r="1010" customFormat="false" ht="15" hidden="false" customHeight="false" outlineLevel="0" collapsed="false">
      <c r="A1010" s="31" t="n">
        <v>1006</v>
      </c>
      <c r="B1010" s="32" t="str">
        <f aca="false">IF(OR(C1010="",I1010="",G1010=""),"",IFERROR(VLOOKUP(I1010,Setup!$A$9:$B$11,2,0),"???")&amp;"-"&amp;G1010&amp;"-"&amp;TEXT(COUNTIFS(I$5:I1010,I1010,G$5:G1010,G1010),"0000"))</f>
        <v/>
      </c>
      <c r="C1010" s="26"/>
      <c r="D1010" s="26"/>
      <c r="E1010" s="27"/>
      <c r="F1010" s="27"/>
      <c r="G1010" s="31" t="str">
        <f aca="false">IF(F1010="","",IF(F1010&lt;=5,"A",IF(F1010&lt;=8,"B",IF(F1010&lt;=10,"C","D"))))</f>
        <v/>
      </c>
      <c r="H1010" s="28"/>
      <c r="I1010" s="27"/>
      <c r="J1010" s="26"/>
      <c r="K1010" s="27"/>
      <c r="L1010" s="27"/>
      <c r="M1010" s="27"/>
      <c r="N1010" s="27"/>
      <c r="O1010" s="31" t="str">
        <f aca="false">IF(G1010="","",VLOOKUP(G1010,Setup!$A$14:$C$17,3,0))</f>
        <v/>
      </c>
      <c r="P1010" s="27"/>
      <c r="Q1010" s="33" t="str">
        <f aca="false">IF(OR(P1010="",M1010&lt;&gt;"Paid",O1010=""),"",P1010/O1010)</f>
        <v/>
      </c>
      <c r="R1010" s="34" t="str">
        <f aca="false">IF(Q1010="","",Q1010+N(H1010)*0.000000001)</f>
        <v/>
      </c>
      <c r="S1010" s="32" t="str">
        <f aca="false">IF(R1010="","",SUMPRODUCT((I$5:I$4004=I1010)*ISNUMBER(R$5:R$4004)*(R$5:R$4004&gt;R1010))+1)</f>
        <v/>
      </c>
      <c r="T1010" s="32" t="str">
        <f aca="false">IF(S1010="","",IF(S1010&lt;=Setup!$B$5,"🏆 WINNER",""))</f>
        <v/>
      </c>
      <c r="U1010" s="31" t="str">
        <f aca="false">IF(S1010="","",I1010&amp;"|"&amp;S1010)</f>
        <v/>
      </c>
    </row>
    <row r="1011" customFormat="false" ht="15" hidden="false" customHeight="false" outlineLevel="0" collapsed="false">
      <c r="A1011" s="24" t="n">
        <v>1007</v>
      </c>
      <c r="B1011" s="25" t="str">
        <f aca="false">IF(OR(C1011="",I1011="",G1011=""),"",IFERROR(VLOOKUP(I1011,Setup!$A$9:$B$11,2,0),"???")&amp;"-"&amp;G1011&amp;"-"&amp;TEXT(COUNTIFS(I$5:I1011,I1011,G$5:G1011,G1011),"0000"))</f>
        <v/>
      </c>
      <c r="C1011" s="26"/>
      <c r="D1011" s="26"/>
      <c r="E1011" s="27"/>
      <c r="F1011" s="27"/>
      <c r="G1011" s="24" t="str">
        <f aca="false">IF(F1011="","",IF(F1011&lt;=5,"A",IF(F1011&lt;=8,"B",IF(F1011&lt;=10,"C","D"))))</f>
        <v/>
      </c>
      <c r="H1011" s="28"/>
      <c r="I1011" s="27"/>
      <c r="J1011" s="26"/>
      <c r="K1011" s="27"/>
      <c r="L1011" s="27"/>
      <c r="M1011" s="27"/>
      <c r="N1011" s="27"/>
      <c r="O1011" s="24" t="str">
        <f aca="false">IF(G1011="","",VLOOKUP(G1011,Setup!$A$14:$C$17,3,0))</f>
        <v/>
      </c>
      <c r="P1011" s="27"/>
      <c r="Q1011" s="29" t="str">
        <f aca="false">IF(OR(P1011="",M1011&lt;&gt;"Paid",O1011=""),"",P1011/O1011)</f>
        <v/>
      </c>
      <c r="R1011" s="30" t="str">
        <f aca="false">IF(Q1011="","",Q1011+N(H1011)*0.000000001)</f>
        <v/>
      </c>
      <c r="S1011" s="25" t="str">
        <f aca="false">IF(R1011="","",SUMPRODUCT((I$5:I$4004=I1011)*ISNUMBER(R$5:R$4004)*(R$5:R$4004&gt;R1011))+1)</f>
        <v/>
      </c>
      <c r="T1011" s="25" t="str">
        <f aca="false">IF(S1011="","",IF(S1011&lt;=Setup!$B$5,"🏆 WINNER",""))</f>
        <v/>
      </c>
      <c r="U1011" s="24" t="str">
        <f aca="false">IF(S1011="","",I1011&amp;"|"&amp;S1011)</f>
        <v/>
      </c>
    </row>
    <row r="1012" customFormat="false" ht="15" hidden="false" customHeight="false" outlineLevel="0" collapsed="false">
      <c r="A1012" s="31" t="n">
        <v>1008</v>
      </c>
      <c r="B1012" s="32" t="str">
        <f aca="false">IF(OR(C1012="",I1012="",G1012=""),"",IFERROR(VLOOKUP(I1012,Setup!$A$9:$B$11,2,0),"???")&amp;"-"&amp;G1012&amp;"-"&amp;TEXT(COUNTIFS(I$5:I1012,I1012,G$5:G1012,G1012),"0000"))</f>
        <v/>
      </c>
      <c r="C1012" s="26"/>
      <c r="D1012" s="26"/>
      <c r="E1012" s="27"/>
      <c r="F1012" s="27"/>
      <c r="G1012" s="31" t="str">
        <f aca="false">IF(F1012="","",IF(F1012&lt;=5,"A",IF(F1012&lt;=8,"B",IF(F1012&lt;=10,"C","D"))))</f>
        <v/>
      </c>
      <c r="H1012" s="28"/>
      <c r="I1012" s="27"/>
      <c r="J1012" s="26"/>
      <c r="K1012" s="27"/>
      <c r="L1012" s="27"/>
      <c r="M1012" s="27"/>
      <c r="N1012" s="27"/>
      <c r="O1012" s="31" t="str">
        <f aca="false">IF(G1012="","",VLOOKUP(G1012,Setup!$A$14:$C$17,3,0))</f>
        <v/>
      </c>
      <c r="P1012" s="27"/>
      <c r="Q1012" s="33" t="str">
        <f aca="false">IF(OR(P1012="",M1012&lt;&gt;"Paid",O1012=""),"",P1012/O1012)</f>
        <v/>
      </c>
      <c r="R1012" s="34" t="str">
        <f aca="false">IF(Q1012="","",Q1012+N(H1012)*0.000000001)</f>
        <v/>
      </c>
      <c r="S1012" s="32" t="str">
        <f aca="false">IF(R1012="","",SUMPRODUCT((I$5:I$4004=I1012)*ISNUMBER(R$5:R$4004)*(R$5:R$4004&gt;R1012))+1)</f>
        <v/>
      </c>
      <c r="T1012" s="32" t="str">
        <f aca="false">IF(S1012="","",IF(S1012&lt;=Setup!$B$5,"🏆 WINNER",""))</f>
        <v/>
      </c>
      <c r="U1012" s="31" t="str">
        <f aca="false">IF(S1012="","",I1012&amp;"|"&amp;S1012)</f>
        <v/>
      </c>
    </row>
    <row r="1013" customFormat="false" ht="15" hidden="false" customHeight="false" outlineLevel="0" collapsed="false">
      <c r="A1013" s="24" t="n">
        <v>1009</v>
      </c>
      <c r="B1013" s="25" t="str">
        <f aca="false">IF(OR(C1013="",I1013="",G1013=""),"",IFERROR(VLOOKUP(I1013,Setup!$A$9:$B$11,2,0),"???")&amp;"-"&amp;G1013&amp;"-"&amp;TEXT(COUNTIFS(I$5:I1013,I1013,G$5:G1013,G1013),"0000"))</f>
        <v/>
      </c>
      <c r="C1013" s="26"/>
      <c r="D1013" s="26"/>
      <c r="E1013" s="27"/>
      <c r="F1013" s="27"/>
      <c r="G1013" s="24" t="str">
        <f aca="false">IF(F1013="","",IF(F1013&lt;=5,"A",IF(F1013&lt;=8,"B",IF(F1013&lt;=10,"C","D"))))</f>
        <v/>
      </c>
      <c r="H1013" s="28"/>
      <c r="I1013" s="27"/>
      <c r="J1013" s="26"/>
      <c r="K1013" s="27"/>
      <c r="L1013" s="27"/>
      <c r="M1013" s="27"/>
      <c r="N1013" s="27"/>
      <c r="O1013" s="24" t="str">
        <f aca="false">IF(G1013="","",VLOOKUP(G1013,Setup!$A$14:$C$17,3,0))</f>
        <v/>
      </c>
      <c r="P1013" s="27"/>
      <c r="Q1013" s="29" t="str">
        <f aca="false">IF(OR(P1013="",M1013&lt;&gt;"Paid",O1013=""),"",P1013/O1013)</f>
        <v/>
      </c>
      <c r="R1013" s="30" t="str">
        <f aca="false">IF(Q1013="","",Q1013+N(H1013)*0.000000001)</f>
        <v/>
      </c>
      <c r="S1013" s="25" t="str">
        <f aca="false">IF(R1013="","",SUMPRODUCT((I$5:I$4004=I1013)*ISNUMBER(R$5:R$4004)*(R$5:R$4004&gt;R1013))+1)</f>
        <v/>
      </c>
      <c r="T1013" s="25" t="str">
        <f aca="false">IF(S1013="","",IF(S1013&lt;=Setup!$B$5,"🏆 WINNER",""))</f>
        <v/>
      </c>
      <c r="U1013" s="24" t="str">
        <f aca="false">IF(S1013="","",I1013&amp;"|"&amp;S1013)</f>
        <v/>
      </c>
    </row>
    <row r="1014" customFormat="false" ht="15" hidden="false" customHeight="false" outlineLevel="0" collapsed="false">
      <c r="A1014" s="31" t="n">
        <v>1010</v>
      </c>
      <c r="B1014" s="32" t="str">
        <f aca="false">IF(OR(C1014="",I1014="",G1014=""),"",IFERROR(VLOOKUP(I1014,Setup!$A$9:$B$11,2,0),"???")&amp;"-"&amp;G1014&amp;"-"&amp;TEXT(COUNTIFS(I$5:I1014,I1014,G$5:G1014,G1014),"0000"))</f>
        <v/>
      </c>
      <c r="C1014" s="26"/>
      <c r="D1014" s="26"/>
      <c r="E1014" s="27"/>
      <c r="F1014" s="27"/>
      <c r="G1014" s="31" t="str">
        <f aca="false">IF(F1014="","",IF(F1014&lt;=5,"A",IF(F1014&lt;=8,"B",IF(F1014&lt;=10,"C","D"))))</f>
        <v/>
      </c>
      <c r="H1014" s="28"/>
      <c r="I1014" s="27"/>
      <c r="J1014" s="26"/>
      <c r="K1014" s="27"/>
      <c r="L1014" s="27"/>
      <c r="M1014" s="27"/>
      <c r="N1014" s="27"/>
      <c r="O1014" s="31" t="str">
        <f aca="false">IF(G1014="","",VLOOKUP(G1014,Setup!$A$14:$C$17,3,0))</f>
        <v/>
      </c>
      <c r="P1014" s="27"/>
      <c r="Q1014" s="33" t="str">
        <f aca="false">IF(OR(P1014="",M1014&lt;&gt;"Paid",O1014=""),"",P1014/O1014)</f>
        <v/>
      </c>
      <c r="R1014" s="34" t="str">
        <f aca="false">IF(Q1014="","",Q1014+N(H1014)*0.000000001)</f>
        <v/>
      </c>
      <c r="S1014" s="32" t="str">
        <f aca="false">IF(R1014="","",SUMPRODUCT((I$5:I$4004=I1014)*ISNUMBER(R$5:R$4004)*(R$5:R$4004&gt;R1014))+1)</f>
        <v/>
      </c>
      <c r="T1014" s="32" t="str">
        <f aca="false">IF(S1014="","",IF(S1014&lt;=Setup!$B$5,"🏆 WINNER",""))</f>
        <v/>
      </c>
      <c r="U1014" s="31" t="str">
        <f aca="false">IF(S1014="","",I1014&amp;"|"&amp;S1014)</f>
        <v/>
      </c>
    </row>
    <row r="1015" customFormat="false" ht="15" hidden="false" customHeight="false" outlineLevel="0" collapsed="false">
      <c r="A1015" s="24" t="n">
        <v>1011</v>
      </c>
      <c r="B1015" s="25" t="str">
        <f aca="false">IF(OR(C1015="",I1015="",G1015=""),"",IFERROR(VLOOKUP(I1015,Setup!$A$9:$B$11,2,0),"???")&amp;"-"&amp;G1015&amp;"-"&amp;TEXT(COUNTIFS(I$5:I1015,I1015,G$5:G1015,G1015),"0000"))</f>
        <v/>
      </c>
      <c r="C1015" s="26"/>
      <c r="D1015" s="26"/>
      <c r="E1015" s="27"/>
      <c r="F1015" s="27"/>
      <c r="G1015" s="24" t="str">
        <f aca="false">IF(F1015="","",IF(F1015&lt;=5,"A",IF(F1015&lt;=8,"B",IF(F1015&lt;=10,"C","D"))))</f>
        <v/>
      </c>
      <c r="H1015" s="28"/>
      <c r="I1015" s="27"/>
      <c r="J1015" s="26"/>
      <c r="K1015" s="27"/>
      <c r="L1015" s="27"/>
      <c r="M1015" s="27"/>
      <c r="N1015" s="27"/>
      <c r="O1015" s="24" t="str">
        <f aca="false">IF(G1015="","",VLOOKUP(G1015,Setup!$A$14:$C$17,3,0))</f>
        <v/>
      </c>
      <c r="P1015" s="27"/>
      <c r="Q1015" s="29" t="str">
        <f aca="false">IF(OR(P1015="",M1015&lt;&gt;"Paid",O1015=""),"",P1015/O1015)</f>
        <v/>
      </c>
      <c r="R1015" s="30" t="str">
        <f aca="false">IF(Q1015="","",Q1015+N(H1015)*0.000000001)</f>
        <v/>
      </c>
      <c r="S1015" s="25" t="str">
        <f aca="false">IF(R1015="","",SUMPRODUCT((I$5:I$4004=I1015)*ISNUMBER(R$5:R$4004)*(R$5:R$4004&gt;R1015))+1)</f>
        <v/>
      </c>
      <c r="T1015" s="25" t="str">
        <f aca="false">IF(S1015="","",IF(S1015&lt;=Setup!$B$5,"🏆 WINNER",""))</f>
        <v/>
      </c>
      <c r="U1015" s="24" t="str">
        <f aca="false">IF(S1015="","",I1015&amp;"|"&amp;S1015)</f>
        <v/>
      </c>
    </row>
    <row r="1016" customFormat="false" ht="15" hidden="false" customHeight="false" outlineLevel="0" collapsed="false">
      <c r="A1016" s="31" t="n">
        <v>1012</v>
      </c>
      <c r="B1016" s="32" t="str">
        <f aca="false">IF(OR(C1016="",I1016="",G1016=""),"",IFERROR(VLOOKUP(I1016,Setup!$A$9:$B$11,2,0),"???")&amp;"-"&amp;G1016&amp;"-"&amp;TEXT(COUNTIFS(I$5:I1016,I1016,G$5:G1016,G1016),"0000"))</f>
        <v/>
      </c>
      <c r="C1016" s="26"/>
      <c r="D1016" s="26"/>
      <c r="E1016" s="27"/>
      <c r="F1016" s="27"/>
      <c r="G1016" s="31" t="str">
        <f aca="false">IF(F1016="","",IF(F1016&lt;=5,"A",IF(F1016&lt;=8,"B",IF(F1016&lt;=10,"C","D"))))</f>
        <v/>
      </c>
      <c r="H1016" s="28"/>
      <c r="I1016" s="27"/>
      <c r="J1016" s="26"/>
      <c r="K1016" s="27"/>
      <c r="L1016" s="27"/>
      <c r="M1016" s="27"/>
      <c r="N1016" s="27"/>
      <c r="O1016" s="31" t="str">
        <f aca="false">IF(G1016="","",VLOOKUP(G1016,Setup!$A$14:$C$17,3,0))</f>
        <v/>
      </c>
      <c r="P1016" s="27"/>
      <c r="Q1016" s="33" t="str">
        <f aca="false">IF(OR(P1016="",M1016&lt;&gt;"Paid",O1016=""),"",P1016/O1016)</f>
        <v/>
      </c>
      <c r="R1016" s="34" t="str">
        <f aca="false">IF(Q1016="","",Q1016+N(H1016)*0.000000001)</f>
        <v/>
      </c>
      <c r="S1016" s="32" t="str">
        <f aca="false">IF(R1016="","",SUMPRODUCT((I$5:I$4004=I1016)*ISNUMBER(R$5:R$4004)*(R$5:R$4004&gt;R1016))+1)</f>
        <v/>
      </c>
      <c r="T1016" s="32" t="str">
        <f aca="false">IF(S1016="","",IF(S1016&lt;=Setup!$B$5,"🏆 WINNER",""))</f>
        <v/>
      </c>
      <c r="U1016" s="31" t="str">
        <f aca="false">IF(S1016="","",I1016&amp;"|"&amp;S1016)</f>
        <v/>
      </c>
    </row>
    <row r="1017" customFormat="false" ht="15" hidden="false" customHeight="false" outlineLevel="0" collapsed="false">
      <c r="A1017" s="24" t="n">
        <v>1013</v>
      </c>
      <c r="B1017" s="25" t="str">
        <f aca="false">IF(OR(C1017="",I1017="",G1017=""),"",IFERROR(VLOOKUP(I1017,Setup!$A$9:$B$11,2,0),"???")&amp;"-"&amp;G1017&amp;"-"&amp;TEXT(COUNTIFS(I$5:I1017,I1017,G$5:G1017,G1017),"0000"))</f>
        <v/>
      </c>
      <c r="C1017" s="26"/>
      <c r="D1017" s="26"/>
      <c r="E1017" s="27"/>
      <c r="F1017" s="27"/>
      <c r="G1017" s="24" t="str">
        <f aca="false">IF(F1017="","",IF(F1017&lt;=5,"A",IF(F1017&lt;=8,"B",IF(F1017&lt;=10,"C","D"))))</f>
        <v/>
      </c>
      <c r="H1017" s="28"/>
      <c r="I1017" s="27"/>
      <c r="J1017" s="26"/>
      <c r="K1017" s="27"/>
      <c r="L1017" s="27"/>
      <c r="M1017" s="27"/>
      <c r="N1017" s="27"/>
      <c r="O1017" s="24" t="str">
        <f aca="false">IF(G1017="","",VLOOKUP(G1017,Setup!$A$14:$C$17,3,0))</f>
        <v/>
      </c>
      <c r="P1017" s="27"/>
      <c r="Q1017" s="29" t="str">
        <f aca="false">IF(OR(P1017="",M1017&lt;&gt;"Paid",O1017=""),"",P1017/O1017)</f>
        <v/>
      </c>
      <c r="R1017" s="30" t="str">
        <f aca="false">IF(Q1017="","",Q1017+N(H1017)*0.000000001)</f>
        <v/>
      </c>
      <c r="S1017" s="25" t="str">
        <f aca="false">IF(R1017="","",SUMPRODUCT((I$5:I$4004=I1017)*ISNUMBER(R$5:R$4004)*(R$5:R$4004&gt;R1017))+1)</f>
        <v/>
      </c>
      <c r="T1017" s="25" t="str">
        <f aca="false">IF(S1017="","",IF(S1017&lt;=Setup!$B$5,"🏆 WINNER",""))</f>
        <v/>
      </c>
      <c r="U1017" s="24" t="str">
        <f aca="false">IF(S1017="","",I1017&amp;"|"&amp;S1017)</f>
        <v/>
      </c>
    </row>
    <row r="1018" customFormat="false" ht="15" hidden="false" customHeight="false" outlineLevel="0" collapsed="false">
      <c r="A1018" s="31" t="n">
        <v>1014</v>
      </c>
      <c r="B1018" s="32" t="str">
        <f aca="false">IF(OR(C1018="",I1018="",G1018=""),"",IFERROR(VLOOKUP(I1018,Setup!$A$9:$B$11,2,0),"???")&amp;"-"&amp;G1018&amp;"-"&amp;TEXT(COUNTIFS(I$5:I1018,I1018,G$5:G1018,G1018),"0000"))</f>
        <v/>
      </c>
      <c r="C1018" s="26"/>
      <c r="D1018" s="26"/>
      <c r="E1018" s="27"/>
      <c r="F1018" s="27"/>
      <c r="G1018" s="31" t="str">
        <f aca="false">IF(F1018="","",IF(F1018&lt;=5,"A",IF(F1018&lt;=8,"B",IF(F1018&lt;=10,"C","D"))))</f>
        <v/>
      </c>
      <c r="H1018" s="28"/>
      <c r="I1018" s="27"/>
      <c r="J1018" s="26"/>
      <c r="K1018" s="27"/>
      <c r="L1018" s="27"/>
      <c r="M1018" s="27"/>
      <c r="N1018" s="27"/>
      <c r="O1018" s="31" t="str">
        <f aca="false">IF(G1018="","",VLOOKUP(G1018,Setup!$A$14:$C$17,3,0))</f>
        <v/>
      </c>
      <c r="P1018" s="27"/>
      <c r="Q1018" s="33" t="str">
        <f aca="false">IF(OR(P1018="",M1018&lt;&gt;"Paid",O1018=""),"",P1018/O1018)</f>
        <v/>
      </c>
      <c r="R1018" s="34" t="str">
        <f aca="false">IF(Q1018="","",Q1018+N(H1018)*0.000000001)</f>
        <v/>
      </c>
      <c r="S1018" s="32" t="str">
        <f aca="false">IF(R1018="","",SUMPRODUCT((I$5:I$4004=I1018)*ISNUMBER(R$5:R$4004)*(R$5:R$4004&gt;R1018))+1)</f>
        <v/>
      </c>
      <c r="T1018" s="32" t="str">
        <f aca="false">IF(S1018="","",IF(S1018&lt;=Setup!$B$5,"🏆 WINNER",""))</f>
        <v/>
      </c>
      <c r="U1018" s="31" t="str">
        <f aca="false">IF(S1018="","",I1018&amp;"|"&amp;S1018)</f>
        <v/>
      </c>
    </row>
    <row r="1019" customFormat="false" ht="15" hidden="false" customHeight="false" outlineLevel="0" collapsed="false">
      <c r="A1019" s="24" t="n">
        <v>1015</v>
      </c>
      <c r="B1019" s="25" t="str">
        <f aca="false">IF(OR(C1019="",I1019="",G1019=""),"",IFERROR(VLOOKUP(I1019,Setup!$A$9:$B$11,2,0),"???")&amp;"-"&amp;G1019&amp;"-"&amp;TEXT(COUNTIFS(I$5:I1019,I1019,G$5:G1019,G1019),"0000"))</f>
        <v/>
      </c>
      <c r="C1019" s="26"/>
      <c r="D1019" s="26"/>
      <c r="E1019" s="27"/>
      <c r="F1019" s="27"/>
      <c r="G1019" s="24" t="str">
        <f aca="false">IF(F1019="","",IF(F1019&lt;=5,"A",IF(F1019&lt;=8,"B",IF(F1019&lt;=10,"C","D"))))</f>
        <v/>
      </c>
      <c r="H1019" s="28"/>
      <c r="I1019" s="27"/>
      <c r="J1019" s="26"/>
      <c r="K1019" s="27"/>
      <c r="L1019" s="27"/>
      <c r="M1019" s="27"/>
      <c r="N1019" s="27"/>
      <c r="O1019" s="24" t="str">
        <f aca="false">IF(G1019="","",VLOOKUP(G1019,Setup!$A$14:$C$17,3,0))</f>
        <v/>
      </c>
      <c r="P1019" s="27"/>
      <c r="Q1019" s="29" t="str">
        <f aca="false">IF(OR(P1019="",M1019&lt;&gt;"Paid",O1019=""),"",P1019/O1019)</f>
        <v/>
      </c>
      <c r="R1019" s="30" t="str">
        <f aca="false">IF(Q1019="","",Q1019+N(H1019)*0.000000001)</f>
        <v/>
      </c>
      <c r="S1019" s="25" t="str">
        <f aca="false">IF(R1019="","",SUMPRODUCT((I$5:I$4004=I1019)*ISNUMBER(R$5:R$4004)*(R$5:R$4004&gt;R1019))+1)</f>
        <v/>
      </c>
      <c r="T1019" s="25" t="str">
        <f aca="false">IF(S1019="","",IF(S1019&lt;=Setup!$B$5,"🏆 WINNER",""))</f>
        <v/>
      </c>
      <c r="U1019" s="24" t="str">
        <f aca="false">IF(S1019="","",I1019&amp;"|"&amp;S1019)</f>
        <v/>
      </c>
    </row>
    <row r="1020" customFormat="false" ht="15" hidden="false" customHeight="false" outlineLevel="0" collapsed="false">
      <c r="A1020" s="31" t="n">
        <v>1016</v>
      </c>
      <c r="B1020" s="32" t="str">
        <f aca="false">IF(OR(C1020="",I1020="",G1020=""),"",IFERROR(VLOOKUP(I1020,Setup!$A$9:$B$11,2,0),"???")&amp;"-"&amp;G1020&amp;"-"&amp;TEXT(COUNTIFS(I$5:I1020,I1020,G$5:G1020,G1020),"0000"))</f>
        <v/>
      </c>
      <c r="C1020" s="26"/>
      <c r="D1020" s="26"/>
      <c r="E1020" s="27"/>
      <c r="F1020" s="27"/>
      <c r="G1020" s="31" t="str">
        <f aca="false">IF(F1020="","",IF(F1020&lt;=5,"A",IF(F1020&lt;=8,"B",IF(F1020&lt;=10,"C","D"))))</f>
        <v/>
      </c>
      <c r="H1020" s="28"/>
      <c r="I1020" s="27"/>
      <c r="J1020" s="26"/>
      <c r="K1020" s="27"/>
      <c r="L1020" s="27"/>
      <c r="M1020" s="27"/>
      <c r="N1020" s="27"/>
      <c r="O1020" s="31" t="str">
        <f aca="false">IF(G1020="","",VLOOKUP(G1020,Setup!$A$14:$C$17,3,0))</f>
        <v/>
      </c>
      <c r="P1020" s="27"/>
      <c r="Q1020" s="33" t="str">
        <f aca="false">IF(OR(P1020="",M1020&lt;&gt;"Paid",O1020=""),"",P1020/O1020)</f>
        <v/>
      </c>
      <c r="R1020" s="34" t="str">
        <f aca="false">IF(Q1020="","",Q1020+N(H1020)*0.000000001)</f>
        <v/>
      </c>
      <c r="S1020" s="32" t="str">
        <f aca="false">IF(R1020="","",SUMPRODUCT((I$5:I$4004=I1020)*ISNUMBER(R$5:R$4004)*(R$5:R$4004&gt;R1020))+1)</f>
        <v/>
      </c>
      <c r="T1020" s="32" t="str">
        <f aca="false">IF(S1020="","",IF(S1020&lt;=Setup!$B$5,"🏆 WINNER",""))</f>
        <v/>
      </c>
      <c r="U1020" s="31" t="str">
        <f aca="false">IF(S1020="","",I1020&amp;"|"&amp;S1020)</f>
        <v/>
      </c>
    </row>
    <row r="1021" customFormat="false" ht="15" hidden="false" customHeight="false" outlineLevel="0" collapsed="false">
      <c r="A1021" s="24" t="n">
        <v>1017</v>
      </c>
      <c r="B1021" s="25" t="str">
        <f aca="false">IF(OR(C1021="",I1021="",G1021=""),"",IFERROR(VLOOKUP(I1021,Setup!$A$9:$B$11,2,0),"???")&amp;"-"&amp;G1021&amp;"-"&amp;TEXT(COUNTIFS(I$5:I1021,I1021,G$5:G1021,G1021),"0000"))</f>
        <v/>
      </c>
      <c r="C1021" s="26"/>
      <c r="D1021" s="26"/>
      <c r="E1021" s="27"/>
      <c r="F1021" s="27"/>
      <c r="G1021" s="24" t="str">
        <f aca="false">IF(F1021="","",IF(F1021&lt;=5,"A",IF(F1021&lt;=8,"B",IF(F1021&lt;=10,"C","D"))))</f>
        <v/>
      </c>
      <c r="H1021" s="28"/>
      <c r="I1021" s="27"/>
      <c r="J1021" s="26"/>
      <c r="K1021" s="27"/>
      <c r="L1021" s="27"/>
      <c r="M1021" s="27"/>
      <c r="N1021" s="27"/>
      <c r="O1021" s="24" t="str">
        <f aca="false">IF(G1021="","",VLOOKUP(G1021,Setup!$A$14:$C$17,3,0))</f>
        <v/>
      </c>
      <c r="P1021" s="27"/>
      <c r="Q1021" s="29" t="str">
        <f aca="false">IF(OR(P1021="",M1021&lt;&gt;"Paid",O1021=""),"",P1021/O1021)</f>
        <v/>
      </c>
      <c r="R1021" s="30" t="str">
        <f aca="false">IF(Q1021="","",Q1021+N(H1021)*0.000000001)</f>
        <v/>
      </c>
      <c r="S1021" s="25" t="str">
        <f aca="false">IF(R1021="","",SUMPRODUCT((I$5:I$4004=I1021)*ISNUMBER(R$5:R$4004)*(R$5:R$4004&gt;R1021))+1)</f>
        <v/>
      </c>
      <c r="T1021" s="25" t="str">
        <f aca="false">IF(S1021="","",IF(S1021&lt;=Setup!$B$5,"🏆 WINNER",""))</f>
        <v/>
      </c>
      <c r="U1021" s="24" t="str">
        <f aca="false">IF(S1021="","",I1021&amp;"|"&amp;S1021)</f>
        <v/>
      </c>
    </row>
    <row r="1022" customFormat="false" ht="15" hidden="false" customHeight="false" outlineLevel="0" collapsed="false">
      <c r="A1022" s="31" t="n">
        <v>1018</v>
      </c>
      <c r="B1022" s="32" t="str">
        <f aca="false">IF(OR(C1022="",I1022="",G1022=""),"",IFERROR(VLOOKUP(I1022,Setup!$A$9:$B$11,2,0),"???")&amp;"-"&amp;G1022&amp;"-"&amp;TEXT(COUNTIFS(I$5:I1022,I1022,G$5:G1022,G1022),"0000"))</f>
        <v/>
      </c>
      <c r="C1022" s="26"/>
      <c r="D1022" s="26"/>
      <c r="E1022" s="27"/>
      <c r="F1022" s="27"/>
      <c r="G1022" s="31" t="str">
        <f aca="false">IF(F1022="","",IF(F1022&lt;=5,"A",IF(F1022&lt;=8,"B",IF(F1022&lt;=10,"C","D"))))</f>
        <v/>
      </c>
      <c r="H1022" s="28"/>
      <c r="I1022" s="27"/>
      <c r="J1022" s="26"/>
      <c r="K1022" s="27"/>
      <c r="L1022" s="27"/>
      <c r="M1022" s="27"/>
      <c r="N1022" s="27"/>
      <c r="O1022" s="31" t="str">
        <f aca="false">IF(G1022="","",VLOOKUP(G1022,Setup!$A$14:$C$17,3,0))</f>
        <v/>
      </c>
      <c r="P1022" s="27"/>
      <c r="Q1022" s="33" t="str">
        <f aca="false">IF(OR(P1022="",M1022&lt;&gt;"Paid",O1022=""),"",P1022/O1022)</f>
        <v/>
      </c>
      <c r="R1022" s="34" t="str">
        <f aca="false">IF(Q1022="","",Q1022+N(H1022)*0.000000001)</f>
        <v/>
      </c>
      <c r="S1022" s="32" t="str">
        <f aca="false">IF(R1022="","",SUMPRODUCT((I$5:I$4004=I1022)*ISNUMBER(R$5:R$4004)*(R$5:R$4004&gt;R1022))+1)</f>
        <v/>
      </c>
      <c r="T1022" s="32" t="str">
        <f aca="false">IF(S1022="","",IF(S1022&lt;=Setup!$B$5,"🏆 WINNER",""))</f>
        <v/>
      </c>
      <c r="U1022" s="31" t="str">
        <f aca="false">IF(S1022="","",I1022&amp;"|"&amp;S1022)</f>
        <v/>
      </c>
    </row>
    <row r="1023" customFormat="false" ht="15" hidden="false" customHeight="false" outlineLevel="0" collapsed="false">
      <c r="A1023" s="24" t="n">
        <v>1019</v>
      </c>
      <c r="B1023" s="25" t="str">
        <f aca="false">IF(OR(C1023="",I1023="",G1023=""),"",IFERROR(VLOOKUP(I1023,Setup!$A$9:$B$11,2,0),"???")&amp;"-"&amp;G1023&amp;"-"&amp;TEXT(COUNTIFS(I$5:I1023,I1023,G$5:G1023,G1023),"0000"))</f>
        <v/>
      </c>
      <c r="C1023" s="26"/>
      <c r="D1023" s="26"/>
      <c r="E1023" s="27"/>
      <c r="F1023" s="27"/>
      <c r="G1023" s="24" t="str">
        <f aca="false">IF(F1023="","",IF(F1023&lt;=5,"A",IF(F1023&lt;=8,"B",IF(F1023&lt;=10,"C","D"))))</f>
        <v/>
      </c>
      <c r="H1023" s="28"/>
      <c r="I1023" s="27"/>
      <c r="J1023" s="26"/>
      <c r="K1023" s="27"/>
      <c r="L1023" s="27"/>
      <c r="M1023" s="27"/>
      <c r="N1023" s="27"/>
      <c r="O1023" s="24" t="str">
        <f aca="false">IF(G1023="","",VLOOKUP(G1023,Setup!$A$14:$C$17,3,0))</f>
        <v/>
      </c>
      <c r="P1023" s="27"/>
      <c r="Q1023" s="29" t="str">
        <f aca="false">IF(OR(P1023="",M1023&lt;&gt;"Paid",O1023=""),"",P1023/O1023)</f>
        <v/>
      </c>
      <c r="R1023" s="30" t="str">
        <f aca="false">IF(Q1023="","",Q1023+N(H1023)*0.000000001)</f>
        <v/>
      </c>
      <c r="S1023" s="25" t="str">
        <f aca="false">IF(R1023="","",SUMPRODUCT((I$5:I$4004=I1023)*ISNUMBER(R$5:R$4004)*(R$5:R$4004&gt;R1023))+1)</f>
        <v/>
      </c>
      <c r="T1023" s="25" t="str">
        <f aca="false">IF(S1023="","",IF(S1023&lt;=Setup!$B$5,"🏆 WINNER",""))</f>
        <v/>
      </c>
      <c r="U1023" s="24" t="str">
        <f aca="false">IF(S1023="","",I1023&amp;"|"&amp;S1023)</f>
        <v/>
      </c>
    </row>
    <row r="1024" customFormat="false" ht="15" hidden="false" customHeight="false" outlineLevel="0" collapsed="false">
      <c r="A1024" s="31" t="n">
        <v>1020</v>
      </c>
      <c r="B1024" s="32" t="str">
        <f aca="false">IF(OR(C1024="",I1024="",G1024=""),"",IFERROR(VLOOKUP(I1024,Setup!$A$9:$B$11,2,0),"???")&amp;"-"&amp;G1024&amp;"-"&amp;TEXT(COUNTIFS(I$5:I1024,I1024,G$5:G1024,G1024),"0000"))</f>
        <v/>
      </c>
      <c r="C1024" s="26"/>
      <c r="D1024" s="26"/>
      <c r="E1024" s="27"/>
      <c r="F1024" s="27"/>
      <c r="G1024" s="31" t="str">
        <f aca="false">IF(F1024="","",IF(F1024&lt;=5,"A",IF(F1024&lt;=8,"B",IF(F1024&lt;=10,"C","D"))))</f>
        <v/>
      </c>
      <c r="H1024" s="28"/>
      <c r="I1024" s="27"/>
      <c r="J1024" s="26"/>
      <c r="K1024" s="27"/>
      <c r="L1024" s="27"/>
      <c r="M1024" s="27"/>
      <c r="N1024" s="27"/>
      <c r="O1024" s="31" t="str">
        <f aca="false">IF(G1024="","",VLOOKUP(G1024,Setup!$A$14:$C$17,3,0))</f>
        <v/>
      </c>
      <c r="P1024" s="27"/>
      <c r="Q1024" s="33" t="str">
        <f aca="false">IF(OR(P1024="",M1024&lt;&gt;"Paid",O1024=""),"",P1024/O1024)</f>
        <v/>
      </c>
      <c r="R1024" s="34" t="str">
        <f aca="false">IF(Q1024="","",Q1024+N(H1024)*0.000000001)</f>
        <v/>
      </c>
      <c r="S1024" s="32" t="str">
        <f aca="false">IF(R1024="","",SUMPRODUCT((I$5:I$4004=I1024)*ISNUMBER(R$5:R$4004)*(R$5:R$4004&gt;R1024))+1)</f>
        <v/>
      </c>
      <c r="T1024" s="32" t="str">
        <f aca="false">IF(S1024="","",IF(S1024&lt;=Setup!$B$5,"🏆 WINNER",""))</f>
        <v/>
      </c>
      <c r="U1024" s="31" t="str">
        <f aca="false">IF(S1024="","",I1024&amp;"|"&amp;S1024)</f>
        <v/>
      </c>
    </row>
    <row r="1025" customFormat="false" ht="15" hidden="false" customHeight="false" outlineLevel="0" collapsed="false">
      <c r="A1025" s="24" t="n">
        <v>1021</v>
      </c>
      <c r="B1025" s="25" t="str">
        <f aca="false">IF(OR(C1025="",I1025="",G1025=""),"",IFERROR(VLOOKUP(I1025,Setup!$A$9:$B$11,2,0),"???")&amp;"-"&amp;G1025&amp;"-"&amp;TEXT(COUNTIFS(I$5:I1025,I1025,G$5:G1025,G1025),"0000"))</f>
        <v/>
      </c>
      <c r="C1025" s="26"/>
      <c r="D1025" s="26"/>
      <c r="E1025" s="27"/>
      <c r="F1025" s="27"/>
      <c r="G1025" s="24" t="str">
        <f aca="false">IF(F1025="","",IF(F1025&lt;=5,"A",IF(F1025&lt;=8,"B",IF(F1025&lt;=10,"C","D"))))</f>
        <v/>
      </c>
      <c r="H1025" s="28"/>
      <c r="I1025" s="27"/>
      <c r="J1025" s="26"/>
      <c r="K1025" s="27"/>
      <c r="L1025" s="27"/>
      <c r="M1025" s="27"/>
      <c r="N1025" s="27"/>
      <c r="O1025" s="24" t="str">
        <f aca="false">IF(G1025="","",VLOOKUP(G1025,Setup!$A$14:$C$17,3,0))</f>
        <v/>
      </c>
      <c r="P1025" s="27"/>
      <c r="Q1025" s="29" t="str">
        <f aca="false">IF(OR(P1025="",M1025&lt;&gt;"Paid",O1025=""),"",P1025/O1025)</f>
        <v/>
      </c>
      <c r="R1025" s="30" t="str">
        <f aca="false">IF(Q1025="","",Q1025+N(H1025)*0.000000001)</f>
        <v/>
      </c>
      <c r="S1025" s="25" t="str">
        <f aca="false">IF(R1025="","",SUMPRODUCT((I$5:I$4004=I1025)*ISNUMBER(R$5:R$4004)*(R$5:R$4004&gt;R1025))+1)</f>
        <v/>
      </c>
      <c r="T1025" s="25" t="str">
        <f aca="false">IF(S1025="","",IF(S1025&lt;=Setup!$B$5,"🏆 WINNER",""))</f>
        <v/>
      </c>
      <c r="U1025" s="24" t="str">
        <f aca="false">IF(S1025="","",I1025&amp;"|"&amp;S1025)</f>
        <v/>
      </c>
    </row>
    <row r="1026" customFormat="false" ht="15" hidden="false" customHeight="false" outlineLevel="0" collapsed="false">
      <c r="A1026" s="31" t="n">
        <v>1022</v>
      </c>
      <c r="B1026" s="32" t="str">
        <f aca="false">IF(OR(C1026="",I1026="",G1026=""),"",IFERROR(VLOOKUP(I1026,Setup!$A$9:$B$11,2,0),"???")&amp;"-"&amp;G1026&amp;"-"&amp;TEXT(COUNTIFS(I$5:I1026,I1026,G$5:G1026,G1026),"0000"))</f>
        <v/>
      </c>
      <c r="C1026" s="26"/>
      <c r="D1026" s="26"/>
      <c r="E1026" s="27"/>
      <c r="F1026" s="27"/>
      <c r="G1026" s="31" t="str">
        <f aca="false">IF(F1026="","",IF(F1026&lt;=5,"A",IF(F1026&lt;=8,"B",IF(F1026&lt;=10,"C","D"))))</f>
        <v/>
      </c>
      <c r="H1026" s="28"/>
      <c r="I1026" s="27"/>
      <c r="J1026" s="26"/>
      <c r="K1026" s="27"/>
      <c r="L1026" s="27"/>
      <c r="M1026" s="27"/>
      <c r="N1026" s="27"/>
      <c r="O1026" s="31" t="str">
        <f aca="false">IF(G1026="","",VLOOKUP(G1026,Setup!$A$14:$C$17,3,0))</f>
        <v/>
      </c>
      <c r="P1026" s="27"/>
      <c r="Q1026" s="33" t="str">
        <f aca="false">IF(OR(P1026="",M1026&lt;&gt;"Paid",O1026=""),"",P1026/O1026)</f>
        <v/>
      </c>
      <c r="R1026" s="34" t="str">
        <f aca="false">IF(Q1026="","",Q1026+N(H1026)*0.000000001)</f>
        <v/>
      </c>
      <c r="S1026" s="32" t="str">
        <f aca="false">IF(R1026="","",SUMPRODUCT((I$5:I$4004=I1026)*ISNUMBER(R$5:R$4004)*(R$5:R$4004&gt;R1026))+1)</f>
        <v/>
      </c>
      <c r="T1026" s="32" t="str">
        <f aca="false">IF(S1026="","",IF(S1026&lt;=Setup!$B$5,"🏆 WINNER",""))</f>
        <v/>
      </c>
      <c r="U1026" s="31" t="str">
        <f aca="false">IF(S1026="","",I1026&amp;"|"&amp;S1026)</f>
        <v/>
      </c>
    </row>
    <row r="1027" customFormat="false" ht="15" hidden="false" customHeight="false" outlineLevel="0" collapsed="false">
      <c r="A1027" s="24" t="n">
        <v>1023</v>
      </c>
      <c r="B1027" s="25" t="str">
        <f aca="false">IF(OR(C1027="",I1027="",G1027=""),"",IFERROR(VLOOKUP(I1027,Setup!$A$9:$B$11,2,0),"???")&amp;"-"&amp;G1027&amp;"-"&amp;TEXT(COUNTIFS(I$5:I1027,I1027,G$5:G1027,G1027),"0000"))</f>
        <v/>
      </c>
      <c r="C1027" s="26"/>
      <c r="D1027" s="26"/>
      <c r="E1027" s="27"/>
      <c r="F1027" s="27"/>
      <c r="G1027" s="24" t="str">
        <f aca="false">IF(F1027="","",IF(F1027&lt;=5,"A",IF(F1027&lt;=8,"B",IF(F1027&lt;=10,"C","D"))))</f>
        <v/>
      </c>
      <c r="H1027" s="28"/>
      <c r="I1027" s="27"/>
      <c r="J1027" s="26"/>
      <c r="K1027" s="27"/>
      <c r="L1027" s="27"/>
      <c r="M1027" s="27"/>
      <c r="N1027" s="27"/>
      <c r="O1027" s="24" t="str">
        <f aca="false">IF(G1027="","",VLOOKUP(G1027,Setup!$A$14:$C$17,3,0))</f>
        <v/>
      </c>
      <c r="P1027" s="27"/>
      <c r="Q1027" s="29" t="str">
        <f aca="false">IF(OR(P1027="",M1027&lt;&gt;"Paid",O1027=""),"",P1027/O1027)</f>
        <v/>
      </c>
      <c r="R1027" s="30" t="str">
        <f aca="false">IF(Q1027="","",Q1027+N(H1027)*0.000000001)</f>
        <v/>
      </c>
      <c r="S1027" s="25" t="str">
        <f aca="false">IF(R1027="","",SUMPRODUCT((I$5:I$4004=I1027)*ISNUMBER(R$5:R$4004)*(R$5:R$4004&gt;R1027))+1)</f>
        <v/>
      </c>
      <c r="T1027" s="25" t="str">
        <f aca="false">IF(S1027="","",IF(S1027&lt;=Setup!$B$5,"🏆 WINNER",""))</f>
        <v/>
      </c>
      <c r="U1027" s="24" t="str">
        <f aca="false">IF(S1027="","",I1027&amp;"|"&amp;S1027)</f>
        <v/>
      </c>
    </row>
    <row r="1028" customFormat="false" ht="15" hidden="false" customHeight="false" outlineLevel="0" collapsed="false">
      <c r="A1028" s="31" t="n">
        <v>1024</v>
      </c>
      <c r="B1028" s="32" t="str">
        <f aca="false">IF(OR(C1028="",I1028="",G1028=""),"",IFERROR(VLOOKUP(I1028,Setup!$A$9:$B$11,2,0),"???")&amp;"-"&amp;G1028&amp;"-"&amp;TEXT(COUNTIFS(I$5:I1028,I1028,G$5:G1028,G1028),"0000"))</f>
        <v/>
      </c>
      <c r="C1028" s="26"/>
      <c r="D1028" s="26"/>
      <c r="E1028" s="27"/>
      <c r="F1028" s="27"/>
      <c r="G1028" s="31" t="str">
        <f aca="false">IF(F1028="","",IF(F1028&lt;=5,"A",IF(F1028&lt;=8,"B",IF(F1028&lt;=10,"C","D"))))</f>
        <v/>
      </c>
      <c r="H1028" s="28"/>
      <c r="I1028" s="27"/>
      <c r="J1028" s="26"/>
      <c r="K1028" s="27"/>
      <c r="L1028" s="27"/>
      <c r="M1028" s="27"/>
      <c r="N1028" s="27"/>
      <c r="O1028" s="31" t="str">
        <f aca="false">IF(G1028="","",VLOOKUP(G1028,Setup!$A$14:$C$17,3,0))</f>
        <v/>
      </c>
      <c r="P1028" s="27"/>
      <c r="Q1028" s="33" t="str">
        <f aca="false">IF(OR(P1028="",M1028&lt;&gt;"Paid",O1028=""),"",P1028/O1028)</f>
        <v/>
      </c>
      <c r="R1028" s="34" t="str">
        <f aca="false">IF(Q1028="","",Q1028+N(H1028)*0.000000001)</f>
        <v/>
      </c>
      <c r="S1028" s="32" t="str">
        <f aca="false">IF(R1028="","",SUMPRODUCT((I$5:I$4004=I1028)*ISNUMBER(R$5:R$4004)*(R$5:R$4004&gt;R1028))+1)</f>
        <v/>
      </c>
      <c r="T1028" s="32" t="str">
        <f aca="false">IF(S1028="","",IF(S1028&lt;=Setup!$B$5,"🏆 WINNER",""))</f>
        <v/>
      </c>
      <c r="U1028" s="31" t="str">
        <f aca="false">IF(S1028="","",I1028&amp;"|"&amp;S1028)</f>
        <v/>
      </c>
    </row>
    <row r="1029" customFormat="false" ht="15" hidden="false" customHeight="false" outlineLevel="0" collapsed="false">
      <c r="A1029" s="24" t="n">
        <v>1025</v>
      </c>
      <c r="B1029" s="25" t="str">
        <f aca="false">IF(OR(C1029="",I1029="",G1029=""),"",IFERROR(VLOOKUP(I1029,Setup!$A$9:$B$11,2,0),"???")&amp;"-"&amp;G1029&amp;"-"&amp;TEXT(COUNTIFS(I$5:I1029,I1029,G$5:G1029,G1029),"0000"))</f>
        <v/>
      </c>
      <c r="C1029" s="26"/>
      <c r="D1029" s="26"/>
      <c r="E1029" s="27"/>
      <c r="F1029" s="27"/>
      <c r="G1029" s="24" t="str">
        <f aca="false">IF(F1029="","",IF(F1029&lt;=5,"A",IF(F1029&lt;=8,"B",IF(F1029&lt;=10,"C","D"))))</f>
        <v/>
      </c>
      <c r="H1029" s="28"/>
      <c r="I1029" s="27"/>
      <c r="J1029" s="26"/>
      <c r="K1029" s="27"/>
      <c r="L1029" s="27"/>
      <c r="M1029" s="27"/>
      <c r="N1029" s="27"/>
      <c r="O1029" s="24" t="str">
        <f aca="false">IF(G1029="","",VLOOKUP(G1029,Setup!$A$14:$C$17,3,0))</f>
        <v/>
      </c>
      <c r="P1029" s="27"/>
      <c r="Q1029" s="29" t="str">
        <f aca="false">IF(OR(P1029="",M1029&lt;&gt;"Paid",O1029=""),"",P1029/O1029)</f>
        <v/>
      </c>
      <c r="R1029" s="30" t="str">
        <f aca="false">IF(Q1029="","",Q1029+N(H1029)*0.000000001)</f>
        <v/>
      </c>
      <c r="S1029" s="25" t="str">
        <f aca="false">IF(R1029="","",SUMPRODUCT((I$5:I$4004=I1029)*ISNUMBER(R$5:R$4004)*(R$5:R$4004&gt;R1029))+1)</f>
        <v/>
      </c>
      <c r="T1029" s="25" t="str">
        <f aca="false">IF(S1029="","",IF(S1029&lt;=Setup!$B$5,"🏆 WINNER",""))</f>
        <v/>
      </c>
      <c r="U1029" s="24" t="str">
        <f aca="false">IF(S1029="","",I1029&amp;"|"&amp;S1029)</f>
        <v/>
      </c>
    </row>
    <row r="1030" customFormat="false" ht="15" hidden="false" customHeight="false" outlineLevel="0" collapsed="false">
      <c r="A1030" s="31" t="n">
        <v>1026</v>
      </c>
      <c r="B1030" s="32" t="str">
        <f aca="false">IF(OR(C1030="",I1030="",G1030=""),"",IFERROR(VLOOKUP(I1030,Setup!$A$9:$B$11,2,0),"???")&amp;"-"&amp;G1030&amp;"-"&amp;TEXT(COUNTIFS(I$5:I1030,I1030,G$5:G1030,G1030),"0000"))</f>
        <v/>
      </c>
      <c r="C1030" s="26"/>
      <c r="D1030" s="26"/>
      <c r="E1030" s="27"/>
      <c r="F1030" s="27"/>
      <c r="G1030" s="31" t="str">
        <f aca="false">IF(F1030="","",IF(F1030&lt;=5,"A",IF(F1030&lt;=8,"B",IF(F1030&lt;=10,"C","D"))))</f>
        <v/>
      </c>
      <c r="H1030" s="28"/>
      <c r="I1030" s="27"/>
      <c r="J1030" s="26"/>
      <c r="K1030" s="27"/>
      <c r="L1030" s="27"/>
      <c r="M1030" s="27"/>
      <c r="N1030" s="27"/>
      <c r="O1030" s="31" t="str">
        <f aca="false">IF(G1030="","",VLOOKUP(G1030,Setup!$A$14:$C$17,3,0))</f>
        <v/>
      </c>
      <c r="P1030" s="27"/>
      <c r="Q1030" s="33" t="str">
        <f aca="false">IF(OR(P1030="",M1030&lt;&gt;"Paid",O1030=""),"",P1030/O1030)</f>
        <v/>
      </c>
      <c r="R1030" s="34" t="str">
        <f aca="false">IF(Q1030="","",Q1030+N(H1030)*0.000000001)</f>
        <v/>
      </c>
      <c r="S1030" s="32" t="str">
        <f aca="false">IF(R1030="","",SUMPRODUCT((I$5:I$4004=I1030)*ISNUMBER(R$5:R$4004)*(R$5:R$4004&gt;R1030))+1)</f>
        <v/>
      </c>
      <c r="T1030" s="32" t="str">
        <f aca="false">IF(S1030="","",IF(S1030&lt;=Setup!$B$5,"🏆 WINNER",""))</f>
        <v/>
      </c>
      <c r="U1030" s="31" t="str">
        <f aca="false">IF(S1030="","",I1030&amp;"|"&amp;S1030)</f>
        <v/>
      </c>
    </row>
    <row r="1031" customFormat="false" ht="15" hidden="false" customHeight="false" outlineLevel="0" collapsed="false">
      <c r="A1031" s="24" t="n">
        <v>1027</v>
      </c>
      <c r="B1031" s="25" t="str">
        <f aca="false">IF(OR(C1031="",I1031="",G1031=""),"",IFERROR(VLOOKUP(I1031,Setup!$A$9:$B$11,2,0),"???")&amp;"-"&amp;G1031&amp;"-"&amp;TEXT(COUNTIFS(I$5:I1031,I1031,G$5:G1031,G1031),"0000"))</f>
        <v/>
      </c>
      <c r="C1031" s="26"/>
      <c r="D1031" s="26"/>
      <c r="E1031" s="27"/>
      <c r="F1031" s="27"/>
      <c r="G1031" s="24" t="str">
        <f aca="false">IF(F1031="","",IF(F1031&lt;=5,"A",IF(F1031&lt;=8,"B",IF(F1031&lt;=10,"C","D"))))</f>
        <v/>
      </c>
      <c r="H1031" s="28"/>
      <c r="I1031" s="27"/>
      <c r="J1031" s="26"/>
      <c r="K1031" s="27"/>
      <c r="L1031" s="27"/>
      <c r="M1031" s="27"/>
      <c r="N1031" s="27"/>
      <c r="O1031" s="24" t="str">
        <f aca="false">IF(G1031="","",VLOOKUP(G1031,Setup!$A$14:$C$17,3,0))</f>
        <v/>
      </c>
      <c r="P1031" s="27"/>
      <c r="Q1031" s="29" t="str">
        <f aca="false">IF(OR(P1031="",M1031&lt;&gt;"Paid",O1031=""),"",P1031/O1031)</f>
        <v/>
      </c>
      <c r="R1031" s="30" t="str">
        <f aca="false">IF(Q1031="","",Q1031+N(H1031)*0.000000001)</f>
        <v/>
      </c>
      <c r="S1031" s="25" t="str">
        <f aca="false">IF(R1031="","",SUMPRODUCT((I$5:I$4004=I1031)*ISNUMBER(R$5:R$4004)*(R$5:R$4004&gt;R1031))+1)</f>
        <v/>
      </c>
      <c r="T1031" s="25" t="str">
        <f aca="false">IF(S1031="","",IF(S1031&lt;=Setup!$B$5,"🏆 WINNER",""))</f>
        <v/>
      </c>
      <c r="U1031" s="24" t="str">
        <f aca="false">IF(S1031="","",I1031&amp;"|"&amp;S1031)</f>
        <v/>
      </c>
    </row>
    <row r="1032" customFormat="false" ht="15" hidden="false" customHeight="false" outlineLevel="0" collapsed="false">
      <c r="A1032" s="31" t="n">
        <v>1028</v>
      </c>
      <c r="B1032" s="32" t="str">
        <f aca="false">IF(OR(C1032="",I1032="",G1032=""),"",IFERROR(VLOOKUP(I1032,Setup!$A$9:$B$11,2,0),"???")&amp;"-"&amp;G1032&amp;"-"&amp;TEXT(COUNTIFS(I$5:I1032,I1032,G$5:G1032,G1032),"0000"))</f>
        <v/>
      </c>
      <c r="C1032" s="26"/>
      <c r="D1032" s="26"/>
      <c r="E1032" s="27"/>
      <c r="F1032" s="27"/>
      <c r="G1032" s="31" t="str">
        <f aca="false">IF(F1032="","",IF(F1032&lt;=5,"A",IF(F1032&lt;=8,"B",IF(F1032&lt;=10,"C","D"))))</f>
        <v/>
      </c>
      <c r="H1032" s="28"/>
      <c r="I1032" s="27"/>
      <c r="J1032" s="26"/>
      <c r="K1032" s="27"/>
      <c r="L1032" s="27"/>
      <c r="M1032" s="27"/>
      <c r="N1032" s="27"/>
      <c r="O1032" s="31" t="str">
        <f aca="false">IF(G1032="","",VLOOKUP(G1032,Setup!$A$14:$C$17,3,0))</f>
        <v/>
      </c>
      <c r="P1032" s="27"/>
      <c r="Q1032" s="33" t="str">
        <f aca="false">IF(OR(P1032="",M1032&lt;&gt;"Paid",O1032=""),"",P1032/O1032)</f>
        <v/>
      </c>
      <c r="R1032" s="34" t="str">
        <f aca="false">IF(Q1032="","",Q1032+N(H1032)*0.000000001)</f>
        <v/>
      </c>
      <c r="S1032" s="32" t="str">
        <f aca="false">IF(R1032="","",SUMPRODUCT((I$5:I$4004=I1032)*ISNUMBER(R$5:R$4004)*(R$5:R$4004&gt;R1032))+1)</f>
        <v/>
      </c>
      <c r="T1032" s="32" t="str">
        <f aca="false">IF(S1032="","",IF(S1032&lt;=Setup!$B$5,"🏆 WINNER",""))</f>
        <v/>
      </c>
      <c r="U1032" s="31" t="str">
        <f aca="false">IF(S1032="","",I1032&amp;"|"&amp;S1032)</f>
        <v/>
      </c>
    </row>
    <row r="1033" customFormat="false" ht="15" hidden="false" customHeight="false" outlineLevel="0" collapsed="false">
      <c r="A1033" s="24" t="n">
        <v>1029</v>
      </c>
      <c r="B1033" s="25" t="str">
        <f aca="false">IF(OR(C1033="",I1033="",G1033=""),"",IFERROR(VLOOKUP(I1033,Setup!$A$9:$B$11,2,0),"???")&amp;"-"&amp;G1033&amp;"-"&amp;TEXT(COUNTIFS(I$5:I1033,I1033,G$5:G1033,G1033),"0000"))</f>
        <v/>
      </c>
      <c r="C1033" s="26"/>
      <c r="D1033" s="26"/>
      <c r="E1033" s="27"/>
      <c r="F1033" s="27"/>
      <c r="G1033" s="24" t="str">
        <f aca="false">IF(F1033="","",IF(F1033&lt;=5,"A",IF(F1033&lt;=8,"B",IF(F1033&lt;=10,"C","D"))))</f>
        <v/>
      </c>
      <c r="H1033" s="28"/>
      <c r="I1033" s="27"/>
      <c r="J1033" s="26"/>
      <c r="K1033" s="27"/>
      <c r="L1033" s="27"/>
      <c r="M1033" s="27"/>
      <c r="N1033" s="27"/>
      <c r="O1033" s="24" t="str">
        <f aca="false">IF(G1033="","",VLOOKUP(G1033,Setup!$A$14:$C$17,3,0))</f>
        <v/>
      </c>
      <c r="P1033" s="27"/>
      <c r="Q1033" s="29" t="str">
        <f aca="false">IF(OR(P1033="",M1033&lt;&gt;"Paid",O1033=""),"",P1033/O1033)</f>
        <v/>
      </c>
      <c r="R1033" s="30" t="str">
        <f aca="false">IF(Q1033="","",Q1033+N(H1033)*0.000000001)</f>
        <v/>
      </c>
      <c r="S1033" s="25" t="str">
        <f aca="false">IF(R1033="","",SUMPRODUCT((I$5:I$4004=I1033)*ISNUMBER(R$5:R$4004)*(R$5:R$4004&gt;R1033))+1)</f>
        <v/>
      </c>
      <c r="T1033" s="25" t="str">
        <f aca="false">IF(S1033="","",IF(S1033&lt;=Setup!$B$5,"🏆 WINNER",""))</f>
        <v/>
      </c>
      <c r="U1033" s="24" t="str">
        <f aca="false">IF(S1033="","",I1033&amp;"|"&amp;S1033)</f>
        <v/>
      </c>
    </row>
    <row r="1034" customFormat="false" ht="15" hidden="false" customHeight="false" outlineLevel="0" collapsed="false">
      <c r="A1034" s="31" t="n">
        <v>1030</v>
      </c>
      <c r="B1034" s="32" t="str">
        <f aca="false">IF(OR(C1034="",I1034="",G1034=""),"",IFERROR(VLOOKUP(I1034,Setup!$A$9:$B$11,2,0),"???")&amp;"-"&amp;G1034&amp;"-"&amp;TEXT(COUNTIFS(I$5:I1034,I1034,G$5:G1034,G1034),"0000"))</f>
        <v/>
      </c>
      <c r="C1034" s="26"/>
      <c r="D1034" s="26"/>
      <c r="E1034" s="27"/>
      <c r="F1034" s="27"/>
      <c r="G1034" s="31" t="str">
        <f aca="false">IF(F1034="","",IF(F1034&lt;=5,"A",IF(F1034&lt;=8,"B",IF(F1034&lt;=10,"C","D"))))</f>
        <v/>
      </c>
      <c r="H1034" s="28"/>
      <c r="I1034" s="27"/>
      <c r="J1034" s="26"/>
      <c r="K1034" s="27"/>
      <c r="L1034" s="27"/>
      <c r="M1034" s="27"/>
      <c r="N1034" s="27"/>
      <c r="O1034" s="31" t="str">
        <f aca="false">IF(G1034="","",VLOOKUP(G1034,Setup!$A$14:$C$17,3,0))</f>
        <v/>
      </c>
      <c r="P1034" s="27"/>
      <c r="Q1034" s="33" t="str">
        <f aca="false">IF(OR(P1034="",M1034&lt;&gt;"Paid",O1034=""),"",P1034/O1034)</f>
        <v/>
      </c>
      <c r="R1034" s="34" t="str">
        <f aca="false">IF(Q1034="","",Q1034+N(H1034)*0.000000001)</f>
        <v/>
      </c>
      <c r="S1034" s="32" t="str">
        <f aca="false">IF(R1034="","",SUMPRODUCT((I$5:I$4004=I1034)*ISNUMBER(R$5:R$4004)*(R$5:R$4004&gt;R1034))+1)</f>
        <v/>
      </c>
      <c r="T1034" s="32" t="str">
        <f aca="false">IF(S1034="","",IF(S1034&lt;=Setup!$B$5,"🏆 WINNER",""))</f>
        <v/>
      </c>
      <c r="U1034" s="31" t="str">
        <f aca="false">IF(S1034="","",I1034&amp;"|"&amp;S1034)</f>
        <v/>
      </c>
    </row>
    <row r="1035" customFormat="false" ht="15" hidden="false" customHeight="false" outlineLevel="0" collapsed="false">
      <c r="A1035" s="24" t="n">
        <v>1031</v>
      </c>
      <c r="B1035" s="25" t="str">
        <f aca="false">IF(OR(C1035="",I1035="",G1035=""),"",IFERROR(VLOOKUP(I1035,Setup!$A$9:$B$11,2,0),"???")&amp;"-"&amp;G1035&amp;"-"&amp;TEXT(COUNTIFS(I$5:I1035,I1035,G$5:G1035,G1035),"0000"))</f>
        <v/>
      </c>
      <c r="C1035" s="26"/>
      <c r="D1035" s="26"/>
      <c r="E1035" s="27"/>
      <c r="F1035" s="27"/>
      <c r="G1035" s="24" t="str">
        <f aca="false">IF(F1035="","",IF(F1035&lt;=5,"A",IF(F1035&lt;=8,"B",IF(F1035&lt;=10,"C","D"))))</f>
        <v/>
      </c>
      <c r="H1035" s="28"/>
      <c r="I1035" s="27"/>
      <c r="J1035" s="26"/>
      <c r="K1035" s="27"/>
      <c r="L1035" s="27"/>
      <c r="M1035" s="27"/>
      <c r="N1035" s="27"/>
      <c r="O1035" s="24" t="str">
        <f aca="false">IF(G1035="","",VLOOKUP(G1035,Setup!$A$14:$C$17,3,0))</f>
        <v/>
      </c>
      <c r="P1035" s="27"/>
      <c r="Q1035" s="29" t="str">
        <f aca="false">IF(OR(P1035="",M1035&lt;&gt;"Paid",O1035=""),"",P1035/O1035)</f>
        <v/>
      </c>
      <c r="R1035" s="30" t="str">
        <f aca="false">IF(Q1035="","",Q1035+N(H1035)*0.000000001)</f>
        <v/>
      </c>
      <c r="S1035" s="25" t="str">
        <f aca="false">IF(R1035="","",SUMPRODUCT((I$5:I$4004=I1035)*ISNUMBER(R$5:R$4004)*(R$5:R$4004&gt;R1035))+1)</f>
        <v/>
      </c>
      <c r="T1035" s="25" t="str">
        <f aca="false">IF(S1035="","",IF(S1035&lt;=Setup!$B$5,"🏆 WINNER",""))</f>
        <v/>
      </c>
      <c r="U1035" s="24" t="str">
        <f aca="false">IF(S1035="","",I1035&amp;"|"&amp;S1035)</f>
        <v/>
      </c>
    </row>
    <row r="1036" customFormat="false" ht="15" hidden="false" customHeight="false" outlineLevel="0" collapsed="false">
      <c r="A1036" s="31" t="n">
        <v>1032</v>
      </c>
      <c r="B1036" s="32" t="str">
        <f aca="false">IF(OR(C1036="",I1036="",G1036=""),"",IFERROR(VLOOKUP(I1036,Setup!$A$9:$B$11,2,0),"???")&amp;"-"&amp;G1036&amp;"-"&amp;TEXT(COUNTIFS(I$5:I1036,I1036,G$5:G1036,G1036),"0000"))</f>
        <v/>
      </c>
      <c r="C1036" s="26"/>
      <c r="D1036" s="26"/>
      <c r="E1036" s="27"/>
      <c r="F1036" s="27"/>
      <c r="G1036" s="31" t="str">
        <f aca="false">IF(F1036="","",IF(F1036&lt;=5,"A",IF(F1036&lt;=8,"B",IF(F1036&lt;=10,"C","D"))))</f>
        <v/>
      </c>
      <c r="H1036" s="28"/>
      <c r="I1036" s="27"/>
      <c r="J1036" s="26"/>
      <c r="K1036" s="27"/>
      <c r="L1036" s="27"/>
      <c r="M1036" s="27"/>
      <c r="N1036" s="27"/>
      <c r="O1036" s="31" t="str">
        <f aca="false">IF(G1036="","",VLOOKUP(G1036,Setup!$A$14:$C$17,3,0))</f>
        <v/>
      </c>
      <c r="P1036" s="27"/>
      <c r="Q1036" s="33" t="str">
        <f aca="false">IF(OR(P1036="",M1036&lt;&gt;"Paid",O1036=""),"",P1036/O1036)</f>
        <v/>
      </c>
      <c r="R1036" s="34" t="str">
        <f aca="false">IF(Q1036="","",Q1036+N(H1036)*0.000000001)</f>
        <v/>
      </c>
      <c r="S1036" s="32" t="str">
        <f aca="false">IF(R1036="","",SUMPRODUCT((I$5:I$4004=I1036)*ISNUMBER(R$5:R$4004)*(R$5:R$4004&gt;R1036))+1)</f>
        <v/>
      </c>
      <c r="T1036" s="32" t="str">
        <f aca="false">IF(S1036="","",IF(S1036&lt;=Setup!$B$5,"🏆 WINNER",""))</f>
        <v/>
      </c>
      <c r="U1036" s="31" t="str">
        <f aca="false">IF(S1036="","",I1036&amp;"|"&amp;S1036)</f>
        <v/>
      </c>
    </row>
    <row r="1037" customFormat="false" ht="15" hidden="false" customHeight="false" outlineLevel="0" collapsed="false">
      <c r="A1037" s="24" t="n">
        <v>1033</v>
      </c>
      <c r="B1037" s="25" t="str">
        <f aca="false">IF(OR(C1037="",I1037="",G1037=""),"",IFERROR(VLOOKUP(I1037,Setup!$A$9:$B$11,2,0),"???")&amp;"-"&amp;G1037&amp;"-"&amp;TEXT(COUNTIFS(I$5:I1037,I1037,G$5:G1037,G1037),"0000"))</f>
        <v/>
      </c>
      <c r="C1037" s="26"/>
      <c r="D1037" s="26"/>
      <c r="E1037" s="27"/>
      <c r="F1037" s="27"/>
      <c r="G1037" s="24" t="str">
        <f aca="false">IF(F1037="","",IF(F1037&lt;=5,"A",IF(F1037&lt;=8,"B",IF(F1037&lt;=10,"C","D"))))</f>
        <v/>
      </c>
      <c r="H1037" s="28"/>
      <c r="I1037" s="27"/>
      <c r="J1037" s="26"/>
      <c r="K1037" s="27"/>
      <c r="L1037" s="27"/>
      <c r="M1037" s="27"/>
      <c r="N1037" s="27"/>
      <c r="O1037" s="24" t="str">
        <f aca="false">IF(G1037="","",VLOOKUP(G1037,Setup!$A$14:$C$17,3,0))</f>
        <v/>
      </c>
      <c r="P1037" s="27"/>
      <c r="Q1037" s="29" t="str">
        <f aca="false">IF(OR(P1037="",M1037&lt;&gt;"Paid",O1037=""),"",P1037/O1037)</f>
        <v/>
      </c>
      <c r="R1037" s="30" t="str">
        <f aca="false">IF(Q1037="","",Q1037+N(H1037)*0.000000001)</f>
        <v/>
      </c>
      <c r="S1037" s="25" t="str">
        <f aca="false">IF(R1037="","",SUMPRODUCT((I$5:I$4004=I1037)*ISNUMBER(R$5:R$4004)*(R$5:R$4004&gt;R1037))+1)</f>
        <v/>
      </c>
      <c r="T1037" s="25" t="str">
        <f aca="false">IF(S1037="","",IF(S1037&lt;=Setup!$B$5,"🏆 WINNER",""))</f>
        <v/>
      </c>
      <c r="U1037" s="24" t="str">
        <f aca="false">IF(S1037="","",I1037&amp;"|"&amp;S1037)</f>
        <v/>
      </c>
    </row>
    <row r="1038" customFormat="false" ht="15" hidden="false" customHeight="false" outlineLevel="0" collapsed="false">
      <c r="A1038" s="31" t="n">
        <v>1034</v>
      </c>
      <c r="B1038" s="32" t="str">
        <f aca="false">IF(OR(C1038="",I1038="",G1038=""),"",IFERROR(VLOOKUP(I1038,Setup!$A$9:$B$11,2,0),"???")&amp;"-"&amp;G1038&amp;"-"&amp;TEXT(COUNTIFS(I$5:I1038,I1038,G$5:G1038,G1038),"0000"))</f>
        <v/>
      </c>
      <c r="C1038" s="26"/>
      <c r="D1038" s="26"/>
      <c r="E1038" s="27"/>
      <c r="F1038" s="27"/>
      <c r="G1038" s="31" t="str">
        <f aca="false">IF(F1038="","",IF(F1038&lt;=5,"A",IF(F1038&lt;=8,"B",IF(F1038&lt;=10,"C","D"))))</f>
        <v/>
      </c>
      <c r="H1038" s="28"/>
      <c r="I1038" s="27"/>
      <c r="J1038" s="26"/>
      <c r="K1038" s="27"/>
      <c r="L1038" s="27"/>
      <c r="M1038" s="27"/>
      <c r="N1038" s="27"/>
      <c r="O1038" s="31" t="str">
        <f aca="false">IF(G1038="","",VLOOKUP(G1038,Setup!$A$14:$C$17,3,0))</f>
        <v/>
      </c>
      <c r="P1038" s="27"/>
      <c r="Q1038" s="33" t="str">
        <f aca="false">IF(OR(P1038="",M1038&lt;&gt;"Paid",O1038=""),"",P1038/O1038)</f>
        <v/>
      </c>
      <c r="R1038" s="34" t="str">
        <f aca="false">IF(Q1038="","",Q1038+N(H1038)*0.000000001)</f>
        <v/>
      </c>
      <c r="S1038" s="32" t="str">
        <f aca="false">IF(R1038="","",SUMPRODUCT((I$5:I$4004=I1038)*ISNUMBER(R$5:R$4004)*(R$5:R$4004&gt;R1038))+1)</f>
        <v/>
      </c>
      <c r="T1038" s="32" t="str">
        <f aca="false">IF(S1038="","",IF(S1038&lt;=Setup!$B$5,"🏆 WINNER",""))</f>
        <v/>
      </c>
      <c r="U1038" s="31" t="str">
        <f aca="false">IF(S1038="","",I1038&amp;"|"&amp;S1038)</f>
        <v/>
      </c>
    </row>
    <row r="1039" customFormat="false" ht="15" hidden="false" customHeight="false" outlineLevel="0" collapsed="false">
      <c r="A1039" s="24" t="n">
        <v>1035</v>
      </c>
      <c r="B1039" s="25" t="str">
        <f aca="false">IF(OR(C1039="",I1039="",G1039=""),"",IFERROR(VLOOKUP(I1039,Setup!$A$9:$B$11,2,0),"???")&amp;"-"&amp;G1039&amp;"-"&amp;TEXT(COUNTIFS(I$5:I1039,I1039,G$5:G1039,G1039),"0000"))</f>
        <v/>
      </c>
      <c r="C1039" s="26"/>
      <c r="D1039" s="26"/>
      <c r="E1039" s="27"/>
      <c r="F1039" s="27"/>
      <c r="G1039" s="24" t="str">
        <f aca="false">IF(F1039="","",IF(F1039&lt;=5,"A",IF(F1039&lt;=8,"B",IF(F1039&lt;=10,"C","D"))))</f>
        <v/>
      </c>
      <c r="H1039" s="28"/>
      <c r="I1039" s="27"/>
      <c r="J1039" s="26"/>
      <c r="K1039" s="27"/>
      <c r="L1039" s="27"/>
      <c r="M1039" s="27"/>
      <c r="N1039" s="27"/>
      <c r="O1039" s="24" t="str">
        <f aca="false">IF(G1039="","",VLOOKUP(G1039,Setup!$A$14:$C$17,3,0))</f>
        <v/>
      </c>
      <c r="P1039" s="27"/>
      <c r="Q1039" s="29" t="str">
        <f aca="false">IF(OR(P1039="",M1039&lt;&gt;"Paid",O1039=""),"",P1039/O1039)</f>
        <v/>
      </c>
      <c r="R1039" s="30" t="str">
        <f aca="false">IF(Q1039="","",Q1039+N(H1039)*0.000000001)</f>
        <v/>
      </c>
      <c r="S1039" s="25" t="str">
        <f aca="false">IF(R1039="","",SUMPRODUCT((I$5:I$4004=I1039)*ISNUMBER(R$5:R$4004)*(R$5:R$4004&gt;R1039))+1)</f>
        <v/>
      </c>
      <c r="T1039" s="25" t="str">
        <f aca="false">IF(S1039="","",IF(S1039&lt;=Setup!$B$5,"🏆 WINNER",""))</f>
        <v/>
      </c>
      <c r="U1039" s="24" t="str">
        <f aca="false">IF(S1039="","",I1039&amp;"|"&amp;S1039)</f>
        <v/>
      </c>
    </row>
    <row r="1040" customFormat="false" ht="15" hidden="false" customHeight="false" outlineLevel="0" collapsed="false">
      <c r="A1040" s="31" t="n">
        <v>1036</v>
      </c>
      <c r="B1040" s="32" t="str">
        <f aca="false">IF(OR(C1040="",I1040="",G1040=""),"",IFERROR(VLOOKUP(I1040,Setup!$A$9:$B$11,2,0),"???")&amp;"-"&amp;G1040&amp;"-"&amp;TEXT(COUNTIFS(I$5:I1040,I1040,G$5:G1040,G1040),"0000"))</f>
        <v/>
      </c>
      <c r="C1040" s="26"/>
      <c r="D1040" s="26"/>
      <c r="E1040" s="27"/>
      <c r="F1040" s="27"/>
      <c r="G1040" s="31" t="str">
        <f aca="false">IF(F1040="","",IF(F1040&lt;=5,"A",IF(F1040&lt;=8,"B",IF(F1040&lt;=10,"C","D"))))</f>
        <v/>
      </c>
      <c r="H1040" s="28"/>
      <c r="I1040" s="27"/>
      <c r="J1040" s="26"/>
      <c r="K1040" s="27"/>
      <c r="L1040" s="27"/>
      <c r="M1040" s="27"/>
      <c r="N1040" s="27"/>
      <c r="O1040" s="31" t="str">
        <f aca="false">IF(G1040="","",VLOOKUP(G1040,Setup!$A$14:$C$17,3,0))</f>
        <v/>
      </c>
      <c r="P1040" s="27"/>
      <c r="Q1040" s="33" t="str">
        <f aca="false">IF(OR(P1040="",M1040&lt;&gt;"Paid",O1040=""),"",P1040/O1040)</f>
        <v/>
      </c>
      <c r="R1040" s="34" t="str">
        <f aca="false">IF(Q1040="","",Q1040+N(H1040)*0.000000001)</f>
        <v/>
      </c>
      <c r="S1040" s="32" t="str">
        <f aca="false">IF(R1040="","",SUMPRODUCT((I$5:I$4004=I1040)*ISNUMBER(R$5:R$4004)*(R$5:R$4004&gt;R1040))+1)</f>
        <v/>
      </c>
      <c r="T1040" s="32" t="str">
        <f aca="false">IF(S1040="","",IF(S1040&lt;=Setup!$B$5,"🏆 WINNER",""))</f>
        <v/>
      </c>
      <c r="U1040" s="31" t="str">
        <f aca="false">IF(S1040="","",I1040&amp;"|"&amp;S1040)</f>
        <v/>
      </c>
    </row>
    <row r="1041" customFormat="false" ht="15" hidden="false" customHeight="false" outlineLevel="0" collapsed="false">
      <c r="A1041" s="24" t="n">
        <v>1037</v>
      </c>
      <c r="B1041" s="25" t="str">
        <f aca="false">IF(OR(C1041="",I1041="",G1041=""),"",IFERROR(VLOOKUP(I1041,Setup!$A$9:$B$11,2,0),"???")&amp;"-"&amp;G1041&amp;"-"&amp;TEXT(COUNTIFS(I$5:I1041,I1041,G$5:G1041,G1041),"0000"))</f>
        <v/>
      </c>
      <c r="C1041" s="26"/>
      <c r="D1041" s="26"/>
      <c r="E1041" s="27"/>
      <c r="F1041" s="27"/>
      <c r="G1041" s="24" t="str">
        <f aca="false">IF(F1041="","",IF(F1041&lt;=5,"A",IF(F1041&lt;=8,"B",IF(F1041&lt;=10,"C","D"))))</f>
        <v/>
      </c>
      <c r="H1041" s="28"/>
      <c r="I1041" s="27"/>
      <c r="J1041" s="26"/>
      <c r="K1041" s="27"/>
      <c r="L1041" s="27"/>
      <c r="M1041" s="27"/>
      <c r="N1041" s="27"/>
      <c r="O1041" s="24" t="str">
        <f aca="false">IF(G1041="","",VLOOKUP(G1041,Setup!$A$14:$C$17,3,0))</f>
        <v/>
      </c>
      <c r="P1041" s="27"/>
      <c r="Q1041" s="29" t="str">
        <f aca="false">IF(OR(P1041="",M1041&lt;&gt;"Paid",O1041=""),"",P1041/O1041)</f>
        <v/>
      </c>
      <c r="R1041" s="30" t="str">
        <f aca="false">IF(Q1041="","",Q1041+N(H1041)*0.000000001)</f>
        <v/>
      </c>
      <c r="S1041" s="25" t="str">
        <f aca="false">IF(R1041="","",SUMPRODUCT((I$5:I$4004=I1041)*ISNUMBER(R$5:R$4004)*(R$5:R$4004&gt;R1041))+1)</f>
        <v/>
      </c>
      <c r="T1041" s="25" t="str">
        <f aca="false">IF(S1041="","",IF(S1041&lt;=Setup!$B$5,"🏆 WINNER",""))</f>
        <v/>
      </c>
      <c r="U1041" s="24" t="str">
        <f aca="false">IF(S1041="","",I1041&amp;"|"&amp;S1041)</f>
        <v/>
      </c>
    </row>
    <row r="1042" customFormat="false" ht="15" hidden="false" customHeight="false" outlineLevel="0" collapsed="false">
      <c r="A1042" s="31" t="n">
        <v>1038</v>
      </c>
      <c r="B1042" s="32" t="str">
        <f aca="false">IF(OR(C1042="",I1042="",G1042=""),"",IFERROR(VLOOKUP(I1042,Setup!$A$9:$B$11,2,0),"???")&amp;"-"&amp;G1042&amp;"-"&amp;TEXT(COUNTIFS(I$5:I1042,I1042,G$5:G1042,G1042),"0000"))</f>
        <v/>
      </c>
      <c r="C1042" s="26"/>
      <c r="D1042" s="26"/>
      <c r="E1042" s="27"/>
      <c r="F1042" s="27"/>
      <c r="G1042" s="31" t="str">
        <f aca="false">IF(F1042="","",IF(F1042&lt;=5,"A",IF(F1042&lt;=8,"B",IF(F1042&lt;=10,"C","D"))))</f>
        <v/>
      </c>
      <c r="H1042" s="28"/>
      <c r="I1042" s="27"/>
      <c r="J1042" s="26"/>
      <c r="K1042" s="27"/>
      <c r="L1042" s="27"/>
      <c r="M1042" s="27"/>
      <c r="N1042" s="27"/>
      <c r="O1042" s="31" t="str">
        <f aca="false">IF(G1042="","",VLOOKUP(G1042,Setup!$A$14:$C$17,3,0))</f>
        <v/>
      </c>
      <c r="P1042" s="27"/>
      <c r="Q1042" s="33" t="str">
        <f aca="false">IF(OR(P1042="",M1042&lt;&gt;"Paid",O1042=""),"",P1042/O1042)</f>
        <v/>
      </c>
      <c r="R1042" s="34" t="str">
        <f aca="false">IF(Q1042="","",Q1042+N(H1042)*0.000000001)</f>
        <v/>
      </c>
      <c r="S1042" s="32" t="str">
        <f aca="false">IF(R1042="","",SUMPRODUCT((I$5:I$4004=I1042)*ISNUMBER(R$5:R$4004)*(R$5:R$4004&gt;R1042))+1)</f>
        <v/>
      </c>
      <c r="T1042" s="32" t="str">
        <f aca="false">IF(S1042="","",IF(S1042&lt;=Setup!$B$5,"🏆 WINNER",""))</f>
        <v/>
      </c>
      <c r="U1042" s="31" t="str">
        <f aca="false">IF(S1042="","",I1042&amp;"|"&amp;S1042)</f>
        <v/>
      </c>
    </row>
    <row r="1043" customFormat="false" ht="15" hidden="false" customHeight="false" outlineLevel="0" collapsed="false">
      <c r="A1043" s="24" t="n">
        <v>1039</v>
      </c>
      <c r="B1043" s="25" t="str">
        <f aca="false">IF(OR(C1043="",I1043="",G1043=""),"",IFERROR(VLOOKUP(I1043,Setup!$A$9:$B$11,2,0),"???")&amp;"-"&amp;G1043&amp;"-"&amp;TEXT(COUNTIFS(I$5:I1043,I1043,G$5:G1043,G1043),"0000"))</f>
        <v/>
      </c>
      <c r="C1043" s="26"/>
      <c r="D1043" s="26"/>
      <c r="E1043" s="27"/>
      <c r="F1043" s="27"/>
      <c r="G1043" s="24" t="str">
        <f aca="false">IF(F1043="","",IF(F1043&lt;=5,"A",IF(F1043&lt;=8,"B",IF(F1043&lt;=10,"C","D"))))</f>
        <v/>
      </c>
      <c r="H1043" s="28"/>
      <c r="I1043" s="27"/>
      <c r="J1043" s="26"/>
      <c r="K1043" s="27"/>
      <c r="L1043" s="27"/>
      <c r="M1043" s="27"/>
      <c r="N1043" s="27"/>
      <c r="O1043" s="24" t="str">
        <f aca="false">IF(G1043="","",VLOOKUP(G1043,Setup!$A$14:$C$17,3,0))</f>
        <v/>
      </c>
      <c r="P1043" s="27"/>
      <c r="Q1043" s="29" t="str">
        <f aca="false">IF(OR(P1043="",M1043&lt;&gt;"Paid",O1043=""),"",P1043/O1043)</f>
        <v/>
      </c>
      <c r="R1043" s="30" t="str">
        <f aca="false">IF(Q1043="","",Q1043+N(H1043)*0.000000001)</f>
        <v/>
      </c>
      <c r="S1043" s="25" t="str">
        <f aca="false">IF(R1043="","",SUMPRODUCT((I$5:I$4004=I1043)*ISNUMBER(R$5:R$4004)*(R$5:R$4004&gt;R1043))+1)</f>
        <v/>
      </c>
      <c r="T1043" s="25" t="str">
        <f aca="false">IF(S1043="","",IF(S1043&lt;=Setup!$B$5,"🏆 WINNER",""))</f>
        <v/>
      </c>
      <c r="U1043" s="24" t="str">
        <f aca="false">IF(S1043="","",I1043&amp;"|"&amp;S1043)</f>
        <v/>
      </c>
    </row>
    <row r="1044" customFormat="false" ht="15" hidden="false" customHeight="false" outlineLevel="0" collapsed="false">
      <c r="A1044" s="31" t="n">
        <v>1040</v>
      </c>
      <c r="B1044" s="32" t="str">
        <f aca="false">IF(OR(C1044="",I1044="",G1044=""),"",IFERROR(VLOOKUP(I1044,Setup!$A$9:$B$11,2,0),"???")&amp;"-"&amp;G1044&amp;"-"&amp;TEXT(COUNTIFS(I$5:I1044,I1044,G$5:G1044,G1044),"0000"))</f>
        <v/>
      </c>
      <c r="C1044" s="26"/>
      <c r="D1044" s="26"/>
      <c r="E1044" s="27"/>
      <c r="F1044" s="27"/>
      <c r="G1044" s="31" t="str">
        <f aca="false">IF(F1044="","",IF(F1044&lt;=5,"A",IF(F1044&lt;=8,"B",IF(F1044&lt;=10,"C","D"))))</f>
        <v/>
      </c>
      <c r="H1044" s="28"/>
      <c r="I1044" s="27"/>
      <c r="J1044" s="26"/>
      <c r="K1044" s="27"/>
      <c r="L1044" s="27"/>
      <c r="M1044" s="27"/>
      <c r="N1044" s="27"/>
      <c r="O1044" s="31" t="str">
        <f aca="false">IF(G1044="","",VLOOKUP(G1044,Setup!$A$14:$C$17,3,0))</f>
        <v/>
      </c>
      <c r="P1044" s="27"/>
      <c r="Q1044" s="33" t="str">
        <f aca="false">IF(OR(P1044="",M1044&lt;&gt;"Paid",O1044=""),"",P1044/O1044)</f>
        <v/>
      </c>
      <c r="R1044" s="34" t="str">
        <f aca="false">IF(Q1044="","",Q1044+N(H1044)*0.000000001)</f>
        <v/>
      </c>
      <c r="S1044" s="32" t="str">
        <f aca="false">IF(R1044="","",SUMPRODUCT((I$5:I$4004=I1044)*ISNUMBER(R$5:R$4004)*(R$5:R$4004&gt;R1044))+1)</f>
        <v/>
      </c>
      <c r="T1044" s="32" t="str">
        <f aca="false">IF(S1044="","",IF(S1044&lt;=Setup!$B$5,"🏆 WINNER",""))</f>
        <v/>
      </c>
      <c r="U1044" s="31" t="str">
        <f aca="false">IF(S1044="","",I1044&amp;"|"&amp;S1044)</f>
        <v/>
      </c>
    </row>
    <row r="1045" customFormat="false" ht="15" hidden="false" customHeight="false" outlineLevel="0" collapsed="false">
      <c r="A1045" s="24" t="n">
        <v>1041</v>
      </c>
      <c r="B1045" s="25" t="str">
        <f aca="false">IF(OR(C1045="",I1045="",G1045=""),"",IFERROR(VLOOKUP(I1045,Setup!$A$9:$B$11,2,0),"???")&amp;"-"&amp;G1045&amp;"-"&amp;TEXT(COUNTIFS(I$5:I1045,I1045,G$5:G1045,G1045),"0000"))</f>
        <v/>
      </c>
      <c r="C1045" s="26"/>
      <c r="D1045" s="26"/>
      <c r="E1045" s="27"/>
      <c r="F1045" s="27"/>
      <c r="G1045" s="24" t="str">
        <f aca="false">IF(F1045="","",IF(F1045&lt;=5,"A",IF(F1045&lt;=8,"B",IF(F1045&lt;=10,"C","D"))))</f>
        <v/>
      </c>
      <c r="H1045" s="28"/>
      <c r="I1045" s="27"/>
      <c r="J1045" s="26"/>
      <c r="K1045" s="27"/>
      <c r="L1045" s="27"/>
      <c r="M1045" s="27"/>
      <c r="N1045" s="27"/>
      <c r="O1045" s="24" t="str">
        <f aca="false">IF(G1045="","",VLOOKUP(G1045,Setup!$A$14:$C$17,3,0))</f>
        <v/>
      </c>
      <c r="P1045" s="27"/>
      <c r="Q1045" s="29" t="str">
        <f aca="false">IF(OR(P1045="",M1045&lt;&gt;"Paid",O1045=""),"",P1045/O1045)</f>
        <v/>
      </c>
      <c r="R1045" s="30" t="str">
        <f aca="false">IF(Q1045="","",Q1045+N(H1045)*0.000000001)</f>
        <v/>
      </c>
      <c r="S1045" s="25" t="str">
        <f aca="false">IF(R1045="","",SUMPRODUCT((I$5:I$4004=I1045)*ISNUMBER(R$5:R$4004)*(R$5:R$4004&gt;R1045))+1)</f>
        <v/>
      </c>
      <c r="T1045" s="25" t="str">
        <f aca="false">IF(S1045="","",IF(S1045&lt;=Setup!$B$5,"🏆 WINNER",""))</f>
        <v/>
      </c>
      <c r="U1045" s="24" t="str">
        <f aca="false">IF(S1045="","",I1045&amp;"|"&amp;S1045)</f>
        <v/>
      </c>
    </row>
    <row r="1046" customFormat="false" ht="15" hidden="false" customHeight="false" outlineLevel="0" collapsed="false">
      <c r="A1046" s="31" t="n">
        <v>1042</v>
      </c>
      <c r="B1046" s="32" t="str">
        <f aca="false">IF(OR(C1046="",I1046="",G1046=""),"",IFERROR(VLOOKUP(I1046,Setup!$A$9:$B$11,2,0),"???")&amp;"-"&amp;G1046&amp;"-"&amp;TEXT(COUNTIFS(I$5:I1046,I1046,G$5:G1046,G1046),"0000"))</f>
        <v/>
      </c>
      <c r="C1046" s="26"/>
      <c r="D1046" s="26"/>
      <c r="E1046" s="27"/>
      <c r="F1046" s="27"/>
      <c r="G1046" s="31" t="str">
        <f aca="false">IF(F1046="","",IF(F1046&lt;=5,"A",IF(F1046&lt;=8,"B",IF(F1046&lt;=10,"C","D"))))</f>
        <v/>
      </c>
      <c r="H1046" s="28"/>
      <c r="I1046" s="27"/>
      <c r="J1046" s="26"/>
      <c r="K1046" s="27"/>
      <c r="L1046" s="27"/>
      <c r="M1046" s="27"/>
      <c r="N1046" s="27"/>
      <c r="O1046" s="31" t="str">
        <f aca="false">IF(G1046="","",VLOOKUP(G1046,Setup!$A$14:$C$17,3,0))</f>
        <v/>
      </c>
      <c r="P1046" s="27"/>
      <c r="Q1046" s="33" t="str">
        <f aca="false">IF(OR(P1046="",M1046&lt;&gt;"Paid",O1046=""),"",P1046/O1046)</f>
        <v/>
      </c>
      <c r="R1046" s="34" t="str">
        <f aca="false">IF(Q1046="","",Q1046+N(H1046)*0.000000001)</f>
        <v/>
      </c>
      <c r="S1046" s="32" t="str">
        <f aca="false">IF(R1046="","",SUMPRODUCT((I$5:I$4004=I1046)*ISNUMBER(R$5:R$4004)*(R$5:R$4004&gt;R1046))+1)</f>
        <v/>
      </c>
      <c r="T1046" s="32" t="str">
        <f aca="false">IF(S1046="","",IF(S1046&lt;=Setup!$B$5,"🏆 WINNER",""))</f>
        <v/>
      </c>
      <c r="U1046" s="31" t="str">
        <f aca="false">IF(S1046="","",I1046&amp;"|"&amp;S1046)</f>
        <v/>
      </c>
    </row>
    <row r="1047" customFormat="false" ht="15" hidden="false" customHeight="false" outlineLevel="0" collapsed="false">
      <c r="A1047" s="24" t="n">
        <v>1043</v>
      </c>
      <c r="B1047" s="25" t="str">
        <f aca="false">IF(OR(C1047="",I1047="",G1047=""),"",IFERROR(VLOOKUP(I1047,Setup!$A$9:$B$11,2,0),"???")&amp;"-"&amp;G1047&amp;"-"&amp;TEXT(COUNTIFS(I$5:I1047,I1047,G$5:G1047,G1047),"0000"))</f>
        <v/>
      </c>
      <c r="C1047" s="26"/>
      <c r="D1047" s="26"/>
      <c r="E1047" s="27"/>
      <c r="F1047" s="27"/>
      <c r="G1047" s="24" t="str">
        <f aca="false">IF(F1047="","",IF(F1047&lt;=5,"A",IF(F1047&lt;=8,"B",IF(F1047&lt;=10,"C","D"))))</f>
        <v/>
      </c>
      <c r="H1047" s="28"/>
      <c r="I1047" s="27"/>
      <c r="J1047" s="26"/>
      <c r="K1047" s="27"/>
      <c r="L1047" s="27"/>
      <c r="M1047" s="27"/>
      <c r="N1047" s="27"/>
      <c r="O1047" s="24" t="str">
        <f aca="false">IF(G1047="","",VLOOKUP(G1047,Setup!$A$14:$C$17,3,0))</f>
        <v/>
      </c>
      <c r="P1047" s="27"/>
      <c r="Q1047" s="29" t="str">
        <f aca="false">IF(OR(P1047="",M1047&lt;&gt;"Paid",O1047=""),"",P1047/O1047)</f>
        <v/>
      </c>
      <c r="R1047" s="30" t="str">
        <f aca="false">IF(Q1047="","",Q1047+N(H1047)*0.000000001)</f>
        <v/>
      </c>
      <c r="S1047" s="25" t="str">
        <f aca="false">IF(R1047="","",SUMPRODUCT((I$5:I$4004=I1047)*ISNUMBER(R$5:R$4004)*(R$5:R$4004&gt;R1047))+1)</f>
        <v/>
      </c>
      <c r="T1047" s="25" t="str">
        <f aca="false">IF(S1047="","",IF(S1047&lt;=Setup!$B$5,"🏆 WINNER",""))</f>
        <v/>
      </c>
      <c r="U1047" s="24" t="str">
        <f aca="false">IF(S1047="","",I1047&amp;"|"&amp;S1047)</f>
        <v/>
      </c>
    </row>
    <row r="1048" customFormat="false" ht="15" hidden="false" customHeight="false" outlineLevel="0" collapsed="false">
      <c r="A1048" s="31" t="n">
        <v>1044</v>
      </c>
      <c r="B1048" s="32" t="str">
        <f aca="false">IF(OR(C1048="",I1048="",G1048=""),"",IFERROR(VLOOKUP(I1048,Setup!$A$9:$B$11,2,0),"???")&amp;"-"&amp;G1048&amp;"-"&amp;TEXT(COUNTIFS(I$5:I1048,I1048,G$5:G1048,G1048),"0000"))</f>
        <v/>
      </c>
      <c r="C1048" s="26"/>
      <c r="D1048" s="26"/>
      <c r="E1048" s="27"/>
      <c r="F1048" s="27"/>
      <c r="G1048" s="31" t="str">
        <f aca="false">IF(F1048="","",IF(F1048&lt;=5,"A",IF(F1048&lt;=8,"B",IF(F1048&lt;=10,"C","D"))))</f>
        <v/>
      </c>
      <c r="H1048" s="28"/>
      <c r="I1048" s="27"/>
      <c r="J1048" s="26"/>
      <c r="K1048" s="27"/>
      <c r="L1048" s="27"/>
      <c r="M1048" s="27"/>
      <c r="N1048" s="27"/>
      <c r="O1048" s="31" t="str">
        <f aca="false">IF(G1048="","",VLOOKUP(G1048,Setup!$A$14:$C$17,3,0))</f>
        <v/>
      </c>
      <c r="P1048" s="27"/>
      <c r="Q1048" s="33" t="str">
        <f aca="false">IF(OR(P1048="",M1048&lt;&gt;"Paid",O1048=""),"",P1048/O1048)</f>
        <v/>
      </c>
      <c r="R1048" s="34" t="str">
        <f aca="false">IF(Q1048="","",Q1048+N(H1048)*0.000000001)</f>
        <v/>
      </c>
      <c r="S1048" s="32" t="str">
        <f aca="false">IF(R1048="","",SUMPRODUCT((I$5:I$4004=I1048)*ISNUMBER(R$5:R$4004)*(R$5:R$4004&gt;R1048))+1)</f>
        <v/>
      </c>
      <c r="T1048" s="32" t="str">
        <f aca="false">IF(S1048="","",IF(S1048&lt;=Setup!$B$5,"🏆 WINNER",""))</f>
        <v/>
      </c>
      <c r="U1048" s="31" t="str">
        <f aca="false">IF(S1048="","",I1048&amp;"|"&amp;S1048)</f>
        <v/>
      </c>
    </row>
    <row r="1049" customFormat="false" ht="15" hidden="false" customHeight="false" outlineLevel="0" collapsed="false">
      <c r="A1049" s="24" t="n">
        <v>1045</v>
      </c>
      <c r="B1049" s="25" t="str">
        <f aca="false">IF(OR(C1049="",I1049="",G1049=""),"",IFERROR(VLOOKUP(I1049,Setup!$A$9:$B$11,2,0),"???")&amp;"-"&amp;G1049&amp;"-"&amp;TEXT(COUNTIFS(I$5:I1049,I1049,G$5:G1049,G1049),"0000"))</f>
        <v/>
      </c>
      <c r="C1049" s="26"/>
      <c r="D1049" s="26"/>
      <c r="E1049" s="27"/>
      <c r="F1049" s="27"/>
      <c r="G1049" s="24" t="str">
        <f aca="false">IF(F1049="","",IF(F1049&lt;=5,"A",IF(F1049&lt;=8,"B",IF(F1049&lt;=10,"C","D"))))</f>
        <v/>
      </c>
      <c r="H1049" s="28"/>
      <c r="I1049" s="27"/>
      <c r="J1049" s="26"/>
      <c r="K1049" s="27"/>
      <c r="L1049" s="27"/>
      <c r="M1049" s="27"/>
      <c r="N1049" s="27"/>
      <c r="O1049" s="24" t="str">
        <f aca="false">IF(G1049="","",VLOOKUP(G1049,Setup!$A$14:$C$17,3,0))</f>
        <v/>
      </c>
      <c r="P1049" s="27"/>
      <c r="Q1049" s="29" t="str">
        <f aca="false">IF(OR(P1049="",M1049&lt;&gt;"Paid",O1049=""),"",P1049/O1049)</f>
        <v/>
      </c>
      <c r="R1049" s="30" t="str">
        <f aca="false">IF(Q1049="","",Q1049+N(H1049)*0.000000001)</f>
        <v/>
      </c>
      <c r="S1049" s="25" t="str">
        <f aca="false">IF(R1049="","",SUMPRODUCT((I$5:I$4004=I1049)*ISNUMBER(R$5:R$4004)*(R$5:R$4004&gt;R1049))+1)</f>
        <v/>
      </c>
      <c r="T1049" s="25" t="str">
        <f aca="false">IF(S1049="","",IF(S1049&lt;=Setup!$B$5,"🏆 WINNER",""))</f>
        <v/>
      </c>
      <c r="U1049" s="24" t="str">
        <f aca="false">IF(S1049="","",I1049&amp;"|"&amp;S1049)</f>
        <v/>
      </c>
    </row>
    <row r="1050" customFormat="false" ht="15" hidden="false" customHeight="false" outlineLevel="0" collapsed="false">
      <c r="A1050" s="31" t="n">
        <v>1046</v>
      </c>
      <c r="B1050" s="32" t="str">
        <f aca="false">IF(OR(C1050="",I1050="",G1050=""),"",IFERROR(VLOOKUP(I1050,Setup!$A$9:$B$11,2,0),"???")&amp;"-"&amp;G1050&amp;"-"&amp;TEXT(COUNTIFS(I$5:I1050,I1050,G$5:G1050,G1050),"0000"))</f>
        <v/>
      </c>
      <c r="C1050" s="26"/>
      <c r="D1050" s="26"/>
      <c r="E1050" s="27"/>
      <c r="F1050" s="27"/>
      <c r="G1050" s="31" t="str">
        <f aca="false">IF(F1050="","",IF(F1050&lt;=5,"A",IF(F1050&lt;=8,"B",IF(F1050&lt;=10,"C","D"))))</f>
        <v/>
      </c>
      <c r="H1050" s="28"/>
      <c r="I1050" s="27"/>
      <c r="J1050" s="26"/>
      <c r="K1050" s="27"/>
      <c r="L1050" s="27"/>
      <c r="M1050" s="27"/>
      <c r="N1050" s="27"/>
      <c r="O1050" s="31" t="str">
        <f aca="false">IF(G1050="","",VLOOKUP(G1050,Setup!$A$14:$C$17,3,0))</f>
        <v/>
      </c>
      <c r="P1050" s="27"/>
      <c r="Q1050" s="33" t="str">
        <f aca="false">IF(OR(P1050="",M1050&lt;&gt;"Paid",O1050=""),"",P1050/O1050)</f>
        <v/>
      </c>
      <c r="R1050" s="34" t="str">
        <f aca="false">IF(Q1050="","",Q1050+N(H1050)*0.000000001)</f>
        <v/>
      </c>
      <c r="S1050" s="32" t="str">
        <f aca="false">IF(R1050="","",SUMPRODUCT((I$5:I$4004=I1050)*ISNUMBER(R$5:R$4004)*(R$5:R$4004&gt;R1050))+1)</f>
        <v/>
      </c>
      <c r="T1050" s="32" t="str">
        <f aca="false">IF(S1050="","",IF(S1050&lt;=Setup!$B$5,"🏆 WINNER",""))</f>
        <v/>
      </c>
      <c r="U1050" s="31" t="str">
        <f aca="false">IF(S1050="","",I1050&amp;"|"&amp;S1050)</f>
        <v/>
      </c>
    </row>
    <row r="1051" customFormat="false" ht="15" hidden="false" customHeight="false" outlineLevel="0" collapsed="false">
      <c r="A1051" s="24" t="n">
        <v>1047</v>
      </c>
      <c r="B1051" s="25" t="str">
        <f aca="false">IF(OR(C1051="",I1051="",G1051=""),"",IFERROR(VLOOKUP(I1051,Setup!$A$9:$B$11,2,0),"???")&amp;"-"&amp;G1051&amp;"-"&amp;TEXT(COUNTIFS(I$5:I1051,I1051,G$5:G1051,G1051),"0000"))</f>
        <v/>
      </c>
      <c r="C1051" s="26"/>
      <c r="D1051" s="26"/>
      <c r="E1051" s="27"/>
      <c r="F1051" s="27"/>
      <c r="G1051" s="24" t="str">
        <f aca="false">IF(F1051="","",IF(F1051&lt;=5,"A",IF(F1051&lt;=8,"B",IF(F1051&lt;=10,"C","D"))))</f>
        <v/>
      </c>
      <c r="H1051" s="28"/>
      <c r="I1051" s="27"/>
      <c r="J1051" s="26"/>
      <c r="K1051" s="27"/>
      <c r="L1051" s="27"/>
      <c r="M1051" s="27"/>
      <c r="N1051" s="27"/>
      <c r="O1051" s="24" t="str">
        <f aca="false">IF(G1051="","",VLOOKUP(G1051,Setup!$A$14:$C$17,3,0))</f>
        <v/>
      </c>
      <c r="P1051" s="27"/>
      <c r="Q1051" s="29" t="str">
        <f aca="false">IF(OR(P1051="",M1051&lt;&gt;"Paid",O1051=""),"",P1051/O1051)</f>
        <v/>
      </c>
      <c r="R1051" s="30" t="str">
        <f aca="false">IF(Q1051="","",Q1051+N(H1051)*0.000000001)</f>
        <v/>
      </c>
      <c r="S1051" s="25" t="str">
        <f aca="false">IF(R1051="","",SUMPRODUCT((I$5:I$4004=I1051)*ISNUMBER(R$5:R$4004)*(R$5:R$4004&gt;R1051))+1)</f>
        <v/>
      </c>
      <c r="T1051" s="25" t="str">
        <f aca="false">IF(S1051="","",IF(S1051&lt;=Setup!$B$5,"🏆 WINNER",""))</f>
        <v/>
      </c>
      <c r="U1051" s="24" t="str">
        <f aca="false">IF(S1051="","",I1051&amp;"|"&amp;S1051)</f>
        <v/>
      </c>
    </row>
    <row r="1052" customFormat="false" ht="15" hidden="false" customHeight="false" outlineLevel="0" collapsed="false">
      <c r="A1052" s="31" t="n">
        <v>1048</v>
      </c>
      <c r="B1052" s="32" t="str">
        <f aca="false">IF(OR(C1052="",I1052="",G1052=""),"",IFERROR(VLOOKUP(I1052,Setup!$A$9:$B$11,2,0),"???")&amp;"-"&amp;G1052&amp;"-"&amp;TEXT(COUNTIFS(I$5:I1052,I1052,G$5:G1052,G1052),"0000"))</f>
        <v/>
      </c>
      <c r="C1052" s="26"/>
      <c r="D1052" s="26"/>
      <c r="E1052" s="27"/>
      <c r="F1052" s="27"/>
      <c r="G1052" s="31" t="str">
        <f aca="false">IF(F1052="","",IF(F1052&lt;=5,"A",IF(F1052&lt;=8,"B",IF(F1052&lt;=10,"C","D"))))</f>
        <v/>
      </c>
      <c r="H1052" s="28"/>
      <c r="I1052" s="27"/>
      <c r="J1052" s="26"/>
      <c r="K1052" s="27"/>
      <c r="L1052" s="27"/>
      <c r="M1052" s="27"/>
      <c r="N1052" s="27"/>
      <c r="O1052" s="31" t="str">
        <f aca="false">IF(G1052="","",VLOOKUP(G1052,Setup!$A$14:$C$17,3,0))</f>
        <v/>
      </c>
      <c r="P1052" s="27"/>
      <c r="Q1052" s="33" t="str">
        <f aca="false">IF(OR(P1052="",M1052&lt;&gt;"Paid",O1052=""),"",P1052/O1052)</f>
        <v/>
      </c>
      <c r="R1052" s="34" t="str">
        <f aca="false">IF(Q1052="","",Q1052+N(H1052)*0.000000001)</f>
        <v/>
      </c>
      <c r="S1052" s="32" t="str">
        <f aca="false">IF(R1052="","",SUMPRODUCT((I$5:I$4004=I1052)*ISNUMBER(R$5:R$4004)*(R$5:R$4004&gt;R1052))+1)</f>
        <v/>
      </c>
      <c r="T1052" s="32" t="str">
        <f aca="false">IF(S1052="","",IF(S1052&lt;=Setup!$B$5,"🏆 WINNER",""))</f>
        <v/>
      </c>
      <c r="U1052" s="31" t="str">
        <f aca="false">IF(S1052="","",I1052&amp;"|"&amp;S1052)</f>
        <v/>
      </c>
    </row>
    <row r="1053" customFormat="false" ht="15" hidden="false" customHeight="false" outlineLevel="0" collapsed="false">
      <c r="A1053" s="24" t="n">
        <v>1049</v>
      </c>
      <c r="B1053" s="25" t="str">
        <f aca="false">IF(OR(C1053="",I1053="",G1053=""),"",IFERROR(VLOOKUP(I1053,Setup!$A$9:$B$11,2,0),"???")&amp;"-"&amp;G1053&amp;"-"&amp;TEXT(COUNTIFS(I$5:I1053,I1053,G$5:G1053,G1053),"0000"))</f>
        <v/>
      </c>
      <c r="C1053" s="26"/>
      <c r="D1053" s="26"/>
      <c r="E1053" s="27"/>
      <c r="F1053" s="27"/>
      <c r="G1053" s="24" t="str">
        <f aca="false">IF(F1053="","",IF(F1053&lt;=5,"A",IF(F1053&lt;=8,"B",IF(F1053&lt;=10,"C","D"))))</f>
        <v/>
      </c>
      <c r="H1053" s="28"/>
      <c r="I1053" s="27"/>
      <c r="J1053" s="26"/>
      <c r="K1053" s="27"/>
      <c r="L1053" s="27"/>
      <c r="M1053" s="27"/>
      <c r="N1053" s="27"/>
      <c r="O1053" s="24" t="str">
        <f aca="false">IF(G1053="","",VLOOKUP(G1053,Setup!$A$14:$C$17,3,0))</f>
        <v/>
      </c>
      <c r="P1053" s="27"/>
      <c r="Q1053" s="29" t="str">
        <f aca="false">IF(OR(P1053="",M1053&lt;&gt;"Paid",O1053=""),"",P1053/O1053)</f>
        <v/>
      </c>
      <c r="R1053" s="30" t="str">
        <f aca="false">IF(Q1053="","",Q1053+N(H1053)*0.000000001)</f>
        <v/>
      </c>
      <c r="S1053" s="25" t="str">
        <f aca="false">IF(R1053="","",SUMPRODUCT((I$5:I$4004=I1053)*ISNUMBER(R$5:R$4004)*(R$5:R$4004&gt;R1053))+1)</f>
        <v/>
      </c>
      <c r="T1053" s="25" t="str">
        <f aca="false">IF(S1053="","",IF(S1053&lt;=Setup!$B$5,"🏆 WINNER",""))</f>
        <v/>
      </c>
      <c r="U1053" s="24" t="str">
        <f aca="false">IF(S1053="","",I1053&amp;"|"&amp;S1053)</f>
        <v/>
      </c>
    </row>
    <row r="1054" customFormat="false" ht="15" hidden="false" customHeight="false" outlineLevel="0" collapsed="false">
      <c r="A1054" s="31" t="n">
        <v>1050</v>
      </c>
      <c r="B1054" s="32" t="str">
        <f aca="false">IF(OR(C1054="",I1054="",G1054=""),"",IFERROR(VLOOKUP(I1054,Setup!$A$9:$B$11,2,0),"???")&amp;"-"&amp;G1054&amp;"-"&amp;TEXT(COUNTIFS(I$5:I1054,I1054,G$5:G1054,G1054),"0000"))</f>
        <v/>
      </c>
      <c r="C1054" s="26"/>
      <c r="D1054" s="26"/>
      <c r="E1054" s="27"/>
      <c r="F1054" s="27"/>
      <c r="G1054" s="31" t="str">
        <f aca="false">IF(F1054="","",IF(F1054&lt;=5,"A",IF(F1054&lt;=8,"B",IF(F1054&lt;=10,"C","D"))))</f>
        <v/>
      </c>
      <c r="H1054" s="28"/>
      <c r="I1054" s="27"/>
      <c r="J1054" s="26"/>
      <c r="K1054" s="27"/>
      <c r="L1054" s="27"/>
      <c r="M1054" s="27"/>
      <c r="N1054" s="27"/>
      <c r="O1054" s="31" t="str">
        <f aca="false">IF(G1054="","",VLOOKUP(G1054,Setup!$A$14:$C$17,3,0))</f>
        <v/>
      </c>
      <c r="P1054" s="27"/>
      <c r="Q1054" s="33" t="str">
        <f aca="false">IF(OR(P1054="",M1054&lt;&gt;"Paid",O1054=""),"",P1054/O1054)</f>
        <v/>
      </c>
      <c r="R1054" s="34" t="str">
        <f aca="false">IF(Q1054="","",Q1054+N(H1054)*0.000000001)</f>
        <v/>
      </c>
      <c r="S1054" s="32" t="str">
        <f aca="false">IF(R1054="","",SUMPRODUCT((I$5:I$4004=I1054)*ISNUMBER(R$5:R$4004)*(R$5:R$4004&gt;R1054))+1)</f>
        <v/>
      </c>
      <c r="T1054" s="32" t="str">
        <f aca="false">IF(S1054="","",IF(S1054&lt;=Setup!$B$5,"🏆 WINNER",""))</f>
        <v/>
      </c>
      <c r="U1054" s="31" t="str">
        <f aca="false">IF(S1054="","",I1054&amp;"|"&amp;S1054)</f>
        <v/>
      </c>
    </row>
    <row r="1055" customFormat="false" ht="15" hidden="false" customHeight="false" outlineLevel="0" collapsed="false">
      <c r="A1055" s="24" t="n">
        <v>1051</v>
      </c>
      <c r="B1055" s="25" t="str">
        <f aca="false">IF(OR(C1055="",I1055="",G1055=""),"",IFERROR(VLOOKUP(I1055,Setup!$A$9:$B$11,2,0),"???")&amp;"-"&amp;G1055&amp;"-"&amp;TEXT(COUNTIFS(I$5:I1055,I1055,G$5:G1055,G1055),"0000"))</f>
        <v/>
      </c>
      <c r="C1055" s="26"/>
      <c r="D1055" s="26"/>
      <c r="E1055" s="27"/>
      <c r="F1055" s="27"/>
      <c r="G1055" s="24" t="str">
        <f aca="false">IF(F1055="","",IF(F1055&lt;=5,"A",IF(F1055&lt;=8,"B",IF(F1055&lt;=10,"C","D"))))</f>
        <v/>
      </c>
      <c r="H1055" s="28"/>
      <c r="I1055" s="27"/>
      <c r="J1055" s="26"/>
      <c r="K1055" s="27"/>
      <c r="L1055" s="27"/>
      <c r="M1055" s="27"/>
      <c r="N1055" s="27"/>
      <c r="O1055" s="24" t="str">
        <f aca="false">IF(G1055="","",VLOOKUP(G1055,Setup!$A$14:$C$17,3,0))</f>
        <v/>
      </c>
      <c r="P1055" s="27"/>
      <c r="Q1055" s="29" t="str">
        <f aca="false">IF(OR(P1055="",M1055&lt;&gt;"Paid",O1055=""),"",P1055/O1055)</f>
        <v/>
      </c>
      <c r="R1055" s="30" t="str">
        <f aca="false">IF(Q1055="","",Q1055+N(H1055)*0.000000001)</f>
        <v/>
      </c>
      <c r="S1055" s="25" t="str">
        <f aca="false">IF(R1055="","",SUMPRODUCT((I$5:I$4004=I1055)*ISNUMBER(R$5:R$4004)*(R$5:R$4004&gt;R1055))+1)</f>
        <v/>
      </c>
      <c r="T1055" s="25" t="str">
        <f aca="false">IF(S1055="","",IF(S1055&lt;=Setup!$B$5,"🏆 WINNER",""))</f>
        <v/>
      </c>
      <c r="U1055" s="24" t="str">
        <f aca="false">IF(S1055="","",I1055&amp;"|"&amp;S1055)</f>
        <v/>
      </c>
    </row>
    <row r="1056" customFormat="false" ht="15" hidden="false" customHeight="false" outlineLevel="0" collapsed="false">
      <c r="A1056" s="31" t="n">
        <v>1052</v>
      </c>
      <c r="B1056" s="32" t="str">
        <f aca="false">IF(OR(C1056="",I1056="",G1056=""),"",IFERROR(VLOOKUP(I1056,Setup!$A$9:$B$11,2,0),"???")&amp;"-"&amp;G1056&amp;"-"&amp;TEXT(COUNTIFS(I$5:I1056,I1056,G$5:G1056,G1056),"0000"))</f>
        <v/>
      </c>
      <c r="C1056" s="26"/>
      <c r="D1056" s="26"/>
      <c r="E1056" s="27"/>
      <c r="F1056" s="27"/>
      <c r="G1056" s="31" t="str">
        <f aca="false">IF(F1056="","",IF(F1056&lt;=5,"A",IF(F1056&lt;=8,"B",IF(F1056&lt;=10,"C","D"))))</f>
        <v/>
      </c>
      <c r="H1056" s="28"/>
      <c r="I1056" s="27"/>
      <c r="J1056" s="26"/>
      <c r="K1056" s="27"/>
      <c r="L1056" s="27"/>
      <c r="M1056" s="27"/>
      <c r="N1056" s="27"/>
      <c r="O1056" s="31" t="str">
        <f aca="false">IF(G1056="","",VLOOKUP(G1056,Setup!$A$14:$C$17,3,0))</f>
        <v/>
      </c>
      <c r="P1056" s="27"/>
      <c r="Q1056" s="33" t="str">
        <f aca="false">IF(OR(P1056="",M1056&lt;&gt;"Paid",O1056=""),"",P1056/O1056)</f>
        <v/>
      </c>
      <c r="R1056" s="34" t="str">
        <f aca="false">IF(Q1056="","",Q1056+N(H1056)*0.000000001)</f>
        <v/>
      </c>
      <c r="S1056" s="32" t="str">
        <f aca="false">IF(R1056="","",SUMPRODUCT((I$5:I$4004=I1056)*ISNUMBER(R$5:R$4004)*(R$5:R$4004&gt;R1056))+1)</f>
        <v/>
      </c>
      <c r="T1056" s="32" t="str">
        <f aca="false">IF(S1056="","",IF(S1056&lt;=Setup!$B$5,"🏆 WINNER",""))</f>
        <v/>
      </c>
      <c r="U1056" s="31" t="str">
        <f aca="false">IF(S1056="","",I1056&amp;"|"&amp;S1056)</f>
        <v/>
      </c>
    </row>
    <row r="1057" customFormat="false" ht="15" hidden="false" customHeight="false" outlineLevel="0" collapsed="false">
      <c r="A1057" s="24" t="n">
        <v>1053</v>
      </c>
      <c r="B1057" s="25" t="str">
        <f aca="false">IF(OR(C1057="",I1057="",G1057=""),"",IFERROR(VLOOKUP(I1057,Setup!$A$9:$B$11,2,0),"???")&amp;"-"&amp;G1057&amp;"-"&amp;TEXT(COUNTIFS(I$5:I1057,I1057,G$5:G1057,G1057),"0000"))</f>
        <v/>
      </c>
      <c r="C1057" s="26"/>
      <c r="D1057" s="26"/>
      <c r="E1057" s="27"/>
      <c r="F1057" s="27"/>
      <c r="G1057" s="24" t="str">
        <f aca="false">IF(F1057="","",IF(F1057&lt;=5,"A",IF(F1057&lt;=8,"B",IF(F1057&lt;=10,"C","D"))))</f>
        <v/>
      </c>
      <c r="H1057" s="28"/>
      <c r="I1057" s="27"/>
      <c r="J1057" s="26"/>
      <c r="K1057" s="27"/>
      <c r="L1057" s="27"/>
      <c r="M1057" s="27"/>
      <c r="N1057" s="27"/>
      <c r="O1057" s="24" t="str">
        <f aca="false">IF(G1057="","",VLOOKUP(G1057,Setup!$A$14:$C$17,3,0))</f>
        <v/>
      </c>
      <c r="P1057" s="27"/>
      <c r="Q1057" s="29" t="str">
        <f aca="false">IF(OR(P1057="",M1057&lt;&gt;"Paid",O1057=""),"",P1057/O1057)</f>
        <v/>
      </c>
      <c r="R1057" s="30" t="str">
        <f aca="false">IF(Q1057="","",Q1057+N(H1057)*0.000000001)</f>
        <v/>
      </c>
      <c r="S1057" s="25" t="str">
        <f aca="false">IF(R1057="","",SUMPRODUCT((I$5:I$4004=I1057)*ISNUMBER(R$5:R$4004)*(R$5:R$4004&gt;R1057))+1)</f>
        <v/>
      </c>
      <c r="T1057" s="25" t="str">
        <f aca="false">IF(S1057="","",IF(S1057&lt;=Setup!$B$5,"🏆 WINNER",""))</f>
        <v/>
      </c>
      <c r="U1057" s="24" t="str">
        <f aca="false">IF(S1057="","",I1057&amp;"|"&amp;S1057)</f>
        <v/>
      </c>
    </row>
    <row r="1058" customFormat="false" ht="15" hidden="false" customHeight="false" outlineLevel="0" collapsed="false">
      <c r="A1058" s="31" t="n">
        <v>1054</v>
      </c>
      <c r="B1058" s="32" t="str">
        <f aca="false">IF(OR(C1058="",I1058="",G1058=""),"",IFERROR(VLOOKUP(I1058,Setup!$A$9:$B$11,2,0),"???")&amp;"-"&amp;G1058&amp;"-"&amp;TEXT(COUNTIFS(I$5:I1058,I1058,G$5:G1058,G1058),"0000"))</f>
        <v/>
      </c>
      <c r="C1058" s="26"/>
      <c r="D1058" s="26"/>
      <c r="E1058" s="27"/>
      <c r="F1058" s="27"/>
      <c r="G1058" s="31" t="str">
        <f aca="false">IF(F1058="","",IF(F1058&lt;=5,"A",IF(F1058&lt;=8,"B",IF(F1058&lt;=10,"C","D"))))</f>
        <v/>
      </c>
      <c r="H1058" s="28"/>
      <c r="I1058" s="27"/>
      <c r="J1058" s="26"/>
      <c r="K1058" s="27"/>
      <c r="L1058" s="27"/>
      <c r="M1058" s="27"/>
      <c r="N1058" s="27"/>
      <c r="O1058" s="31" t="str">
        <f aca="false">IF(G1058="","",VLOOKUP(G1058,Setup!$A$14:$C$17,3,0))</f>
        <v/>
      </c>
      <c r="P1058" s="27"/>
      <c r="Q1058" s="33" t="str">
        <f aca="false">IF(OR(P1058="",M1058&lt;&gt;"Paid",O1058=""),"",P1058/O1058)</f>
        <v/>
      </c>
      <c r="R1058" s="34" t="str">
        <f aca="false">IF(Q1058="","",Q1058+N(H1058)*0.000000001)</f>
        <v/>
      </c>
      <c r="S1058" s="32" t="str">
        <f aca="false">IF(R1058="","",SUMPRODUCT((I$5:I$4004=I1058)*ISNUMBER(R$5:R$4004)*(R$5:R$4004&gt;R1058))+1)</f>
        <v/>
      </c>
      <c r="T1058" s="32" t="str">
        <f aca="false">IF(S1058="","",IF(S1058&lt;=Setup!$B$5,"🏆 WINNER",""))</f>
        <v/>
      </c>
      <c r="U1058" s="31" t="str">
        <f aca="false">IF(S1058="","",I1058&amp;"|"&amp;S1058)</f>
        <v/>
      </c>
    </row>
    <row r="1059" customFormat="false" ht="15" hidden="false" customHeight="false" outlineLevel="0" collapsed="false">
      <c r="A1059" s="24" t="n">
        <v>1055</v>
      </c>
      <c r="B1059" s="25" t="str">
        <f aca="false">IF(OR(C1059="",I1059="",G1059=""),"",IFERROR(VLOOKUP(I1059,Setup!$A$9:$B$11,2,0),"???")&amp;"-"&amp;G1059&amp;"-"&amp;TEXT(COUNTIFS(I$5:I1059,I1059,G$5:G1059,G1059),"0000"))</f>
        <v/>
      </c>
      <c r="C1059" s="26"/>
      <c r="D1059" s="26"/>
      <c r="E1059" s="27"/>
      <c r="F1059" s="27"/>
      <c r="G1059" s="24" t="str">
        <f aca="false">IF(F1059="","",IF(F1059&lt;=5,"A",IF(F1059&lt;=8,"B",IF(F1059&lt;=10,"C","D"))))</f>
        <v/>
      </c>
      <c r="H1059" s="28"/>
      <c r="I1059" s="27"/>
      <c r="J1059" s="26"/>
      <c r="K1059" s="27"/>
      <c r="L1059" s="27"/>
      <c r="M1059" s="27"/>
      <c r="N1059" s="27"/>
      <c r="O1059" s="24" t="str">
        <f aca="false">IF(G1059="","",VLOOKUP(G1059,Setup!$A$14:$C$17,3,0))</f>
        <v/>
      </c>
      <c r="P1059" s="27"/>
      <c r="Q1059" s="29" t="str">
        <f aca="false">IF(OR(P1059="",M1059&lt;&gt;"Paid",O1059=""),"",P1059/O1059)</f>
        <v/>
      </c>
      <c r="R1059" s="30" t="str">
        <f aca="false">IF(Q1059="","",Q1059+N(H1059)*0.000000001)</f>
        <v/>
      </c>
      <c r="S1059" s="25" t="str">
        <f aca="false">IF(R1059="","",SUMPRODUCT((I$5:I$4004=I1059)*ISNUMBER(R$5:R$4004)*(R$5:R$4004&gt;R1059))+1)</f>
        <v/>
      </c>
      <c r="T1059" s="25" t="str">
        <f aca="false">IF(S1059="","",IF(S1059&lt;=Setup!$B$5,"🏆 WINNER",""))</f>
        <v/>
      </c>
      <c r="U1059" s="24" t="str">
        <f aca="false">IF(S1059="","",I1059&amp;"|"&amp;S1059)</f>
        <v/>
      </c>
    </row>
    <row r="1060" customFormat="false" ht="15" hidden="false" customHeight="false" outlineLevel="0" collapsed="false">
      <c r="A1060" s="31" t="n">
        <v>1056</v>
      </c>
      <c r="B1060" s="32" t="str">
        <f aca="false">IF(OR(C1060="",I1060="",G1060=""),"",IFERROR(VLOOKUP(I1060,Setup!$A$9:$B$11,2,0),"???")&amp;"-"&amp;G1060&amp;"-"&amp;TEXT(COUNTIFS(I$5:I1060,I1060,G$5:G1060,G1060),"0000"))</f>
        <v/>
      </c>
      <c r="C1060" s="26"/>
      <c r="D1060" s="26"/>
      <c r="E1060" s="27"/>
      <c r="F1060" s="27"/>
      <c r="G1060" s="31" t="str">
        <f aca="false">IF(F1060="","",IF(F1060&lt;=5,"A",IF(F1060&lt;=8,"B",IF(F1060&lt;=10,"C","D"))))</f>
        <v/>
      </c>
      <c r="H1060" s="28"/>
      <c r="I1060" s="27"/>
      <c r="J1060" s="26"/>
      <c r="K1060" s="27"/>
      <c r="L1060" s="27"/>
      <c r="M1060" s="27"/>
      <c r="N1060" s="27"/>
      <c r="O1060" s="31" t="str">
        <f aca="false">IF(G1060="","",VLOOKUP(G1060,Setup!$A$14:$C$17,3,0))</f>
        <v/>
      </c>
      <c r="P1060" s="27"/>
      <c r="Q1060" s="33" t="str">
        <f aca="false">IF(OR(P1060="",M1060&lt;&gt;"Paid",O1060=""),"",P1060/O1060)</f>
        <v/>
      </c>
      <c r="R1060" s="34" t="str">
        <f aca="false">IF(Q1060="","",Q1060+N(H1060)*0.000000001)</f>
        <v/>
      </c>
      <c r="S1060" s="32" t="str">
        <f aca="false">IF(R1060="","",SUMPRODUCT((I$5:I$4004=I1060)*ISNUMBER(R$5:R$4004)*(R$5:R$4004&gt;R1060))+1)</f>
        <v/>
      </c>
      <c r="T1060" s="32" t="str">
        <f aca="false">IF(S1060="","",IF(S1060&lt;=Setup!$B$5,"🏆 WINNER",""))</f>
        <v/>
      </c>
      <c r="U1060" s="31" t="str">
        <f aca="false">IF(S1060="","",I1060&amp;"|"&amp;S1060)</f>
        <v/>
      </c>
    </row>
    <row r="1061" customFormat="false" ht="15" hidden="false" customHeight="false" outlineLevel="0" collapsed="false">
      <c r="A1061" s="24" t="n">
        <v>1057</v>
      </c>
      <c r="B1061" s="25" t="str">
        <f aca="false">IF(OR(C1061="",I1061="",G1061=""),"",IFERROR(VLOOKUP(I1061,Setup!$A$9:$B$11,2,0),"???")&amp;"-"&amp;G1061&amp;"-"&amp;TEXT(COUNTIFS(I$5:I1061,I1061,G$5:G1061,G1061),"0000"))</f>
        <v/>
      </c>
      <c r="C1061" s="26"/>
      <c r="D1061" s="26"/>
      <c r="E1061" s="27"/>
      <c r="F1061" s="27"/>
      <c r="G1061" s="24" t="str">
        <f aca="false">IF(F1061="","",IF(F1061&lt;=5,"A",IF(F1061&lt;=8,"B",IF(F1061&lt;=10,"C","D"))))</f>
        <v/>
      </c>
      <c r="H1061" s="28"/>
      <c r="I1061" s="27"/>
      <c r="J1061" s="26"/>
      <c r="K1061" s="27"/>
      <c r="L1061" s="27"/>
      <c r="M1061" s="27"/>
      <c r="N1061" s="27"/>
      <c r="O1061" s="24" t="str">
        <f aca="false">IF(G1061="","",VLOOKUP(G1061,Setup!$A$14:$C$17,3,0))</f>
        <v/>
      </c>
      <c r="P1061" s="27"/>
      <c r="Q1061" s="29" t="str">
        <f aca="false">IF(OR(P1061="",M1061&lt;&gt;"Paid",O1061=""),"",P1061/O1061)</f>
        <v/>
      </c>
      <c r="R1061" s="30" t="str">
        <f aca="false">IF(Q1061="","",Q1061+N(H1061)*0.000000001)</f>
        <v/>
      </c>
      <c r="S1061" s="25" t="str">
        <f aca="false">IF(R1061="","",SUMPRODUCT((I$5:I$4004=I1061)*ISNUMBER(R$5:R$4004)*(R$5:R$4004&gt;R1061))+1)</f>
        <v/>
      </c>
      <c r="T1061" s="25" t="str">
        <f aca="false">IF(S1061="","",IF(S1061&lt;=Setup!$B$5,"🏆 WINNER",""))</f>
        <v/>
      </c>
      <c r="U1061" s="24" t="str">
        <f aca="false">IF(S1061="","",I1061&amp;"|"&amp;S1061)</f>
        <v/>
      </c>
    </row>
    <row r="1062" customFormat="false" ht="15" hidden="false" customHeight="false" outlineLevel="0" collapsed="false">
      <c r="A1062" s="31" t="n">
        <v>1058</v>
      </c>
      <c r="B1062" s="32" t="str">
        <f aca="false">IF(OR(C1062="",I1062="",G1062=""),"",IFERROR(VLOOKUP(I1062,Setup!$A$9:$B$11,2,0),"???")&amp;"-"&amp;G1062&amp;"-"&amp;TEXT(COUNTIFS(I$5:I1062,I1062,G$5:G1062,G1062),"0000"))</f>
        <v/>
      </c>
      <c r="C1062" s="26"/>
      <c r="D1062" s="26"/>
      <c r="E1062" s="27"/>
      <c r="F1062" s="27"/>
      <c r="G1062" s="31" t="str">
        <f aca="false">IF(F1062="","",IF(F1062&lt;=5,"A",IF(F1062&lt;=8,"B",IF(F1062&lt;=10,"C","D"))))</f>
        <v/>
      </c>
      <c r="H1062" s="28"/>
      <c r="I1062" s="27"/>
      <c r="J1062" s="26"/>
      <c r="K1062" s="27"/>
      <c r="L1062" s="27"/>
      <c r="M1062" s="27"/>
      <c r="N1062" s="27"/>
      <c r="O1062" s="31" t="str">
        <f aca="false">IF(G1062="","",VLOOKUP(G1062,Setup!$A$14:$C$17,3,0))</f>
        <v/>
      </c>
      <c r="P1062" s="27"/>
      <c r="Q1062" s="33" t="str">
        <f aca="false">IF(OR(P1062="",M1062&lt;&gt;"Paid",O1062=""),"",P1062/O1062)</f>
        <v/>
      </c>
      <c r="R1062" s="34" t="str">
        <f aca="false">IF(Q1062="","",Q1062+N(H1062)*0.000000001)</f>
        <v/>
      </c>
      <c r="S1062" s="32" t="str">
        <f aca="false">IF(R1062="","",SUMPRODUCT((I$5:I$4004=I1062)*ISNUMBER(R$5:R$4004)*(R$5:R$4004&gt;R1062))+1)</f>
        <v/>
      </c>
      <c r="T1062" s="32" t="str">
        <f aca="false">IF(S1062="","",IF(S1062&lt;=Setup!$B$5,"🏆 WINNER",""))</f>
        <v/>
      </c>
      <c r="U1062" s="31" t="str">
        <f aca="false">IF(S1062="","",I1062&amp;"|"&amp;S1062)</f>
        <v/>
      </c>
    </row>
    <row r="1063" customFormat="false" ht="15" hidden="false" customHeight="false" outlineLevel="0" collapsed="false">
      <c r="A1063" s="24" t="n">
        <v>1059</v>
      </c>
      <c r="B1063" s="25" t="str">
        <f aca="false">IF(OR(C1063="",I1063="",G1063=""),"",IFERROR(VLOOKUP(I1063,Setup!$A$9:$B$11,2,0),"???")&amp;"-"&amp;G1063&amp;"-"&amp;TEXT(COUNTIFS(I$5:I1063,I1063,G$5:G1063,G1063),"0000"))</f>
        <v/>
      </c>
      <c r="C1063" s="26"/>
      <c r="D1063" s="26"/>
      <c r="E1063" s="27"/>
      <c r="F1063" s="27"/>
      <c r="G1063" s="24" t="str">
        <f aca="false">IF(F1063="","",IF(F1063&lt;=5,"A",IF(F1063&lt;=8,"B",IF(F1063&lt;=10,"C","D"))))</f>
        <v/>
      </c>
      <c r="H1063" s="28"/>
      <c r="I1063" s="27"/>
      <c r="J1063" s="26"/>
      <c r="K1063" s="27"/>
      <c r="L1063" s="27"/>
      <c r="M1063" s="27"/>
      <c r="N1063" s="27"/>
      <c r="O1063" s="24" t="str">
        <f aca="false">IF(G1063="","",VLOOKUP(G1063,Setup!$A$14:$C$17,3,0))</f>
        <v/>
      </c>
      <c r="P1063" s="27"/>
      <c r="Q1063" s="29" t="str">
        <f aca="false">IF(OR(P1063="",M1063&lt;&gt;"Paid",O1063=""),"",P1063/O1063)</f>
        <v/>
      </c>
      <c r="R1063" s="30" t="str">
        <f aca="false">IF(Q1063="","",Q1063+N(H1063)*0.000000001)</f>
        <v/>
      </c>
      <c r="S1063" s="25" t="str">
        <f aca="false">IF(R1063="","",SUMPRODUCT((I$5:I$4004=I1063)*ISNUMBER(R$5:R$4004)*(R$5:R$4004&gt;R1063))+1)</f>
        <v/>
      </c>
      <c r="T1063" s="25" t="str">
        <f aca="false">IF(S1063="","",IF(S1063&lt;=Setup!$B$5,"🏆 WINNER",""))</f>
        <v/>
      </c>
      <c r="U1063" s="24" t="str">
        <f aca="false">IF(S1063="","",I1063&amp;"|"&amp;S1063)</f>
        <v/>
      </c>
    </row>
    <row r="1064" customFormat="false" ht="15" hidden="false" customHeight="false" outlineLevel="0" collapsed="false">
      <c r="A1064" s="31" t="n">
        <v>1060</v>
      </c>
      <c r="B1064" s="32" t="str">
        <f aca="false">IF(OR(C1064="",I1064="",G1064=""),"",IFERROR(VLOOKUP(I1064,Setup!$A$9:$B$11,2,0),"???")&amp;"-"&amp;G1064&amp;"-"&amp;TEXT(COUNTIFS(I$5:I1064,I1064,G$5:G1064,G1064),"0000"))</f>
        <v/>
      </c>
      <c r="C1064" s="26"/>
      <c r="D1064" s="26"/>
      <c r="E1064" s="27"/>
      <c r="F1064" s="27"/>
      <c r="G1064" s="31" t="str">
        <f aca="false">IF(F1064="","",IF(F1064&lt;=5,"A",IF(F1064&lt;=8,"B",IF(F1064&lt;=10,"C","D"))))</f>
        <v/>
      </c>
      <c r="H1064" s="28"/>
      <c r="I1064" s="27"/>
      <c r="J1064" s="26"/>
      <c r="K1064" s="27"/>
      <c r="L1064" s="27"/>
      <c r="M1064" s="27"/>
      <c r="N1064" s="27"/>
      <c r="O1064" s="31" t="str">
        <f aca="false">IF(G1064="","",VLOOKUP(G1064,Setup!$A$14:$C$17,3,0))</f>
        <v/>
      </c>
      <c r="P1064" s="27"/>
      <c r="Q1064" s="33" t="str">
        <f aca="false">IF(OR(P1064="",M1064&lt;&gt;"Paid",O1064=""),"",P1064/O1064)</f>
        <v/>
      </c>
      <c r="R1064" s="34" t="str">
        <f aca="false">IF(Q1064="","",Q1064+N(H1064)*0.000000001)</f>
        <v/>
      </c>
      <c r="S1064" s="32" t="str">
        <f aca="false">IF(R1064="","",SUMPRODUCT((I$5:I$4004=I1064)*ISNUMBER(R$5:R$4004)*(R$5:R$4004&gt;R1064))+1)</f>
        <v/>
      </c>
      <c r="T1064" s="32" t="str">
        <f aca="false">IF(S1064="","",IF(S1064&lt;=Setup!$B$5,"🏆 WINNER",""))</f>
        <v/>
      </c>
      <c r="U1064" s="31" t="str">
        <f aca="false">IF(S1064="","",I1064&amp;"|"&amp;S1064)</f>
        <v/>
      </c>
    </row>
    <row r="1065" customFormat="false" ht="15" hidden="false" customHeight="false" outlineLevel="0" collapsed="false">
      <c r="A1065" s="24" t="n">
        <v>1061</v>
      </c>
      <c r="B1065" s="25" t="str">
        <f aca="false">IF(OR(C1065="",I1065="",G1065=""),"",IFERROR(VLOOKUP(I1065,Setup!$A$9:$B$11,2,0),"???")&amp;"-"&amp;G1065&amp;"-"&amp;TEXT(COUNTIFS(I$5:I1065,I1065,G$5:G1065,G1065),"0000"))</f>
        <v/>
      </c>
      <c r="C1065" s="26"/>
      <c r="D1065" s="26"/>
      <c r="E1065" s="27"/>
      <c r="F1065" s="27"/>
      <c r="G1065" s="24" t="str">
        <f aca="false">IF(F1065="","",IF(F1065&lt;=5,"A",IF(F1065&lt;=8,"B",IF(F1065&lt;=10,"C","D"))))</f>
        <v/>
      </c>
      <c r="H1065" s="28"/>
      <c r="I1065" s="27"/>
      <c r="J1065" s="26"/>
      <c r="K1065" s="27"/>
      <c r="L1065" s="27"/>
      <c r="M1065" s="27"/>
      <c r="N1065" s="27"/>
      <c r="O1065" s="24" t="str">
        <f aca="false">IF(G1065="","",VLOOKUP(G1065,Setup!$A$14:$C$17,3,0))</f>
        <v/>
      </c>
      <c r="P1065" s="27"/>
      <c r="Q1065" s="29" t="str">
        <f aca="false">IF(OR(P1065="",M1065&lt;&gt;"Paid",O1065=""),"",P1065/O1065)</f>
        <v/>
      </c>
      <c r="R1065" s="30" t="str">
        <f aca="false">IF(Q1065="","",Q1065+N(H1065)*0.000000001)</f>
        <v/>
      </c>
      <c r="S1065" s="25" t="str">
        <f aca="false">IF(R1065="","",SUMPRODUCT((I$5:I$4004=I1065)*ISNUMBER(R$5:R$4004)*(R$5:R$4004&gt;R1065))+1)</f>
        <v/>
      </c>
      <c r="T1065" s="25" t="str">
        <f aca="false">IF(S1065="","",IF(S1065&lt;=Setup!$B$5,"🏆 WINNER",""))</f>
        <v/>
      </c>
      <c r="U1065" s="24" t="str">
        <f aca="false">IF(S1065="","",I1065&amp;"|"&amp;S1065)</f>
        <v/>
      </c>
    </row>
    <row r="1066" customFormat="false" ht="15" hidden="false" customHeight="false" outlineLevel="0" collapsed="false">
      <c r="A1066" s="31" t="n">
        <v>1062</v>
      </c>
      <c r="B1066" s="32" t="str">
        <f aca="false">IF(OR(C1066="",I1066="",G1066=""),"",IFERROR(VLOOKUP(I1066,Setup!$A$9:$B$11,2,0),"???")&amp;"-"&amp;G1066&amp;"-"&amp;TEXT(COUNTIFS(I$5:I1066,I1066,G$5:G1066,G1066),"0000"))</f>
        <v/>
      </c>
      <c r="C1066" s="26"/>
      <c r="D1066" s="26"/>
      <c r="E1066" s="27"/>
      <c r="F1066" s="27"/>
      <c r="G1066" s="31" t="str">
        <f aca="false">IF(F1066="","",IF(F1066&lt;=5,"A",IF(F1066&lt;=8,"B",IF(F1066&lt;=10,"C","D"))))</f>
        <v/>
      </c>
      <c r="H1066" s="28"/>
      <c r="I1066" s="27"/>
      <c r="J1066" s="26"/>
      <c r="K1066" s="27"/>
      <c r="L1066" s="27"/>
      <c r="M1066" s="27"/>
      <c r="N1066" s="27"/>
      <c r="O1066" s="31" t="str">
        <f aca="false">IF(G1066="","",VLOOKUP(G1066,Setup!$A$14:$C$17,3,0))</f>
        <v/>
      </c>
      <c r="P1066" s="27"/>
      <c r="Q1066" s="33" t="str">
        <f aca="false">IF(OR(P1066="",M1066&lt;&gt;"Paid",O1066=""),"",P1066/O1066)</f>
        <v/>
      </c>
      <c r="R1066" s="34" t="str">
        <f aca="false">IF(Q1066="","",Q1066+N(H1066)*0.000000001)</f>
        <v/>
      </c>
      <c r="S1066" s="32" t="str">
        <f aca="false">IF(R1066="","",SUMPRODUCT((I$5:I$4004=I1066)*ISNUMBER(R$5:R$4004)*(R$5:R$4004&gt;R1066))+1)</f>
        <v/>
      </c>
      <c r="T1066" s="32" t="str">
        <f aca="false">IF(S1066="","",IF(S1066&lt;=Setup!$B$5,"🏆 WINNER",""))</f>
        <v/>
      </c>
      <c r="U1066" s="31" t="str">
        <f aca="false">IF(S1066="","",I1066&amp;"|"&amp;S1066)</f>
        <v/>
      </c>
    </row>
    <row r="1067" customFormat="false" ht="15" hidden="false" customHeight="false" outlineLevel="0" collapsed="false">
      <c r="A1067" s="24" t="n">
        <v>1063</v>
      </c>
      <c r="B1067" s="25" t="str">
        <f aca="false">IF(OR(C1067="",I1067="",G1067=""),"",IFERROR(VLOOKUP(I1067,Setup!$A$9:$B$11,2,0),"???")&amp;"-"&amp;G1067&amp;"-"&amp;TEXT(COUNTIFS(I$5:I1067,I1067,G$5:G1067,G1067),"0000"))</f>
        <v/>
      </c>
      <c r="C1067" s="26"/>
      <c r="D1067" s="26"/>
      <c r="E1067" s="27"/>
      <c r="F1067" s="27"/>
      <c r="G1067" s="24" t="str">
        <f aca="false">IF(F1067="","",IF(F1067&lt;=5,"A",IF(F1067&lt;=8,"B",IF(F1067&lt;=10,"C","D"))))</f>
        <v/>
      </c>
      <c r="H1067" s="28"/>
      <c r="I1067" s="27"/>
      <c r="J1067" s="26"/>
      <c r="K1067" s="27"/>
      <c r="L1067" s="27"/>
      <c r="M1067" s="27"/>
      <c r="N1067" s="27"/>
      <c r="O1067" s="24" t="str">
        <f aca="false">IF(G1067="","",VLOOKUP(G1067,Setup!$A$14:$C$17,3,0))</f>
        <v/>
      </c>
      <c r="P1067" s="27"/>
      <c r="Q1067" s="29" t="str">
        <f aca="false">IF(OR(P1067="",M1067&lt;&gt;"Paid",O1067=""),"",P1067/O1067)</f>
        <v/>
      </c>
      <c r="R1067" s="30" t="str">
        <f aca="false">IF(Q1067="","",Q1067+N(H1067)*0.000000001)</f>
        <v/>
      </c>
      <c r="S1067" s="25" t="str">
        <f aca="false">IF(R1067="","",SUMPRODUCT((I$5:I$4004=I1067)*ISNUMBER(R$5:R$4004)*(R$5:R$4004&gt;R1067))+1)</f>
        <v/>
      </c>
      <c r="T1067" s="25" t="str">
        <f aca="false">IF(S1067="","",IF(S1067&lt;=Setup!$B$5,"🏆 WINNER",""))</f>
        <v/>
      </c>
      <c r="U1067" s="24" t="str">
        <f aca="false">IF(S1067="","",I1067&amp;"|"&amp;S1067)</f>
        <v/>
      </c>
    </row>
    <row r="1068" customFormat="false" ht="15" hidden="false" customHeight="false" outlineLevel="0" collapsed="false">
      <c r="A1068" s="31" t="n">
        <v>1064</v>
      </c>
      <c r="B1068" s="32" t="str">
        <f aca="false">IF(OR(C1068="",I1068="",G1068=""),"",IFERROR(VLOOKUP(I1068,Setup!$A$9:$B$11,2,0),"???")&amp;"-"&amp;G1068&amp;"-"&amp;TEXT(COUNTIFS(I$5:I1068,I1068,G$5:G1068,G1068),"0000"))</f>
        <v/>
      </c>
      <c r="C1068" s="26"/>
      <c r="D1068" s="26"/>
      <c r="E1068" s="27"/>
      <c r="F1068" s="27"/>
      <c r="G1068" s="31" t="str">
        <f aca="false">IF(F1068="","",IF(F1068&lt;=5,"A",IF(F1068&lt;=8,"B",IF(F1068&lt;=10,"C","D"))))</f>
        <v/>
      </c>
      <c r="H1068" s="28"/>
      <c r="I1068" s="27"/>
      <c r="J1068" s="26"/>
      <c r="K1068" s="27"/>
      <c r="L1068" s="27"/>
      <c r="M1068" s="27"/>
      <c r="N1068" s="27"/>
      <c r="O1068" s="31" t="str">
        <f aca="false">IF(G1068="","",VLOOKUP(G1068,Setup!$A$14:$C$17,3,0))</f>
        <v/>
      </c>
      <c r="P1068" s="27"/>
      <c r="Q1068" s="33" t="str">
        <f aca="false">IF(OR(P1068="",M1068&lt;&gt;"Paid",O1068=""),"",P1068/O1068)</f>
        <v/>
      </c>
      <c r="R1068" s="34" t="str">
        <f aca="false">IF(Q1068="","",Q1068+N(H1068)*0.000000001)</f>
        <v/>
      </c>
      <c r="S1068" s="32" t="str">
        <f aca="false">IF(R1068="","",SUMPRODUCT((I$5:I$4004=I1068)*ISNUMBER(R$5:R$4004)*(R$5:R$4004&gt;R1068))+1)</f>
        <v/>
      </c>
      <c r="T1068" s="32" t="str">
        <f aca="false">IF(S1068="","",IF(S1068&lt;=Setup!$B$5,"🏆 WINNER",""))</f>
        <v/>
      </c>
      <c r="U1068" s="31" t="str">
        <f aca="false">IF(S1068="","",I1068&amp;"|"&amp;S1068)</f>
        <v/>
      </c>
    </row>
    <row r="1069" customFormat="false" ht="15" hidden="false" customHeight="false" outlineLevel="0" collapsed="false">
      <c r="A1069" s="24" t="n">
        <v>1065</v>
      </c>
      <c r="B1069" s="25" t="str">
        <f aca="false">IF(OR(C1069="",I1069="",G1069=""),"",IFERROR(VLOOKUP(I1069,Setup!$A$9:$B$11,2,0),"???")&amp;"-"&amp;G1069&amp;"-"&amp;TEXT(COUNTIFS(I$5:I1069,I1069,G$5:G1069,G1069),"0000"))</f>
        <v/>
      </c>
      <c r="C1069" s="26"/>
      <c r="D1069" s="26"/>
      <c r="E1069" s="27"/>
      <c r="F1069" s="27"/>
      <c r="G1069" s="24" t="str">
        <f aca="false">IF(F1069="","",IF(F1069&lt;=5,"A",IF(F1069&lt;=8,"B",IF(F1069&lt;=10,"C","D"))))</f>
        <v/>
      </c>
      <c r="H1069" s="28"/>
      <c r="I1069" s="27"/>
      <c r="J1069" s="26"/>
      <c r="K1069" s="27"/>
      <c r="L1069" s="27"/>
      <c r="M1069" s="27"/>
      <c r="N1069" s="27"/>
      <c r="O1069" s="24" t="str">
        <f aca="false">IF(G1069="","",VLOOKUP(G1069,Setup!$A$14:$C$17,3,0))</f>
        <v/>
      </c>
      <c r="P1069" s="27"/>
      <c r="Q1069" s="29" t="str">
        <f aca="false">IF(OR(P1069="",M1069&lt;&gt;"Paid",O1069=""),"",P1069/O1069)</f>
        <v/>
      </c>
      <c r="R1069" s="30" t="str">
        <f aca="false">IF(Q1069="","",Q1069+N(H1069)*0.000000001)</f>
        <v/>
      </c>
      <c r="S1069" s="25" t="str">
        <f aca="false">IF(R1069="","",SUMPRODUCT((I$5:I$4004=I1069)*ISNUMBER(R$5:R$4004)*(R$5:R$4004&gt;R1069))+1)</f>
        <v/>
      </c>
      <c r="T1069" s="25" t="str">
        <f aca="false">IF(S1069="","",IF(S1069&lt;=Setup!$B$5,"🏆 WINNER",""))</f>
        <v/>
      </c>
      <c r="U1069" s="24" t="str">
        <f aca="false">IF(S1069="","",I1069&amp;"|"&amp;S1069)</f>
        <v/>
      </c>
    </row>
    <row r="1070" customFormat="false" ht="15" hidden="false" customHeight="false" outlineLevel="0" collapsed="false">
      <c r="A1070" s="31" t="n">
        <v>1066</v>
      </c>
      <c r="B1070" s="32" t="str">
        <f aca="false">IF(OR(C1070="",I1070="",G1070=""),"",IFERROR(VLOOKUP(I1070,Setup!$A$9:$B$11,2,0),"???")&amp;"-"&amp;G1070&amp;"-"&amp;TEXT(COUNTIFS(I$5:I1070,I1070,G$5:G1070,G1070),"0000"))</f>
        <v/>
      </c>
      <c r="C1070" s="26"/>
      <c r="D1070" s="26"/>
      <c r="E1070" s="27"/>
      <c r="F1070" s="27"/>
      <c r="G1070" s="31" t="str">
        <f aca="false">IF(F1070="","",IF(F1070&lt;=5,"A",IF(F1070&lt;=8,"B",IF(F1070&lt;=10,"C","D"))))</f>
        <v/>
      </c>
      <c r="H1070" s="28"/>
      <c r="I1070" s="27"/>
      <c r="J1070" s="26"/>
      <c r="K1070" s="27"/>
      <c r="L1070" s="27"/>
      <c r="M1070" s="27"/>
      <c r="N1070" s="27"/>
      <c r="O1070" s="31" t="str">
        <f aca="false">IF(G1070="","",VLOOKUP(G1070,Setup!$A$14:$C$17,3,0))</f>
        <v/>
      </c>
      <c r="P1070" s="27"/>
      <c r="Q1070" s="33" t="str">
        <f aca="false">IF(OR(P1070="",M1070&lt;&gt;"Paid",O1070=""),"",P1070/O1070)</f>
        <v/>
      </c>
      <c r="R1070" s="34" t="str">
        <f aca="false">IF(Q1070="","",Q1070+N(H1070)*0.000000001)</f>
        <v/>
      </c>
      <c r="S1070" s="32" t="str">
        <f aca="false">IF(R1070="","",SUMPRODUCT((I$5:I$4004=I1070)*ISNUMBER(R$5:R$4004)*(R$5:R$4004&gt;R1070))+1)</f>
        <v/>
      </c>
      <c r="T1070" s="32" t="str">
        <f aca="false">IF(S1070="","",IF(S1070&lt;=Setup!$B$5,"🏆 WINNER",""))</f>
        <v/>
      </c>
      <c r="U1070" s="31" t="str">
        <f aca="false">IF(S1070="","",I1070&amp;"|"&amp;S1070)</f>
        <v/>
      </c>
    </row>
    <row r="1071" customFormat="false" ht="15" hidden="false" customHeight="false" outlineLevel="0" collapsed="false">
      <c r="A1071" s="24" t="n">
        <v>1067</v>
      </c>
      <c r="B1071" s="25" t="str">
        <f aca="false">IF(OR(C1071="",I1071="",G1071=""),"",IFERROR(VLOOKUP(I1071,Setup!$A$9:$B$11,2,0),"???")&amp;"-"&amp;G1071&amp;"-"&amp;TEXT(COUNTIFS(I$5:I1071,I1071,G$5:G1071,G1071),"0000"))</f>
        <v/>
      </c>
      <c r="C1071" s="26"/>
      <c r="D1071" s="26"/>
      <c r="E1071" s="27"/>
      <c r="F1071" s="27"/>
      <c r="G1071" s="24" t="str">
        <f aca="false">IF(F1071="","",IF(F1071&lt;=5,"A",IF(F1071&lt;=8,"B",IF(F1071&lt;=10,"C","D"))))</f>
        <v/>
      </c>
      <c r="H1071" s="28"/>
      <c r="I1071" s="27"/>
      <c r="J1071" s="26"/>
      <c r="K1071" s="27"/>
      <c r="L1071" s="27"/>
      <c r="M1071" s="27"/>
      <c r="N1071" s="27"/>
      <c r="O1071" s="24" t="str">
        <f aca="false">IF(G1071="","",VLOOKUP(G1071,Setup!$A$14:$C$17,3,0))</f>
        <v/>
      </c>
      <c r="P1071" s="27"/>
      <c r="Q1071" s="29" t="str">
        <f aca="false">IF(OR(P1071="",M1071&lt;&gt;"Paid",O1071=""),"",P1071/O1071)</f>
        <v/>
      </c>
      <c r="R1071" s="30" t="str">
        <f aca="false">IF(Q1071="","",Q1071+N(H1071)*0.000000001)</f>
        <v/>
      </c>
      <c r="S1071" s="25" t="str">
        <f aca="false">IF(R1071="","",SUMPRODUCT((I$5:I$4004=I1071)*ISNUMBER(R$5:R$4004)*(R$5:R$4004&gt;R1071))+1)</f>
        <v/>
      </c>
      <c r="T1071" s="25" t="str">
        <f aca="false">IF(S1071="","",IF(S1071&lt;=Setup!$B$5,"🏆 WINNER",""))</f>
        <v/>
      </c>
      <c r="U1071" s="24" t="str">
        <f aca="false">IF(S1071="","",I1071&amp;"|"&amp;S1071)</f>
        <v/>
      </c>
    </row>
    <row r="1072" customFormat="false" ht="15" hidden="false" customHeight="false" outlineLevel="0" collapsed="false">
      <c r="A1072" s="31" t="n">
        <v>1068</v>
      </c>
      <c r="B1072" s="32" t="str">
        <f aca="false">IF(OR(C1072="",I1072="",G1072=""),"",IFERROR(VLOOKUP(I1072,Setup!$A$9:$B$11,2,0),"???")&amp;"-"&amp;G1072&amp;"-"&amp;TEXT(COUNTIFS(I$5:I1072,I1072,G$5:G1072,G1072),"0000"))</f>
        <v/>
      </c>
      <c r="C1072" s="26"/>
      <c r="D1072" s="26"/>
      <c r="E1072" s="27"/>
      <c r="F1072" s="27"/>
      <c r="G1072" s="31" t="str">
        <f aca="false">IF(F1072="","",IF(F1072&lt;=5,"A",IF(F1072&lt;=8,"B",IF(F1072&lt;=10,"C","D"))))</f>
        <v/>
      </c>
      <c r="H1072" s="28"/>
      <c r="I1072" s="27"/>
      <c r="J1072" s="26"/>
      <c r="K1072" s="27"/>
      <c r="L1072" s="27"/>
      <c r="M1072" s="27"/>
      <c r="N1072" s="27"/>
      <c r="O1072" s="31" t="str">
        <f aca="false">IF(G1072="","",VLOOKUP(G1072,Setup!$A$14:$C$17,3,0))</f>
        <v/>
      </c>
      <c r="P1072" s="27"/>
      <c r="Q1072" s="33" t="str">
        <f aca="false">IF(OR(P1072="",M1072&lt;&gt;"Paid",O1072=""),"",P1072/O1072)</f>
        <v/>
      </c>
      <c r="R1072" s="34" t="str">
        <f aca="false">IF(Q1072="","",Q1072+N(H1072)*0.000000001)</f>
        <v/>
      </c>
      <c r="S1072" s="32" t="str">
        <f aca="false">IF(R1072="","",SUMPRODUCT((I$5:I$4004=I1072)*ISNUMBER(R$5:R$4004)*(R$5:R$4004&gt;R1072))+1)</f>
        <v/>
      </c>
      <c r="T1072" s="32" t="str">
        <f aca="false">IF(S1072="","",IF(S1072&lt;=Setup!$B$5,"🏆 WINNER",""))</f>
        <v/>
      </c>
      <c r="U1072" s="31" t="str">
        <f aca="false">IF(S1072="","",I1072&amp;"|"&amp;S1072)</f>
        <v/>
      </c>
    </row>
    <row r="1073" customFormat="false" ht="15" hidden="false" customHeight="false" outlineLevel="0" collapsed="false">
      <c r="A1073" s="24" t="n">
        <v>1069</v>
      </c>
      <c r="B1073" s="25" t="str">
        <f aca="false">IF(OR(C1073="",I1073="",G1073=""),"",IFERROR(VLOOKUP(I1073,Setup!$A$9:$B$11,2,0),"???")&amp;"-"&amp;G1073&amp;"-"&amp;TEXT(COUNTIFS(I$5:I1073,I1073,G$5:G1073,G1073),"0000"))</f>
        <v/>
      </c>
      <c r="C1073" s="26"/>
      <c r="D1073" s="26"/>
      <c r="E1073" s="27"/>
      <c r="F1073" s="27"/>
      <c r="G1073" s="24" t="str">
        <f aca="false">IF(F1073="","",IF(F1073&lt;=5,"A",IF(F1073&lt;=8,"B",IF(F1073&lt;=10,"C","D"))))</f>
        <v/>
      </c>
      <c r="H1073" s="28"/>
      <c r="I1073" s="27"/>
      <c r="J1073" s="26"/>
      <c r="K1073" s="27"/>
      <c r="L1073" s="27"/>
      <c r="M1073" s="27"/>
      <c r="N1073" s="27"/>
      <c r="O1073" s="24" t="str">
        <f aca="false">IF(G1073="","",VLOOKUP(G1073,Setup!$A$14:$C$17,3,0))</f>
        <v/>
      </c>
      <c r="P1073" s="27"/>
      <c r="Q1073" s="29" t="str">
        <f aca="false">IF(OR(P1073="",M1073&lt;&gt;"Paid",O1073=""),"",P1073/O1073)</f>
        <v/>
      </c>
      <c r="R1073" s="30" t="str">
        <f aca="false">IF(Q1073="","",Q1073+N(H1073)*0.000000001)</f>
        <v/>
      </c>
      <c r="S1073" s="25" t="str">
        <f aca="false">IF(R1073="","",SUMPRODUCT((I$5:I$4004=I1073)*ISNUMBER(R$5:R$4004)*(R$5:R$4004&gt;R1073))+1)</f>
        <v/>
      </c>
      <c r="T1073" s="25" t="str">
        <f aca="false">IF(S1073="","",IF(S1073&lt;=Setup!$B$5,"🏆 WINNER",""))</f>
        <v/>
      </c>
      <c r="U1073" s="24" t="str">
        <f aca="false">IF(S1073="","",I1073&amp;"|"&amp;S1073)</f>
        <v/>
      </c>
    </row>
    <row r="1074" customFormat="false" ht="15" hidden="false" customHeight="false" outlineLevel="0" collapsed="false">
      <c r="A1074" s="31" t="n">
        <v>1070</v>
      </c>
      <c r="B1074" s="32" t="str">
        <f aca="false">IF(OR(C1074="",I1074="",G1074=""),"",IFERROR(VLOOKUP(I1074,Setup!$A$9:$B$11,2,0),"???")&amp;"-"&amp;G1074&amp;"-"&amp;TEXT(COUNTIFS(I$5:I1074,I1074,G$5:G1074,G1074),"0000"))</f>
        <v/>
      </c>
      <c r="C1074" s="26"/>
      <c r="D1074" s="26"/>
      <c r="E1074" s="27"/>
      <c r="F1074" s="27"/>
      <c r="G1074" s="31" t="str">
        <f aca="false">IF(F1074="","",IF(F1074&lt;=5,"A",IF(F1074&lt;=8,"B",IF(F1074&lt;=10,"C","D"))))</f>
        <v/>
      </c>
      <c r="H1074" s="28"/>
      <c r="I1074" s="27"/>
      <c r="J1074" s="26"/>
      <c r="K1074" s="27"/>
      <c r="L1074" s="27"/>
      <c r="M1074" s="27"/>
      <c r="N1074" s="27"/>
      <c r="O1074" s="31" t="str">
        <f aca="false">IF(G1074="","",VLOOKUP(G1074,Setup!$A$14:$C$17,3,0))</f>
        <v/>
      </c>
      <c r="P1074" s="27"/>
      <c r="Q1074" s="33" t="str">
        <f aca="false">IF(OR(P1074="",M1074&lt;&gt;"Paid",O1074=""),"",P1074/O1074)</f>
        <v/>
      </c>
      <c r="R1074" s="34" t="str">
        <f aca="false">IF(Q1074="","",Q1074+N(H1074)*0.000000001)</f>
        <v/>
      </c>
      <c r="S1074" s="32" t="str">
        <f aca="false">IF(R1074="","",SUMPRODUCT((I$5:I$4004=I1074)*ISNUMBER(R$5:R$4004)*(R$5:R$4004&gt;R1074))+1)</f>
        <v/>
      </c>
      <c r="T1074" s="32" t="str">
        <f aca="false">IF(S1074="","",IF(S1074&lt;=Setup!$B$5,"🏆 WINNER",""))</f>
        <v/>
      </c>
      <c r="U1074" s="31" t="str">
        <f aca="false">IF(S1074="","",I1074&amp;"|"&amp;S1074)</f>
        <v/>
      </c>
    </row>
    <row r="1075" customFormat="false" ht="15" hidden="false" customHeight="false" outlineLevel="0" collapsed="false">
      <c r="A1075" s="24" t="n">
        <v>1071</v>
      </c>
      <c r="B1075" s="25" t="str">
        <f aca="false">IF(OR(C1075="",I1075="",G1075=""),"",IFERROR(VLOOKUP(I1075,Setup!$A$9:$B$11,2,0),"???")&amp;"-"&amp;G1075&amp;"-"&amp;TEXT(COUNTIFS(I$5:I1075,I1075,G$5:G1075,G1075),"0000"))</f>
        <v/>
      </c>
      <c r="C1075" s="26"/>
      <c r="D1075" s="26"/>
      <c r="E1075" s="27"/>
      <c r="F1075" s="27"/>
      <c r="G1075" s="24" t="str">
        <f aca="false">IF(F1075="","",IF(F1075&lt;=5,"A",IF(F1075&lt;=8,"B",IF(F1075&lt;=10,"C","D"))))</f>
        <v/>
      </c>
      <c r="H1075" s="28"/>
      <c r="I1075" s="27"/>
      <c r="J1075" s="26"/>
      <c r="K1075" s="27"/>
      <c r="L1075" s="27"/>
      <c r="M1075" s="27"/>
      <c r="N1075" s="27"/>
      <c r="O1075" s="24" t="str">
        <f aca="false">IF(G1075="","",VLOOKUP(G1075,Setup!$A$14:$C$17,3,0))</f>
        <v/>
      </c>
      <c r="P1075" s="27"/>
      <c r="Q1075" s="29" t="str">
        <f aca="false">IF(OR(P1075="",M1075&lt;&gt;"Paid",O1075=""),"",P1075/O1075)</f>
        <v/>
      </c>
      <c r="R1075" s="30" t="str">
        <f aca="false">IF(Q1075="","",Q1075+N(H1075)*0.000000001)</f>
        <v/>
      </c>
      <c r="S1075" s="25" t="str">
        <f aca="false">IF(R1075="","",SUMPRODUCT((I$5:I$4004=I1075)*ISNUMBER(R$5:R$4004)*(R$5:R$4004&gt;R1075))+1)</f>
        <v/>
      </c>
      <c r="T1075" s="25" t="str">
        <f aca="false">IF(S1075="","",IF(S1075&lt;=Setup!$B$5,"🏆 WINNER",""))</f>
        <v/>
      </c>
      <c r="U1075" s="24" t="str">
        <f aca="false">IF(S1075="","",I1075&amp;"|"&amp;S1075)</f>
        <v/>
      </c>
    </row>
    <row r="1076" customFormat="false" ht="15" hidden="false" customHeight="false" outlineLevel="0" collapsed="false">
      <c r="A1076" s="31" t="n">
        <v>1072</v>
      </c>
      <c r="B1076" s="32" t="str">
        <f aca="false">IF(OR(C1076="",I1076="",G1076=""),"",IFERROR(VLOOKUP(I1076,Setup!$A$9:$B$11,2,0),"???")&amp;"-"&amp;G1076&amp;"-"&amp;TEXT(COUNTIFS(I$5:I1076,I1076,G$5:G1076,G1076),"0000"))</f>
        <v/>
      </c>
      <c r="C1076" s="26"/>
      <c r="D1076" s="26"/>
      <c r="E1076" s="27"/>
      <c r="F1076" s="27"/>
      <c r="G1076" s="31" t="str">
        <f aca="false">IF(F1076="","",IF(F1076&lt;=5,"A",IF(F1076&lt;=8,"B",IF(F1076&lt;=10,"C","D"))))</f>
        <v/>
      </c>
      <c r="H1076" s="28"/>
      <c r="I1076" s="27"/>
      <c r="J1076" s="26"/>
      <c r="K1076" s="27"/>
      <c r="L1076" s="27"/>
      <c r="M1076" s="27"/>
      <c r="N1076" s="27"/>
      <c r="O1076" s="31" t="str">
        <f aca="false">IF(G1076="","",VLOOKUP(G1076,Setup!$A$14:$C$17,3,0))</f>
        <v/>
      </c>
      <c r="P1076" s="27"/>
      <c r="Q1076" s="33" t="str">
        <f aca="false">IF(OR(P1076="",M1076&lt;&gt;"Paid",O1076=""),"",P1076/O1076)</f>
        <v/>
      </c>
      <c r="R1076" s="34" t="str">
        <f aca="false">IF(Q1076="","",Q1076+N(H1076)*0.000000001)</f>
        <v/>
      </c>
      <c r="S1076" s="32" t="str">
        <f aca="false">IF(R1076="","",SUMPRODUCT((I$5:I$4004=I1076)*ISNUMBER(R$5:R$4004)*(R$5:R$4004&gt;R1076))+1)</f>
        <v/>
      </c>
      <c r="T1076" s="32" t="str">
        <f aca="false">IF(S1076="","",IF(S1076&lt;=Setup!$B$5,"🏆 WINNER",""))</f>
        <v/>
      </c>
      <c r="U1076" s="31" t="str">
        <f aca="false">IF(S1076="","",I1076&amp;"|"&amp;S1076)</f>
        <v/>
      </c>
    </row>
    <row r="1077" customFormat="false" ht="15" hidden="false" customHeight="false" outlineLevel="0" collapsed="false">
      <c r="A1077" s="24" t="n">
        <v>1073</v>
      </c>
      <c r="B1077" s="25" t="str">
        <f aca="false">IF(OR(C1077="",I1077="",G1077=""),"",IFERROR(VLOOKUP(I1077,Setup!$A$9:$B$11,2,0),"???")&amp;"-"&amp;G1077&amp;"-"&amp;TEXT(COUNTIFS(I$5:I1077,I1077,G$5:G1077,G1077),"0000"))</f>
        <v/>
      </c>
      <c r="C1077" s="26"/>
      <c r="D1077" s="26"/>
      <c r="E1077" s="27"/>
      <c r="F1077" s="27"/>
      <c r="G1077" s="24" t="str">
        <f aca="false">IF(F1077="","",IF(F1077&lt;=5,"A",IF(F1077&lt;=8,"B",IF(F1077&lt;=10,"C","D"))))</f>
        <v/>
      </c>
      <c r="H1077" s="28"/>
      <c r="I1077" s="27"/>
      <c r="J1077" s="26"/>
      <c r="K1077" s="27"/>
      <c r="L1077" s="27"/>
      <c r="M1077" s="27"/>
      <c r="N1077" s="27"/>
      <c r="O1077" s="24" t="str">
        <f aca="false">IF(G1077="","",VLOOKUP(G1077,Setup!$A$14:$C$17,3,0))</f>
        <v/>
      </c>
      <c r="P1077" s="27"/>
      <c r="Q1077" s="29" t="str">
        <f aca="false">IF(OR(P1077="",M1077&lt;&gt;"Paid",O1077=""),"",P1077/O1077)</f>
        <v/>
      </c>
      <c r="R1077" s="30" t="str">
        <f aca="false">IF(Q1077="","",Q1077+N(H1077)*0.000000001)</f>
        <v/>
      </c>
      <c r="S1077" s="25" t="str">
        <f aca="false">IF(R1077="","",SUMPRODUCT((I$5:I$4004=I1077)*ISNUMBER(R$5:R$4004)*(R$5:R$4004&gt;R1077))+1)</f>
        <v/>
      </c>
      <c r="T1077" s="25" t="str">
        <f aca="false">IF(S1077="","",IF(S1077&lt;=Setup!$B$5,"🏆 WINNER",""))</f>
        <v/>
      </c>
      <c r="U1077" s="24" t="str">
        <f aca="false">IF(S1077="","",I1077&amp;"|"&amp;S1077)</f>
        <v/>
      </c>
    </row>
    <row r="1078" customFormat="false" ht="15" hidden="false" customHeight="false" outlineLevel="0" collapsed="false">
      <c r="A1078" s="31" t="n">
        <v>1074</v>
      </c>
      <c r="B1078" s="32" t="str">
        <f aca="false">IF(OR(C1078="",I1078="",G1078=""),"",IFERROR(VLOOKUP(I1078,Setup!$A$9:$B$11,2,0),"???")&amp;"-"&amp;G1078&amp;"-"&amp;TEXT(COUNTIFS(I$5:I1078,I1078,G$5:G1078,G1078),"0000"))</f>
        <v/>
      </c>
      <c r="C1078" s="26"/>
      <c r="D1078" s="26"/>
      <c r="E1078" s="27"/>
      <c r="F1078" s="27"/>
      <c r="G1078" s="31" t="str">
        <f aca="false">IF(F1078="","",IF(F1078&lt;=5,"A",IF(F1078&lt;=8,"B",IF(F1078&lt;=10,"C","D"))))</f>
        <v/>
      </c>
      <c r="H1078" s="28"/>
      <c r="I1078" s="27"/>
      <c r="J1078" s="26"/>
      <c r="K1078" s="27"/>
      <c r="L1078" s="27"/>
      <c r="M1078" s="27"/>
      <c r="N1078" s="27"/>
      <c r="O1078" s="31" t="str">
        <f aca="false">IF(G1078="","",VLOOKUP(G1078,Setup!$A$14:$C$17,3,0))</f>
        <v/>
      </c>
      <c r="P1078" s="27"/>
      <c r="Q1078" s="33" t="str">
        <f aca="false">IF(OR(P1078="",M1078&lt;&gt;"Paid",O1078=""),"",P1078/O1078)</f>
        <v/>
      </c>
      <c r="R1078" s="34" t="str">
        <f aca="false">IF(Q1078="","",Q1078+N(H1078)*0.000000001)</f>
        <v/>
      </c>
      <c r="S1078" s="32" t="str">
        <f aca="false">IF(R1078="","",SUMPRODUCT((I$5:I$4004=I1078)*ISNUMBER(R$5:R$4004)*(R$5:R$4004&gt;R1078))+1)</f>
        <v/>
      </c>
      <c r="T1078" s="32" t="str">
        <f aca="false">IF(S1078="","",IF(S1078&lt;=Setup!$B$5,"🏆 WINNER",""))</f>
        <v/>
      </c>
      <c r="U1078" s="31" t="str">
        <f aca="false">IF(S1078="","",I1078&amp;"|"&amp;S1078)</f>
        <v/>
      </c>
    </row>
    <row r="1079" customFormat="false" ht="15" hidden="false" customHeight="false" outlineLevel="0" collapsed="false">
      <c r="A1079" s="24" t="n">
        <v>1075</v>
      </c>
      <c r="B1079" s="25" t="str">
        <f aca="false">IF(OR(C1079="",I1079="",G1079=""),"",IFERROR(VLOOKUP(I1079,Setup!$A$9:$B$11,2,0),"???")&amp;"-"&amp;G1079&amp;"-"&amp;TEXT(COUNTIFS(I$5:I1079,I1079,G$5:G1079,G1079),"0000"))</f>
        <v/>
      </c>
      <c r="C1079" s="26"/>
      <c r="D1079" s="26"/>
      <c r="E1079" s="27"/>
      <c r="F1079" s="27"/>
      <c r="G1079" s="24" t="str">
        <f aca="false">IF(F1079="","",IF(F1079&lt;=5,"A",IF(F1079&lt;=8,"B",IF(F1079&lt;=10,"C","D"))))</f>
        <v/>
      </c>
      <c r="H1079" s="28"/>
      <c r="I1079" s="27"/>
      <c r="J1079" s="26"/>
      <c r="K1079" s="27"/>
      <c r="L1079" s="27"/>
      <c r="M1079" s="27"/>
      <c r="N1079" s="27"/>
      <c r="O1079" s="24" t="str">
        <f aca="false">IF(G1079="","",VLOOKUP(G1079,Setup!$A$14:$C$17,3,0))</f>
        <v/>
      </c>
      <c r="P1079" s="27"/>
      <c r="Q1079" s="29" t="str">
        <f aca="false">IF(OR(P1079="",M1079&lt;&gt;"Paid",O1079=""),"",P1079/O1079)</f>
        <v/>
      </c>
      <c r="R1079" s="30" t="str">
        <f aca="false">IF(Q1079="","",Q1079+N(H1079)*0.000000001)</f>
        <v/>
      </c>
      <c r="S1079" s="25" t="str">
        <f aca="false">IF(R1079="","",SUMPRODUCT((I$5:I$4004=I1079)*ISNUMBER(R$5:R$4004)*(R$5:R$4004&gt;R1079))+1)</f>
        <v/>
      </c>
      <c r="T1079" s="25" t="str">
        <f aca="false">IF(S1079="","",IF(S1079&lt;=Setup!$B$5,"🏆 WINNER",""))</f>
        <v/>
      </c>
      <c r="U1079" s="24" t="str">
        <f aca="false">IF(S1079="","",I1079&amp;"|"&amp;S1079)</f>
        <v/>
      </c>
    </row>
    <row r="1080" customFormat="false" ht="15" hidden="false" customHeight="false" outlineLevel="0" collapsed="false">
      <c r="A1080" s="31" t="n">
        <v>1076</v>
      </c>
      <c r="B1080" s="32" t="str">
        <f aca="false">IF(OR(C1080="",I1080="",G1080=""),"",IFERROR(VLOOKUP(I1080,Setup!$A$9:$B$11,2,0),"???")&amp;"-"&amp;G1080&amp;"-"&amp;TEXT(COUNTIFS(I$5:I1080,I1080,G$5:G1080,G1080),"0000"))</f>
        <v/>
      </c>
      <c r="C1080" s="26"/>
      <c r="D1080" s="26"/>
      <c r="E1080" s="27"/>
      <c r="F1080" s="27"/>
      <c r="G1080" s="31" t="str">
        <f aca="false">IF(F1080="","",IF(F1080&lt;=5,"A",IF(F1080&lt;=8,"B",IF(F1080&lt;=10,"C","D"))))</f>
        <v/>
      </c>
      <c r="H1080" s="28"/>
      <c r="I1080" s="27"/>
      <c r="J1080" s="26"/>
      <c r="K1080" s="27"/>
      <c r="L1080" s="27"/>
      <c r="M1080" s="27"/>
      <c r="N1080" s="27"/>
      <c r="O1080" s="31" t="str">
        <f aca="false">IF(G1080="","",VLOOKUP(G1080,Setup!$A$14:$C$17,3,0))</f>
        <v/>
      </c>
      <c r="P1080" s="27"/>
      <c r="Q1080" s="33" t="str">
        <f aca="false">IF(OR(P1080="",M1080&lt;&gt;"Paid",O1080=""),"",P1080/O1080)</f>
        <v/>
      </c>
      <c r="R1080" s="34" t="str">
        <f aca="false">IF(Q1080="","",Q1080+N(H1080)*0.000000001)</f>
        <v/>
      </c>
      <c r="S1080" s="32" t="str">
        <f aca="false">IF(R1080="","",SUMPRODUCT((I$5:I$4004=I1080)*ISNUMBER(R$5:R$4004)*(R$5:R$4004&gt;R1080))+1)</f>
        <v/>
      </c>
      <c r="T1080" s="32" t="str">
        <f aca="false">IF(S1080="","",IF(S1080&lt;=Setup!$B$5,"🏆 WINNER",""))</f>
        <v/>
      </c>
      <c r="U1080" s="31" t="str">
        <f aca="false">IF(S1080="","",I1080&amp;"|"&amp;S1080)</f>
        <v/>
      </c>
    </row>
    <row r="1081" customFormat="false" ht="15" hidden="false" customHeight="false" outlineLevel="0" collapsed="false">
      <c r="A1081" s="24" t="n">
        <v>1077</v>
      </c>
      <c r="B1081" s="25" t="str">
        <f aca="false">IF(OR(C1081="",I1081="",G1081=""),"",IFERROR(VLOOKUP(I1081,Setup!$A$9:$B$11,2,0),"???")&amp;"-"&amp;G1081&amp;"-"&amp;TEXT(COUNTIFS(I$5:I1081,I1081,G$5:G1081,G1081),"0000"))</f>
        <v/>
      </c>
      <c r="C1081" s="26"/>
      <c r="D1081" s="26"/>
      <c r="E1081" s="27"/>
      <c r="F1081" s="27"/>
      <c r="G1081" s="24" t="str">
        <f aca="false">IF(F1081="","",IF(F1081&lt;=5,"A",IF(F1081&lt;=8,"B",IF(F1081&lt;=10,"C","D"))))</f>
        <v/>
      </c>
      <c r="H1081" s="28"/>
      <c r="I1081" s="27"/>
      <c r="J1081" s="26"/>
      <c r="K1081" s="27"/>
      <c r="L1081" s="27"/>
      <c r="M1081" s="27"/>
      <c r="N1081" s="27"/>
      <c r="O1081" s="24" t="str">
        <f aca="false">IF(G1081="","",VLOOKUP(G1081,Setup!$A$14:$C$17,3,0))</f>
        <v/>
      </c>
      <c r="P1081" s="27"/>
      <c r="Q1081" s="29" t="str">
        <f aca="false">IF(OR(P1081="",M1081&lt;&gt;"Paid",O1081=""),"",P1081/O1081)</f>
        <v/>
      </c>
      <c r="R1081" s="30" t="str">
        <f aca="false">IF(Q1081="","",Q1081+N(H1081)*0.000000001)</f>
        <v/>
      </c>
      <c r="S1081" s="25" t="str">
        <f aca="false">IF(R1081="","",SUMPRODUCT((I$5:I$4004=I1081)*ISNUMBER(R$5:R$4004)*(R$5:R$4004&gt;R1081))+1)</f>
        <v/>
      </c>
      <c r="T1081" s="25" t="str">
        <f aca="false">IF(S1081="","",IF(S1081&lt;=Setup!$B$5,"🏆 WINNER",""))</f>
        <v/>
      </c>
      <c r="U1081" s="24" t="str">
        <f aca="false">IF(S1081="","",I1081&amp;"|"&amp;S1081)</f>
        <v/>
      </c>
    </row>
    <row r="1082" customFormat="false" ht="15" hidden="false" customHeight="false" outlineLevel="0" collapsed="false">
      <c r="A1082" s="31" t="n">
        <v>1078</v>
      </c>
      <c r="B1082" s="32" t="str">
        <f aca="false">IF(OR(C1082="",I1082="",G1082=""),"",IFERROR(VLOOKUP(I1082,Setup!$A$9:$B$11,2,0),"???")&amp;"-"&amp;G1082&amp;"-"&amp;TEXT(COUNTIFS(I$5:I1082,I1082,G$5:G1082,G1082),"0000"))</f>
        <v/>
      </c>
      <c r="C1082" s="26"/>
      <c r="D1082" s="26"/>
      <c r="E1082" s="27"/>
      <c r="F1082" s="27"/>
      <c r="G1082" s="31" t="str">
        <f aca="false">IF(F1082="","",IF(F1082&lt;=5,"A",IF(F1082&lt;=8,"B",IF(F1082&lt;=10,"C","D"))))</f>
        <v/>
      </c>
      <c r="H1082" s="28"/>
      <c r="I1082" s="27"/>
      <c r="J1082" s="26"/>
      <c r="K1082" s="27"/>
      <c r="L1082" s="27"/>
      <c r="M1082" s="27"/>
      <c r="N1082" s="27"/>
      <c r="O1082" s="31" t="str">
        <f aca="false">IF(G1082="","",VLOOKUP(G1082,Setup!$A$14:$C$17,3,0))</f>
        <v/>
      </c>
      <c r="P1082" s="27"/>
      <c r="Q1082" s="33" t="str">
        <f aca="false">IF(OR(P1082="",M1082&lt;&gt;"Paid",O1082=""),"",P1082/O1082)</f>
        <v/>
      </c>
      <c r="R1082" s="34" t="str">
        <f aca="false">IF(Q1082="","",Q1082+N(H1082)*0.000000001)</f>
        <v/>
      </c>
      <c r="S1082" s="32" t="str">
        <f aca="false">IF(R1082="","",SUMPRODUCT((I$5:I$4004=I1082)*ISNUMBER(R$5:R$4004)*(R$5:R$4004&gt;R1082))+1)</f>
        <v/>
      </c>
      <c r="T1082" s="32" t="str">
        <f aca="false">IF(S1082="","",IF(S1082&lt;=Setup!$B$5,"🏆 WINNER",""))</f>
        <v/>
      </c>
      <c r="U1082" s="31" t="str">
        <f aca="false">IF(S1082="","",I1082&amp;"|"&amp;S1082)</f>
        <v/>
      </c>
    </row>
    <row r="1083" customFormat="false" ht="15" hidden="false" customHeight="false" outlineLevel="0" collapsed="false">
      <c r="A1083" s="24" t="n">
        <v>1079</v>
      </c>
      <c r="B1083" s="25" t="str">
        <f aca="false">IF(OR(C1083="",I1083="",G1083=""),"",IFERROR(VLOOKUP(I1083,Setup!$A$9:$B$11,2,0),"???")&amp;"-"&amp;G1083&amp;"-"&amp;TEXT(COUNTIFS(I$5:I1083,I1083,G$5:G1083,G1083),"0000"))</f>
        <v/>
      </c>
      <c r="C1083" s="26"/>
      <c r="D1083" s="26"/>
      <c r="E1083" s="27"/>
      <c r="F1083" s="27"/>
      <c r="G1083" s="24" t="str">
        <f aca="false">IF(F1083="","",IF(F1083&lt;=5,"A",IF(F1083&lt;=8,"B",IF(F1083&lt;=10,"C","D"))))</f>
        <v/>
      </c>
      <c r="H1083" s="28"/>
      <c r="I1083" s="27"/>
      <c r="J1083" s="26"/>
      <c r="K1083" s="27"/>
      <c r="L1083" s="27"/>
      <c r="M1083" s="27"/>
      <c r="N1083" s="27"/>
      <c r="O1083" s="24" t="str">
        <f aca="false">IF(G1083="","",VLOOKUP(G1083,Setup!$A$14:$C$17,3,0))</f>
        <v/>
      </c>
      <c r="P1083" s="27"/>
      <c r="Q1083" s="29" t="str">
        <f aca="false">IF(OR(P1083="",M1083&lt;&gt;"Paid",O1083=""),"",P1083/O1083)</f>
        <v/>
      </c>
      <c r="R1083" s="30" t="str">
        <f aca="false">IF(Q1083="","",Q1083+N(H1083)*0.000000001)</f>
        <v/>
      </c>
      <c r="S1083" s="25" t="str">
        <f aca="false">IF(R1083="","",SUMPRODUCT((I$5:I$4004=I1083)*ISNUMBER(R$5:R$4004)*(R$5:R$4004&gt;R1083))+1)</f>
        <v/>
      </c>
      <c r="T1083" s="25" t="str">
        <f aca="false">IF(S1083="","",IF(S1083&lt;=Setup!$B$5,"🏆 WINNER",""))</f>
        <v/>
      </c>
      <c r="U1083" s="24" t="str">
        <f aca="false">IF(S1083="","",I1083&amp;"|"&amp;S1083)</f>
        <v/>
      </c>
    </row>
    <row r="1084" customFormat="false" ht="15" hidden="false" customHeight="false" outlineLevel="0" collapsed="false">
      <c r="A1084" s="31" t="n">
        <v>1080</v>
      </c>
      <c r="B1084" s="32" t="str">
        <f aca="false">IF(OR(C1084="",I1084="",G1084=""),"",IFERROR(VLOOKUP(I1084,Setup!$A$9:$B$11,2,0),"???")&amp;"-"&amp;G1084&amp;"-"&amp;TEXT(COUNTIFS(I$5:I1084,I1084,G$5:G1084,G1084),"0000"))</f>
        <v/>
      </c>
      <c r="C1084" s="26"/>
      <c r="D1084" s="26"/>
      <c r="E1084" s="27"/>
      <c r="F1084" s="27"/>
      <c r="G1084" s="31" t="str">
        <f aca="false">IF(F1084="","",IF(F1084&lt;=5,"A",IF(F1084&lt;=8,"B",IF(F1084&lt;=10,"C","D"))))</f>
        <v/>
      </c>
      <c r="H1084" s="28"/>
      <c r="I1084" s="27"/>
      <c r="J1084" s="26"/>
      <c r="K1084" s="27"/>
      <c r="L1084" s="27"/>
      <c r="M1084" s="27"/>
      <c r="N1084" s="27"/>
      <c r="O1084" s="31" t="str">
        <f aca="false">IF(G1084="","",VLOOKUP(G1084,Setup!$A$14:$C$17,3,0))</f>
        <v/>
      </c>
      <c r="P1084" s="27"/>
      <c r="Q1084" s="33" t="str">
        <f aca="false">IF(OR(P1084="",M1084&lt;&gt;"Paid",O1084=""),"",P1084/O1084)</f>
        <v/>
      </c>
      <c r="R1084" s="34" t="str">
        <f aca="false">IF(Q1084="","",Q1084+N(H1084)*0.000000001)</f>
        <v/>
      </c>
      <c r="S1084" s="32" t="str">
        <f aca="false">IF(R1084="","",SUMPRODUCT((I$5:I$4004=I1084)*ISNUMBER(R$5:R$4004)*(R$5:R$4004&gt;R1084))+1)</f>
        <v/>
      </c>
      <c r="T1084" s="32" t="str">
        <f aca="false">IF(S1084="","",IF(S1084&lt;=Setup!$B$5,"🏆 WINNER",""))</f>
        <v/>
      </c>
      <c r="U1084" s="31" t="str">
        <f aca="false">IF(S1084="","",I1084&amp;"|"&amp;S1084)</f>
        <v/>
      </c>
    </row>
    <row r="1085" customFormat="false" ht="15" hidden="false" customHeight="false" outlineLevel="0" collapsed="false">
      <c r="A1085" s="24" t="n">
        <v>1081</v>
      </c>
      <c r="B1085" s="25" t="str">
        <f aca="false">IF(OR(C1085="",I1085="",G1085=""),"",IFERROR(VLOOKUP(I1085,Setup!$A$9:$B$11,2,0),"???")&amp;"-"&amp;G1085&amp;"-"&amp;TEXT(COUNTIFS(I$5:I1085,I1085,G$5:G1085,G1085),"0000"))</f>
        <v/>
      </c>
      <c r="C1085" s="26"/>
      <c r="D1085" s="26"/>
      <c r="E1085" s="27"/>
      <c r="F1085" s="27"/>
      <c r="G1085" s="24" t="str">
        <f aca="false">IF(F1085="","",IF(F1085&lt;=5,"A",IF(F1085&lt;=8,"B",IF(F1085&lt;=10,"C","D"))))</f>
        <v/>
      </c>
      <c r="H1085" s="28"/>
      <c r="I1085" s="27"/>
      <c r="J1085" s="26"/>
      <c r="K1085" s="27"/>
      <c r="L1085" s="27"/>
      <c r="M1085" s="27"/>
      <c r="N1085" s="27"/>
      <c r="O1085" s="24" t="str">
        <f aca="false">IF(G1085="","",VLOOKUP(G1085,Setup!$A$14:$C$17,3,0))</f>
        <v/>
      </c>
      <c r="P1085" s="27"/>
      <c r="Q1085" s="29" t="str">
        <f aca="false">IF(OR(P1085="",M1085&lt;&gt;"Paid",O1085=""),"",P1085/O1085)</f>
        <v/>
      </c>
      <c r="R1085" s="30" t="str">
        <f aca="false">IF(Q1085="","",Q1085+N(H1085)*0.000000001)</f>
        <v/>
      </c>
      <c r="S1085" s="25" t="str">
        <f aca="false">IF(R1085="","",SUMPRODUCT((I$5:I$4004=I1085)*ISNUMBER(R$5:R$4004)*(R$5:R$4004&gt;R1085))+1)</f>
        <v/>
      </c>
      <c r="T1085" s="25" t="str">
        <f aca="false">IF(S1085="","",IF(S1085&lt;=Setup!$B$5,"🏆 WINNER",""))</f>
        <v/>
      </c>
      <c r="U1085" s="24" t="str">
        <f aca="false">IF(S1085="","",I1085&amp;"|"&amp;S1085)</f>
        <v/>
      </c>
    </row>
    <row r="1086" customFormat="false" ht="15" hidden="false" customHeight="false" outlineLevel="0" collapsed="false">
      <c r="A1086" s="31" t="n">
        <v>1082</v>
      </c>
      <c r="B1086" s="32" t="str">
        <f aca="false">IF(OR(C1086="",I1086="",G1086=""),"",IFERROR(VLOOKUP(I1086,Setup!$A$9:$B$11,2,0),"???")&amp;"-"&amp;G1086&amp;"-"&amp;TEXT(COUNTIFS(I$5:I1086,I1086,G$5:G1086,G1086),"0000"))</f>
        <v/>
      </c>
      <c r="C1086" s="26"/>
      <c r="D1086" s="26"/>
      <c r="E1086" s="27"/>
      <c r="F1086" s="27"/>
      <c r="G1086" s="31" t="str">
        <f aca="false">IF(F1086="","",IF(F1086&lt;=5,"A",IF(F1086&lt;=8,"B",IF(F1086&lt;=10,"C","D"))))</f>
        <v/>
      </c>
      <c r="H1086" s="28"/>
      <c r="I1086" s="27"/>
      <c r="J1086" s="26"/>
      <c r="K1086" s="27"/>
      <c r="L1086" s="27"/>
      <c r="M1086" s="27"/>
      <c r="N1086" s="27"/>
      <c r="O1086" s="31" t="str">
        <f aca="false">IF(G1086="","",VLOOKUP(G1086,Setup!$A$14:$C$17,3,0))</f>
        <v/>
      </c>
      <c r="P1086" s="27"/>
      <c r="Q1086" s="33" t="str">
        <f aca="false">IF(OR(P1086="",M1086&lt;&gt;"Paid",O1086=""),"",P1086/O1086)</f>
        <v/>
      </c>
      <c r="R1086" s="34" t="str">
        <f aca="false">IF(Q1086="","",Q1086+N(H1086)*0.000000001)</f>
        <v/>
      </c>
      <c r="S1086" s="32" t="str">
        <f aca="false">IF(R1086="","",SUMPRODUCT((I$5:I$4004=I1086)*ISNUMBER(R$5:R$4004)*(R$5:R$4004&gt;R1086))+1)</f>
        <v/>
      </c>
      <c r="T1086" s="32" t="str">
        <f aca="false">IF(S1086="","",IF(S1086&lt;=Setup!$B$5,"🏆 WINNER",""))</f>
        <v/>
      </c>
      <c r="U1086" s="31" t="str">
        <f aca="false">IF(S1086="","",I1086&amp;"|"&amp;S1086)</f>
        <v/>
      </c>
    </row>
    <row r="1087" customFormat="false" ht="15" hidden="false" customHeight="false" outlineLevel="0" collapsed="false">
      <c r="A1087" s="24" t="n">
        <v>1083</v>
      </c>
      <c r="B1087" s="25" t="str">
        <f aca="false">IF(OR(C1087="",I1087="",G1087=""),"",IFERROR(VLOOKUP(I1087,Setup!$A$9:$B$11,2,0),"???")&amp;"-"&amp;G1087&amp;"-"&amp;TEXT(COUNTIFS(I$5:I1087,I1087,G$5:G1087,G1087),"0000"))</f>
        <v/>
      </c>
      <c r="C1087" s="26"/>
      <c r="D1087" s="26"/>
      <c r="E1087" s="27"/>
      <c r="F1087" s="27"/>
      <c r="G1087" s="24" t="str">
        <f aca="false">IF(F1087="","",IF(F1087&lt;=5,"A",IF(F1087&lt;=8,"B",IF(F1087&lt;=10,"C","D"))))</f>
        <v/>
      </c>
      <c r="H1087" s="28"/>
      <c r="I1087" s="27"/>
      <c r="J1087" s="26"/>
      <c r="K1087" s="27"/>
      <c r="L1087" s="27"/>
      <c r="M1087" s="27"/>
      <c r="N1087" s="27"/>
      <c r="O1087" s="24" t="str">
        <f aca="false">IF(G1087="","",VLOOKUP(G1087,Setup!$A$14:$C$17,3,0))</f>
        <v/>
      </c>
      <c r="P1087" s="27"/>
      <c r="Q1087" s="29" t="str">
        <f aca="false">IF(OR(P1087="",M1087&lt;&gt;"Paid",O1087=""),"",P1087/O1087)</f>
        <v/>
      </c>
      <c r="R1087" s="30" t="str">
        <f aca="false">IF(Q1087="","",Q1087+N(H1087)*0.000000001)</f>
        <v/>
      </c>
      <c r="S1087" s="25" t="str">
        <f aca="false">IF(R1087="","",SUMPRODUCT((I$5:I$4004=I1087)*ISNUMBER(R$5:R$4004)*(R$5:R$4004&gt;R1087))+1)</f>
        <v/>
      </c>
      <c r="T1087" s="25" t="str">
        <f aca="false">IF(S1087="","",IF(S1087&lt;=Setup!$B$5,"🏆 WINNER",""))</f>
        <v/>
      </c>
      <c r="U1087" s="24" t="str">
        <f aca="false">IF(S1087="","",I1087&amp;"|"&amp;S1087)</f>
        <v/>
      </c>
    </row>
    <row r="1088" customFormat="false" ht="15" hidden="false" customHeight="false" outlineLevel="0" collapsed="false">
      <c r="A1088" s="31" t="n">
        <v>1084</v>
      </c>
      <c r="B1088" s="32" t="str">
        <f aca="false">IF(OR(C1088="",I1088="",G1088=""),"",IFERROR(VLOOKUP(I1088,Setup!$A$9:$B$11,2,0),"???")&amp;"-"&amp;G1088&amp;"-"&amp;TEXT(COUNTIFS(I$5:I1088,I1088,G$5:G1088,G1088),"0000"))</f>
        <v/>
      </c>
      <c r="C1088" s="26"/>
      <c r="D1088" s="26"/>
      <c r="E1088" s="27"/>
      <c r="F1088" s="27"/>
      <c r="G1088" s="31" t="str">
        <f aca="false">IF(F1088="","",IF(F1088&lt;=5,"A",IF(F1088&lt;=8,"B",IF(F1088&lt;=10,"C","D"))))</f>
        <v/>
      </c>
      <c r="H1088" s="28"/>
      <c r="I1088" s="27"/>
      <c r="J1088" s="26"/>
      <c r="K1088" s="27"/>
      <c r="L1088" s="27"/>
      <c r="M1088" s="27"/>
      <c r="N1088" s="27"/>
      <c r="O1088" s="31" t="str">
        <f aca="false">IF(G1088="","",VLOOKUP(G1088,Setup!$A$14:$C$17,3,0))</f>
        <v/>
      </c>
      <c r="P1088" s="27"/>
      <c r="Q1088" s="33" t="str">
        <f aca="false">IF(OR(P1088="",M1088&lt;&gt;"Paid",O1088=""),"",P1088/O1088)</f>
        <v/>
      </c>
      <c r="R1088" s="34" t="str">
        <f aca="false">IF(Q1088="","",Q1088+N(H1088)*0.000000001)</f>
        <v/>
      </c>
      <c r="S1088" s="32" t="str">
        <f aca="false">IF(R1088="","",SUMPRODUCT((I$5:I$4004=I1088)*ISNUMBER(R$5:R$4004)*(R$5:R$4004&gt;R1088))+1)</f>
        <v/>
      </c>
      <c r="T1088" s="32" t="str">
        <f aca="false">IF(S1088="","",IF(S1088&lt;=Setup!$B$5,"🏆 WINNER",""))</f>
        <v/>
      </c>
      <c r="U1088" s="31" t="str">
        <f aca="false">IF(S1088="","",I1088&amp;"|"&amp;S1088)</f>
        <v/>
      </c>
    </row>
    <row r="1089" customFormat="false" ht="15" hidden="false" customHeight="false" outlineLevel="0" collapsed="false">
      <c r="A1089" s="24" t="n">
        <v>1085</v>
      </c>
      <c r="B1089" s="25" t="str">
        <f aca="false">IF(OR(C1089="",I1089="",G1089=""),"",IFERROR(VLOOKUP(I1089,Setup!$A$9:$B$11,2,0),"???")&amp;"-"&amp;G1089&amp;"-"&amp;TEXT(COUNTIFS(I$5:I1089,I1089,G$5:G1089,G1089),"0000"))</f>
        <v/>
      </c>
      <c r="C1089" s="26"/>
      <c r="D1089" s="26"/>
      <c r="E1089" s="27"/>
      <c r="F1089" s="27"/>
      <c r="G1089" s="24" t="str">
        <f aca="false">IF(F1089="","",IF(F1089&lt;=5,"A",IF(F1089&lt;=8,"B",IF(F1089&lt;=10,"C","D"))))</f>
        <v/>
      </c>
      <c r="H1089" s="28"/>
      <c r="I1089" s="27"/>
      <c r="J1089" s="26"/>
      <c r="K1089" s="27"/>
      <c r="L1089" s="27"/>
      <c r="M1089" s="27"/>
      <c r="N1089" s="27"/>
      <c r="O1089" s="24" t="str">
        <f aca="false">IF(G1089="","",VLOOKUP(G1089,Setup!$A$14:$C$17,3,0))</f>
        <v/>
      </c>
      <c r="P1089" s="27"/>
      <c r="Q1089" s="29" t="str">
        <f aca="false">IF(OR(P1089="",M1089&lt;&gt;"Paid",O1089=""),"",P1089/O1089)</f>
        <v/>
      </c>
      <c r="R1089" s="30" t="str">
        <f aca="false">IF(Q1089="","",Q1089+N(H1089)*0.000000001)</f>
        <v/>
      </c>
      <c r="S1089" s="25" t="str">
        <f aca="false">IF(R1089="","",SUMPRODUCT((I$5:I$4004=I1089)*ISNUMBER(R$5:R$4004)*(R$5:R$4004&gt;R1089))+1)</f>
        <v/>
      </c>
      <c r="T1089" s="25" t="str">
        <f aca="false">IF(S1089="","",IF(S1089&lt;=Setup!$B$5,"🏆 WINNER",""))</f>
        <v/>
      </c>
      <c r="U1089" s="24" t="str">
        <f aca="false">IF(S1089="","",I1089&amp;"|"&amp;S1089)</f>
        <v/>
      </c>
    </row>
    <row r="1090" customFormat="false" ht="15" hidden="false" customHeight="false" outlineLevel="0" collapsed="false">
      <c r="A1090" s="31" t="n">
        <v>1086</v>
      </c>
      <c r="B1090" s="32" t="str">
        <f aca="false">IF(OR(C1090="",I1090="",G1090=""),"",IFERROR(VLOOKUP(I1090,Setup!$A$9:$B$11,2,0),"???")&amp;"-"&amp;G1090&amp;"-"&amp;TEXT(COUNTIFS(I$5:I1090,I1090,G$5:G1090,G1090),"0000"))</f>
        <v/>
      </c>
      <c r="C1090" s="26"/>
      <c r="D1090" s="26"/>
      <c r="E1090" s="27"/>
      <c r="F1090" s="27"/>
      <c r="G1090" s="31" t="str">
        <f aca="false">IF(F1090="","",IF(F1090&lt;=5,"A",IF(F1090&lt;=8,"B",IF(F1090&lt;=10,"C","D"))))</f>
        <v/>
      </c>
      <c r="H1090" s="28"/>
      <c r="I1090" s="27"/>
      <c r="J1090" s="26"/>
      <c r="K1090" s="27"/>
      <c r="L1090" s="27"/>
      <c r="M1090" s="27"/>
      <c r="N1090" s="27"/>
      <c r="O1090" s="31" t="str">
        <f aca="false">IF(G1090="","",VLOOKUP(G1090,Setup!$A$14:$C$17,3,0))</f>
        <v/>
      </c>
      <c r="P1090" s="27"/>
      <c r="Q1090" s="33" t="str">
        <f aca="false">IF(OR(P1090="",M1090&lt;&gt;"Paid",O1090=""),"",P1090/O1090)</f>
        <v/>
      </c>
      <c r="R1090" s="34" t="str">
        <f aca="false">IF(Q1090="","",Q1090+N(H1090)*0.000000001)</f>
        <v/>
      </c>
      <c r="S1090" s="32" t="str">
        <f aca="false">IF(R1090="","",SUMPRODUCT((I$5:I$4004=I1090)*ISNUMBER(R$5:R$4004)*(R$5:R$4004&gt;R1090))+1)</f>
        <v/>
      </c>
      <c r="T1090" s="32" t="str">
        <f aca="false">IF(S1090="","",IF(S1090&lt;=Setup!$B$5,"🏆 WINNER",""))</f>
        <v/>
      </c>
      <c r="U1090" s="31" t="str">
        <f aca="false">IF(S1090="","",I1090&amp;"|"&amp;S1090)</f>
        <v/>
      </c>
    </row>
    <row r="1091" customFormat="false" ht="15" hidden="false" customHeight="false" outlineLevel="0" collapsed="false">
      <c r="A1091" s="24" t="n">
        <v>1087</v>
      </c>
      <c r="B1091" s="25" t="str">
        <f aca="false">IF(OR(C1091="",I1091="",G1091=""),"",IFERROR(VLOOKUP(I1091,Setup!$A$9:$B$11,2,0),"???")&amp;"-"&amp;G1091&amp;"-"&amp;TEXT(COUNTIFS(I$5:I1091,I1091,G$5:G1091,G1091),"0000"))</f>
        <v/>
      </c>
      <c r="C1091" s="26"/>
      <c r="D1091" s="26"/>
      <c r="E1091" s="27"/>
      <c r="F1091" s="27"/>
      <c r="G1091" s="24" t="str">
        <f aca="false">IF(F1091="","",IF(F1091&lt;=5,"A",IF(F1091&lt;=8,"B",IF(F1091&lt;=10,"C","D"))))</f>
        <v/>
      </c>
      <c r="H1091" s="28"/>
      <c r="I1091" s="27"/>
      <c r="J1091" s="26"/>
      <c r="K1091" s="27"/>
      <c r="L1091" s="27"/>
      <c r="M1091" s="27"/>
      <c r="N1091" s="27"/>
      <c r="O1091" s="24" t="str">
        <f aca="false">IF(G1091="","",VLOOKUP(G1091,Setup!$A$14:$C$17,3,0))</f>
        <v/>
      </c>
      <c r="P1091" s="27"/>
      <c r="Q1091" s="29" t="str">
        <f aca="false">IF(OR(P1091="",M1091&lt;&gt;"Paid",O1091=""),"",P1091/O1091)</f>
        <v/>
      </c>
      <c r="R1091" s="30" t="str">
        <f aca="false">IF(Q1091="","",Q1091+N(H1091)*0.000000001)</f>
        <v/>
      </c>
      <c r="S1091" s="25" t="str">
        <f aca="false">IF(R1091="","",SUMPRODUCT((I$5:I$4004=I1091)*ISNUMBER(R$5:R$4004)*(R$5:R$4004&gt;R1091))+1)</f>
        <v/>
      </c>
      <c r="T1091" s="25" t="str">
        <f aca="false">IF(S1091="","",IF(S1091&lt;=Setup!$B$5,"🏆 WINNER",""))</f>
        <v/>
      </c>
      <c r="U1091" s="24" t="str">
        <f aca="false">IF(S1091="","",I1091&amp;"|"&amp;S1091)</f>
        <v/>
      </c>
    </row>
    <row r="1092" customFormat="false" ht="15" hidden="false" customHeight="false" outlineLevel="0" collapsed="false">
      <c r="A1092" s="31" t="n">
        <v>1088</v>
      </c>
      <c r="B1092" s="32" t="str">
        <f aca="false">IF(OR(C1092="",I1092="",G1092=""),"",IFERROR(VLOOKUP(I1092,Setup!$A$9:$B$11,2,0),"???")&amp;"-"&amp;G1092&amp;"-"&amp;TEXT(COUNTIFS(I$5:I1092,I1092,G$5:G1092,G1092),"0000"))</f>
        <v/>
      </c>
      <c r="C1092" s="26"/>
      <c r="D1092" s="26"/>
      <c r="E1092" s="27"/>
      <c r="F1092" s="27"/>
      <c r="G1092" s="31" t="str">
        <f aca="false">IF(F1092="","",IF(F1092&lt;=5,"A",IF(F1092&lt;=8,"B",IF(F1092&lt;=10,"C","D"))))</f>
        <v/>
      </c>
      <c r="H1092" s="28"/>
      <c r="I1092" s="27"/>
      <c r="J1092" s="26"/>
      <c r="K1092" s="27"/>
      <c r="L1092" s="27"/>
      <c r="M1092" s="27"/>
      <c r="N1092" s="27"/>
      <c r="O1092" s="31" t="str">
        <f aca="false">IF(G1092="","",VLOOKUP(G1092,Setup!$A$14:$C$17,3,0))</f>
        <v/>
      </c>
      <c r="P1092" s="27"/>
      <c r="Q1092" s="33" t="str">
        <f aca="false">IF(OR(P1092="",M1092&lt;&gt;"Paid",O1092=""),"",P1092/O1092)</f>
        <v/>
      </c>
      <c r="R1092" s="34" t="str">
        <f aca="false">IF(Q1092="","",Q1092+N(H1092)*0.000000001)</f>
        <v/>
      </c>
      <c r="S1092" s="32" t="str">
        <f aca="false">IF(R1092="","",SUMPRODUCT((I$5:I$4004=I1092)*ISNUMBER(R$5:R$4004)*(R$5:R$4004&gt;R1092))+1)</f>
        <v/>
      </c>
      <c r="T1092" s="32" t="str">
        <f aca="false">IF(S1092="","",IF(S1092&lt;=Setup!$B$5,"🏆 WINNER",""))</f>
        <v/>
      </c>
      <c r="U1092" s="31" t="str">
        <f aca="false">IF(S1092="","",I1092&amp;"|"&amp;S1092)</f>
        <v/>
      </c>
    </row>
    <row r="1093" customFormat="false" ht="15" hidden="false" customHeight="false" outlineLevel="0" collapsed="false">
      <c r="A1093" s="24" t="n">
        <v>1089</v>
      </c>
      <c r="B1093" s="25" t="str">
        <f aca="false">IF(OR(C1093="",I1093="",G1093=""),"",IFERROR(VLOOKUP(I1093,Setup!$A$9:$B$11,2,0),"???")&amp;"-"&amp;G1093&amp;"-"&amp;TEXT(COUNTIFS(I$5:I1093,I1093,G$5:G1093,G1093),"0000"))</f>
        <v/>
      </c>
      <c r="C1093" s="26"/>
      <c r="D1093" s="26"/>
      <c r="E1093" s="27"/>
      <c r="F1093" s="27"/>
      <c r="G1093" s="24" t="str">
        <f aca="false">IF(F1093="","",IF(F1093&lt;=5,"A",IF(F1093&lt;=8,"B",IF(F1093&lt;=10,"C","D"))))</f>
        <v/>
      </c>
      <c r="H1093" s="28"/>
      <c r="I1093" s="27"/>
      <c r="J1093" s="26"/>
      <c r="K1093" s="27"/>
      <c r="L1093" s="27"/>
      <c r="M1093" s="27"/>
      <c r="N1093" s="27"/>
      <c r="O1093" s="24" t="str">
        <f aca="false">IF(G1093="","",VLOOKUP(G1093,Setup!$A$14:$C$17,3,0))</f>
        <v/>
      </c>
      <c r="P1093" s="27"/>
      <c r="Q1093" s="29" t="str">
        <f aca="false">IF(OR(P1093="",M1093&lt;&gt;"Paid",O1093=""),"",P1093/O1093)</f>
        <v/>
      </c>
      <c r="R1093" s="30" t="str">
        <f aca="false">IF(Q1093="","",Q1093+N(H1093)*0.000000001)</f>
        <v/>
      </c>
      <c r="S1093" s="25" t="str">
        <f aca="false">IF(R1093="","",SUMPRODUCT((I$5:I$4004=I1093)*ISNUMBER(R$5:R$4004)*(R$5:R$4004&gt;R1093))+1)</f>
        <v/>
      </c>
      <c r="T1093" s="25" t="str">
        <f aca="false">IF(S1093="","",IF(S1093&lt;=Setup!$B$5,"🏆 WINNER",""))</f>
        <v/>
      </c>
      <c r="U1093" s="24" t="str">
        <f aca="false">IF(S1093="","",I1093&amp;"|"&amp;S1093)</f>
        <v/>
      </c>
    </row>
    <row r="1094" customFormat="false" ht="15" hidden="false" customHeight="false" outlineLevel="0" collapsed="false">
      <c r="A1094" s="31" t="n">
        <v>1090</v>
      </c>
      <c r="B1094" s="32" t="str">
        <f aca="false">IF(OR(C1094="",I1094="",G1094=""),"",IFERROR(VLOOKUP(I1094,Setup!$A$9:$B$11,2,0),"???")&amp;"-"&amp;G1094&amp;"-"&amp;TEXT(COUNTIFS(I$5:I1094,I1094,G$5:G1094,G1094),"0000"))</f>
        <v/>
      </c>
      <c r="C1094" s="26"/>
      <c r="D1094" s="26"/>
      <c r="E1094" s="27"/>
      <c r="F1094" s="27"/>
      <c r="G1094" s="31" t="str">
        <f aca="false">IF(F1094="","",IF(F1094&lt;=5,"A",IF(F1094&lt;=8,"B",IF(F1094&lt;=10,"C","D"))))</f>
        <v/>
      </c>
      <c r="H1094" s="28"/>
      <c r="I1094" s="27"/>
      <c r="J1094" s="26"/>
      <c r="K1094" s="27"/>
      <c r="L1094" s="27"/>
      <c r="M1094" s="27"/>
      <c r="N1094" s="27"/>
      <c r="O1094" s="31" t="str">
        <f aca="false">IF(G1094="","",VLOOKUP(G1094,Setup!$A$14:$C$17,3,0))</f>
        <v/>
      </c>
      <c r="P1094" s="27"/>
      <c r="Q1094" s="33" t="str">
        <f aca="false">IF(OR(P1094="",M1094&lt;&gt;"Paid",O1094=""),"",P1094/O1094)</f>
        <v/>
      </c>
      <c r="R1094" s="34" t="str">
        <f aca="false">IF(Q1094="","",Q1094+N(H1094)*0.000000001)</f>
        <v/>
      </c>
      <c r="S1094" s="32" t="str">
        <f aca="false">IF(R1094="","",SUMPRODUCT((I$5:I$4004=I1094)*ISNUMBER(R$5:R$4004)*(R$5:R$4004&gt;R1094))+1)</f>
        <v/>
      </c>
      <c r="T1094" s="32" t="str">
        <f aca="false">IF(S1094="","",IF(S1094&lt;=Setup!$B$5,"🏆 WINNER",""))</f>
        <v/>
      </c>
      <c r="U1094" s="31" t="str">
        <f aca="false">IF(S1094="","",I1094&amp;"|"&amp;S1094)</f>
        <v/>
      </c>
    </row>
    <row r="1095" customFormat="false" ht="15" hidden="false" customHeight="false" outlineLevel="0" collapsed="false">
      <c r="A1095" s="24" t="n">
        <v>1091</v>
      </c>
      <c r="B1095" s="25" t="str">
        <f aca="false">IF(OR(C1095="",I1095="",G1095=""),"",IFERROR(VLOOKUP(I1095,Setup!$A$9:$B$11,2,0),"???")&amp;"-"&amp;G1095&amp;"-"&amp;TEXT(COUNTIFS(I$5:I1095,I1095,G$5:G1095,G1095),"0000"))</f>
        <v/>
      </c>
      <c r="C1095" s="26"/>
      <c r="D1095" s="26"/>
      <c r="E1095" s="27"/>
      <c r="F1095" s="27"/>
      <c r="G1095" s="24" t="str">
        <f aca="false">IF(F1095="","",IF(F1095&lt;=5,"A",IF(F1095&lt;=8,"B",IF(F1095&lt;=10,"C","D"))))</f>
        <v/>
      </c>
      <c r="H1095" s="28"/>
      <c r="I1095" s="27"/>
      <c r="J1095" s="26"/>
      <c r="K1095" s="27"/>
      <c r="L1095" s="27"/>
      <c r="M1095" s="27"/>
      <c r="N1095" s="27"/>
      <c r="O1095" s="24" t="str">
        <f aca="false">IF(G1095="","",VLOOKUP(G1095,Setup!$A$14:$C$17,3,0))</f>
        <v/>
      </c>
      <c r="P1095" s="27"/>
      <c r="Q1095" s="29" t="str">
        <f aca="false">IF(OR(P1095="",M1095&lt;&gt;"Paid",O1095=""),"",P1095/O1095)</f>
        <v/>
      </c>
      <c r="R1095" s="30" t="str">
        <f aca="false">IF(Q1095="","",Q1095+N(H1095)*0.000000001)</f>
        <v/>
      </c>
      <c r="S1095" s="25" t="str">
        <f aca="false">IF(R1095="","",SUMPRODUCT((I$5:I$4004=I1095)*ISNUMBER(R$5:R$4004)*(R$5:R$4004&gt;R1095))+1)</f>
        <v/>
      </c>
      <c r="T1095" s="25" t="str">
        <f aca="false">IF(S1095="","",IF(S1095&lt;=Setup!$B$5,"🏆 WINNER",""))</f>
        <v/>
      </c>
      <c r="U1095" s="24" t="str">
        <f aca="false">IF(S1095="","",I1095&amp;"|"&amp;S1095)</f>
        <v/>
      </c>
    </row>
    <row r="1096" customFormat="false" ht="15" hidden="false" customHeight="false" outlineLevel="0" collapsed="false">
      <c r="A1096" s="31" t="n">
        <v>1092</v>
      </c>
      <c r="B1096" s="32" t="str">
        <f aca="false">IF(OR(C1096="",I1096="",G1096=""),"",IFERROR(VLOOKUP(I1096,Setup!$A$9:$B$11,2,0),"???")&amp;"-"&amp;G1096&amp;"-"&amp;TEXT(COUNTIFS(I$5:I1096,I1096,G$5:G1096,G1096),"0000"))</f>
        <v/>
      </c>
      <c r="C1096" s="26"/>
      <c r="D1096" s="26"/>
      <c r="E1096" s="27"/>
      <c r="F1096" s="27"/>
      <c r="G1096" s="31" t="str">
        <f aca="false">IF(F1096="","",IF(F1096&lt;=5,"A",IF(F1096&lt;=8,"B",IF(F1096&lt;=10,"C","D"))))</f>
        <v/>
      </c>
      <c r="H1096" s="28"/>
      <c r="I1096" s="27"/>
      <c r="J1096" s="26"/>
      <c r="K1096" s="27"/>
      <c r="L1096" s="27"/>
      <c r="M1096" s="27"/>
      <c r="N1096" s="27"/>
      <c r="O1096" s="31" t="str">
        <f aca="false">IF(G1096="","",VLOOKUP(G1096,Setup!$A$14:$C$17,3,0))</f>
        <v/>
      </c>
      <c r="P1096" s="27"/>
      <c r="Q1096" s="33" t="str">
        <f aca="false">IF(OR(P1096="",M1096&lt;&gt;"Paid",O1096=""),"",P1096/O1096)</f>
        <v/>
      </c>
      <c r="R1096" s="34" t="str">
        <f aca="false">IF(Q1096="","",Q1096+N(H1096)*0.000000001)</f>
        <v/>
      </c>
      <c r="S1096" s="32" t="str">
        <f aca="false">IF(R1096="","",SUMPRODUCT((I$5:I$4004=I1096)*ISNUMBER(R$5:R$4004)*(R$5:R$4004&gt;R1096))+1)</f>
        <v/>
      </c>
      <c r="T1096" s="32" t="str">
        <f aca="false">IF(S1096="","",IF(S1096&lt;=Setup!$B$5,"🏆 WINNER",""))</f>
        <v/>
      </c>
      <c r="U1096" s="31" t="str">
        <f aca="false">IF(S1096="","",I1096&amp;"|"&amp;S1096)</f>
        <v/>
      </c>
    </row>
    <row r="1097" customFormat="false" ht="15" hidden="false" customHeight="false" outlineLevel="0" collapsed="false">
      <c r="A1097" s="24" t="n">
        <v>1093</v>
      </c>
      <c r="B1097" s="25" t="str">
        <f aca="false">IF(OR(C1097="",I1097="",G1097=""),"",IFERROR(VLOOKUP(I1097,Setup!$A$9:$B$11,2,0),"???")&amp;"-"&amp;G1097&amp;"-"&amp;TEXT(COUNTIFS(I$5:I1097,I1097,G$5:G1097,G1097),"0000"))</f>
        <v/>
      </c>
      <c r="C1097" s="26"/>
      <c r="D1097" s="26"/>
      <c r="E1097" s="27"/>
      <c r="F1097" s="27"/>
      <c r="G1097" s="24" t="str">
        <f aca="false">IF(F1097="","",IF(F1097&lt;=5,"A",IF(F1097&lt;=8,"B",IF(F1097&lt;=10,"C","D"))))</f>
        <v/>
      </c>
      <c r="H1097" s="28"/>
      <c r="I1097" s="27"/>
      <c r="J1097" s="26"/>
      <c r="K1097" s="27"/>
      <c r="L1097" s="27"/>
      <c r="M1097" s="27"/>
      <c r="N1097" s="27"/>
      <c r="O1097" s="24" t="str">
        <f aca="false">IF(G1097="","",VLOOKUP(G1097,Setup!$A$14:$C$17,3,0))</f>
        <v/>
      </c>
      <c r="P1097" s="27"/>
      <c r="Q1097" s="29" t="str">
        <f aca="false">IF(OR(P1097="",M1097&lt;&gt;"Paid",O1097=""),"",P1097/O1097)</f>
        <v/>
      </c>
      <c r="R1097" s="30" t="str">
        <f aca="false">IF(Q1097="","",Q1097+N(H1097)*0.000000001)</f>
        <v/>
      </c>
      <c r="S1097" s="25" t="str">
        <f aca="false">IF(R1097="","",SUMPRODUCT((I$5:I$4004=I1097)*ISNUMBER(R$5:R$4004)*(R$5:R$4004&gt;R1097))+1)</f>
        <v/>
      </c>
      <c r="T1097" s="25" t="str">
        <f aca="false">IF(S1097="","",IF(S1097&lt;=Setup!$B$5,"🏆 WINNER",""))</f>
        <v/>
      </c>
      <c r="U1097" s="24" t="str">
        <f aca="false">IF(S1097="","",I1097&amp;"|"&amp;S1097)</f>
        <v/>
      </c>
    </row>
    <row r="1098" customFormat="false" ht="15" hidden="false" customHeight="false" outlineLevel="0" collapsed="false">
      <c r="A1098" s="31" t="n">
        <v>1094</v>
      </c>
      <c r="B1098" s="32" t="str">
        <f aca="false">IF(OR(C1098="",I1098="",G1098=""),"",IFERROR(VLOOKUP(I1098,Setup!$A$9:$B$11,2,0),"???")&amp;"-"&amp;G1098&amp;"-"&amp;TEXT(COUNTIFS(I$5:I1098,I1098,G$5:G1098,G1098),"0000"))</f>
        <v/>
      </c>
      <c r="C1098" s="26"/>
      <c r="D1098" s="26"/>
      <c r="E1098" s="27"/>
      <c r="F1098" s="27"/>
      <c r="G1098" s="31" t="str">
        <f aca="false">IF(F1098="","",IF(F1098&lt;=5,"A",IF(F1098&lt;=8,"B",IF(F1098&lt;=10,"C","D"))))</f>
        <v/>
      </c>
      <c r="H1098" s="28"/>
      <c r="I1098" s="27"/>
      <c r="J1098" s="26"/>
      <c r="K1098" s="27"/>
      <c r="L1098" s="27"/>
      <c r="M1098" s="27"/>
      <c r="N1098" s="27"/>
      <c r="O1098" s="31" t="str">
        <f aca="false">IF(G1098="","",VLOOKUP(G1098,Setup!$A$14:$C$17,3,0))</f>
        <v/>
      </c>
      <c r="P1098" s="27"/>
      <c r="Q1098" s="33" t="str">
        <f aca="false">IF(OR(P1098="",M1098&lt;&gt;"Paid",O1098=""),"",P1098/O1098)</f>
        <v/>
      </c>
      <c r="R1098" s="34" t="str">
        <f aca="false">IF(Q1098="","",Q1098+N(H1098)*0.000000001)</f>
        <v/>
      </c>
      <c r="S1098" s="32" t="str">
        <f aca="false">IF(R1098="","",SUMPRODUCT((I$5:I$4004=I1098)*ISNUMBER(R$5:R$4004)*(R$5:R$4004&gt;R1098))+1)</f>
        <v/>
      </c>
      <c r="T1098" s="32" t="str">
        <f aca="false">IF(S1098="","",IF(S1098&lt;=Setup!$B$5,"🏆 WINNER",""))</f>
        <v/>
      </c>
      <c r="U1098" s="31" t="str">
        <f aca="false">IF(S1098="","",I1098&amp;"|"&amp;S1098)</f>
        <v/>
      </c>
    </row>
    <row r="1099" customFormat="false" ht="15" hidden="false" customHeight="false" outlineLevel="0" collapsed="false">
      <c r="A1099" s="24" t="n">
        <v>1095</v>
      </c>
      <c r="B1099" s="25" t="str">
        <f aca="false">IF(OR(C1099="",I1099="",G1099=""),"",IFERROR(VLOOKUP(I1099,Setup!$A$9:$B$11,2,0),"???")&amp;"-"&amp;G1099&amp;"-"&amp;TEXT(COUNTIFS(I$5:I1099,I1099,G$5:G1099,G1099),"0000"))</f>
        <v/>
      </c>
      <c r="C1099" s="26"/>
      <c r="D1099" s="26"/>
      <c r="E1099" s="27"/>
      <c r="F1099" s="27"/>
      <c r="G1099" s="24" t="str">
        <f aca="false">IF(F1099="","",IF(F1099&lt;=5,"A",IF(F1099&lt;=8,"B",IF(F1099&lt;=10,"C","D"))))</f>
        <v/>
      </c>
      <c r="H1099" s="28"/>
      <c r="I1099" s="27"/>
      <c r="J1099" s="26"/>
      <c r="K1099" s="27"/>
      <c r="L1099" s="27"/>
      <c r="M1099" s="27"/>
      <c r="N1099" s="27"/>
      <c r="O1099" s="24" t="str">
        <f aca="false">IF(G1099="","",VLOOKUP(G1099,Setup!$A$14:$C$17,3,0))</f>
        <v/>
      </c>
      <c r="P1099" s="27"/>
      <c r="Q1099" s="29" t="str">
        <f aca="false">IF(OR(P1099="",M1099&lt;&gt;"Paid",O1099=""),"",P1099/O1099)</f>
        <v/>
      </c>
      <c r="R1099" s="30" t="str">
        <f aca="false">IF(Q1099="","",Q1099+N(H1099)*0.000000001)</f>
        <v/>
      </c>
      <c r="S1099" s="25" t="str">
        <f aca="false">IF(R1099="","",SUMPRODUCT((I$5:I$4004=I1099)*ISNUMBER(R$5:R$4004)*(R$5:R$4004&gt;R1099))+1)</f>
        <v/>
      </c>
      <c r="T1099" s="25" t="str">
        <f aca="false">IF(S1099="","",IF(S1099&lt;=Setup!$B$5,"🏆 WINNER",""))</f>
        <v/>
      </c>
      <c r="U1099" s="24" t="str">
        <f aca="false">IF(S1099="","",I1099&amp;"|"&amp;S1099)</f>
        <v/>
      </c>
    </row>
    <row r="1100" customFormat="false" ht="15" hidden="false" customHeight="false" outlineLevel="0" collapsed="false">
      <c r="A1100" s="31" t="n">
        <v>1096</v>
      </c>
      <c r="B1100" s="32" t="str">
        <f aca="false">IF(OR(C1100="",I1100="",G1100=""),"",IFERROR(VLOOKUP(I1100,Setup!$A$9:$B$11,2,0),"???")&amp;"-"&amp;G1100&amp;"-"&amp;TEXT(COUNTIFS(I$5:I1100,I1100,G$5:G1100,G1100),"0000"))</f>
        <v/>
      </c>
      <c r="C1100" s="26"/>
      <c r="D1100" s="26"/>
      <c r="E1100" s="27"/>
      <c r="F1100" s="27"/>
      <c r="G1100" s="31" t="str">
        <f aca="false">IF(F1100="","",IF(F1100&lt;=5,"A",IF(F1100&lt;=8,"B",IF(F1100&lt;=10,"C","D"))))</f>
        <v/>
      </c>
      <c r="H1100" s="28"/>
      <c r="I1100" s="27"/>
      <c r="J1100" s="26"/>
      <c r="K1100" s="27"/>
      <c r="L1100" s="27"/>
      <c r="M1100" s="27"/>
      <c r="N1100" s="27"/>
      <c r="O1100" s="31" t="str">
        <f aca="false">IF(G1100="","",VLOOKUP(G1100,Setup!$A$14:$C$17,3,0))</f>
        <v/>
      </c>
      <c r="P1100" s="27"/>
      <c r="Q1100" s="33" t="str">
        <f aca="false">IF(OR(P1100="",M1100&lt;&gt;"Paid",O1100=""),"",P1100/O1100)</f>
        <v/>
      </c>
      <c r="R1100" s="34" t="str">
        <f aca="false">IF(Q1100="","",Q1100+N(H1100)*0.000000001)</f>
        <v/>
      </c>
      <c r="S1100" s="32" t="str">
        <f aca="false">IF(R1100="","",SUMPRODUCT((I$5:I$4004=I1100)*ISNUMBER(R$5:R$4004)*(R$5:R$4004&gt;R1100))+1)</f>
        <v/>
      </c>
      <c r="T1100" s="32" t="str">
        <f aca="false">IF(S1100="","",IF(S1100&lt;=Setup!$B$5,"🏆 WINNER",""))</f>
        <v/>
      </c>
      <c r="U1100" s="31" t="str">
        <f aca="false">IF(S1100="","",I1100&amp;"|"&amp;S1100)</f>
        <v/>
      </c>
    </row>
    <row r="1101" customFormat="false" ht="15" hidden="false" customHeight="false" outlineLevel="0" collapsed="false">
      <c r="A1101" s="24" t="n">
        <v>1097</v>
      </c>
      <c r="B1101" s="25" t="str">
        <f aca="false">IF(OR(C1101="",I1101="",G1101=""),"",IFERROR(VLOOKUP(I1101,Setup!$A$9:$B$11,2,0),"???")&amp;"-"&amp;G1101&amp;"-"&amp;TEXT(COUNTIFS(I$5:I1101,I1101,G$5:G1101,G1101),"0000"))</f>
        <v/>
      </c>
      <c r="C1101" s="26"/>
      <c r="D1101" s="26"/>
      <c r="E1101" s="27"/>
      <c r="F1101" s="27"/>
      <c r="G1101" s="24" t="str">
        <f aca="false">IF(F1101="","",IF(F1101&lt;=5,"A",IF(F1101&lt;=8,"B",IF(F1101&lt;=10,"C","D"))))</f>
        <v/>
      </c>
      <c r="H1101" s="28"/>
      <c r="I1101" s="27"/>
      <c r="J1101" s="26"/>
      <c r="K1101" s="27"/>
      <c r="L1101" s="27"/>
      <c r="M1101" s="27"/>
      <c r="N1101" s="27"/>
      <c r="O1101" s="24" t="str">
        <f aca="false">IF(G1101="","",VLOOKUP(G1101,Setup!$A$14:$C$17,3,0))</f>
        <v/>
      </c>
      <c r="P1101" s="27"/>
      <c r="Q1101" s="29" t="str">
        <f aca="false">IF(OR(P1101="",M1101&lt;&gt;"Paid",O1101=""),"",P1101/O1101)</f>
        <v/>
      </c>
      <c r="R1101" s="30" t="str">
        <f aca="false">IF(Q1101="","",Q1101+N(H1101)*0.000000001)</f>
        <v/>
      </c>
      <c r="S1101" s="25" t="str">
        <f aca="false">IF(R1101="","",SUMPRODUCT((I$5:I$4004=I1101)*ISNUMBER(R$5:R$4004)*(R$5:R$4004&gt;R1101))+1)</f>
        <v/>
      </c>
      <c r="T1101" s="25" t="str">
        <f aca="false">IF(S1101="","",IF(S1101&lt;=Setup!$B$5,"🏆 WINNER",""))</f>
        <v/>
      </c>
      <c r="U1101" s="24" t="str">
        <f aca="false">IF(S1101="","",I1101&amp;"|"&amp;S1101)</f>
        <v/>
      </c>
    </row>
    <row r="1102" customFormat="false" ht="15" hidden="false" customHeight="false" outlineLevel="0" collapsed="false">
      <c r="A1102" s="31" t="n">
        <v>1098</v>
      </c>
      <c r="B1102" s="32" t="str">
        <f aca="false">IF(OR(C1102="",I1102="",G1102=""),"",IFERROR(VLOOKUP(I1102,Setup!$A$9:$B$11,2,0),"???")&amp;"-"&amp;G1102&amp;"-"&amp;TEXT(COUNTIFS(I$5:I1102,I1102,G$5:G1102,G1102),"0000"))</f>
        <v/>
      </c>
      <c r="C1102" s="26"/>
      <c r="D1102" s="26"/>
      <c r="E1102" s="27"/>
      <c r="F1102" s="27"/>
      <c r="G1102" s="31" t="str">
        <f aca="false">IF(F1102="","",IF(F1102&lt;=5,"A",IF(F1102&lt;=8,"B",IF(F1102&lt;=10,"C","D"))))</f>
        <v/>
      </c>
      <c r="H1102" s="28"/>
      <c r="I1102" s="27"/>
      <c r="J1102" s="26"/>
      <c r="K1102" s="27"/>
      <c r="L1102" s="27"/>
      <c r="M1102" s="27"/>
      <c r="N1102" s="27"/>
      <c r="O1102" s="31" t="str">
        <f aca="false">IF(G1102="","",VLOOKUP(G1102,Setup!$A$14:$C$17,3,0))</f>
        <v/>
      </c>
      <c r="P1102" s="27"/>
      <c r="Q1102" s="33" t="str">
        <f aca="false">IF(OR(P1102="",M1102&lt;&gt;"Paid",O1102=""),"",P1102/O1102)</f>
        <v/>
      </c>
      <c r="R1102" s="34" t="str">
        <f aca="false">IF(Q1102="","",Q1102+N(H1102)*0.000000001)</f>
        <v/>
      </c>
      <c r="S1102" s="32" t="str">
        <f aca="false">IF(R1102="","",SUMPRODUCT((I$5:I$4004=I1102)*ISNUMBER(R$5:R$4004)*(R$5:R$4004&gt;R1102))+1)</f>
        <v/>
      </c>
      <c r="T1102" s="32" t="str">
        <f aca="false">IF(S1102="","",IF(S1102&lt;=Setup!$B$5,"🏆 WINNER",""))</f>
        <v/>
      </c>
      <c r="U1102" s="31" t="str">
        <f aca="false">IF(S1102="","",I1102&amp;"|"&amp;S1102)</f>
        <v/>
      </c>
    </row>
    <row r="1103" customFormat="false" ht="15" hidden="false" customHeight="false" outlineLevel="0" collapsed="false">
      <c r="A1103" s="24" t="n">
        <v>1099</v>
      </c>
      <c r="B1103" s="25" t="str">
        <f aca="false">IF(OR(C1103="",I1103="",G1103=""),"",IFERROR(VLOOKUP(I1103,Setup!$A$9:$B$11,2,0),"???")&amp;"-"&amp;G1103&amp;"-"&amp;TEXT(COUNTIFS(I$5:I1103,I1103,G$5:G1103,G1103),"0000"))</f>
        <v/>
      </c>
      <c r="C1103" s="26"/>
      <c r="D1103" s="26"/>
      <c r="E1103" s="27"/>
      <c r="F1103" s="27"/>
      <c r="G1103" s="24" t="str">
        <f aca="false">IF(F1103="","",IF(F1103&lt;=5,"A",IF(F1103&lt;=8,"B",IF(F1103&lt;=10,"C","D"))))</f>
        <v/>
      </c>
      <c r="H1103" s="28"/>
      <c r="I1103" s="27"/>
      <c r="J1103" s="26"/>
      <c r="K1103" s="27"/>
      <c r="L1103" s="27"/>
      <c r="M1103" s="27"/>
      <c r="N1103" s="27"/>
      <c r="O1103" s="24" t="str">
        <f aca="false">IF(G1103="","",VLOOKUP(G1103,Setup!$A$14:$C$17,3,0))</f>
        <v/>
      </c>
      <c r="P1103" s="27"/>
      <c r="Q1103" s="29" t="str">
        <f aca="false">IF(OR(P1103="",M1103&lt;&gt;"Paid",O1103=""),"",P1103/O1103)</f>
        <v/>
      </c>
      <c r="R1103" s="30" t="str">
        <f aca="false">IF(Q1103="","",Q1103+N(H1103)*0.000000001)</f>
        <v/>
      </c>
      <c r="S1103" s="25" t="str">
        <f aca="false">IF(R1103="","",SUMPRODUCT((I$5:I$4004=I1103)*ISNUMBER(R$5:R$4004)*(R$5:R$4004&gt;R1103))+1)</f>
        <v/>
      </c>
      <c r="T1103" s="25" t="str">
        <f aca="false">IF(S1103="","",IF(S1103&lt;=Setup!$B$5,"🏆 WINNER",""))</f>
        <v/>
      </c>
      <c r="U1103" s="24" t="str">
        <f aca="false">IF(S1103="","",I1103&amp;"|"&amp;S1103)</f>
        <v/>
      </c>
    </row>
    <row r="1104" customFormat="false" ht="15" hidden="false" customHeight="false" outlineLevel="0" collapsed="false">
      <c r="A1104" s="31" t="n">
        <v>1100</v>
      </c>
      <c r="B1104" s="32" t="str">
        <f aca="false">IF(OR(C1104="",I1104="",G1104=""),"",IFERROR(VLOOKUP(I1104,Setup!$A$9:$B$11,2,0),"???")&amp;"-"&amp;G1104&amp;"-"&amp;TEXT(COUNTIFS(I$5:I1104,I1104,G$5:G1104,G1104),"0000"))</f>
        <v/>
      </c>
      <c r="C1104" s="26"/>
      <c r="D1104" s="26"/>
      <c r="E1104" s="27"/>
      <c r="F1104" s="27"/>
      <c r="G1104" s="31" t="str">
        <f aca="false">IF(F1104="","",IF(F1104&lt;=5,"A",IF(F1104&lt;=8,"B",IF(F1104&lt;=10,"C","D"))))</f>
        <v/>
      </c>
      <c r="H1104" s="28"/>
      <c r="I1104" s="27"/>
      <c r="J1104" s="26"/>
      <c r="K1104" s="27"/>
      <c r="L1104" s="27"/>
      <c r="M1104" s="27"/>
      <c r="N1104" s="27"/>
      <c r="O1104" s="31" t="str">
        <f aca="false">IF(G1104="","",VLOOKUP(G1104,Setup!$A$14:$C$17,3,0))</f>
        <v/>
      </c>
      <c r="P1104" s="27"/>
      <c r="Q1104" s="33" t="str">
        <f aca="false">IF(OR(P1104="",M1104&lt;&gt;"Paid",O1104=""),"",P1104/O1104)</f>
        <v/>
      </c>
      <c r="R1104" s="34" t="str">
        <f aca="false">IF(Q1104="","",Q1104+N(H1104)*0.000000001)</f>
        <v/>
      </c>
      <c r="S1104" s="32" t="str">
        <f aca="false">IF(R1104="","",SUMPRODUCT((I$5:I$4004=I1104)*ISNUMBER(R$5:R$4004)*(R$5:R$4004&gt;R1104))+1)</f>
        <v/>
      </c>
      <c r="T1104" s="32" t="str">
        <f aca="false">IF(S1104="","",IF(S1104&lt;=Setup!$B$5,"🏆 WINNER",""))</f>
        <v/>
      </c>
      <c r="U1104" s="31" t="str">
        <f aca="false">IF(S1104="","",I1104&amp;"|"&amp;S1104)</f>
        <v/>
      </c>
    </row>
    <row r="1105" customFormat="false" ht="15" hidden="false" customHeight="false" outlineLevel="0" collapsed="false">
      <c r="A1105" s="24" t="n">
        <v>1101</v>
      </c>
      <c r="B1105" s="25" t="str">
        <f aca="false">IF(OR(C1105="",I1105="",G1105=""),"",IFERROR(VLOOKUP(I1105,Setup!$A$9:$B$11,2,0),"???")&amp;"-"&amp;G1105&amp;"-"&amp;TEXT(COUNTIFS(I$5:I1105,I1105,G$5:G1105,G1105),"0000"))</f>
        <v/>
      </c>
      <c r="C1105" s="26"/>
      <c r="D1105" s="26"/>
      <c r="E1105" s="27"/>
      <c r="F1105" s="27"/>
      <c r="G1105" s="24" t="str">
        <f aca="false">IF(F1105="","",IF(F1105&lt;=5,"A",IF(F1105&lt;=8,"B",IF(F1105&lt;=10,"C","D"))))</f>
        <v/>
      </c>
      <c r="H1105" s="28"/>
      <c r="I1105" s="27"/>
      <c r="J1105" s="26"/>
      <c r="K1105" s="27"/>
      <c r="L1105" s="27"/>
      <c r="M1105" s="27"/>
      <c r="N1105" s="27"/>
      <c r="O1105" s="24" t="str">
        <f aca="false">IF(G1105="","",VLOOKUP(G1105,Setup!$A$14:$C$17,3,0))</f>
        <v/>
      </c>
      <c r="P1105" s="27"/>
      <c r="Q1105" s="29" t="str">
        <f aca="false">IF(OR(P1105="",M1105&lt;&gt;"Paid",O1105=""),"",P1105/O1105)</f>
        <v/>
      </c>
      <c r="R1105" s="30" t="str">
        <f aca="false">IF(Q1105="","",Q1105+N(H1105)*0.000000001)</f>
        <v/>
      </c>
      <c r="S1105" s="25" t="str">
        <f aca="false">IF(R1105="","",SUMPRODUCT((I$5:I$4004=I1105)*ISNUMBER(R$5:R$4004)*(R$5:R$4004&gt;R1105))+1)</f>
        <v/>
      </c>
      <c r="T1105" s="25" t="str">
        <f aca="false">IF(S1105="","",IF(S1105&lt;=Setup!$B$5,"🏆 WINNER",""))</f>
        <v/>
      </c>
      <c r="U1105" s="24" t="str">
        <f aca="false">IF(S1105="","",I1105&amp;"|"&amp;S1105)</f>
        <v/>
      </c>
    </row>
    <row r="1106" customFormat="false" ht="15" hidden="false" customHeight="false" outlineLevel="0" collapsed="false">
      <c r="A1106" s="31" t="n">
        <v>1102</v>
      </c>
      <c r="B1106" s="32" t="str">
        <f aca="false">IF(OR(C1106="",I1106="",G1106=""),"",IFERROR(VLOOKUP(I1106,Setup!$A$9:$B$11,2,0),"???")&amp;"-"&amp;G1106&amp;"-"&amp;TEXT(COUNTIFS(I$5:I1106,I1106,G$5:G1106,G1106),"0000"))</f>
        <v/>
      </c>
      <c r="C1106" s="26"/>
      <c r="D1106" s="26"/>
      <c r="E1106" s="27"/>
      <c r="F1106" s="27"/>
      <c r="G1106" s="31" t="str">
        <f aca="false">IF(F1106="","",IF(F1106&lt;=5,"A",IF(F1106&lt;=8,"B",IF(F1106&lt;=10,"C","D"))))</f>
        <v/>
      </c>
      <c r="H1106" s="28"/>
      <c r="I1106" s="27"/>
      <c r="J1106" s="26"/>
      <c r="K1106" s="27"/>
      <c r="L1106" s="27"/>
      <c r="M1106" s="27"/>
      <c r="N1106" s="27"/>
      <c r="O1106" s="31" t="str">
        <f aca="false">IF(G1106="","",VLOOKUP(G1106,Setup!$A$14:$C$17,3,0))</f>
        <v/>
      </c>
      <c r="P1106" s="27"/>
      <c r="Q1106" s="33" t="str">
        <f aca="false">IF(OR(P1106="",M1106&lt;&gt;"Paid",O1106=""),"",P1106/O1106)</f>
        <v/>
      </c>
      <c r="R1106" s="34" t="str">
        <f aca="false">IF(Q1106="","",Q1106+N(H1106)*0.000000001)</f>
        <v/>
      </c>
      <c r="S1106" s="32" t="str">
        <f aca="false">IF(R1106="","",SUMPRODUCT((I$5:I$4004=I1106)*ISNUMBER(R$5:R$4004)*(R$5:R$4004&gt;R1106))+1)</f>
        <v/>
      </c>
      <c r="T1106" s="32" t="str">
        <f aca="false">IF(S1106="","",IF(S1106&lt;=Setup!$B$5,"🏆 WINNER",""))</f>
        <v/>
      </c>
      <c r="U1106" s="31" t="str">
        <f aca="false">IF(S1106="","",I1106&amp;"|"&amp;S1106)</f>
        <v/>
      </c>
    </row>
    <row r="1107" customFormat="false" ht="15" hidden="false" customHeight="false" outlineLevel="0" collapsed="false">
      <c r="A1107" s="24" t="n">
        <v>1103</v>
      </c>
      <c r="B1107" s="25" t="str">
        <f aca="false">IF(OR(C1107="",I1107="",G1107=""),"",IFERROR(VLOOKUP(I1107,Setup!$A$9:$B$11,2,0),"???")&amp;"-"&amp;G1107&amp;"-"&amp;TEXT(COUNTIFS(I$5:I1107,I1107,G$5:G1107,G1107),"0000"))</f>
        <v/>
      </c>
      <c r="C1107" s="26"/>
      <c r="D1107" s="26"/>
      <c r="E1107" s="27"/>
      <c r="F1107" s="27"/>
      <c r="G1107" s="24" t="str">
        <f aca="false">IF(F1107="","",IF(F1107&lt;=5,"A",IF(F1107&lt;=8,"B",IF(F1107&lt;=10,"C","D"))))</f>
        <v/>
      </c>
      <c r="H1107" s="28"/>
      <c r="I1107" s="27"/>
      <c r="J1107" s="26"/>
      <c r="K1107" s="27"/>
      <c r="L1107" s="27"/>
      <c r="M1107" s="27"/>
      <c r="N1107" s="27"/>
      <c r="O1107" s="24" t="str">
        <f aca="false">IF(G1107="","",VLOOKUP(G1107,Setup!$A$14:$C$17,3,0))</f>
        <v/>
      </c>
      <c r="P1107" s="27"/>
      <c r="Q1107" s="29" t="str">
        <f aca="false">IF(OR(P1107="",M1107&lt;&gt;"Paid",O1107=""),"",P1107/O1107)</f>
        <v/>
      </c>
      <c r="R1107" s="30" t="str">
        <f aca="false">IF(Q1107="","",Q1107+N(H1107)*0.000000001)</f>
        <v/>
      </c>
      <c r="S1107" s="25" t="str">
        <f aca="false">IF(R1107="","",SUMPRODUCT((I$5:I$4004=I1107)*ISNUMBER(R$5:R$4004)*(R$5:R$4004&gt;R1107))+1)</f>
        <v/>
      </c>
      <c r="T1107" s="25" t="str">
        <f aca="false">IF(S1107="","",IF(S1107&lt;=Setup!$B$5,"🏆 WINNER",""))</f>
        <v/>
      </c>
      <c r="U1107" s="24" t="str">
        <f aca="false">IF(S1107="","",I1107&amp;"|"&amp;S1107)</f>
        <v/>
      </c>
    </row>
    <row r="1108" customFormat="false" ht="15" hidden="false" customHeight="false" outlineLevel="0" collapsed="false">
      <c r="A1108" s="31" t="n">
        <v>1104</v>
      </c>
      <c r="B1108" s="32" t="str">
        <f aca="false">IF(OR(C1108="",I1108="",G1108=""),"",IFERROR(VLOOKUP(I1108,Setup!$A$9:$B$11,2,0),"???")&amp;"-"&amp;G1108&amp;"-"&amp;TEXT(COUNTIFS(I$5:I1108,I1108,G$5:G1108,G1108),"0000"))</f>
        <v/>
      </c>
      <c r="C1108" s="26"/>
      <c r="D1108" s="26"/>
      <c r="E1108" s="27"/>
      <c r="F1108" s="27"/>
      <c r="G1108" s="31" t="str">
        <f aca="false">IF(F1108="","",IF(F1108&lt;=5,"A",IF(F1108&lt;=8,"B",IF(F1108&lt;=10,"C","D"))))</f>
        <v/>
      </c>
      <c r="H1108" s="28"/>
      <c r="I1108" s="27"/>
      <c r="J1108" s="26"/>
      <c r="K1108" s="27"/>
      <c r="L1108" s="27"/>
      <c r="M1108" s="27"/>
      <c r="N1108" s="27"/>
      <c r="O1108" s="31" t="str">
        <f aca="false">IF(G1108="","",VLOOKUP(G1108,Setup!$A$14:$C$17,3,0))</f>
        <v/>
      </c>
      <c r="P1108" s="27"/>
      <c r="Q1108" s="33" t="str">
        <f aca="false">IF(OR(P1108="",M1108&lt;&gt;"Paid",O1108=""),"",P1108/O1108)</f>
        <v/>
      </c>
      <c r="R1108" s="34" t="str">
        <f aca="false">IF(Q1108="","",Q1108+N(H1108)*0.000000001)</f>
        <v/>
      </c>
      <c r="S1108" s="32" t="str">
        <f aca="false">IF(R1108="","",SUMPRODUCT((I$5:I$4004=I1108)*ISNUMBER(R$5:R$4004)*(R$5:R$4004&gt;R1108))+1)</f>
        <v/>
      </c>
      <c r="T1108" s="32" t="str">
        <f aca="false">IF(S1108="","",IF(S1108&lt;=Setup!$B$5,"🏆 WINNER",""))</f>
        <v/>
      </c>
      <c r="U1108" s="31" t="str">
        <f aca="false">IF(S1108="","",I1108&amp;"|"&amp;S1108)</f>
        <v/>
      </c>
    </row>
    <row r="1109" customFormat="false" ht="15" hidden="false" customHeight="false" outlineLevel="0" collapsed="false">
      <c r="A1109" s="24" t="n">
        <v>1105</v>
      </c>
      <c r="B1109" s="25" t="str">
        <f aca="false">IF(OR(C1109="",I1109="",G1109=""),"",IFERROR(VLOOKUP(I1109,Setup!$A$9:$B$11,2,0),"???")&amp;"-"&amp;G1109&amp;"-"&amp;TEXT(COUNTIFS(I$5:I1109,I1109,G$5:G1109,G1109),"0000"))</f>
        <v/>
      </c>
      <c r="C1109" s="26"/>
      <c r="D1109" s="26"/>
      <c r="E1109" s="27"/>
      <c r="F1109" s="27"/>
      <c r="G1109" s="24" t="str">
        <f aca="false">IF(F1109="","",IF(F1109&lt;=5,"A",IF(F1109&lt;=8,"B",IF(F1109&lt;=10,"C","D"))))</f>
        <v/>
      </c>
      <c r="H1109" s="28"/>
      <c r="I1109" s="27"/>
      <c r="J1109" s="26"/>
      <c r="K1109" s="27"/>
      <c r="L1109" s="27"/>
      <c r="M1109" s="27"/>
      <c r="N1109" s="27"/>
      <c r="O1109" s="24" t="str">
        <f aca="false">IF(G1109="","",VLOOKUP(G1109,Setup!$A$14:$C$17,3,0))</f>
        <v/>
      </c>
      <c r="P1109" s="27"/>
      <c r="Q1109" s="29" t="str">
        <f aca="false">IF(OR(P1109="",M1109&lt;&gt;"Paid",O1109=""),"",P1109/O1109)</f>
        <v/>
      </c>
      <c r="R1109" s="30" t="str">
        <f aca="false">IF(Q1109="","",Q1109+N(H1109)*0.000000001)</f>
        <v/>
      </c>
      <c r="S1109" s="25" t="str">
        <f aca="false">IF(R1109="","",SUMPRODUCT((I$5:I$4004=I1109)*ISNUMBER(R$5:R$4004)*(R$5:R$4004&gt;R1109))+1)</f>
        <v/>
      </c>
      <c r="T1109" s="25" t="str">
        <f aca="false">IF(S1109="","",IF(S1109&lt;=Setup!$B$5,"🏆 WINNER",""))</f>
        <v/>
      </c>
      <c r="U1109" s="24" t="str">
        <f aca="false">IF(S1109="","",I1109&amp;"|"&amp;S1109)</f>
        <v/>
      </c>
    </row>
    <row r="1110" customFormat="false" ht="15" hidden="false" customHeight="false" outlineLevel="0" collapsed="false">
      <c r="A1110" s="31" t="n">
        <v>1106</v>
      </c>
      <c r="B1110" s="32" t="str">
        <f aca="false">IF(OR(C1110="",I1110="",G1110=""),"",IFERROR(VLOOKUP(I1110,Setup!$A$9:$B$11,2,0),"???")&amp;"-"&amp;G1110&amp;"-"&amp;TEXT(COUNTIFS(I$5:I1110,I1110,G$5:G1110,G1110),"0000"))</f>
        <v/>
      </c>
      <c r="C1110" s="26"/>
      <c r="D1110" s="26"/>
      <c r="E1110" s="27"/>
      <c r="F1110" s="27"/>
      <c r="G1110" s="31" t="str">
        <f aca="false">IF(F1110="","",IF(F1110&lt;=5,"A",IF(F1110&lt;=8,"B",IF(F1110&lt;=10,"C","D"))))</f>
        <v/>
      </c>
      <c r="H1110" s="28"/>
      <c r="I1110" s="27"/>
      <c r="J1110" s="26"/>
      <c r="K1110" s="27"/>
      <c r="L1110" s="27"/>
      <c r="M1110" s="27"/>
      <c r="N1110" s="27"/>
      <c r="O1110" s="31" t="str">
        <f aca="false">IF(G1110="","",VLOOKUP(G1110,Setup!$A$14:$C$17,3,0))</f>
        <v/>
      </c>
      <c r="P1110" s="27"/>
      <c r="Q1110" s="33" t="str">
        <f aca="false">IF(OR(P1110="",M1110&lt;&gt;"Paid",O1110=""),"",P1110/O1110)</f>
        <v/>
      </c>
      <c r="R1110" s="34" t="str">
        <f aca="false">IF(Q1110="","",Q1110+N(H1110)*0.000000001)</f>
        <v/>
      </c>
      <c r="S1110" s="32" t="str">
        <f aca="false">IF(R1110="","",SUMPRODUCT((I$5:I$4004=I1110)*ISNUMBER(R$5:R$4004)*(R$5:R$4004&gt;R1110))+1)</f>
        <v/>
      </c>
      <c r="T1110" s="32" t="str">
        <f aca="false">IF(S1110="","",IF(S1110&lt;=Setup!$B$5,"🏆 WINNER",""))</f>
        <v/>
      </c>
      <c r="U1110" s="31" t="str">
        <f aca="false">IF(S1110="","",I1110&amp;"|"&amp;S1110)</f>
        <v/>
      </c>
    </row>
    <row r="1111" customFormat="false" ht="15" hidden="false" customHeight="false" outlineLevel="0" collapsed="false">
      <c r="A1111" s="24" t="n">
        <v>1107</v>
      </c>
      <c r="B1111" s="25" t="str">
        <f aca="false">IF(OR(C1111="",I1111="",G1111=""),"",IFERROR(VLOOKUP(I1111,Setup!$A$9:$B$11,2,0),"???")&amp;"-"&amp;G1111&amp;"-"&amp;TEXT(COUNTIFS(I$5:I1111,I1111,G$5:G1111,G1111),"0000"))</f>
        <v/>
      </c>
      <c r="C1111" s="26"/>
      <c r="D1111" s="26"/>
      <c r="E1111" s="27"/>
      <c r="F1111" s="27"/>
      <c r="G1111" s="24" t="str">
        <f aca="false">IF(F1111="","",IF(F1111&lt;=5,"A",IF(F1111&lt;=8,"B",IF(F1111&lt;=10,"C","D"))))</f>
        <v/>
      </c>
      <c r="H1111" s="28"/>
      <c r="I1111" s="27"/>
      <c r="J1111" s="26"/>
      <c r="K1111" s="27"/>
      <c r="L1111" s="27"/>
      <c r="M1111" s="27"/>
      <c r="N1111" s="27"/>
      <c r="O1111" s="24" t="str">
        <f aca="false">IF(G1111="","",VLOOKUP(G1111,Setup!$A$14:$C$17,3,0))</f>
        <v/>
      </c>
      <c r="P1111" s="27"/>
      <c r="Q1111" s="29" t="str">
        <f aca="false">IF(OR(P1111="",M1111&lt;&gt;"Paid",O1111=""),"",P1111/O1111)</f>
        <v/>
      </c>
      <c r="R1111" s="30" t="str">
        <f aca="false">IF(Q1111="","",Q1111+N(H1111)*0.000000001)</f>
        <v/>
      </c>
      <c r="S1111" s="25" t="str">
        <f aca="false">IF(R1111="","",SUMPRODUCT((I$5:I$4004=I1111)*ISNUMBER(R$5:R$4004)*(R$5:R$4004&gt;R1111))+1)</f>
        <v/>
      </c>
      <c r="T1111" s="25" t="str">
        <f aca="false">IF(S1111="","",IF(S1111&lt;=Setup!$B$5,"🏆 WINNER",""))</f>
        <v/>
      </c>
      <c r="U1111" s="24" t="str">
        <f aca="false">IF(S1111="","",I1111&amp;"|"&amp;S1111)</f>
        <v/>
      </c>
    </row>
    <row r="1112" customFormat="false" ht="15" hidden="false" customHeight="false" outlineLevel="0" collapsed="false">
      <c r="A1112" s="31" t="n">
        <v>1108</v>
      </c>
      <c r="B1112" s="32" t="str">
        <f aca="false">IF(OR(C1112="",I1112="",G1112=""),"",IFERROR(VLOOKUP(I1112,Setup!$A$9:$B$11,2,0),"???")&amp;"-"&amp;G1112&amp;"-"&amp;TEXT(COUNTIFS(I$5:I1112,I1112,G$5:G1112,G1112),"0000"))</f>
        <v/>
      </c>
      <c r="C1112" s="26"/>
      <c r="D1112" s="26"/>
      <c r="E1112" s="27"/>
      <c r="F1112" s="27"/>
      <c r="G1112" s="31" t="str">
        <f aca="false">IF(F1112="","",IF(F1112&lt;=5,"A",IF(F1112&lt;=8,"B",IF(F1112&lt;=10,"C","D"))))</f>
        <v/>
      </c>
      <c r="H1112" s="28"/>
      <c r="I1112" s="27"/>
      <c r="J1112" s="26"/>
      <c r="K1112" s="27"/>
      <c r="L1112" s="27"/>
      <c r="M1112" s="27"/>
      <c r="N1112" s="27"/>
      <c r="O1112" s="31" t="str">
        <f aca="false">IF(G1112="","",VLOOKUP(G1112,Setup!$A$14:$C$17,3,0))</f>
        <v/>
      </c>
      <c r="P1112" s="27"/>
      <c r="Q1112" s="33" t="str">
        <f aca="false">IF(OR(P1112="",M1112&lt;&gt;"Paid",O1112=""),"",P1112/O1112)</f>
        <v/>
      </c>
      <c r="R1112" s="34" t="str">
        <f aca="false">IF(Q1112="","",Q1112+N(H1112)*0.000000001)</f>
        <v/>
      </c>
      <c r="S1112" s="32" t="str">
        <f aca="false">IF(R1112="","",SUMPRODUCT((I$5:I$4004=I1112)*ISNUMBER(R$5:R$4004)*(R$5:R$4004&gt;R1112))+1)</f>
        <v/>
      </c>
      <c r="T1112" s="32" t="str">
        <f aca="false">IF(S1112="","",IF(S1112&lt;=Setup!$B$5,"🏆 WINNER",""))</f>
        <v/>
      </c>
      <c r="U1112" s="31" t="str">
        <f aca="false">IF(S1112="","",I1112&amp;"|"&amp;S1112)</f>
        <v/>
      </c>
    </row>
    <row r="1113" customFormat="false" ht="15" hidden="false" customHeight="false" outlineLevel="0" collapsed="false">
      <c r="A1113" s="24" t="n">
        <v>1109</v>
      </c>
      <c r="B1113" s="25" t="str">
        <f aca="false">IF(OR(C1113="",I1113="",G1113=""),"",IFERROR(VLOOKUP(I1113,Setup!$A$9:$B$11,2,0),"???")&amp;"-"&amp;G1113&amp;"-"&amp;TEXT(COUNTIFS(I$5:I1113,I1113,G$5:G1113,G1113),"0000"))</f>
        <v/>
      </c>
      <c r="C1113" s="26"/>
      <c r="D1113" s="26"/>
      <c r="E1113" s="27"/>
      <c r="F1113" s="27"/>
      <c r="G1113" s="24" t="str">
        <f aca="false">IF(F1113="","",IF(F1113&lt;=5,"A",IF(F1113&lt;=8,"B",IF(F1113&lt;=10,"C","D"))))</f>
        <v/>
      </c>
      <c r="H1113" s="28"/>
      <c r="I1113" s="27"/>
      <c r="J1113" s="26"/>
      <c r="K1113" s="27"/>
      <c r="L1113" s="27"/>
      <c r="M1113" s="27"/>
      <c r="N1113" s="27"/>
      <c r="O1113" s="24" t="str">
        <f aca="false">IF(G1113="","",VLOOKUP(G1113,Setup!$A$14:$C$17,3,0))</f>
        <v/>
      </c>
      <c r="P1113" s="27"/>
      <c r="Q1113" s="29" t="str">
        <f aca="false">IF(OR(P1113="",M1113&lt;&gt;"Paid",O1113=""),"",P1113/O1113)</f>
        <v/>
      </c>
      <c r="R1113" s="30" t="str">
        <f aca="false">IF(Q1113="","",Q1113+N(H1113)*0.000000001)</f>
        <v/>
      </c>
      <c r="S1113" s="25" t="str">
        <f aca="false">IF(R1113="","",SUMPRODUCT((I$5:I$4004=I1113)*ISNUMBER(R$5:R$4004)*(R$5:R$4004&gt;R1113))+1)</f>
        <v/>
      </c>
      <c r="T1113" s="25" t="str">
        <f aca="false">IF(S1113="","",IF(S1113&lt;=Setup!$B$5,"🏆 WINNER",""))</f>
        <v/>
      </c>
      <c r="U1113" s="24" t="str">
        <f aca="false">IF(S1113="","",I1113&amp;"|"&amp;S1113)</f>
        <v/>
      </c>
    </row>
    <row r="1114" customFormat="false" ht="15" hidden="false" customHeight="false" outlineLevel="0" collapsed="false">
      <c r="A1114" s="31" t="n">
        <v>1110</v>
      </c>
      <c r="B1114" s="32" t="str">
        <f aca="false">IF(OR(C1114="",I1114="",G1114=""),"",IFERROR(VLOOKUP(I1114,Setup!$A$9:$B$11,2,0),"???")&amp;"-"&amp;G1114&amp;"-"&amp;TEXT(COUNTIFS(I$5:I1114,I1114,G$5:G1114,G1114),"0000"))</f>
        <v/>
      </c>
      <c r="C1114" s="26"/>
      <c r="D1114" s="26"/>
      <c r="E1114" s="27"/>
      <c r="F1114" s="27"/>
      <c r="G1114" s="31" t="str">
        <f aca="false">IF(F1114="","",IF(F1114&lt;=5,"A",IF(F1114&lt;=8,"B",IF(F1114&lt;=10,"C","D"))))</f>
        <v/>
      </c>
      <c r="H1114" s="28"/>
      <c r="I1114" s="27"/>
      <c r="J1114" s="26"/>
      <c r="K1114" s="27"/>
      <c r="L1114" s="27"/>
      <c r="M1114" s="27"/>
      <c r="N1114" s="27"/>
      <c r="O1114" s="31" t="str">
        <f aca="false">IF(G1114="","",VLOOKUP(G1114,Setup!$A$14:$C$17,3,0))</f>
        <v/>
      </c>
      <c r="P1114" s="27"/>
      <c r="Q1114" s="33" t="str">
        <f aca="false">IF(OR(P1114="",M1114&lt;&gt;"Paid",O1114=""),"",P1114/O1114)</f>
        <v/>
      </c>
      <c r="R1114" s="34" t="str">
        <f aca="false">IF(Q1114="","",Q1114+N(H1114)*0.000000001)</f>
        <v/>
      </c>
      <c r="S1114" s="32" t="str">
        <f aca="false">IF(R1114="","",SUMPRODUCT((I$5:I$4004=I1114)*ISNUMBER(R$5:R$4004)*(R$5:R$4004&gt;R1114))+1)</f>
        <v/>
      </c>
      <c r="T1114" s="32" t="str">
        <f aca="false">IF(S1114="","",IF(S1114&lt;=Setup!$B$5,"🏆 WINNER",""))</f>
        <v/>
      </c>
      <c r="U1114" s="31" t="str">
        <f aca="false">IF(S1114="","",I1114&amp;"|"&amp;S1114)</f>
        <v/>
      </c>
    </row>
    <row r="1115" customFormat="false" ht="15" hidden="false" customHeight="false" outlineLevel="0" collapsed="false">
      <c r="A1115" s="24" t="n">
        <v>1111</v>
      </c>
      <c r="B1115" s="25" t="str">
        <f aca="false">IF(OR(C1115="",I1115="",G1115=""),"",IFERROR(VLOOKUP(I1115,Setup!$A$9:$B$11,2,0),"???")&amp;"-"&amp;G1115&amp;"-"&amp;TEXT(COUNTIFS(I$5:I1115,I1115,G$5:G1115,G1115),"0000"))</f>
        <v/>
      </c>
      <c r="C1115" s="26"/>
      <c r="D1115" s="26"/>
      <c r="E1115" s="27"/>
      <c r="F1115" s="27"/>
      <c r="G1115" s="24" t="str">
        <f aca="false">IF(F1115="","",IF(F1115&lt;=5,"A",IF(F1115&lt;=8,"B",IF(F1115&lt;=10,"C","D"))))</f>
        <v/>
      </c>
      <c r="H1115" s="28"/>
      <c r="I1115" s="27"/>
      <c r="J1115" s="26"/>
      <c r="K1115" s="27"/>
      <c r="L1115" s="27"/>
      <c r="M1115" s="27"/>
      <c r="N1115" s="27"/>
      <c r="O1115" s="24" t="str">
        <f aca="false">IF(G1115="","",VLOOKUP(G1115,Setup!$A$14:$C$17,3,0))</f>
        <v/>
      </c>
      <c r="P1115" s="27"/>
      <c r="Q1115" s="29" t="str">
        <f aca="false">IF(OR(P1115="",M1115&lt;&gt;"Paid",O1115=""),"",P1115/O1115)</f>
        <v/>
      </c>
      <c r="R1115" s="30" t="str">
        <f aca="false">IF(Q1115="","",Q1115+N(H1115)*0.000000001)</f>
        <v/>
      </c>
      <c r="S1115" s="25" t="str">
        <f aca="false">IF(R1115="","",SUMPRODUCT((I$5:I$4004=I1115)*ISNUMBER(R$5:R$4004)*(R$5:R$4004&gt;R1115))+1)</f>
        <v/>
      </c>
      <c r="T1115" s="25" t="str">
        <f aca="false">IF(S1115="","",IF(S1115&lt;=Setup!$B$5,"🏆 WINNER",""))</f>
        <v/>
      </c>
      <c r="U1115" s="24" t="str">
        <f aca="false">IF(S1115="","",I1115&amp;"|"&amp;S1115)</f>
        <v/>
      </c>
    </row>
    <row r="1116" customFormat="false" ht="15" hidden="false" customHeight="false" outlineLevel="0" collapsed="false">
      <c r="A1116" s="31" t="n">
        <v>1112</v>
      </c>
      <c r="B1116" s="32" t="str">
        <f aca="false">IF(OR(C1116="",I1116="",G1116=""),"",IFERROR(VLOOKUP(I1116,Setup!$A$9:$B$11,2,0),"???")&amp;"-"&amp;G1116&amp;"-"&amp;TEXT(COUNTIFS(I$5:I1116,I1116,G$5:G1116,G1116),"0000"))</f>
        <v/>
      </c>
      <c r="C1116" s="26"/>
      <c r="D1116" s="26"/>
      <c r="E1116" s="27"/>
      <c r="F1116" s="27"/>
      <c r="G1116" s="31" t="str">
        <f aca="false">IF(F1116="","",IF(F1116&lt;=5,"A",IF(F1116&lt;=8,"B",IF(F1116&lt;=10,"C","D"))))</f>
        <v/>
      </c>
      <c r="H1116" s="28"/>
      <c r="I1116" s="27"/>
      <c r="J1116" s="26"/>
      <c r="K1116" s="27"/>
      <c r="L1116" s="27"/>
      <c r="M1116" s="27"/>
      <c r="N1116" s="27"/>
      <c r="O1116" s="31" t="str">
        <f aca="false">IF(G1116="","",VLOOKUP(G1116,Setup!$A$14:$C$17,3,0))</f>
        <v/>
      </c>
      <c r="P1116" s="27"/>
      <c r="Q1116" s="33" t="str">
        <f aca="false">IF(OR(P1116="",M1116&lt;&gt;"Paid",O1116=""),"",P1116/O1116)</f>
        <v/>
      </c>
      <c r="R1116" s="34" t="str">
        <f aca="false">IF(Q1116="","",Q1116+N(H1116)*0.000000001)</f>
        <v/>
      </c>
      <c r="S1116" s="32" t="str">
        <f aca="false">IF(R1116="","",SUMPRODUCT((I$5:I$4004=I1116)*ISNUMBER(R$5:R$4004)*(R$5:R$4004&gt;R1116))+1)</f>
        <v/>
      </c>
      <c r="T1116" s="32" t="str">
        <f aca="false">IF(S1116="","",IF(S1116&lt;=Setup!$B$5,"🏆 WINNER",""))</f>
        <v/>
      </c>
      <c r="U1116" s="31" t="str">
        <f aca="false">IF(S1116="","",I1116&amp;"|"&amp;S1116)</f>
        <v/>
      </c>
    </row>
    <row r="1117" customFormat="false" ht="15" hidden="false" customHeight="false" outlineLevel="0" collapsed="false">
      <c r="A1117" s="24" t="n">
        <v>1113</v>
      </c>
      <c r="B1117" s="25" t="str">
        <f aca="false">IF(OR(C1117="",I1117="",G1117=""),"",IFERROR(VLOOKUP(I1117,Setup!$A$9:$B$11,2,0),"???")&amp;"-"&amp;G1117&amp;"-"&amp;TEXT(COUNTIFS(I$5:I1117,I1117,G$5:G1117,G1117),"0000"))</f>
        <v/>
      </c>
      <c r="C1117" s="26"/>
      <c r="D1117" s="26"/>
      <c r="E1117" s="27"/>
      <c r="F1117" s="27"/>
      <c r="G1117" s="24" t="str">
        <f aca="false">IF(F1117="","",IF(F1117&lt;=5,"A",IF(F1117&lt;=8,"B",IF(F1117&lt;=10,"C","D"))))</f>
        <v/>
      </c>
      <c r="H1117" s="28"/>
      <c r="I1117" s="27"/>
      <c r="J1117" s="26"/>
      <c r="K1117" s="27"/>
      <c r="L1117" s="27"/>
      <c r="M1117" s="27"/>
      <c r="N1117" s="27"/>
      <c r="O1117" s="24" t="str">
        <f aca="false">IF(G1117="","",VLOOKUP(G1117,Setup!$A$14:$C$17,3,0))</f>
        <v/>
      </c>
      <c r="P1117" s="27"/>
      <c r="Q1117" s="29" t="str">
        <f aca="false">IF(OR(P1117="",M1117&lt;&gt;"Paid",O1117=""),"",P1117/O1117)</f>
        <v/>
      </c>
      <c r="R1117" s="30" t="str">
        <f aca="false">IF(Q1117="","",Q1117+N(H1117)*0.000000001)</f>
        <v/>
      </c>
      <c r="S1117" s="25" t="str">
        <f aca="false">IF(R1117="","",SUMPRODUCT((I$5:I$4004=I1117)*ISNUMBER(R$5:R$4004)*(R$5:R$4004&gt;R1117))+1)</f>
        <v/>
      </c>
      <c r="T1117" s="25" t="str">
        <f aca="false">IF(S1117="","",IF(S1117&lt;=Setup!$B$5,"🏆 WINNER",""))</f>
        <v/>
      </c>
      <c r="U1117" s="24" t="str">
        <f aca="false">IF(S1117="","",I1117&amp;"|"&amp;S1117)</f>
        <v/>
      </c>
    </row>
    <row r="1118" customFormat="false" ht="15" hidden="false" customHeight="false" outlineLevel="0" collapsed="false">
      <c r="A1118" s="31" t="n">
        <v>1114</v>
      </c>
      <c r="B1118" s="32" t="str">
        <f aca="false">IF(OR(C1118="",I1118="",G1118=""),"",IFERROR(VLOOKUP(I1118,Setup!$A$9:$B$11,2,0),"???")&amp;"-"&amp;G1118&amp;"-"&amp;TEXT(COUNTIFS(I$5:I1118,I1118,G$5:G1118,G1118),"0000"))</f>
        <v/>
      </c>
      <c r="C1118" s="26"/>
      <c r="D1118" s="26"/>
      <c r="E1118" s="27"/>
      <c r="F1118" s="27"/>
      <c r="G1118" s="31" t="str">
        <f aca="false">IF(F1118="","",IF(F1118&lt;=5,"A",IF(F1118&lt;=8,"B",IF(F1118&lt;=10,"C","D"))))</f>
        <v/>
      </c>
      <c r="H1118" s="28"/>
      <c r="I1118" s="27"/>
      <c r="J1118" s="26"/>
      <c r="K1118" s="27"/>
      <c r="L1118" s="27"/>
      <c r="M1118" s="27"/>
      <c r="N1118" s="27"/>
      <c r="O1118" s="31" t="str">
        <f aca="false">IF(G1118="","",VLOOKUP(G1118,Setup!$A$14:$C$17,3,0))</f>
        <v/>
      </c>
      <c r="P1118" s="27"/>
      <c r="Q1118" s="33" t="str">
        <f aca="false">IF(OR(P1118="",M1118&lt;&gt;"Paid",O1118=""),"",P1118/O1118)</f>
        <v/>
      </c>
      <c r="R1118" s="34" t="str">
        <f aca="false">IF(Q1118="","",Q1118+N(H1118)*0.000000001)</f>
        <v/>
      </c>
      <c r="S1118" s="32" t="str">
        <f aca="false">IF(R1118="","",SUMPRODUCT((I$5:I$4004=I1118)*ISNUMBER(R$5:R$4004)*(R$5:R$4004&gt;R1118))+1)</f>
        <v/>
      </c>
      <c r="T1118" s="32" t="str">
        <f aca="false">IF(S1118="","",IF(S1118&lt;=Setup!$B$5,"🏆 WINNER",""))</f>
        <v/>
      </c>
      <c r="U1118" s="31" t="str">
        <f aca="false">IF(S1118="","",I1118&amp;"|"&amp;S1118)</f>
        <v/>
      </c>
    </row>
    <row r="1119" customFormat="false" ht="15" hidden="false" customHeight="false" outlineLevel="0" collapsed="false">
      <c r="A1119" s="24" t="n">
        <v>1115</v>
      </c>
      <c r="B1119" s="25" t="str">
        <f aca="false">IF(OR(C1119="",I1119="",G1119=""),"",IFERROR(VLOOKUP(I1119,Setup!$A$9:$B$11,2,0),"???")&amp;"-"&amp;G1119&amp;"-"&amp;TEXT(COUNTIFS(I$5:I1119,I1119,G$5:G1119,G1119),"0000"))</f>
        <v/>
      </c>
      <c r="C1119" s="26"/>
      <c r="D1119" s="26"/>
      <c r="E1119" s="27"/>
      <c r="F1119" s="27"/>
      <c r="G1119" s="24" t="str">
        <f aca="false">IF(F1119="","",IF(F1119&lt;=5,"A",IF(F1119&lt;=8,"B",IF(F1119&lt;=10,"C","D"))))</f>
        <v/>
      </c>
      <c r="H1119" s="28"/>
      <c r="I1119" s="27"/>
      <c r="J1119" s="26"/>
      <c r="K1119" s="27"/>
      <c r="L1119" s="27"/>
      <c r="M1119" s="27"/>
      <c r="N1119" s="27"/>
      <c r="O1119" s="24" t="str">
        <f aca="false">IF(G1119="","",VLOOKUP(G1119,Setup!$A$14:$C$17,3,0))</f>
        <v/>
      </c>
      <c r="P1119" s="27"/>
      <c r="Q1119" s="29" t="str">
        <f aca="false">IF(OR(P1119="",M1119&lt;&gt;"Paid",O1119=""),"",P1119/O1119)</f>
        <v/>
      </c>
      <c r="R1119" s="30" t="str">
        <f aca="false">IF(Q1119="","",Q1119+N(H1119)*0.000000001)</f>
        <v/>
      </c>
      <c r="S1119" s="25" t="str">
        <f aca="false">IF(R1119="","",SUMPRODUCT((I$5:I$4004=I1119)*ISNUMBER(R$5:R$4004)*(R$5:R$4004&gt;R1119))+1)</f>
        <v/>
      </c>
      <c r="T1119" s="25" t="str">
        <f aca="false">IF(S1119="","",IF(S1119&lt;=Setup!$B$5,"🏆 WINNER",""))</f>
        <v/>
      </c>
      <c r="U1119" s="24" t="str">
        <f aca="false">IF(S1119="","",I1119&amp;"|"&amp;S1119)</f>
        <v/>
      </c>
    </row>
    <row r="1120" customFormat="false" ht="15" hidden="false" customHeight="false" outlineLevel="0" collapsed="false">
      <c r="A1120" s="31" t="n">
        <v>1116</v>
      </c>
      <c r="B1120" s="32" t="str">
        <f aca="false">IF(OR(C1120="",I1120="",G1120=""),"",IFERROR(VLOOKUP(I1120,Setup!$A$9:$B$11,2,0),"???")&amp;"-"&amp;G1120&amp;"-"&amp;TEXT(COUNTIFS(I$5:I1120,I1120,G$5:G1120,G1120),"0000"))</f>
        <v/>
      </c>
      <c r="C1120" s="26"/>
      <c r="D1120" s="26"/>
      <c r="E1120" s="27"/>
      <c r="F1120" s="27"/>
      <c r="G1120" s="31" t="str">
        <f aca="false">IF(F1120="","",IF(F1120&lt;=5,"A",IF(F1120&lt;=8,"B",IF(F1120&lt;=10,"C","D"))))</f>
        <v/>
      </c>
      <c r="H1120" s="28"/>
      <c r="I1120" s="27"/>
      <c r="J1120" s="26"/>
      <c r="K1120" s="27"/>
      <c r="L1120" s="27"/>
      <c r="M1120" s="27"/>
      <c r="N1120" s="27"/>
      <c r="O1120" s="31" t="str">
        <f aca="false">IF(G1120="","",VLOOKUP(G1120,Setup!$A$14:$C$17,3,0))</f>
        <v/>
      </c>
      <c r="P1120" s="27"/>
      <c r="Q1120" s="33" t="str">
        <f aca="false">IF(OR(P1120="",M1120&lt;&gt;"Paid",O1120=""),"",P1120/O1120)</f>
        <v/>
      </c>
      <c r="R1120" s="34" t="str">
        <f aca="false">IF(Q1120="","",Q1120+N(H1120)*0.000000001)</f>
        <v/>
      </c>
      <c r="S1120" s="32" t="str">
        <f aca="false">IF(R1120="","",SUMPRODUCT((I$5:I$4004=I1120)*ISNUMBER(R$5:R$4004)*(R$5:R$4004&gt;R1120))+1)</f>
        <v/>
      </c>
      <c r="T1120" s="32" t="str">
        <f aca="false">IF(S1120="","",IF(S1120&lt;=Setup!$B$5,"🏆 WINNER",""))</f>
        <v/>
      </c>
      <c r="U1120" s="31" t="str">
        <f aca="false">IF(S1120="","",I1120&amp;"|"&amp;S1120)</f>
        <v/>
      </c>
    </row>
    <row r="1121" customFormat="false" ht="15" hidden="false" customHeight="false" outlineLevel="0" collapsed="false">
      <c r="A1121" s="24" t="n">
        <v>1117</v>
      </c>
      <c r="B1121" s="25" t="str">
        <f aca="false">IF(OR(C1121="",I1121="",G1121=""),"",IFERROR(VLOOKUP(I1121,Setup!$A$9:$B$11,2,0),"???")&amp;"-"&amp;G1121&amp;"-"&amp;TEXT(COUNTIFS(I$5:I1121,I1121,G$5:G1121,G1121),"0000"))</f>
        <v/>
      </c>
      <c r="C1121" s="26"/>
      <c r="D1121" s="26"/>
      <c r="E1121" s="27"/>
      <c r="F1121" s="27"/>
      <c r="G1121" s="24" t="str">
        <f aca="false">IF(F1121="","",IF(F1121&lt;=5,"A",IF(F1121&lt;=8,"B",IF(F1121&lt;=10,"C","D"))))</f>
        <v/>
      </c>
      <c r="H1121" s="28"/>
      <c r="I1121" s="27"/>
      <c r="J1121" s="26"/>
      <c r="K1121" s="27"/>
      <c r="L1121" s="27"/>
      <c r="M1121" s="27"/>
      <c r="N1121" s="27"/>
      <c r="O1121" s="24" t="str">
        <f aca="false">IF(G1121="","",VLOOKUP(G1121,Setup!$A$14:$C$17,3,0))</f>
        <v/>
      </c>
      <c r="P1121" s="27"/>
      <c r="Q1121" s="29" t="str">
        <f aca="false">IF(OR(P1121="",M1121&lt;&gt;"Paid",O1121=""),"",P1121/O1121)</f>
        <v/>
      </c>
      <c r="R1121" s="30" t="str">
        <f aca="false">IF(Q1121="","",Q1121+N(H1121)*0.000000001)</f>
        <v/>
      </c>
      <c r="S1121" s="25" t="str">
        <f aca="false">IF(R1121="","",SUMPRODUCT((I$5:I$4004=I1121)*ISNUMBER(R$5:R$4004)*(R$5:R$4004&gt;R1121))+1)</f>
        <v/>
      </c>
      <c r="T1121" s="25" t="str">
        <f aca="false">IF(S1121="","",IF(S1121&lt;=Setup!$B$5,"🏆 WINNER",""))</f>
        <v/>
      </c>
      <c r="U1121" s="24" t="str">
        <f aca="false">IF(S1121="","",I1121&amp;"|"&amp;S1121)</f>
        <v/>
      </c>
    </row>
    <row r="1122" customFormat="false" ht="15" hidden="false" customHeight="false" outlineLevel="0" collapsed="false">
      <c r="A1122" s="31" t="n">
        <v>1118</v>
      </c>
      <c r="B1122" s="32" t="str">
        <f aca="false">IF(OR(C1122="",I1122="",G1122=""),"",IFERROR(VLOOKUP(I1122,Setup!$A$9:$B$11,2,0),"???")&amp;"-"&amp;G1122&amp;"-"&amp;TEXT(COUNTIFS(I$5:I1122,I1122,G$5:G1122,G1122),"0000"))</f>
        <v/>
      </c>
      <c r="C1122" s="26"/>
      <c r="D1122" s="26"/>
      <c r="E1122" s="27"/>
      <c r="F1122" s="27"/>
      <c r="G1122" s="31" t="str">
        <f aca="false">IF(F1122="","",IF(F1122&lt;=5,"A",IF(F1122&lt;=8,"B",IF(F1122&lt;=10,"C","D"))))</f>
        <v/>
      </c>
      <c r="H1122" s="28"/>
      <c r="I1122" s="27"/>
      <c r="J1122" s="26"/>
      <c r="K1122" s="27"/>
      <c r="L1122" s="27"/>
      <c r="M1122" s="27"/>
      <c r="N1122" s="27"/>
      <c r="O1122" s="31" t="str">
        <f aca="false">IF(G1122="","",VLOOKUP(G1122,Setup!$A$14:$C$17,3,0))</f>
        <v/>
      </c>
      <c r="P1122" s="27"/>
      <c r="Q1122" s="33" t="str">
        <f aca="false">IF(OR(P1122="",M1122&lt;&gt;"Paid",O1122=""),"",P1122/O1122)</f>
        <v/>
      </c>
      <c r="R1122" s="34" t="str">
        <f aca="false">IF(Q1122="","",Q1122+N(H1122)*0.000000001)</f>
        <v/>
      </c>
      <c r="S1122" s="32" t="str">
        <f aca="false">IF(R1122="","",SUMPRODUCT((I$5:I$4004=I1122)*ISNUMBER(R$5:R$4004)*(R$5:R$4004&gt;R1122))+1)</f>
        <v/>
      </c>
      <c r="T1122" s="32" t="str">
        <f aca="false">IF(S1122="","",IF(S1122&lt;=Setup!$B$5,"🏆 WINNER",""))</f>
        <v/>
      </c>
      <c r="U1122" s="31" t="str">
        <f aca="false">IF(S1122="","",I1122&amp;"|"&amp;S1122)</f>
        <v/>
      </c>
    </row>
    <row r="1123" customFormat="false" ht="15" hidden="false" customHeight="false" outlineLevel="0" collapsed="false">
      <c r="A1123" s="24" t="n">
        <v>1119</v>
      </c>
      <c r="B1123" s="25" t="str">
        <f aca="false">IF(OR(C1123="",I1123="",G1123=""),"",IFERROR(VLOOKUP(I1123,Setup!$A$9:$B$11,2,0),"???")&amp;"-"&amp;G1123&amp;"-"&amp;TEXT(COUNTIFS(I$5:I1123,I1123,G$5:G1123,G1123),"0000"))</f>
        <v/>
      </c>
      <c r="C1123" s="26"/>
      <c r="D1123" s="26"/>
      <c r="E1123" s="27"/>
      <c r="F1123" s="27"/>
      <c r="G1123" s="24" t="str">
        <f aca="false">IF(F1123="","",IF(F1123&lt;=5,"A",IF(F1123&lt;=8,"B",IF(F1123&lt;=10,"C","D"))))</f>
        <v/>
      </c>
      <c r="H1123" s="28"/>
      <c r="I1123" s="27"/>
      <c r="J1123" s="26"/>
      <c r="K1123" s="27"/>
      <c r="L1123" s="27"/>
      <c r="M1123" s="27"/>
      <c r="N1123" s="27"/>
      <c r="O1123" s="24" t="str">
        <f aca="false">IF(G1123="","",VLOOKUP(G1123,Setup!$A$14:$C$17,3,0))</f>
        <v/>
      </c>
      <c r="P1123" s="27"/>
      <c r="Q1123" s="29" t="str">
        <f aca="false">IF(OR(P1123="",M1123&lt;&gt;"Paid",O1123=""),"",P1123/O1123)</f>
        <v/>
      </c>
      <c r="R1123" s="30" t="str">
        <f aca="false">IF(Q1123="","",Q1123+N(H1123)*0.000000001)</f>
        <v/>
      </c>
      <c r="S1123" s="25" t="str">
        <f aca="false">IF(R1123="","",SUMPRODUCT((I$5:I$4004=I1123)*ISNUMBER(R$5:R$4004)*(R$5:R$4004&gt;R1123))+1)</f>
        <v/>
      </c>
      <c r="T1123" s="25" t="str">
        <f aca="false">IF(S1123="","",IF(S1123&lt;=Setup!$B$5,"🏆 WINNER",""))</f>
        <v/>
      </c>
      <c r="U1123" s="24" t="str">
        <f aca="false">IF(S1123="","",I1123&amp;"|"&amp;S1123)</f>
        <v/>
      </c>
    </row>
    <row r="1124" customFormat="false" ht="15" hidden="false" customHeight="false" outlineLevel="0" collapsed="false">
      <c r="A1124" s="31" t="n">
        <v>1120</v>
      </c>
      <c r="B1124" s="32" t="str">
        <f aca="false">IF(OR(C1124="",I1124="",G1124=""),"",IFERROR(VLOOKUP(I1124,Setup!$A$9:$B$11,2,0),"???")&amp;"-"&amp;G1124&amp;"-"&amp;TEXT(COUNTIFS(I$5:I1124,I1124,G$5:G1124,G1124),"0000"))</f>
        <v/>
      </c>
      <c r="C1124" s="26"/>
      <c r="D1124" s="26"/>
      <c r="E1124" s="27"/>
      <c r="F1124" s="27"/>
      <c r="G1124" s="31" t="str">
        <f aca="false">IF(F1124="","",IF(F1124&lt;=5,"A",IF(F1124&lt;=8,"B",IF(F1124&lt;=10,"C","D"))))</f>
        <v/>
      </c>
      <c r="H1124" s="28"/>
      <c r="I1124" s="27"/>
      <c r="J1124" s="26"/>
      <c r="K1124" s="27"/>
      <c r="L1124" s="27"/>
      <c r="M1124" s="27"/>
      <c r="N1124" s="27"/>
      <c r="O1124" s="31" t="str">
        <f aca="false">IF(G1124="","",VLOOKUP(G1124,Setup!$A$14:$C$17,3,0))</f>
        <v/>
      </c>
      <c r="P1124" s="27"/>
      <c r="Q1124" s="33" t="str">
        <f aca="false">IF(OR(P1124="",M1124&lt;&gt;"Paid",O1124=""),"",P1124/O1124)</f>
        <v/>
      </c>
      <c r="R1124" s="34" t="str">
        <f aca="false">IF(Q1124="","",Q1124+N(H1124)*0.000000001)</f>
        <v/>
      </c>
      <c r="S1124" s="32" t="str">
        <f aca="false">IF(R1124="","",SUMPRODUCT((I$5:I$4004=I1124)*ISNUMBER(R$5:R$4004)*(R$5:R$4004&gt;R1124))+1)</f>
        <v/>
      </c>
      <c r="T1124" s="32" t="str">
        <f aca="false">IF(S1124="","",IF(S1124&lt;=Setup!$B$5,"🏆 WINNER",""))</f>
        <v/>
      </c>
      <c r="U1124" s="31" t="str">
        <f aca="false">IF(S1124="","",I1124&amp;"|"&amp;S1124)</f>
        <v/>
      </c>
    </row>
    <row r="1125" customFormat="false" ht="15" hidden="false" customHeight="false" outlineLevel="0" collapsed="false">
      <c r="A1125" s="24" t="n">
        <v>1121</v>
      </c>
      <c r="B1125" s="25" t="str">
        <f aca="false">IF(OR(C1125="",I1125="",G1125=""),"",IFERROR(VLOOKUP(I1125,Setup!$A$9:$B$11,2,0),"???")&amp;"-"&amp;G1125&amp;"-"&amp;TEXT(COUNTIFS(I$5:I1125,I1125,G$5:G1125,G1125),"0000"))</f>
        <v/>
      </c>
      <c r="C1125" s="26"/>
      <c r="D1125" s="26"/>
      <c r="E1125" s="27"/>
      <c r="F1125" s="27"/>
      <c r="G1125" s="24" t="str">
        <f aca="false">IF(F1125="","",IF(F1125&lt;=5,"A",IF(F1125&lt;=8,"B",IF(F1125&lt;=10,"C","D"))))</f>
        <v/>
      </c>
      <c r="H1125" s="28"/>
      <c r="I1125" s="27"/>
      <c r="J1125" s="26"/>
      <c r="K1125" s="27"/>
      <c r="L1125" s="27"/>
      <c r="M1125" s="27"/>
      <c r="N1125" s="27"/>
      <c r="O1125" s="24" t="str">
        <f aca="false">IF(G1125="","",VLOOKUP(G1125,Setup!$A$14:$C$17,3,0))</f>
        <v/>
      </c>
      <c r="P1125" s="27"/>
      <c r="Q1125" s="29" t="str">
        <f aca="false">IF(OR(P1125="",M1125&lt;&gt;"Paid",O1125=""),"",P1125/O1125)</f>
        <v/>
      </c>
      <c r="R1125" s="30" t="str">
        <f aca="false">IF(Q1125="","",Q1125+N(H1125)*0.000000001)</f>
        <v/>
      </c>
      <c r="S1125" s="25" t="str">
        <f aca="false">IF(R1125="","",SUMPRODUCT((I$5:I$4004=I1125)*ISNUMBER(R$5:R$4004)*(R$5:R$4004&gt;R1125))+1)</f>
        <v/>
      </c>
      <c r="T1125" s="25" t="str">
        <f aca="false">IF(S1125="","",IF(S1125&lt;=Setup!$B$5,"🏆 WINNER",""))</f>
        <v/>
      </c>
      <c r="U1125" s="24" t="str">
        <f aca="false">IF(S1125="","",I1125&amp;"|"&amp;S1125)</f>
        <v/>
      </c>
    </row>
    <row r="1126" customFormat="false" ht="15" hidden="false" customHeight="false" outlineLevel="0" collapsed="false">
      <c r="A1126" s="31" t="n">
        <v>1122</v>
      </c>
      <c r="B1126" s="32" t="str">
        <f aca="false">IF(OR(C1126="",I1126="",G1126=""),"",IFERROR(VLOOKUP(I1126,Setup!$A$9:$B$11,2,0),"???")&amp;"-"&amp;G1126&amp;"-"&amp;TEXT(COUNTIFS(I$5:I1126,I1126,G$5:G1126,G1126),"0000"))</f>
        <v/>
      </c>
      <c r="C1126" s="26"/>
      <c r="D1126" s="26"/>
      <c r="E1126" s="27"/>
      <c r="F1126" s="27"/>
      <c r="G1126" s="31" t="str">
        <f aca="false">IF(F1126="","",IF(F1126&lt;=5,"A",IF(F1126&lt;=8,"B",IF(F1126&lt;=10,"C","D"))))</f>
        <v/>
      </c>
      <c r="H1126" s="28"/>
      <c r="I1126" s="27"/>
      <c r="J1126" s="26"/>
      <c r="K1126" s="27"/>
      <c r="L1126" s="27"/>
      <c r="M1126" s="27"/>
      <c r="N1126" s="27"/>
      <c r="O1126" s="31" t="str">
        <f aca="false">IF(G1126="","",VLOOKUP(G1126,Setup!$A$14:$C$17,3,0))</f>
        <v/>
      </c>
      <c r="P1126" s="27"/>
      <c r="Q1126" s="33" t="str">
        <f aca="false">IF(OR(P1126="",M1126&lt;&gt;"Paid",O1126=""),"",P1126/O1126)</f>
        <v/>
      </c>
      <c r="R1126" s="34" t="str">
        <f aca="false">IF(Q1126="","",Q1126+N(H1126)*0.000000001)</f>
        <v/>
      </c>
      <c r="S1126" s="32" t="str">
        <f aca="false">IF(R1126="","",SUMPRODUCT((I$5:I$4004=I1126)*ISNUMBER(R$5:R$4004)*(R$5:R$4004&gt;R1126))+1)</f>
        <v/>
      </c>
      <c r="T1126" s="32" t="str">
        <f aca="false">IF(S1126="","",IF(S1126&lt;=Setup!$B$5,"🏆 WINNER",""))</f>
        <v/>
      </c>
      <c r="U1126" s="31" t="str">
        <f aca="false">IF(S1126="","",I1126&amp;"|"&amp;S1126)</f>
        <v/>
      </c>
    </row>
    <row r="1127" customFormat="false" ht="15" hidden="false" customHeight="false" outlineLevel="0" collapsed="false">
      <c r="A1127" s="24" t="n">
        <v>1123</v>
      </c>
      <c r="B1127" s="25" t="str">
        <f aca="false">IF(OR(C1127="",I1127="",G1127=""),"",IFERROR(VLOOKUP(I1127,Setup!$A$9:$B$11,2,0),"???")&amp;"-"&amp;G1127&amp;"-"&amp;TEXT(COUNTIFS(I$5:I1127,I1127,G$5:G1127,G1127),"0000"))</f>
        <v/>
      </c>
      <c r="C1127" s="26"/>
      <c r="D1127" s="26"/>
      <c r="E1127" s="27"/>
      <c r="F1127" s="27"/>
      <c r="G1127" s="24" t="str">
        <f aca="false">IF(F1127="","",IF(F1127&lt;=5,"A",IF(F1127&lt;=8,"B",IF(F1127&lt;=10,"C","D"))))</f>
        <v/>
      </c>
      <c r="H1127" s="28"/>
      <c r="I1127" s="27"/>
      <c r="J1127" s="26"/>
      <c r="K1127" s="27"/>
      <c r="L1127" s="27"/>
      <c r="M1127" s="27"/>
      <c r="N1127" s="27"/>
      <c r="O1127" s="24" t="str">
        <f aca="false">IF(G1127="","",VLOOKUP(G1127,Setup!$A$14:$C$17,3,0))</f>
        <v/>
      </c>
      <c r="P1127" s="27"/>
      <c r="Q1127" s="29" t="str">
        <f aca="false">IF(OR(P1127="",M1127&lt;&gt;"Paid",O1127=""),"",P1127/O1127)</f>
        <v/>
      </c>
      <c r="R1127" s="30" t="str">
        <f aca="false">IF(Q1127="","",Q1127+N(H1127)*0.000000001)</f>
        <v/>
      </c>
      <c r="S1127" s="25" t="str">
        <f aca="false">IF(R1127="","",SUMPRODUCT((I$5:I$4004=I1127)*ISNUMBER(R$5:R$4004)*(R$5:R$4004&gt;R1127))+1)</f>
        <v/>
      </c>
      <c r="T1127" s="25" t="str">
        <f aca="false">IF(S1127="","",IF(S1127&lt;=Setup!$B$5,"🏆 WINNER",""))</f>
        <v/>
      </c>
      <c r="U1127" s="24" t="str">
        <f aca="false">IF(S1127="","",I1127&amp;"|"&amp;S1127)</f>
        <v/>
      </c>
    </row>
    <row r="1128" customFormat="false" ht="15" hidden="false" customHeight="false" outlineLevel="0" collapsed="false">
      <c r="A1128" s="31" t="n">
        <v>1124</v>
      </c>
      <c r="B1128" s="32" t="str">
        <f aca="false">IF(OR(C1128="",I1128="",G1128=""),"",IFERROR(VLOOKUP(I1128,Setup!$A$9:$B$11,2,0),"???")&amp;"-"&amp;G1128&amp;"-"&amp;TEXT(COUNTIFS(I$5:I1128,I1128,G$5:G1128,G1128),"0000"))</f>
        <v/>
      </c>
      <c r="C1128" s="26"/>
      <c r="D1128" s="26"/>
      <c r="E1128" s="27"/>
      <c r="F1128" s="27"/>
      <c r="G1128" s="31" t="str">
        <f aca="false">IF(F1128="","",IF(F1128&lt;=5,"A",IF(F1128&lt;=8,"B",IF(F1128&lt;=10,"C","D"))))</f>
        <v/>
      </c>
      <c r="H1128" s="28"/>
      <c r="I1128" s="27"/>
      <c r="J1128" s="26"/>
      <c r="K1128" s="27"/>
      <c r="L1128" s="27"/>
      <c r="M1128" s="27"/>
      <c r="N1128" s="27"/>
      <c r="O1128" s="31" t="str">
        <f aca="false">IF(G1128="","",VLOOKUP(G1128,Setup!$A$14:$C$17,3,0))</f>
        <v/>
      </c>
      <c r="P1128" s="27"/>
      <c r="Q1128" s="33" t="str">
        <f aca="false">IF(OR(P1128="",M1128&lt;&gt;"Paid",O1128=""),"",P1128/O1128)</f>
        <v/>
      </c>
      <c r="R1128" s="34" t="str">
        <f aca="false">IF(Q1128="","",Q1128+N(H1128)*0.000000001)</f>
        <v/>
      </c>
      <c r="S1128" s="32" t="str">
        <f aca="false">IF(R1128="","",SUMPRODUCT((I$5:I$4004=I1128)*ISNUMBER(R$5:R$4004)*(R$5:R$4004&gt;R1128))+1)</f>
        <v/>
      </c>
      <c r="T1128" s="32" t="str">
        <f aca="false">IF(S1128="","",IF(S1128&lt;=Setup!$B$5,"🏆 WINNER",""))</f>
        <v/>
      </c>
      <c r="U1128" s="31" t="str">
        <f aca="false">IF(S1128="","",I1128&amp;"|"&amp;S1128)</f>
        <v/>
      </c>
    </row>
    <row r="1129" customFormat="false" ht="15" hidden="false" customHeight="false" outlineLevel="0" collapsed="false">
      <c r="A1129" s="24" t="n">
        <v>1125</v>
      </c>
      <c r="B1129" s="25" t="str">
        <f aca="false">IF(OR(C1129="",I1129="",G1129=""),"",IFERROR(VLOOKUP(I1129,Setup!$A$9:$B$11,2,0),"???")&amp;"-"&amp;G1129&amp;"-"&amp;TEXT(COUNTIFS(I$5:I1129,I1129,G$5:G1129,G1129),"0000"))</f>
        <v/>
      </c>
      <c r="C1129" s="26"/>
      <c r="D1129" s="26"/>
      <c r="E1129" s="27"/>
      <c r="F1129" s="27"/>
      <c r="G1129" s="24" t="str">
        <f aca="false">IF(F1129="","",IF(F1129&lt;=5,"A",IF(F1129&lt;=8,"B",IF(F1129&lt;=10,"C","D"))))</f>
        <v/>
      </c>
      <c r="H1129" s="28"/>
      <c r="I1129" s="27"/>
      <c r="J1129" s="26"/>
      <c r="K1129" s="27"/>
      <c r="L1129" s="27"/>
      <c r="M1129" s="27"/>
      <c r="N1129" s="27"/>
      <c r="O1129" s="24" t="str">
        <f aca="false">IF(G1129="","",VLOOKUP(G1129,Setup!$A$14:$C$17,3,0))</f>
        <v/>
      </c>
      <c r="P1129" s="27"/>
      <c r="Q1129" s="29" t="str">
        <f aca="false">IF(OR(P1129="",M1129&lt;&gt;"Paid",O1129=""),"",P1129/O1129)</f>
        <v/>
      </c>
      <c r="R1129" s="30" t="str">
        <f aca="false">IF(Q1129="","",Q1129+N(H1129)*0.000000001)</f>
        <v/>
      </c>
      <c r="S1129" s="25" t="str">
        <f aca="false">IF(R1129="","",SUMPRODUCT((I$5:I$4004=I1129)*ISNUMBER(R$5:R$4004)*(R$5:R$4004&gt;R1129))+1)</f>
        <v/>
      </c>
      <c r="T1129" s="25" t="str">
        <f aca="false">IF(S1129="","",IF(S1129&lt;=Setup!$B$5,"🏆 WINNER",""))</f>
        <v/>
      </c>
      <c r="U1129" s="24" t="str">
        <f aca="false">IF(S1129="","",I1129&amp;"|"&amp;S1129)</f>
        <v/>
      </c>
    </row>
    <row r="1130" customFormat="false" ht="15" hidden="false" customHeight="false" outlineLevel="0" collapsed="false">
      <c r="A1130" s="31" t="n">
        <v>1126</v>
      </c>
      <c r="B1130" s="32" t="str">
        <f aca="false">IF(OR(C1130="",I1130="",G1130=""),"",IFERROR(VLOOKUP(I1130,Setup!$A$9:$B$11,2,0),"???")&amp;"-"&amp;G1130&amp;"-"&amp;TEXT(COUNTIFS(I$5:I1130,I1130,G$5:G1130,G1130),"0000"))</f>
        <v/>
      </c>
      <c r="C1130" s="26"/>
      <c r="D1130" s="26"/>
      <c r="E1130" s="27"/>
      <c r="F1130" s="27"/>
      <c r="G1130" s="31" t="str">
        <f aca="false">IF(F1130="","",IF(F1130&lt;=5,"A",IF(F1130&lt;=8,"B",IF(F1130&lt;=10,"C","D"))))</f>
        <v/>
      </c>
      <c r="H1130" s="28"/>
      <c r="I1130" s="27"/>
      <c r="J1130" s="26"/>
      <c r="K1130" s="27"/>
      <c r="L1130" s="27"/>
      <c r="M1130" s="27"/>
      <c r="N1130" s="27"/>
      <c r="O1130" s="31" t="str">
        <f aca="false">IF(G1130="","",VLOOKUP(G1130,Setup!$A$14:$C$17,3,0))</f>
        <v/>
      </c>
      <c r="P1130" s="27"/>
      <c r="Q1130" s="33" t="str">
        <f aca="false">IF(OR(P1130="",M1130&lt;&gt;"Paid",O1130=""),"",P1130/O1130)</f>
        <v/>
      </c>
      <c r="R1130" s="34" t="str">
        <f aca="false">IF(Q1130="","",Q1130+N(H1130)*0.000000001)</f>
        <v/>
      </c>
      <c r="S1130" s="32" t="str">
        <f aca="false">IF(R1130="","",SUMPRODUCT((I$5:I$4004=I1130)*ISNUMBER(R$5:R$4004)*(R$5:R$4004&gt;R1130))+1)</f>
        <v/>
      </c>
      <c r="T1130" s="32" t="str">
        <f aca="false">IF(S1130="","",IF(S1130&lt;=Setup!$B$5,"🏆 WINNER",""))</f>
        <v/>
      </c>
      <c r="U1130" s="31" t="str">
        <f aca="false">IF(S1130="","",I1130&amp;"|"&amp;S1130)</f>
        <v/>
      </c>
    </row>
    <row r="1131" customFormat="false" ht="15" hidden="false" customHeight="false" outlineLevel="0" collapsed="false">
      <c r="A1131" s="24" t="n">
        <v>1127</v>
      </c>
      <c r="B1131" s="25" t="str">
        <f aca="false">IF(OR(C1131="",I1131="",G1131=""),"",IFERROR(VLOOKUP(I1131,Setup!$A$9:$B$11,2,0),"???")&amp;"-"&amp;G1131&amp;"-"&amp;TEXT(COUNTIFS(I$5:I1131,I1131,G$5:G1131,G1131),"0000"))</f>
        <v/>
      </c>
      <c r="C1131" s="26"/>
      <c r="D1131" s="26"/>
      <c r="E1131" s="27"/>
      <c r="F1131" s="27"/>
      <c r="G1131" s="24" t="str">
        <f aca="false">IF(F1131="","",IF(F1131&lt;=5,"A",IF(F1131&lt;=8,"B",IF(F1131&lt;=10,"C","D"))))</f>
        <v/>
      </c>
      <c r="H1131" s="28"/>
      <c r="I1131" s="27"/>
      <c r="J1131" s="26"/>
      <c r="K1131" s="27"/>
      <c r="L1131" s="27"/>
      <c r="M1131" s="27"/>
      <c r="N1131" s="27"/>
      <c r="O1131" s="24" t="str">
        <f aca="false">IF(G1131="","",VLOOKUP(G1131,Setup!$A$14:$C$17,3,0))</f>
        <v/>
      </c>
      <c r="P1131" s="27"/>
      <c r="Q1131" s="29" t="str">
        <f aca="false">IF(OR(P1131="",M1131&lt;&gt;"Paid",O1131=""),"",P1131/O1131)</f>
        <v/>
      </c>
      <c r="R1131" s="30" t="str">
        <f aca="false">IF(Q1131="","",Q1131+N(H1131)*0.000000001)</f>
        <v/>
      </c>
      <c r="S1131" s="25" t="str">
        <f aca="false">IF(R1131="","",SUMPRODUCT((I$5:I$4004=I1131)*ISNUMBER(R$5:R$4004)*(R$5:R$4004&gt;R1131))+1)</f>
        <v/>
      </c>
      <c r="T1131" s="25" t="str">
        <f aca="false">IF(S1131="","",IF(S1131&lt;=Setup!$B$5,"🏆 WINNER",""))</f>
        <v/>
      </c>
      <c r="U1131" s="24" t="str">
        <f aca="false">IF(S1131="","",I1131&amp;"|"&amp;S1131)</f>
        <v/>
      </c>
    </row>
    <row r="1132" customFormat="false" ht="15" hidden="false" customHeight="false" outlineLevel="0" collapsed="false">
      <c r="A1132" s="31" t="n">
        <v>1128</v>
      </c>
      <c r="B1132" s="32" t="str">
        <f aca="false">IF(OR(C1132="",I1132="",G1132=""),"",IFERROR(VLOOKUP(I1132,Setup!$A$9:$B$11,2,0),"???")&amp;"-"&amp;G1132&amp;"-"&amp;TEXT(COUNTIFS(I$5:I1132,I1132,G$5:G1132,G1132),"0000"))</f>
        <v/>
      </c>
      <c r="C1132" s="26"/>
      <c r="D1132" s="26"/>
      <c r="E1132" s="27"/>
      <c r="F1132" s="27"/>
      <c r="G1132" s="31" t="str">
        <f aca="false">IF(F1132="","",IF(F1132&lt;=5,"A",IF(F1132&lt;=8,"B",IF(F1132&lt;=10,"C","D"))))</f>
        <v/>
      </c>
      <c r="H1132" s="28"/>
      <c r="I1132" s="27"/>
      <c r="J1132" s="26"/>
      <c r="K1132" s="27"/>
      <c r="L1132" s="27"/>
      <c r="M1132" s="27"/>
      <c r="N1132" s="27"/>
      <c r="O1132" s="31" t="str">
        <f aca="false">IF(G1132="","",VLOOKUP(G1132,Setup!$A$14:$C$17,3,0))</f>
        <v/>
      </c>
      <c r="P1132" s="27"/>
      <c r="Q1132" s="33" t="str">
        <f aca="false">IF(OR(P1132="",M1132&lt;&gt;"Paid",O1132=""),"",P1132/O1132)</f>
        <v/>
      </c>
      <c r="R1132" s="34" t="str">
        <f aca="false">IF(Q1132="","",Q1132+N(H1132)*0.000000001)</f>
        <v/>
      </c>
      <c r="S1132" s="32" t="str">
        <f aca="false">IF(R1132="","",SUMPRODUCT((I$5:I$4004=I1132)*ISNUMBER(R$5:R$4004)*(R$5:R$4004&gt;R1132))+1)</f>
        <v/>
      </c>
      <c r="T1132" s="32" t="str">
        <f aca="false">IF(S1132="","",IF(S1132&lt;=Setup!$B$5,"🏆 WINNER",""))</f>
        <v/>
      </c>
      <c r="U1132" s="31" t="str">
        <f aca="false">IF(S1132="","",I1132&amp;"|"&amp;S1132)</f>
        <v/>
      </c>
    </row>
    <row r="1133" customFormat="false" ht="15" hidden="false" customHeight="false" outlineLevel="0" collapsed="false">
      <c r="A1133" s="24" t="n">
        <v>1129</v>
      </c>
      <c r="B1133" s="25" t="str">
        <f aca="false">IF(OR(C1133="",I1133="",G1133=""),"",IFERROR(VLOOKUP(I1133,Setup!$A$9:$B$11,2,0),"???")&amp;"-"&amp;G1133&amp;"-"&amp;TEXT(COUNTIFS(I$5:I1133,I1133,G$5:G1133,G1133),"0000"))</f>
        <v/>
      </c>
      <c r="C1133" s="26"/>
      <c r="D1133" s="26"/>
      <c r="E1133" s="27"/>
      <c r="F1133" s="27"/>
      <c r="G1133" s="24" t="str">
        <f aca="false">IF(F1133="","",IF(F1133&lt;=5,"A",IF(F1133&lt;=8,"B",IF(F1133&lt;=10,"C","D"))))</f>
        <v/>
      </c>
      <c r="H1133" s="28"/>
      <c r="I1133" s="27"/>
      <c r="J1133" s="26"/>
      <c r="K1133" s="27"/>
      <c r="L1133" s="27"/>
      <c r="M1133" s="27"/>
      <c r="N1133" s="27"/>
      <c r="O1133" s="24" t="str">
        <f aca="false">IF(G1133="","",VLOOKUP(G1133,Setup!$A$14:$C$17,3,0))</f>
        <v/>
      </c>
      <c r="P1133" s="27"/>
      <c r="Q1133" s="29" t="str">
        <f aca="false">IF(OR(P1133="",M1133&lt;&gt;"Paid",O1133=""),"",P1133/O1133)</f>
        <v/>
      </c>
      <c r="R1133" s="30" t="str">
        <f aca="false">IF(Q1133="","",Q1133+N(H1133)*0.000000001)</f>
        <v/>
      </c>
      <c r="S1133" s="25" t="str">
        <f aca="false">IF(R1133="","",SUMPRODUCT((I$5:I$4004=I1133)*ISNUMBER(R$5:R$4004)*(R$5:R$4004&gt;R1133))+1)</f>
        <v/>
      </c>
      <c r="T1133" s="25" t="str">
        <f aca="false">IF(S1133="","",IF(S1133&lt;=Setup!$B$5,"🏆 WINNER",""))</f>
        <v/>
      </c>
      <c r="U1133" s="24" t="str">
        <f aca="false">IF(S1133="","",I1133&amp;"|"&amp;S1133)</f>
        <v/>
      </c>
    </row>
    <row r="1134" customFormat="false" ht="15" hidden="false" customHeight="false" outlineLevel="0" collapsed="false">
      <c r="A1134" s="31" t="n">
        <v>1130</v>
      </c>
      <c r="B1134" s="32" t="str">
        <f aca="false">IF(OR(C1134="",I1134="",G1134=""),"",IFERROR(VLOOKUP(I1134,Setup!$A$9:$B$11,2,0),"???")&amp;"-"&amp;G1134&amp;"-"&amp;TEXT(COUNTIFS(I$5:I1134,I1134,G$5:G1134,G1134),"0000"))</f>
        <v/>
      </c>
      <c r="C1134" s="26"/>
      <c r="D1134" s="26"/>
      <c r="E1134" s="27"/>
      <c r="F1134" s="27"/>
      <c r="G1134" s="31" t="str">
        <f aca="false">IF(F1134="","",IF(F1134&lt;=5,"A",IF(F1134&lt;=8,"B",IF(F1134&lt;=10,"C","D"))))</f>
        <v/>
      </c>
      <c r="H1134" s="28"/>
      <c r="I1134" s="27"/>
      <c r="J1134" s="26"/>
      <c r="K1134" s="27"/>
      <c r="L1134" s="27"/>
      <c r="M1134" s="27"/>
      <c r="N1134" s="27"/>
      <c r="O1134" s="31" t="str">
        <f aca="false">IF(G1134="","",VLOOKUP(G1134,Setup!$A$14:$C$17,3,0))</f>
        <v/>
      </c>
      <c r="P1134" s="27"/>
      <c r="Q1134" s="33" t="str">
        <f aca="false">IF(OR(P1134="",M1134&lt;&gt;"Paid",O1134=""),"",P1134/O1134)</f>
        <v/>
      </c>
      <c r="R1134" s="34" t="str">
        <f aca="false">IF(Q1134="","",Q1134+N(H1134)*0.000000001)</f>
        <v/>
      </c>
      <c r="S1134" s="32" t="str">
        <f aca="false">IF(R1134="","",SUMPRODUCT((I$5:I$4004=I1134)*ISNUMBER(R$5:R$4004)*(R$5:R$4004&gt;R1134))+1)</f>
        <v/>
      </c>
      <c r="T1134" s="32" t="str">
        <f aca="false">IF(S1134="","",IF(S1134&lt;=Setup!$B$5,"🏆 WINNER",""))</f>
        <v/>
      </c>
      <c r="U1134" s="31" t="str">
        <f aca="false">IF(S1134="","",I1134&amp;"|"&amp;S1134)</f>
        <v/>
      </c>
    </row>
    <row r="1135" customFormat="false" ht="15" hidden="false" customHeight="false" outlineLevel="0" collapsed="false">
      <c r="A1135" s="24" t="n">
        <v>1131</v>
      </c>
      <c r="B1135" s="25" t="str">
        <f aca="false">IF(OR(C1135="",I1135="",G1135=""),"",IFERROR(VLOOKUP(I1135,Setup!$A$9:$B$11,2,0),"???")&amp;"-"&amp;G1135&amp;"-"&amp;TEXT(COUNTIFS(I$5:I1135,I1135,G$5:G1135,G1135),"0000"))</f>
        <v/>
      </c>
      <c r="C1135" s="26"/>
      <c r="D1135" s="26"/>
      <c r="E1135" s="27"/>
      <c r="F1135" s="27"/>
      <c r="G1135" s="24" t="str">
        <f aca="false">IF(F1135="","",IF(F1135&lt;=5,"A",IF(F1135&lt;=8,"B",IF(F1135&lt;=10,"C","D"))))</f>
        <v/>
      </c>
      <c r="H1135" s="28"/>
      <c r="I1135" s="27"/>
      <c r="J1135" s="26"/>
      <c r="K1135" s="27"/>
      <c r="L1135" s="27"/>
      <c r="M1135" s="27"/>
      <c r="N1135" s="27"/>
      <c r="O1135" s="24" t="str">
        <f aca="false">IF(G1135="","",VLOOKUP(G1135,Setup!$A$14:$C$17,3,0))</f>
        <v/>
      </c>
      <c r="P1135" s="27"/>
      <c r="Q1135" s="29" t="str">
        <f aca="false">IF(OR(P1135="",M1135&lt;&gt;"Paid",O1135=""),"",P1135/O1135)</f>
        <v/>
      </c>
      <c r="R1135" s="30" t="str">
        <f aca="false">IF(Q1135="","",Q1135+N(H1135)*0.000000001)</f>
        <v/>
      </c>
      <c r="S1135" s="25" t="str">
        <f aca="false">IF(R1135="","",SUMPRODUCT((I$5:I$4004=I1135)*ISNUMBER(R$5:R$4004)*(R$5:R$4004&gt;R1135))+1)</f>
        <v/>
      </c>
      <c r="T1135" s="25" t="str">
        <f aca="false">IF(S1135="","",IF(S1135&lt;=Setup!$B$5,"🏆 WINNER",""))</f>
        <v/>
      </c>
      <c r="U1135" s="24" t="str">
        <f aca="false">IF(S1135="","",I1135&amp;"|"&amp;S1135)</f>
        <v/>
      </c>
    </row>
    <row r="1136" customFormat="false" ht="15" hidden="false" customHeight="false" outlineLevel="0" collapsed="false">
      <c r="A1136" s="31" t="n">
        <v>1132</v>
      </c>
      <c r="B1136" s="32" t="str">
        <f aca="false">IF(OR(C1136="",I1136="",G1136=""),"",IFERROR(VLOOKUP(I1136,Setup!$A$9:$B$11,2,0),"???")&amp;"-"&amp;G1136&amp;"-"&amp;TEXT(COUNTIFS(I$5:I1136,I1136,G$5:G1136,G1136),"0000"))</f>
        <v/>
      </c>
      <c r="C1136" s="26"/>
      <c r="D1136" s="26"/>
      <c r="E1136" s="27"/>
      <c r="F1136" s="27"/>
      <c r="G1136" s="31" t="str">
        <f aca="false">IF(F1136="","",IF(F1136&lt;=5,"A",IF(F1136&lt;=8,"B",IF(F1136&lt;=10,"C","D"))))</f>
        <v/>
      </c>
      <c r="H1136" s="28"/>
      <c r="I1136" s="27"/>
      <c r="J1136" s="26"/>
      <c r="K1136" s="27"/>
      <c r="L1136" s="27"/>
      <c r="M1136" s="27"/>
      <c r="N1136" s="27"/>
      <c r="O1136" s="31" t="str">
        <f aca="false">IF(G1136="","",VLOOKUP(G1136,Setup!$A$14:$C$17,3,0))</f>
        <v/>
      </c>
      <c r="P1136" s="27"/>
      <c r="Q1136" s="33" t="str">
        <f aca="false">IF(OR(P1136="",M1136&lt;&gt;"Paid",O1136=""),"",P1136/O1136)</f>
        <v/>
      </c>
      <c r="R1136" s="34" t="str">
        <f aca="false">IF(Q1136="","",Q1136+N(H1136)*0.000000001)</f>
        <v/>
      </c>
      <c r="S1136" s="32" t="str">
        <f aca="false">IF(R1136="","",SUMPRODUCT((I$5:I$4004=I1136)*ISNUMBER(R$5:R$4004)*(R$5:R$4004&gt;R1136))+1)</f>
        <v/>
      </c>
      <c r="T1136" s="32" t="str">
        <f aca="false">IF(S1136="","",IF(S1136&lt;=Setup!$B$5,"🏆 WINNER",""))</f>
        <v/>
      </c>
      <c r="U1136" s="31" t="str">
        <f aca="false">IF(S1136="","",I1136&amp;"|"&amp;S1136)</f>
        <v/>
      </c>
    </row>
    <row r="1137" customFormat="false" ht="15" hidden="false" customHeight="false" outlineLevel="0" collapsed="false">
      <c r="A1137" s="24" t="n">
        <v>1133</v>
      </c>
      <c r="B1137" s="25" t="str">
        <f aca="false">IF(OR(C1137="",I1137="",G1137=""),"",IFERROR(VLOOKUP(I1137,Setup!$A$9:$B$11,2,0),"???")&amp;"-"&amp;G1137&amp;"-"&amp;TEXT(COUNTIFS(I$5:I1137,I1137,G$5:G1137,G1137),"0000"))</f>
        <v/>
      </c>
      <c r="C1137" s="26"/>
      <c r="D1137" s="26"/>
      <c r="E1137" s="27"/>
      <c r="F1137" s="27"/>
      <c r="G1137" s="24" t="str">
        <f aca="false">IF(F1137="","",IF(F1137&lt;=5,"A",IF(F1137&lt;=8,"B",IF(F1137&lt;=10,"C","D"))))</f>
        <v/>
      </c>
      <c r="H1137" s="28"/>
      <c r="I1137" s="27"/>
      <c r="J1137" s="26"/>
      <c r="K1137" s="27"/>
      <c r="L1137" s="27"/>
      <c r="M1137" s="27"/>
      <c r="N1137" s="27"/>
      <c r="O1137" s="24" t="str">
        <f aca="false">IF(G1137="","",VLOOKUP(G1137,Setup!$A$14:$C$17,3,0))</f>
        <v/>
      </c>
      <c r="P1137" s="27"/>
      <c r="Q1137" s="29" t="str">
        <f aca="false">IF(OR(P1137="",M1137&lt;&gt;"Paid",O1137=""),"",P1137/O1137)</f>
        <v/>
      </c>
      <c r="R1137" s="30" t="str">
        <f aca="false">IF(Q1137="","",Q1137+N(H1137)*0.000000001)</f>
        <v/>
      </c>
      <c r="S1137" s="25" t="str">
        <f aca="false">IF(R1137="","",SUMPRODUCT((I$5:I$4004=I1137)*ISNUMBER(R$5:R$4004)*(R$5:R$4004&gt;R1137))+1)</f>
        <v/>
      </c>
      <c r="T1137" s="25" t="str">
        <f aca="false">IF(S1137="","",IF(S1137&lt;=Setup!$B$5,"🏆 WINNER",""))</f>
        <v/>
      </c>
      <c r="U1137" s="24" t="str">
        <f aca="false">IF(S1137="","",I1137&amp;"|"&amp;S1137)</f>
        <v/>
      </c>
    </row>
    <row r="1138" customFormat="false" ht="15" hidden="false" customHeight="false" outlineLevel="0" collapsed="false">
      <c r="A1138" s="31" t="n">
        <v>1134</v>
      </c>
      <c r="B1138" s="32" t="str">
        <f aca="false">IF(OR(C1138="",I1138="",G1138=""),"",IFERROR(VLOOKUP(I1138,Setup!$A$9:$B$11,2,0),"???")&amp;"-"&amp;G1138&amp;"-"&amp;TEXT(COUNTIFS(I$5:I1138,I1138,G$5:G1138,G1138),"0000"))</f>
        <v/>
      </c>
      <c r="C1138" s="26"/>
      <c r="D1138" s="26"/>
      <c r="E1138" s="27"/>
      <c r="F1138" s="27"/>
      <c r="G1138" s="31" t="str">
        <f aca="false">IF(F1138="","",IF(F1138&lt;=5,"A",IF(F1138&lt;=8,"B",IF(F1138&lt;=10,"C","D"))))</f>
        <v/>
      </c>
      <c r="H1138" s="28"/>
      <c r="I1138" s="27"/>
      <c r="J1138" s="26"/>
      <c r="K1138" s="27"/>
      <c r="L1138" s="27"/>
      <c r="M1138" s="27"/>
      <c r="N1138" s="27"/>
      <c r="O1138" s="31" t="str">
        <f aca="false">IF(G1138="","",VLOOKUP(G1138,Setup!$A$14:$C$17,3,0))</f>
        <v/>
      </c>
      <c r="P1138" s="27"/>
      <c r="Q1138" s="33" t="str">
        <f aca="false">IF(OR(P1138="",M1138&lt;&gt;"Paid",O1138=""),"",P1138/O1138)</f>
        <v/>
      </c>
      <c r="R1138" s="34" t="str">
        <f aca="false">IF(Q1138="","",Q1138+N(H1138)*0.000000001)</f>
        <v/>
      </c>
      <c r="S1138" s="32" t="str">
        <f aca="false">IF(R1138="","",SUMPRODUCT((I$5:I$4004=I1138)*ISNUMBER(R$5:R$4004)*(R$5:R$4004&gt;R1138))+1)</f>
        <v/>
      </c>
      <c r="T1138" s="32" t="str">
        <f aca="false">IF(S1138="","",IF(S1138&lt;=Setup!$B$5,"🏆 WINNER",""))</f>
        <v/>
      </c>
      <c r="U1138" s="31" t="str">
        <f aca="false">IF(S1138="","",I1138&amp;"|"&amp;S1138)</f>
        <v/>
      </c>
    </row>
    <row r="1139" customFormat="false" ht="15" hidden="false" customHeight="false" outlineLevel="0" collapsed="false">
      <c r="A1139" s="24" t="n">
        <v>1135</v>
      </c>
      <c r="B1139" s="25" t="str">
        <f aca="false">IF(OR(C1139="",I1139="",G1139=""),"",IFERROR(VLOOKUP(I1139,Setup!$A$9:$B$11,2,0),"???")&amp;"-"&amp;G1139&amp;"-"&amp;TEXT(COUNTIFS(I$5:I1139,I1139,G$5:G1139,G1139),"0000"))</f>
        <v/>
      </c>
      <c r="C1139" s="26"/>
      <c r="D1139" s="26"/>
      <c r="E1139" s="27"/>
      <c r="F1139" s="27"/>
      <c r="G1139" s="24" t="str">
        <f aca="false">IF(F1139="","",IF(F1139&lt;=5,"A",IF(F1139&lt;=8,"B",IF(F1139&lt;=10,"C","D"))))</f>
        <v/>
      </c>
      <c r="H1139" s="28"/>
      <c r="I1139" s="27"/>
      <c r="J1139" s="26"/>
      <c r="K1139" s="27"/>
      <c r="L1139" s="27"/>
      <c r="M1139" s="27"/>
      <c r="N1139" s="27"/>
      <c r="O1139" s="24" t="str">
        <f aca="false">IF(G1139="","",VLOOKUP(G1139,Setup!$A$14:$C$17,3,0))</f>
        <v/>
      </c>
      <c r="P1139" s="27"/>
      <c r="Q1139" s="29" t="str">
        <f aca="false">IF(OR(P1139="",M1139&lt;&gt;"Paid",O1139=""),"",P1139/O1139)</f>
        <v/>
      </c>
      <c r="R1139" s="30" t="str">
        <f aca="false">IF(Q1139="","",Q1139+N(H1139)*0.000000001)</f>
        <v/>
      </c>
      <c r="S1139" s="25" t="str">
        <f aca="false">IF(R1139="","",SUMPRODUCT((I$5:I$4004=I1139)*ISNUMBER(R$5:R$4004)*(R$5:R$4004&gt;R1139))+1)</f>
        <v/>
      </c>
      <c r="T1139" s="25" t="str">
        <f aca="false">IF(S1139="","",IF(S1139&lt;=Setup!$B$5,"🏆 WINNER",""))</f>
        <v/>
      </c>
      <c r="U1139" s="24" t="str">
        <f aca="false">IF(S1139="","",I1139&amp;"|"&amp;S1139)</f>
        <v/>
      </c>
    </row>
    <row r="1140" customFormat="false" ht="15" hidden="false" customHeight="false" outlineLevel="0" collapsed="false">
      <c r="A1140" s="31" t="n">
        <v>1136</v>
      </c>
      <c r="B1140" s="32" t="str">
        <f aca="false">IF(OR(C1140="",I1140="",G1140=""),"",IFERROR(VLOOKUP(I1140,Setup!$A$9:$B$11,2,0),"???")&amp;"-"&amp;G1140&amp;"-"&amp;TEXT(COUNTIFS(I$5:I1140,I1140,G$5:G1140,G1140),"0000"))</f>
        <v/>
      </c>
      <c r="C1140" s="26"/>
      <c r="D1140" s="26"/>
      <c r="E1140" s="27"/>
      <c r="F1140" s="27"/>
      <c r="G1140" s="31" t="str">
        <f aca="false">IF(F1140="","",IF(F1140&lt;=5,"A",IF(F1140&lt;=8,"B",IF(F1140&lt;=10,"C","D"))))</f>
        <v/>
      </c>
      <c r="H1140" s="28"/>
      <c r="I1140" s="27"/>
      <c r="J1140" s="26"/>
      <c r="K1140" s="27"/>
      <c r="L1140" s="27"/>
      <c r="M1140" s="27"/>
      <c r="N1140" s="27"/>
      <c r="O1140" s="31" t="str">
        <f aca="false">IF(G1140="","",VLOOKUP(G1140,Setup!$A$14:$C$17,3,0))</f>
        <v/>
      </c>
      <c r="P1140" s="27"/>
      <c r="Q1140" s="33" t="str">
        <f aca="false">IF(OR(P1140="",M1140&lt;&gt;"Paid",O1140=""),"",P1140/O1140)</f>
        <v/>
      </c>
      <c r="R1140" s="34" t="str">
        <f aca="false">IF(Q1140="","",Q1140+N(H1140)*0.000000001)</f>
        <v/>
      </c>
      <c r="S1140" s="32" t="str">
        <f aca="false">IF(R1140="","",SUMPRODUCT((I$5:I$4004=I1140)*ISNUMBER(R$5:R$4004)*(R$5:R$4004&gt;R1140))+1)</f>
        <v/>
      </c>
      <c r="T1140" s="32" t="str">
        <f aca="false">IF(S1140="","",IF(S1140&lt;=Setup!$B$5,"🏆 WINNER",""))</f>
        <v/>
      </c>
      <c r="U1140" s="31" t="str">
        <f aca="false">IF(S1140="","",I1140&amp;"|"&amp;S1140)</f>
        <v/>
      </c>
    </row>
    <row r="1141" customFormat="false" ht="15" hidden="false" customHeight="false" outlineLevel="0" collapsed="false">
      <c r="A1141" s="24" t="n">
        <v>1137</v>
      </c>
      <c r="B1141" s="25" t="str">
        <f aca="false">IF(OR(C1141="",I1141="",G1141=""),"",IFERROR(VLOOKUP(I1141,Setup!$A$9:$B$11,2,0),"???")&amp;"-"&amp;G1141&amp;"-"&amp;TEXT(COUNTIFS(I$5:I1141,I1141,G$5:G1141,G1141),"0000"))</f>
        <v/>
      </c>
      <c r="C1141" s="26"/>
      <c r="D1141" s="26"/>
      <c r="E1141" s="27"/>
      <c r="F1141" s="27"/>
      <c r="G1141" s="24" t="str">
        <f aca="false">IF(F1141="","",IF(F1141&lt;=5,"A",IF(F1141&lt;=8,"B",IF(F1141&lt;=10,"C","D"))))</f>
        <v/>
      </c>
      <c r="H1141" s="28"/>
      <c r="I1141" s="27"/>
      <c r="J1141" s="26"/>
      <c r="K1141" s="27"/>
      <c r="L1141" s="27"/>
      <c r="M1141" s="27"/>
      <c r="N1141" s="27"/>
      <c r="O1141" s="24" t="str">
        <f aca="false">IF(G1141="","",VLOOKUP(G1141,Setup!$A$14:$C$17,3,0))</f>
        <v/>
      </c>
      <c r="P1141" s="27"/>
      <c r="Q1141" s="29" t="str">
        <f aca="false">IF(OR(P1141="",M1141&lt;&gt;"Paid",O1141=""),"",P1141/O1141)</f>
        <v/>
      </c>
      <c r="R1141" s="30" t="str">
        <f aca="false">IF(Q1141="","",Q1141+N(H1141)*0.000000001)</f>
        <v/>
      </c>
      <c r="S1141" s="25" t="str">
        <f aca="false">IF(R1141="","",SUMPRODUCT((I$5:I$4004=I1141)*ISNUMBER(R$5:R$4004)*(R$5:R$4004&gt;R1141))+1)</f>
        <v/>
      </c>
      <c r="T1141" s="25" t="str">
        <f aca="false">IF(S1141="","",IF(S1141&lt;=Setup!$B$5,"🏆 WINNER",""))</f>
        <v/>
      </c>
      <c r="U1141" s="24" t="str">
        <f aca="false">IF(S1141="","",I1141&amp;"|"&amp;S1141)</f>
        <v/>
      </c>
    </row>
    <row r="1142" customFormat="false" ht="15" hidden="false" customHeight="false" outlineLevel="0" collapsed="false">
      <c r="A1142" s="31" t="n">
        <v>1138</v>
      </c>
      <c r="B1142" s="32" t="str">
        <f aca="false">IF(OR(C1142="",I1142="",G1142=""),"",IFERROR(VLOOKUP(I1142,Setup!$A$9:$B$11,2,0),"???")&amp;"-"&amp;G1142&amp;"-"&amp;TEXT(COUNTIFS(I$5:I1142,I1142,G$5:G1142,G1142),"0000"))</f>
        <v/>
      </c>
      <c r="C1142" s="26"/>
      <c r="D1142" s="26"/>
      <c r="E1142" s="27"/>
      <c r="F1142" s="27"/>
      <c r="G1142" s="31" t="str">
        <f aca="false">IF(F1142="","",IF(F1142&lt;=5,"A",IF(F1142&lt;=8,"B",IF(F1142&lt;=10,"C","D"))))</f>
        <v/>
      </c>
      <c r="H1142" s="28"/>
      <c r="I1142" s="27"/>
      <c r="J1142" s="26"/>
      <c r="K1142" s="27"/>
      <c r="L1142" s="27"/>
      <c r="M1142" s="27"/>
      <c r="N1142" s="27"/>
      <c r="O1142" s="31" t="str">
        <f aca="false">IF(G1142="","",VLOOKUP(G1142,Setup!$A$14:$C$17,3,0))</f>
        <v/>
      </c>
      <c r="P1142" s="27"/>
      <c r="Q1142" s="33" t="str">
        <f aca="false">IF(OR(P1142="",M1142&lt;&gt;"Paid",O1142=""),"",P1142/O1142)</f>
        <v/>
      </c>
      <c r="R1142" s="34" t="str">
        <f aca="false">IF(Q1142="","",Q1142+N(H1142)*0.000000001)</f>
        <v/>
      </c>
      <c r="S1142" s="32" t="str">
        <f aca="false">IF(R1142="","",SUMPRODUCT((I$5:I$4004=I1142)*ISNUMBER(R$5:R$4004)*(R$5:R$4004&gt;R1142))+1)</f>
        <v/>
      </c>
      <c r="T1142" s="32" t="str">
        <f aca="false">IF(S1142="","",IF(S1142&lt;=Setup!$B$5,"🏆 WINNER",""))</f>
        <v/>
      </c>
      <c r="U1142" s="31" t="str">
        <f aca="false">IF(S1142="","",I1142&amp;"|"&amp;S1142)</f>
        <v/>
      </c>
    </row>
    <row r="1143" customFormat="false" ht="15" hidden="false" customHeight="false" outlineLevel="0" collapsed="false">
      <c r="A1143" s="24" t="n">
        <v>1139</v>
      </c>
      <c r="B1143" s="25" t="str">
        <f aca="false">IF(OR(C1143="",I1143="",G1143=""),"",IFERROR(VLOOKUP(I1143,Setup!$A$9:$B$11,2,0),"???")&amp;"-"&amp;G1143&amp;"-"&amp;TEXT(COUNTIFS(I$5:I1143,I1143,G$5:G1143,G1143),"0000"))</f>
        <v/>
      </c>
      <c r="C1143" s="26"/>
      <c r="D1143" s="26"/>
      <c r="E1143" s="27"/>
      <c r="F1143" s="27"/>
      <c r="G1143" s="24" t="str">
        <f aca="false">IF(F1143="","",IF(F1143&lt;=5,"A",IF(F1143&lt;=8,"B",IF(F1143&lt;=10,"C","D"))))</f>
        <v/>
      </c>
      <c r="H1143" s="28"/>
      <c r="I1143" s="27"/>
      <c r="J1143" s="26"/>
      <c r="K1143" s="27"/>
      <c r="L1143" s="27"/>
      <c r="M1143" s="27"/>
      <c r="N1143" s="27"/>
      <c r="O1143" s="24" t="str">
        <f aca="false">IF(G1143="","",VLOOKUP(G1143,Setup!$A$14:$C$17,3,0))</f>
        <v/>
      </c>
      <c r="P1143" s="27"/>
      <c r="Q1143" s="29" t="str">
        <f aca="false">IF(OR(P1143="",M1143&lt;&gt;"Paid",O1143=""),"",P1143/O1143)</f>
        <v/>
      </c>
      <c r="R1143" s="30" t="str">
        <f aca="false">IF(Q1143="","",Q1143+N(H1143)*0.000000001)</f>
        <v/>
      </c>
      <c r="S1143" s="25" t="str">
        <f aca="false">IF(R1143="","",SUMPRODUCT((I$5:I$4004=I1143)*ISNUMBER(R$5:R$4004)*(R$5:R$4004&gt;R1143))+1)</f>
        <v/>
      </c>
      <c r="T1143" s="25" t="str">
        <f aca="false">IF(S1143="","",IF(S1143&lt;=Setup!$B$5,"🏆 WINNER",""))</f>
        <v/>
      </c>
      <c r="U1143" s="24" t="str">
        <f aca="false">IF(S1143="","",I1143&amp;"|"&amp;S1143)</f>
        <v/>
      </c>
    </row>
    <row r="1144" customFormat="false" ht="15" hidden="false" customHeight="false" outlineLevel="0" collapsed="false">
      <c r="A1144" s="31" t="n">
        <v>1140</v>
      </c>
      <c r="B1144" s="32" t="str">
        <f aca="false">IF(OR(C1144="",I1144="",G1144=""),"",IFERROR(VLOOKUP(I1144,Setup!$A$9:$B$11,2,0),"???")&amp;"-"&amp;G1144&amp;"-"&amp;TEXT(COUNTIFS(I$5:I1144,I1144,G$5:G1144,G1144),"0000"))</f>
        <v/>
      </c>
      <c r="C1144" s="26"/>
      <c r="D1144" s="26"/>
      <c r="E1144" s="27"/>
      <c r="F1144" s="27"/>
      <c r="G1144" s="31" t="str">
        <f aca="false">IF(F1144="","",IF(F1144&lt;=5,"A",IF(F1144&lt;=8,"B",IF(F1144&lt;=10,"C","D"))))</f>
        <v/>
      </c>
      <c r="H1144" s="28"/>
      <c r="I1144" s="27"/>
      <c r="J1144" s="26"/>
      <c r="K1144" s="27"/>
      <c r="L1144" s="27"/>
      <c r="M1144" s="27"/>
      <c r="N1144" s="27"/>
      <c r="O1144" s="31" t="str">
        <f aca="false">IF(G1144="","",VLOOKUP(G1144,Setup!$A$14:$C$17,3,0))</f>
        <v/>
      </c>
      <c r="P1144" s="27"/>
      <c r="Q1144" s="33" t="str">
        <f aca="false">IF(OR(P1144="",M1144&lt;&gt;"Paid",O1144=""),"",P1144/O1144)</f>
        <v/>
      </c>
      <c r="R1144" s="34" t="str">
        <f aca="false">IF(Q1144="","",Q1144+N(H1144)*0.000000001)</f>
        <v/>
      </c>
      <c r="S1144" s="32" t="str">
        <f aca="false">IF(R1144="","",SUMPRODUCT((I$5:I$4004=I1144)*ISNUMBER(R$5:R$4004)*(R$5:R$4004&gt;R1144))+1)</f>
        <v/>
      </c>
      <c r="T1144" s="32" t="str">
        <f aca="false">IF(S1144="","",IF(S1144&lt;=Setup!$B$5,"🏆 WINNER",""))</f>
        <v/>
      </c>
      <c r="U1144" s="31" t="str">
        <f aca="false">IF(S1144="","",I1144&amp;"|"&amp;S1144)</f>
        <v/>
      </c>
    </row>
    <row r="1145" customFormat="false" ht="15" hidden="false" customHeight="false" outlineLevel="0" collapsed="false">
      <c r="A1145" s="24" t="n">
        <v>1141</v>
      </c>
      <c r="B1145" s="25" t="str">
        <f aca="false">IF(OR(C1145="",I1145="",G1145=""),"",IFERROR(VLOOKUP(I1145,Setup!$A$9:$B$11,2,0),"???")&amp;"-"&amp;G1145&amp;"-"&amp;TEXT(COUNTIFS(I$5:I1145,I1145,G$5:G1145,G1145),"0000"))</f>
        <v/>
      </c>
      <c r="C1145" s="26"/>
      <c r="D1145" s="26"/>
      <c r="E1145" s="27"/>
      <c r="F1145" s="27"/>
      <c r="G1145" s="24" t="str">
        <f aca="false">IF(F1145="","",IF(F1145&lt;=5,"A",IF(F1145&lt;=8,"B",IF(F1145&lt;=10,"C","D"))))</f>
        <v/>
      </c>
      <c r="H1145" s="28"/>
      <c r="I1145" s="27"/>
      <c r="J1145" s="26"/>
      <c r="K1145" s="27"/>
      <c r="L1145" s="27"/>
      <c r="M1145" s="27"/>
      <c r="N1145" s="27"/>
      <c r="O1145" s="24" t="str">
        <f aca="false">IF(G1145="","",VLOOKUP(G1145,Setup!$A$14:$C$17,3,0))</f>
        <v/>
      </c>
      <c r="P1145" s="27"/>
      <c r="Q1145" s="29" t="str">
        <f aca="false">IF(OR(P1145="",M1145&lt;&gt;"Paid",O1145=""),"",P1145/O1145)</f>
        <v/>
      </c>
      <c r="R1145" s="30" t="str">
        <f aca="false">IF(Q1145="","",Q1145+N(H1145)*0.000000001)</f>
        <v/>
      </c>
      <c r="S1145" s="25" t="str">
        <f aca="false">IF(R1145="","",SUMPRODUCT((I$5:I$4004=I1145)*ISNUMBER(R$5:R$4004)*(R$5:R$4004&gt;R1145))+1)</f>
        <v/>
      </c>
      <c r="T1145" s="25" t="str">
        <f aca="false">IF(S1145="","",IF(S1145&lt;=Setup!$B$5,"🏆 WINNER",""))</f>
        <v/>
      </c>
      <c r="U1145" s="24" t="str">
        <f aca="false">IF(S1145="","",I1145&amp;"|"&amp;S1145)</f>
        <v/>
      </c>
    </row>
    <row r="1146" customFormat="false" ht="15" hidden="false" customHeight="false" outlineLevel="0" collapsed="false">
      <c r="A1146" s="31" t="n">
        <v>1142</v>
      </c>
      <c r="B1146" s="32" t="str">
        <f aca="false">IF(OR(C1146="",I1146="",G1146=""),"",IFERROR(VLOOKUP(I1146,Setup!$A$9:$B$11,2,0),"???")&amp;"-"&amp;G1146&amp;"-"&amp;TEXT(COUNTIFS(I$5:I1146,I1146,G$5:G1146,G1146),"0000"))</f>
        <v/>
      </c>
      <c r="C1146" s="26"/>
      <c r="D1146" s="26"/>
      <c r="E1146" s="27"/>
      <c r="F1146" s="27"/>
      <c r="G1146" s="31" t="str">
        <f aca="false">IF(F1146="","",IF(F1146&lt;=5,"A",IF(F1146&lt;=8,"B",IF(F1146&lt;=10,"C","D"))))</f>
        <v/>
      </c>
      <c r="H1146" s="28"/>
      <c r="I1146" s="27"/>
      <c r="J1146" s="26"/>
      <c r="K1146" s="27"/>
      <c r="L1146" s="27"/>
      <c r="M1146" s="27"/>
      <c r="N1146" s="27"/>
      <c r="O1146" s="31" t="str">
        <f aca="false">IF(G1146="","",VLOOKUP(G1146,Setup!$A$14:$C$17,3,0))</f>
        <v/>
      </c>
      <c r="P1146" s="27"/>
      <c r="Q1146" s="33" t="str">
        <f aca="false">IF(OR(P1146="",M1146&lt;&gt;"Paid",O1146=""),"",P1146/O1146)</f>
        <v/>
      </c>
      <c r="R1146" s="34" t="str">
        <f aca="false">IF(Q1146="","",Q1146+N(H1146)*0.000000001)</f>
        <v/>
      </c>
      <c r="S1146" s="32" t="str">
        <f aca="false">IF(R1146="","",SUMPRODUCT((I$5:I$4004=I1146)*ISNUMBER(R$5:R$4004)*(R$5:R$4004&gt;R1146))+1)</f>
        <v/>
      </c>
      <c r="T1146" s="32" t="str">
        <f aca="false">IF(S1146="","",IF(S1146&lt;=Setup!$B$5,"🏆 WINNER",""))</f>
        <v/>
      </c>
      <c r="U1146" s="31" t="str">
        <f aca="false">IF(S1146="","",I1146&amp;"|"&amp;S1146)</f>
        <v/>
      </c>
    </row>
    <row r="1147" customFormat="false" ht="15" hidden="false" customHeight="false" outlineLevel="0" collapsed="false">
      <c r="A1147" s="24" t="n">
        <v>1143</v>
      </c>
      <c r="B1147" s="25" t="str">
        <f aca="false">IF(OR(C1147="",I1147="",G1147=""),"",IFERROR(VLOOKUP(I1147,Setup!$A$9:$B$11,2,0),"???")&amp;"-"&amp;G1147&amp;"-"&amp;TEXT(COUNTIFS(I$5:I1147,I1147,G$5:G1147,G1147),"0000"))</f>
        <v/>
      </c>
      <c r="C1147" s="26"/>
      <c r="D1147" s="26"/>
      <c r="E1147" s="27"/>
      <c r="F1147" s="27"/>
      <c r="G1147" s="24" t="str">
        <f aca="false">IF(F1147="","",IF(F1147&lt;=5,"A",IF(F1147&lt;=8,"B",IF(F1147&lt;=10,"C","D"))))</f>
        <v/>
      </c>
      <c r="H1147" s="28"/>
      <c r="I1147" s="27"/>
      <c r="J1147" s="26"/>
      <c r="K1147" s="27"/>
      <c r="L1147" s="27"/>
      <c r="M1147" s="27"/>
      <c r="N1147" s="27"/>
      <c r="O1147" s="24" t="str">
        <f aca="false">IF(G1147="","",VLOOKUP(G1147,Setup!$A$14:$C$17,3,0))</f>
        <v/>
      </c>
      <c r="P1147" s="27"/>
      <c r="Q1147" s="29" t="str">
        <f aca="false">IF(OR(P1147="",M1147&lt;&gt;"Paid",O1147=""),"",P1147/O1147)</f>
        <v/>
      </c>
      <c r="R1147" s="30" t="str">
        <f aca="false">IF(Q1147="","",Q1147+N(H1147)*0.000000001)</f>
        <v/>
      </c>
      <c r="S1147" s="25" t="str">
        <f aca="false">IF(R1147="","",SUMPRODUCT((I$5:I$4004=I1147)*ISNUMBER(R$5:R$4004)*(R$5:R$4004&gt;R1147))+1)</f>
        <v/>
      </c>
      <c r="T1147" s="25" t="str">
        <f aca="false">IF(S1147="","",IF(S1147&lt;=Setup!$B$5,"🏆 WINNER",""))</f>
        <v/>
      </c>
      <c r="U1147" s="24" t="str">
        <f aca="false">IF(S1147="","",I1147&amp;"|"&amp;S1147)</f>
        <v/>
      </c>
    </row>
    <row r="1148" customFormat="false" ht="15" hidden="false" customHeight="false" outlineLevel="0" collapsed="false">
      <c r="A1148" s="31" t="n">
        <v>1144</v>
      </c>
      <c r="B1148" s="32" t="str">
        <f aca="false">IF(OR(C1148="",I1148="",G1148=""),"",IFERROR(VLOOKUP(I1148,Setup!$A$9:$B$11,2,0),"???")&amp;"-"&amp;G1148&amp;"-"&amp;TEXT(COUNTIFS(I$5:I1148,I1148,G$5:G1148,G1148),"0000"))</f>
        <v/>
      </c>
      <c r="C1148" s="26"/>
      <c r="D1148" s="26"/>
      <c r="E1148" s="27"/>
      <c r="F1148" s="27"/>
      <c r="G1148" s="31" t="str">
        <f aca="false">IF(F1148="","",IF(F1148&lt;=5,"A",IF(F1148&lt;=8,"B",IF(F1148&lt;=10,"C","D"))))</f>
        <v/>
      </c>
      <c r="H1148" s="28"/>
      <c r="I1148" s="27"/>
      <c r="J1148" s="26"/>
      <c r="K1148" s="27"/>
      <c r="L1148" s="27"/>
      <c r="M1148" s="27"/>
      <c r="N1148" s="27"/>
      <c r="O1148" s="31" t="str">
        <f aca="false">IF(G1148="","",VLOOKUP(G1148,Setup!$A$14:$C$17,3,0))</f>
        <v/>
      </c>
      <c r="P1148" s="27"/>
      <c r="Q1148" s="33" t="str">
        <f aca="false">IF(OR(P1148="",M1148&lt;&gt;"Paid",O1148=""),"",P1148/O1148)</f>
        <v/>
      </c>
      <c r="R1148" s="34" t="str">
        <f aca="false">IF(Q1148="","",Q1148+N(H1148)*0.000000001)</f>
        <v/>
      </c>
      <c r="S1148" s="32" t="str">
        <f aca="false">IF(R1148="","",SUMPRODUCT((I$5:I$4004=I1148)*ISNUMBER(R$5:R$4004)*(R$5:R$4004&gt;R1148))+1)</f>
        <v/>
      </c>
      <c r="T1148" s="32" t="str">
        <f aca="false">IF(S1148="","",IF(S1148&lt;=Setup!$B$5,"🏆 WINNER",""))</f>
        <v/>
      </c>
      <c r="U1148" s="31" t="str">
        <f aca="false">IF(S1148="","",I1148&amp;"|"&amp;S1148)</f>
        <v/>
      </c>
    </row>
    <row r="1149" customFormat="false" ht="15" hidden="false" customHeight="false" outlineLevel="0" collapsed="false">
      <c r="A1149" s="24" t="n">
        <v>1145</v>
      </c>
      <c r="B1149" s="25" t="str">
        <f aca="false">IF(OR(C1149="",I1149="",G1149=""),"",IFERROR(VLOOKUP(I1149,Setup!$A$9:$B$11,2,0),"???")&amp;"-"&amp;G1149&amp;"-"&amp;TEXT(COUNTIFS(I$5:I1149,I1149,G$5:G1149,G1149),"0000"))</f>
        <v/>
      </c>
      <c r="C1149" s="26"/>
      <c r="D1149" s="26"/>
      <c r="E1149" s="27"/>
      <c r="F1149" s="27"/>
      <c r="G1149" s="24" t="str">
        <f aca="false">IF(F1149="","",IF(F1149&lt;=5,"A",IF(F1149&lt;=8,"B",IF(F1149&lt;=10,"C","D"))))</f>
        <v/>
      </c>
      <c r="H1149" s="28"/>
      <c r="I1149" s="27"/>
      <c r="J1149" s="26"/>
      <c r="K1149" s="27"/>
      <c r="L1149" s="27"/>
      <c r="M1149" s="27"/>
      <c r="N1149" s="27"/>
      <c r="O1149" s="24" t="str">
        <f aca="false">IF(G1149="","",VLOOKUP(G1149,Setup!$A$14:$C$17,3,0))</f>
        <v/>
      </c>
      <c r="P1149" s="27"/>
      <c r="Q1149" s="29" t="str">
        <f aca="false">IF(OR(P1149="",M1149&lt;&gt;"Paid",O1149=""),"",P1149/O1149)</f>
        <v/>
      </c>
      <c r="R1149" s="30" t="str">
        <f aca="false">IF(Q1149="","",Q1149+N(H1149)*0.000000001)</f>
        <v/>
      </c>
      <c r="S1149" s="25" t="str">
        <f aca="false">IF(R1149="","",SUMPRODUCT((I$5:I$4004=I1149)*ISNUMBER(R$5:R$4004)*(R$5:R$4004&gt;R1149))+1)</f>
        <v/>
      </c>
      <c r="T1149" s="25" t="str">
        <f aca="false">IF(S1149="","",IF(S1149&lt;=Setup!$B$5,"🏆 WINNER",""))</f>
        <v/>
      </c>
      <c r="U1149" s="24" t="str">
        <f aca="false">IF(S1149="","",I1149&amp;"|"&amp;S1149)</f>
        <v/>
      </c>
    </row>
    <row r="1150" customFormat="false" ht="15" hidden="false" customHeight="false" outlineLevel="0" collapsed="false">
      <c r="A1150" s="31" t="n">
        <v>1146</v>
      </c>
      <c r="B1150" s="32" t="str">
        <f aca="false">IF(OR(C1150="",I1150="",G1150=""),"",IFERROR(VLOOKUP(I1150,Setup!$A$9:$B$11,2,0),"???")&amp;"-"&amp;G1150&amp;"-"&amp;TEXT(COUNTIFS(I$5:I1150,I1150,G$5:G1150,G1150),"0000"))</f>
        <v/>
      </c>
      <c r="C1150" s="26"/>
      <c r="D1150" s="26"/>
      <c r="E1150" s="27"/>
      <c r="F1150" s="27"/>
      <c r="G1150" s="31" t="str">
        <f aca="false">IF(F1150="","",IF(F1150&lt;=5,"A",IF(F1150&lt;=8,"B",IF(F1150&lt;=10,"C","D"))))</f>
        <v/>
      </c>
      <c r="H1150" s="28"/>
      <c r="I1150" s="27"/>
      <c r="J1150" s="26"/>
      <c r="K1150" s="27"/>
      <c r="L1150" s="27"/>
      <c r="M1150" s="27"/>
      <c r="N1150" s="27"/>
      <c r="O1150" s="31" t="str">
        <f aca="false">IF(G1150="","",VLOOKUP(G1150,Setup!$A$14:$C$17,3,0))</f>
        <v/>
      </c>
      <c r="P1150" s="27"/>
      <c r="Q1150" s="33" t="str">
        <f aca="false">IF(OR(P1150="",M1150&lt;&gt;"Paid",O1150=""),"",P1150/O1150)</f>
        <v/>
      </c>
      <c r="R1150" s="34" t="str">
        <f aca="false">IF(Q1150="","",Q1150+N(H1150)*0.000000001)</f>
        <v/>
      </c>
      <c r="S1150" s="32" t="str">
        <f aca="false">IF(R1150="","",SUMPRODUCT((I$5:I$4004=I1150)*ISNUMBER(R$5:R$4004)*(R$5:R$4004&gt;R1150))+1)</f>
        <v/>
      </c>
      <c r="T1150" s="32" t="str">
        <f aca="false">IF(S1150="","",IF(S1150&lt;=Setup!$B$5,"🏆 WINNER",""))</f>
        <v/>
      </c>
      <c r="U1150" s="31" t="str">
        <f aca="false">IF(S1150="","",I1150&amp;"|"&amp;S1150)</f>
        <v/>
      </c>
    </row>
    <row r="1151" customFormat="false" ht="15" hidden="false" customHeight="false" outlineLevel="0" collapsed="false">
      <c r="A1151" s="24" t="n">
        <v>1147</v>
      </c>
      <c r="B1151" s="25" t="str">
        <f aca="false">IF(OR(C1151="",I1151="",G1151=""),"",IFERROR(VLOOKUP(I1151,Setup!$A$9:$B$11,2,0),"???")&amp;"-"&amp;G1151&amp;"-"&amp;TEXT(COUNTIFS(I$5:I1151,I1151,G$5:G1151,G1151),"0000"))</f>
        <v/>
      </c>
      <c r="C1151" s="26"/>
      <c r="D1151" s="26"/>
      <c r="E1151" s="27"/>
      <c r="F1151" s="27"/>
      <c r="G1151" s="24" t="str">
        <f aca="false">IF(F1151="","",IF(F1151&lt;=5,"A",IF(F1151&lt;=8,"B",IF(F1151&lt;=10,"C","D"))))</f>
        <v/>
      </c>
      <c r="H1151" s="28"/>
      <c r="I1151" s="27"/>
      <c r="J1151" s="26"/>
      <c r="K1151" s="27"/>
      <c r="L1151" s="27"/>
      <c r="M1151" s="27"/>
      <c r="N1151" s="27"/>
      <c r="O1151" s="24" t="str">
        <f aca="false">IF(G1151="","",VLOOKUP(G1151,Setup!$A$14:$C$17,3,0))</f>
        <v/>
      </c>
      <c r="P1151" s="27"/>
      <c r="Q1151" s="29" t="str">
        <f aca="false">IF(OR(P1151="",M1151&lt;&gt;"Paid",O1151=""),"",P1151/O1151)</f>
        <v/>
      </c>
      <c r="R1151" s="30" t="str">
        <f aca="false">IF(Q1151="","",Q1151+N(H1151)*0.000000001)</f>
        <v/>
      </c>
      <c r="S1151" s="25" t="str">
        <f aca="false">IF(R1151="","",SUMPRODUCT((I$5:I$4004=I1151)*ISNUMBER(R$5:R$4004)*(R$5:R$4004&gt;R1151))+1)</f>
        <v/>
      </c>
      <c r="T1151" s="25" t="str">
        <f aca="false">IF(S1151="","",IF(S1151&lt;=Setup!$B$5,"🏆 WINNER",""))</f>
        <v/>
      </c>
      <c r="U1151" s="24" t="str">
        <f aca="false">IF(S1151="","",I1151&amp;"|"&amp;S1151)</f>
        <v/>
      </c>
    </row>
    <row r="1152" customFormat="false" ht="15" hidden="false" customHeight="false" outlineLevel="0" collapsed="false">
      <c r="A1152" s="31" t="n">
        <v>1148</v>
      </c>
      <c r="B1152" s="32" t="str">
        <f aca="false">IF(OR(C1152="",I1152="",G1152=""),"",IFERROR(VLOOKUP(I1152,Setup!$A$9:$B$11,2,0),"???")&amp;"-"&amp;G1152&amp;"-"&amp;TEXT(COUNTIFS(I$5:I1152,I1152,G$5:G1152,G1152),"0000"))</f>
        <v/>
      </c>
      <c r="C1152" s="26"/>
      <c r="D1152" s="26"/>
      <c r="E1152" s="27"/>
      <c r="F1152" s="27"/>
      <c r="G1152" s="31" t="str">
        <f aca="false">IF(F1152="","",IF(F1152&lt;=5,"A",IF(F1152&lt;=8,"B",IF(F1152&lt;=10,"C","D"))))</f>
        <v/>
      </c>
      <c r="H1152" s="28"/>
      <c r="I1152" s="27"/>
      <c r="J1152" s="26"/>
      <c r="K1152" s="27"/>
      <c r="L1152" s="27"/>
      <c r="M1152" s="27"/>
      <c r="N1152" s="27"/>
      <c r="O1152" s="31" t="str">
        <f aca="false">IF(G1152="","",VLOOKUP(G1152,Setup!$A$14:$C$17,3,0))</f>
        <v/>
      </c>
      <c r="P1152" s="27"/>
      <c r="Q1152" s="33" t="str">
        <f aca="false">IF(OR(P1152="",M1152&lt;&gt;"Paid",O1152=""),"",P1152/O1152)</f>
        <v/>
      </c>
      <c r="R1152" s="34" t="str">
        <f aca="false">IF(Q1152="","",Q1152+N(H1152)*0.000000001)</f>
        <v/>
      </c>
      <c r="S1152" s="32" t="str">
        <f aca="false">IF(R1152="","",SUMPRODUCT((I$5:I$4004=I1152)*ISNUMBER(R$5:R$4004)*(R$5:R$4004&gt;R1152))+1)</f>
        <v/>
      </c>
      <c r="T1152" s="32" t="str">
        <f aca="false">IF(S1152="","",IF(S1152&lt;=Setup!$B$5,"🏆 WINNER",""))</f>
        <v/>
      </c>
      <c r="U1152" s="31" t="str">
        <f aca="false">IF(S1152="","",I1152&amp;"|"&amp;S1152)</f>
        <v/>
      </c>
    </row>
    <row r="1153" customFormat="false" ht="15" hidden="false" customHeight="false" outlineLevel="0" collapsed="false">
      <c r="A1153" s="24" t="n">
        <v>1149</v>
      </c>
      <c r="B1153" s="25" t="str">
        <f aca="false">IF(OR(C1153="",I1153="",G1153=""),"",IFERROR(VLOOKUP(I1153,Setup!$A$9:$B$11,2,0),"???")&amp;"-"&amp;G1153&amp;"-"&amp;TEXT(COUNTIFS(I$5:I1153,I1153,G$5:G1153,G1153),"0000"))</f>
        <v/>
      </c>
      <c r="C1153" s="26"/>
      <c r="D1153" s="26"/>
      <c r="E1153" s="27"/>
      <c r="F1153" s="27"/>
      <c r="G1153" s="24" t="str">
        <f aca="false">IF(F1153="","",IF(F1153&lt;=5,"A",IF(F1153&lt;=8,"B",IF(F1153&lt;=10,"C","D"))))</f>
        <v/>
      </c>
      <c r="H1153" s="28"/>
      <c r="I1153" s="27"/>
      <c r="J1153" s="26"/>
      <c r="K1153" s="27"/>
      <c r="L1153" s="27"/>
      <c r="M1153" s="27"/>
      <c r="N1153" s="27"/>
      <c r="O1153" s="24" t="str">
        <f aca="false">IF(G1153="","",VLOOKUP(G1153,Setup!$A$14:$C$17,3,0))</f>
        <v/>
      </c>
      <c r="P1153" s="27"/>
      <c r="Q1153" s="29" t="str">
        <f aca="false">IF(OR(P1153="",M1153&lt;&gt;"Paid",O1153=""),"",P1153/O1153)</f>
        <v/>
      </c>
      <c r="R1153" s="30" t="str">
        <f aca="false">IF(Q1153="","",Q1153+N(H1153)*0.000000001)</f>
        <v/>
      </c>
      <c r="S1153" s="25" t="str">
        <f aca="false">IF(R1153="","",SUMPRODUCT((I$5:I$4004=I1153)*ISNUMBER(R$5:R$4004)*(R$5:R$4004&gt;R1153))+1)</f>
        <v/>
      </c>
      <c r="T1153" s="25" t="str">
        <f aca="false">IF(S1153="","",IF(S1153&lt;=Setup!$B$5,"🏆 WINNER",""))</f>
        <v/>
      </c>
      <c r="U1153" s="24" t="str">
        <f aca="false">IF(S1153="","",I1153&amp;"|"&amp;S1153)</f>
        <v/>
      </c>
    </row>
    <row r="1154" customFormat="false" ht="15" hidden="false" customHeight="false" outlineLevel="0" collapsed="false">
      <c r="A1154" s="31" t="n">
        <v>1150</v>
      </c>
      <c r="B1154" s="32" t="str">
        <f aca="false">IF(OR(C1154="",I1154="",G1154=""),"",IFERROR(VLOOKUP(I1154,Setup!$A$9:$B$11,2,0),"???")&amp;"-"&amp;G1154&amp;"-"&amp;TEXT(COUNTIFS(I$5:I1154,I1154,G$5:G1154,G1154),"0000"))</f>
        <v/>
      </c>
      <c r="C1154" s="26"/>
      <c r="D1154" s="26"/>
      <c r="E1154" s="27"/>
      <c r="F1154" s="27"/>
      <c r="G1154" s="31" t="str">
        <f aca="false">IF(F1154="","",IF(F1154&lt;=5,"A",IF(F1154&lt;=8,"B",IF(F1154&lt;=10,"C","D"))))</f>
        <v/>
      </c>
      <c r="H1154" s="28"/>
      <c r="I1154" s="27"/>
      <c r="J1154" s="26"/>
      <c r="K1154" s="27"/>
      <c r="L1154" s="27"/>
      <c r="M1154" s="27"/>
      <c r="N1154" s="27"/>
      <c r="O1154" s="31" t="str">
        <f aca="false">IF(G1154="","",VLOOKUP(G1154,Setup!$A$14:$C$17,3,0))</f>
        <v/>
      </c>
      <c r="P1154" s="27"/>
      <c r="Q1154" s="33" t="str">
        <f aca="false">IF(OR(P1154="",M1154&lt;&gt;"Paid",O1154=""),"",P1154/O1154)</f>
        <v/>
      </c>
      <c r="R1154" s="34" t="str">
        <f aca="false">IF(Q1154="","",Q1154+N(H1154)*0.000000001)</f>
        <v/>
      </c>
      <c r="S1154" s="32" t="str">
        <f aca="false">IF(R1154="","",SUMPRODUCT((I$5:I$4004=I1154)*ISNUMBER(R$5:R$4004)*(R$5:R$4004&gt;R1154))+1)</f>
        <v/>
      </c>
      <c r="T1154" s="32" t="str">
        <f aca="false">IF(S1154="","",IF(S1154&lt;=Setup!$B$5,"🏆 WINNER",""))</f>
        <v/>
      </c>
      <c r="U1154" s="31" t="str">
        <f aca="false">IF(S1154="","",I1154&amp;"|"&amp;S1154)</f>
        <v/>
      </c>
    </row>
    <row r="1155" customFormat="false" ht="15" hidden="false" customHeight="false" outlineLevel="0" collapsed="false">
      <c r="A1155" s="24" t="n">
        <v>1151</v>
      </c>
      <c r="B1155" s="25" t="str">
        <f aca="false">IF(OR(C1155="",I1155="",G1155=""),"",IFERROR(VLOOKUP(I1155,Setup!$A$9:$B$11,2,0),"???")&amp;"-"&amp;G1155&amp;"-"&amp;TEXT(COUNTIFS(I$5:I1155,I1155,G$5:G1155,G1155),"0000"))</f>
        <v/>
      </c>
      <c r="C1155" s="26"/>
      <c r="D1155" s="26"/>
      <c r="E1155" s="27"/>
      <c r="F1155" s="27"/>
      <c r="G1155" s="24" t="str">
        <f aca="false">IF(F1155="","",IF(F1155&lt;=5,"A",IF(F1155&lt;=8,"B",IF(F1155&lt;=10,"C","D"))))</f>
        <v/>
      </c>
      <c r="H1155" s="28"/>
      <c r="I1155" s="27"/>
      <c r="J1155" s="26"/>
      <c r="K1155" s="27"/>
      <c r="L1155" s="27"/>
      <c r="M1155" s="27"/>
      <c r="N1155" s="27"/>
      <c r="O1155" s="24" t="str">
        <f aca="false">IF(G1155="","",VLOOKUP(G1155,Setup!$A$14:$C$17,3,0))</f>
        <v/>
      </c>
      <c r="P1155" s="27"/>
      <c r="Q1155" s="29" t="str">
        <f aca="false">IF(OR(P1155="",M1155&lt;&gt;"Paid",O1155=""),"",P1155/O1155)</f>
        <v/>
      </c>
      <c r="R1155" s="30" t="str">
        <f aca="false">IF(Q1155="","",Q1155+N(H1155)*0.000000001)</f>
        <v/>
      </c>
      <c r="S1155" s="25" t="str">
        <f aca="false">IF(R1155="","",SUMPRODUCT((I$5:I$4004=I1155)*ISNUMBER(R$5:R$4004)*(R$5:R$4004&gt;R1155))+1)</f>
        <v/>
      </c>
      <c r="T1155" s="25" t="str">
        <f aca="false">IF(S1155="","",IF(S1155&lt;=Setup!$B$5,"🏆 WINNER",""))</f>
        <v/>
      </c>
      <c r="U1155" s="24" t="str">
        <f aca="false">IF(S1155="","",I1155&amp;"|"&amp;S1155)</f>
        <v/>
      </c>
    </row>
    <row r="1156" customFormat="false" ht="15" hidden="false" customHeight="false" outlineLevel="0" collapsed="false">
      <c r="A1156" s="31" t="n">
        <v>1152</v>
      </c>
      <c r="B1156" s="32" t="str">
        <f aca="false">IF(OR(C1156="",I1156="",G1156=""),"",IFERROR(VLOOKUP(I1156,Setup!$A$9:$B$11,2,0),"???")&amp;"-"&amp;G1156&amp;"-"&amp;TEXT(COUNTIFS(I$5:I1156,I1156,G$5:G1156,G1156),"0000"))</f>
        <v/>
      </c>
      <c r="C1156" s="26"/>
      <c r="D1156" s="26"/>
      <c r="E1156" s="27"/>
      <c r="F1156" s="27"/>
      <c r="G1156" s="31" t="str">
        <f aca="false">IF(F1156="","",IF(F1156&lt;=5,"A",IF(F1156&lt;=8,"B",IF(F1156&lt;=10,"C","D"))))</f>
        <v/>
      </c>
      <c r="H1156" s="28"/>
      <c r="I1156" s="27"/>
      <c r="J1156" s="26"/>
      <c r="K1156" s="27"/>
      <c r="L1156" s="27"/>
      <c r="M1156" s="27"/>
      <c r="N1156" s="27"/>
      <c r="O1156" s="31" t="str">
        <f aca="false">IF(G1156="","",VLOOKUP(G1156,Setup!$A$14:$C$17,3,0))</f>
        <v/>
      </c>
      <c r="P1156" s="27"/>
      <c r="Q1156" s="33" t="str">
        <f aca="false">IF(OR(P1156="",M1156&lt;&gt;"Paid",O1156=""),"",P1156/O1156)</f>
        <v/>
      </c>
      <c r="R1156" s="34" t="str">
        <f aca="false">IF(Q1156="","",Q1156+N(H1156)*0.000000001)</f>
        <v/>
      </c>
      <c r="S1156" s="32" t="str">
        <f aca="false">IF(R1156="","",SUMPRODUCT((I$5:I$4004=I1156)*ISNUMBER(R$5:R$4004)*(R$5:R$4004&gt;R1156))+1)</f>
        <v/>
      </c>
      <c r="T1156" s="32" t="str">
        <f aca="false">IF(S1156="","",IF(S1156&lt;=Setup!$B$5,"🏆 WINNER",""))</f>
        <v/>
      </c>
      <c r="U1156" s="31" t="str">
        <f aca="false">IF(S1156="","",I1156&amp;"|"&amp;S1156)</f>
        <v/>
      </c>
    </row>
    <row r="1157" customFormat="false" ht="15" hidden="false" customHeight="false" outlineLevel="0" collapsed="false">
      <c r="A1157" s="24" t="n">
        <v>1153</v>
      </c>
      <c r="B1157" s="25" t="str">
        <f aca="false">IF(OR(C1157="",I1157="",G1157=""),"",IFERROR(VLOOKUP(I1157,Setup!$A$9:$B$11,2,0),"???")&amp;"-"&amp;G1157&amp;"-"&amp;TEXT(COUNTIFS(I$5:I1157,I1157,G$5:G1157,G1157),"0000"))</f>
        <v/>
      </c>
      <c r="C1157" s="26"/>
      <c r="D1157" s="26"/>
      <c r="E1157" s="27"/>
      <c r="F1157" s="27"/>
      <c r="G1157" s="24" t="str">
        <f aca="false">IF(F1157="","",IF(F1157&lt;=5,"A",IF(F1157&lt;=8,"B",IF(F1157&lt;=10,"C","D"))))</f>
        <v/>
      </c>
      <c r="H1157" s="28"/>
      <c r="I1157" s="27"/>
      <c r="J1157" s="26"/>
      <c r="K1157" s="27"/>
      <c r="L1157" s="27"/>
      <c r="M1157" s="27"/>
      <c r="N1157" s="27"/>
      <c r="O1157" s="24" t="str">
        <f aca="false">IF(G1157="","",VLOOKUP(G1157,Setup!$A$14:$C$17,3,0))</f>
        <v/>
      </c>
      <c r="P1157" s="27"/>
      <c r="Q1157" s="29" t="str">
        <f aca="false">IF(OR(P1157="",M1157&lt;&gt;"Paid",O1157=""),"",P1157/O1157)</f>
        <v/>
      </c>
      <c r="R1157" s="30" t="str">
        <f aca="false">IF(Q1157="","",Q1157+N(H1157)*0.000000001)</f>
        <v/>
      </c>
      <c r="S1157" s="25" t="str">
        <f aca="false">IF(R1157="","",SUMPRODUCT((I$5:I$4004=I1157)*ISNUMBER(R$5:R$4004)*(R$5:R$4004&gt;R1157))+1)</f>
        <v/>
      </c>
      <c r="T1157" s="25" t="str">
        <f aca="false">IF(S1157="","",IF(S1157&lt;=Setup!$B$5,"🏆 WINNER",""))</f>
        <v/>
      </c>
      <c r="U1157" s="24" t="str">
        <f aca="false">IF(S1157="","",I1157&amp;"|"&amp;S1157)</f>
        <v/>
      </c>
    </row>
    <row r="1158" customFormat="false" ht="15" hidden="false" customHeight="false" outlineLevel="0" collapsed="false">
      <c r="A1158" s="31" t="n">
        <v>1154</v>
      </c>
      <c r="B1158" s="32" t="str">
        <f aca="false">IF(OR(C1158="",I1158="",G1158=""),"",IFERROR(VLOOKUP(I1158,Setup!$A$9:$B$11,2,0),"???")&amp;"-"&amp;G1158&amp;"-"&amp;TEXT(COUNTIFS(I$5:I1158,I1158,G$5:G1158,G1158),"0000"))</f>
        <v/>
      </c>
      <c r="C1158" s="26"/>
      <c r="D1158" s="26"/>
      <c r="E1158" s="27"/>
      <c r="F1158" s="27"/>
      <c r="G1158" s="31" t="str">
        <f aca="false">IF(F1158="","",IF(F1158&lt;=5,"A",IF(F1158&lt;=8,"B",IF(F1158&lt;=10,"C","D"))))</f>
        <v/>
      </c>
      <c r="H1158" s="28"/>
      <c r="I1158" s="27"/>
      <c r="J1158" s="26"/>
      <c r="K1158" s="27"/>
      <c r="L1158" s="27"/>
      <c r="M1158" s="27"/>
      <c r="N1158" s="27"/>
      <c r="O1158" s="31" t="str">
        <f aca="false">IF(G1158="","",VLOOKUP(G1158,Setup!$A$14:$C$17,3,0))</f>
        <v/>
      </c>
      <c r="P1158" s="27"/>
      <c r="Q1158" s="33" t="str">
        <f aca="false">IF(OR(P1158="",M1158&lt;&gt;"Paid",O1158=""),"",P1158/O1158)</f>
        <v/>
      </c>
      <c r="R1158" s="34" t="str">
        <f aca="false">IF(Q1158="","",Q1158+N(H1158)*0.000000001)</f>
        <v/>
      </c>
      <c r="S1158" s="32" t="str">
        <f aca="false">IF(R1158="","",SUMPRODUCT((I$5:I$4004=I1158)*ISNUMBER(R$5:R$4004)*(R$5:R$4004&gt;R1158))+1)</f>
        <v/>
      </c>
      <c r="T1158" s="32" t="str">
        <f aca="false">IF(S1158="","",IF(S1158&lt;=Setup!$B$5,"🏆 WINNER",""))</f>
        <v/>
      </c>
      <c r="U1158" s="31" t="str">
        <f aca="false">IF(S1158="","",I1158&amp;"|"&amp;S1158)</f>
        <v/>
      </c>
    </row>
    <row r="1159" customFormat="false" ht="15" hidden="false" customHeight="false" outlineLevel="0" collapsed="false">
      <c r="A1159" s="24" t="n">
        <v>1155</v>
      </c>
      <c r="B1159" s="25" t="str">
        <f aca="false">IF(OR(C1159="",I1159="",G1159=""),"",IFERROR(VLOOKUP(I1159,Setup!$A$9:$B$11,2,0),"???")&amp;"-"&amp;G1159&amp;"-"&amp;TEXT(COUNTIFS(I$5:I1159,I1159,G$5:G1159,G1159),"0000"))</f>
        <v/>
      </c>
      <c r="C1159" s="26"/>
      <c r="D1159" s="26"/>
      <c r="E1159" s="27"/>
      <c r="F1159" s="27"/>
      <c r="G1159" s="24" t="str">
        <f aca="false">IF(F1159="","",IF(F1159&lt;=5,"A",IF(F1159&lt;=8,"B",IF(F1159&lt;=10,"C","D"))))</f>
        <v/>
      </c>
      <c r="H1159" s="28"/>
      <c r="I1159" s="27"/>
      <c r="J1159" s="26"/>
      <c r="K1159" s="27"/>
      <c r="L1159" s="27"/>
      <c r="M1159" s="27"/>
      <c r="N1159" s="27"/>
      <c r="O1159" s="24" t="str">
        <f aca="false">IF(G1159="","",VLOOKUP(G1159,Setup!$A$14:$C$17,3,0))</f>
        <v/>
      </c>
      <c r="P1159" s="27"/>
      <c r="Q1159" s="29" t="str">
        <f aca="false">IF(OR(P1159="",M1159&lt;&gt;"Paid",O1159=""),"",P1159/O1159)</f>
        <v/>
      </c>
      <c r="R1159" s="30" t="str">
        <f aca="false">IF(Q1159="","",Q1159+N(H1159)*0.000000001)</f>
        <v/>
      </c>
      <c r="S1159" s="25" t="str">
        <f aca="false">IF(R1159="","",SUMPRODUCT((I$5:I$4004=I1159)*ISNUMBER(R$5:R$4004)*(R$5:R$4004&gt;R1159))+1)</f>
        <v/>
      </c>
      <c r="T1159" s="25" t="str">
        <f aca="false">IF(S1159="","",IF(S1159&lt;=Setup!$B$5,"🏆 WINNER",""))</f>
        <v/>
      </c>
      <c r="U1159" s="24" t="str">
        <f aca="false">IF(S1159="","",I1159&amp;"|"&amp;S1159)</f>
        <v/>
      </c>
    </row>
    <row r="1160" customFormat="false" ht="15" hidden="false" customHeight="false" outlineLevel="0" collapsed="false">
      <c r="A1160" s="31" t="n">
        <v>1156</v>
      </c>
      <c r="B1160" s="32" t="str">
        <f aca="false">IF(OR(C1160="",I1160="",G1160=""),"",IFERROR(VLOOKUP(I1160,Setup!$A$9:$B$11,2,0),"???")&amp;"-"&amp;G1160&amp;"-"&amp;TEXT(COUNTIFS(I$5:I1160,I1160,G$5:G1160,G1160),"0000"))</f>
        <v/>
      </c>
      <c r="C1160" s="26"/>
      <c r="D1160" s="26"/>
      <c r="E1160" s="27"/>
      <c r="F1160" s="27"/>
      <c r="G1160" s="31" t="str">
        <f aca="false">IF(F1160="","",IF(F1160&lt;=5,"A",IF(F1160&lt;=8,"B",IF(F1160&lt;=10,"C","D"))))</f>
        <v/>
      </c>
      <c r="H1160" s="28"/>
      <c r="I1160" s="27"/>
      <c r="J1160" s="26"/>
      <c r="K1160" s="27"/>
      <c r="L1160" s="27"/>
      <c r="M1160" s="27"/>
      <c r="N1160" s="27"/>
      <c r="O1160" s="31" t="str">
        <f aca="false">IF(G1160="","",VLOOKUP(G1160,Setup!$A$14:$C$17,3,0))</f>
        <v/>
      </c>
      <c r="P1160" s="27"/>
      <c r="Q1160" s="33" t="str">
        <f aca="false">IF(OR(P1160="",M1160&lt;&gt;"Paid",O1160=""),"",P1160/O1160)</f>
        <v/>
      </c>
      <c r="R1160" s="34" t="str">
        <f aca="false">IF(Q1160="","",Q1160+N(H1160)*0.000000001)</f>
        <v/>
      </c>
      <c r="S1160" s="32" t="str">
        <f aca="false">IF(R1160="","",SUMPRODUCT((I$5:I$4004=I1160)*ISNUMBER(R$5:R$4004)*(R$5:R$4004&gt;R1160))+1)</f>
        <v/>
      </c>
      <c r="T1160" s="32" t="str">
        <f aca="false">IF(S1160="","",IF(S1160&lt;=Setup!$B$5,"🏆 WINNER",""))</f>
        <v/>
      </c>
      <c r="U1160" s="31" t="str">
        <f aca="false">IF(S1160="","",I1160&amp;"|"&amp;S1160)</f>
        <v/>
      </c>
    </row>
    <row r="1161" customFormat="false" ht="15" hidden="false" customHeight="false" outlineLevel="0" collapsed="false">
      <c r="A1161" s="24" t="n">
        <v>1157</v>
      </c>
      <c r="B1161" s="25" t="str">
        <f aca="false">IF(OR(C1161="",I1161="",G1161=""),"",IFERROR(VLOOKUP(I1161,Setup!$A$9:$B$11,2,0),"???")&amp;"-"&amp;G1161&amp;"-"&amp;TEXT(COUNTIFS(I$5:I1161,I1161,G$5:G1161,G1161),"0000"))</f>
        <v/>
      </c>
      <c r="C1161" s="26"/>
      <c r="D1161" s="26"/>
      <c r="E1161" s="27"/>
      <c r="F1161" s="27"/>
      <c r="G1161" s="24" t="str">
        <f aca="false">IF(F1161="","",IF(F1161&lt;=5,"A",IF(F1161&lt;=8,"B",IF(F1161&lt;=10,"C","D"))))</f>
        <v/>
      </c>
      <c r="H1161" s="28"/>
      <c r="I1161" s="27"/>
      <c r="J1161" s="26"/>
      <c r="K1161" s="27"/>
      <c r="L1161" s="27"/>
      <c r="M1161" s="27"/>
      <c r="N1161" s="27"/>
      <c r="O1161" s="24" t="str">
        <f aca="false">IF(G1161="","",VLOOKUP(G1161,Setup!$A$14:$C$17,3,0))</f>
        <v/>
      </c>
      <c r="P1161" s="27"/>
      <c r="Q1161" s="29" t="str">
        <f aca="false">IF(OR(P1161="",M1161&lt;&gt;"Paid",O1161=""),"",P1161/O1161)</f>
        <v/>
      </c>
      <c r="R1161" s="30" t="str">
        <f aca="false">IF(Q1161="","",Q1161+N(H1161)*0.000000001)</f>
        <v/>
      </c>
      <c r="S1161" s="25" t="str">
        <f aca="false">IF(R1161="","",SUMPRODUCT((I$5:I$4004=I1161)*ISNUMBER(R$5:R$4004)*(R$5:R$4004&gt;R1161))+1)</f>
        <v/>
      </c>
      <c r="T1161" s="25" t="str">
        <f aca="false">IF(S1161="","",IF(S1161&lt;=Setup!$B$5,"🏆 WINNER",""))</f>
        <v/>
      </c>
      <c r="U1161" s="24" t="str">
        <f aca="false">IF(S1161="","",I1161&amp;"|"&amp;S1161)</f>
        <v/>
      </c>
    </row>
    <row r="1162" customFormat="false" ht="15" hidden="false" customHeight="false" outlineLevel="0" collapsed="false">
      <c r="A1162" s="31" t="n">
        <v>1158</v>
      </c>
      <c r="B1162" s="32" t="str">
        <f aca="false">IF(OR(C1162="",I1162="",G1162=""),"",IFERROR(VLOOKUP(I1162,Setup!$A$9:$B$11,2,0),"???")&amp;"-"&amp;G1162&amp;"-"&amp;TEXT(COUNTIFS(I$5:I1162,I1162,G$5:G1162,G1162),"0000"))</f>
        <v/>
      </c>
      <c r="C1162" s="26"/>
      <c r="D1162" s="26"/>
      <c r="E1162" s="27"/>
      <c r="F1162" s="27"/>
      <c r="G1162" s="31" t="str">
        <f aca="false">IF(F1162="","",IF(F1162&lt;=5,"A",IF(F1162&lt;=8,"B",IF(F1162&lt;=10,"C","D"))))</f>
        <v/>
      </c>
      <c r="H1162" s="28"/>
      <c r="I1162" s="27"/>
      <c r="J1162" s="26"/>
      <c r="K1162" s="27"/>
      <c r="L1162" s="27"/>
      <c r="M1162" s="27"/>
      <c r="N1162" s="27"/>
      <c r="O1162" s="31" t="str">
        <f aca="false">IF(G1162="","",VLOOKUP(G1162,Setup!$A$14:$C$17,3,0))</f>
        <v/>
      </c>
      <c r="P1162" s="27"/>
      <c r="Q1162" s="33" t="str">
        <f aca="false">IF(OR(P1162="",M1162&lt;&gt;"Paid",O1162=""),"",P1162/O1162)</f>
        <v/>
      </c>
      <c r="R1162" s="34" t="str">
        <f aca="false">IF(Q1162="","",Q1162+N(H1162)*0.000000001)</f>
        <v/>
      </c>
      <c r="S1162" s="32" t="str">
        <f aca="false">IF(R1162="","",SUMPRODUCT((I$5:I$4004=I1162)*ISNUMBER(R$5:R$4004)*(R$5:R$4004&gt;R1162))+1)</f>
        <v/>
      </c>
      <c r="T1162" s="32" t="str">
        <f aca="false">IF(S1162="","",IF(S1162&lt;=Setup!$B$5,"🏆 WINNER",""))</f>
        <v/>
      </c>
      <c r="U1162" s="31" t="str">
        <f aca="false">IF(S1162="","",I1162&amp;"|"&amp;S1162)</f>
        <v/>
      </c>
    </row>
    <row r="1163" customFormat="false" ht="15" hidden="false" customHeight="false" outlineLevel="0" collapsed="false">
      <c r="A1163" s="24" t="n">
        <v>1159</v>
      </c>
      <c r="B1163" s="25" t="str">
        <f aca="false">IF(OR(C1163="",I1163="",G1163=""),"",IFERROR(VLOOKUP(I1163,Setup!$A$9:$B$11,2,0),"???")&amp;"-"&amp;G1163&amp;"-"&amp;TEXT(COUNTIFS(I$5:I1163,I1163,G$5:G1163,G1163),"0000"))</f>
        <v/>
      </c>
      <c r="C1163" s="26"/>
      <c r="D1163" s="26"/>
      <c r="E1163" s="27"/>
      <c r="F1163" s="27"/>
      <c r="G1163" s="24" t="str">
        <f aca="false">IF(F1163="","",IF(F1163&lt;=5,"A",IF(F1163&lt;=8,"B",IF(F1163&lt;=10,"C","D"))))</f>
        <v/>
      </c>
      <c r="H1163" s="28"/>
      <c r="I1163" s="27"/>
      <c r="J1163" s="26"/>
      <c r="K1163" s="27"/>
      <c r="L1163" s="27"/>
      <c r="M1163" s="27"/>
      <c r="N1163" s="27"/>
      <c r="O1163" s="24" t="str">
        <f aca="false">IF(G1163="","",VLOOKUP(G1163,Setup!$A$14:$C$17,3,0))</f>
        <v/>
      </c>
      <c r="P1163" s="27"/>
      <c r="Q1163" s="29" t="str">
        <f aca="false">IF(OR(P1163="",M1163&lt;&gt;"Paid",O1163=""),"",P1163/O1163)</f>
        <v/>
      </c>
      <c r="R1163" s="30" t="str">
        <f aca="false">IF(Q1163="","",Q1163+N(H1163)*0.000000001)</f>
        <v/>
      </c>
      <c r="S1163" s="25" t="str">
        <f aca="false">IF(R1163="","",SUMPRODUCT((I$5:I$4004=I1163)*ISNUMBER(R$5:R$4004)*(R$5:R$4004&gt;R1163))+1)</f>
        <v/>
      </c>
      <c r="T1163" s="25" t="str">
        <f aca="false">IF(S1163="","",IF(S1163&lt;=Setup!$B$5,"🏆 WINNER",""))</f>
        <v/>
      </c>
      <c r="U1163" s="24" t="str">
        <f aca="false">IF(S1163="","",I1163&amp;"|"&amp;S1163)</f>
        <v/>
      </c>
    </row>
    <row r="1164" customFormat="false" ht="15" hidden="false" customHeight="false" outlineLevel="0" collapsed="false">
      <c r="A1164" s="31" t="n">
        <v>1160</v>
      </c>
      <c r="B1164" s="32" t="str">
        <f aca="false">IF(OR(C1164="",I1164="",G1164=""),"",IFERROR(VLOOKUP(I1164,Setup!$A$9:$B$11,2,0),"???")&amp;"-"&amp;G1164&amp;"-"&amp;TEXT(COUNTIFS(I$5:I1164,I1164,G$5:G1164,G1164),"0000"))</f>
        <v/>
      </c>
      <c r="C1164" s="26"/>
      <c r="D1164" s="26"/>
      <c r="E1164" s="27"/>
      <c r="F1164" s="27"/>
      <c r="G1164" s="31" t="str">
        <f aca="false">IF(F1164="","",IF(F1164&lt;=5,"A",IF(F1164&lt;=8,"B",IF(F1164&lt;=10,"C","D"))))</f>
        <v/>
      </c>
      <c r="H1164" s="28"/>
      <c r="I1164" s="27"/>
      <c r="J1164" s="26"/>
      <c r="K1164" s="27"/>
      <c r="L1164" s="27"/>
      <c r="M1164" s="27"/>
      <c r="N1164" s="27"/>
      <c r="O1164" s="31" t="str">
        <f aca="false">IF(G1164="","",VLOOKUP(G1164,Setup!$A$14:$C$17,3,0))</f>
        <v/>
      </c>
      <c r="P1164" s="27"/>
      <c r="Q1164" s="33" t="str">
        <f aca="false">IF(OR(P1164="",M1164&lt;&gt;"Paid",O1164=""),"",P1164/O1164)</f>
        <v/>
      </c>
      <c r="R1164" s="34" t="str">
        <f aca="false">IF(Q1164="","",Q1164+N(H1164)*0.000000001)</f>
        <v/>
      </c>
      <c r="S1164" s="32" t="str">
        <f aca="false">IF(R1164="","",SUMPRODUCT((I$5:I$4004=I1164)*ISNUMBER(R$5:R$4004)*(R$5:R$4004&gt;R1164))+1)</f>
        <v/>
      </c>
      <c r="T1164" s="32" t="str">
        <f aca="false">IF(S1164="","",IF(S1164&lt;=Setup!$B$5,"🏆 WINNER",""))</f>
        <v/>
      </c>
      <c r="U1164" s="31" t="str">
        <f aca="false">IF(S1164="","",I1164&amp;"|"&amp;S1164)</f>
        <v/>
      </c>
    </row>
    <row r="1165" customFormat="false" ht="15" hidden="false" customHeight="false" outlineLevel="0" collapsed="false">
      <c r="A1165" s="24" t="n">
        <v>1161</v>
      </c>
      <c r="B1165" s="25" t="str">
        <f aca="false">IF(OR(C1165="",I1165="",G1165=""),"",IFERROR(VLOOKUP(I1165,Setup!$A$9:$B$11,2,0),"???")&amp;"-"&amp;G1165&amp;"-"&amp;TEXT(COUNTIFS(I$5:I1165,I1165,G$5:G1165,G1165),"0000"))</f>
        <v/>
      </c>
      <c r="C1165" s="26"/>
      <c r="D1165" s="26"/>
      <c r="E1165" s="27"/>
      <c r="F1165" s="27"/>
      <c r="G1165" s="24" t="str">
        <f aca="false">IF(F1165="","",IF(F1165&lt;=5,"A",IF(F1165&lt;=8,"B",IF(F1165&lt;=10,"C","D"))))</f>
        <v/>
      </c>
      <c r="H1165" s="28"/>
      <c r="I1165" s="27"/>
      <c r="J1165" s="26"/>
      <c r="K1165" s="27"/>
      <c r="L1165" s="27"/>
      <c r="M1165" s="27"/>
      <c r="N1165" s="27"/>
      <c r="O1165" s="24" t="str">
        <f aca="false">IF(G1165="","",VLOOKUP(G1165,Setup!$A$14:$C$17,3,0))</f>
        <v/>
      </c>
      <c r="P1165" s="27"/>
      <c r="Q1165" s="29" t="str">
        <f aca="false">IF(OR(P1165="",M1165&lt;&gt;"Paid",O1165=""),"",P1165/O1165)</f>
        <v/>
      </c>
      <c r="R1165" s="30" t="str">
        <f aca="false">IF(Q1165="","",Q1165+N(H1165)*0.000000001)</f>
        <v/>
      </c>
      <c r="S1165" s="25" t="str">
        <f aca="false">IF(R1165="","",SUMPRODUCT((I$5:I$4004=I1165)*ISNUMBER(R$5:R$4004)*(R$5:R$4004&gt;R1165))+1)</f>
        <v/>
      </c>
      <c r="T1165" s="25" t="str">
        <f aca="false">IF(S1165="","",IF(S1165&lt;=Setup!$B$5,"🏆 WINNER",""))</f>
        <v/>
      </c>
      <c r="U1165" s="24" t="str">
        <f aca="false">IF(S1165="","",I1165&amp;"|"&amp;S1165)</f>
        <v/>
      </c>
    </row>
    <row r="1166" customFormat="false" ht="15" hidden="false" customHeight="false" outlineLevel="0" collapsed="false">
      <c r="A1166" s="31" t="n">
        <v>1162</v>
      </c>
      <c r="B1166" s="32" t="str">
        <f aca="false">IF(OR(C1166="",I1166="",G1166=""),"",IFERROR(VLOOKUP(I1166,Setup!$A$9:$B$11,2,0),"???")&amp;"-"&amp;G1166&amp;"-"&amp;TEXT(COUNTIFS(I$5:I1166,I1166,G$5:G1166,G1166),"0000"))</f>
        <v/>
      </c>
      <c r="C1166" s="26"/>
      <c r="D1166" s="26"/>
      <c r="E1166" s="27"/>
      <c r="F1166" s="27"/>
      <c r="G1166" s="31" t="str">
        <f aca="false">IF(F1166="","",IF(F1166&lt;=5,"A",IF(F1166&lt;=8,"B",IF(F1166&lt;=10,"C","D"))))</f>
        <v/>
      </c>
      <c r="H1166" s="28"/>
      <c r="I1166" s="27"/>
      <c r="J1166" s="26"/>
      <c r="K1166" s="27"/>
      <c r="L1166" s="27"/>
      <c r="M1166" s="27"/>
      <c r="N1166" s="27"/>
      <c r="O1166" s="31" t="str">
        <f aca="false">IF(G1166="","",VLOOKUP(G1166,Setup!$A$14:$C$17,3,0))</f>
        <v/>
      </c>
      <c r="P1166" s="27"/>
      <c r="Q1166" s="33" t="str">
        <f aca="false">IF(OR(P1166="",M1166&lt;&gt;"Paid",O1166=""),"",P1166/O1166)</f>
        <v/>
      </c>
      <c r="R1166" s="34" t="str">
        <f aca="false">IF(Q1166="","",Q1166+N(H1166)*0.000000001)</f>
        <v/>
      </c>
      <c r="S1166" s="32" t="str">
        <f aca="false">IF(R1166="","",SUMPRODUCT((I$5:I$4004=I1166)*ISNUMBER(R$5:R$4004)*(R$5:R$4004&gt;R1166))+1)</f>
        <v/>
      </c>
      <c r="T1166" s="32" t="str">
        <f aca="false">IF(S1166="","",IF(S1166&lt;=Setup!$B$5,"🏆 WINNER",""))</f>
        <v/>
      </c>
      <c r="U1166" s="31" t="str">
        <f aca="false">IF(S1166="","",I1166&amp;"|"&amp;S1166)</f>
        <v/>
      </c>
    </row>
    <row r="1167" customFormat="false" ht="15" hidden="false" customHeight="false" outlineLevel="0" collapsed="false">
      <c r="A1167" s="24" t="n">
        <v>1163</v>
      </c>
      <c r="B1167" s="25" t="str">
        <f aca="false">IF(OR(C1167="",I1167="",G1167=""),"",IFERROR(VLOOKUP(I1167,Setup!$A$9:$B$11,2,0),"???")&amp;"-"&amp;G1167&amp;"-"&amp;TEXT(COUNTIFS(I$5:I1167,I1167,G$5:G1167,G1167),"0000"))</f>
        <v/>
      </c>
      <c r="C1167" s="26"/>
      <c r="D1167" s="26"/>
      <c r="E1167" s="27"/>
      <c r="F1167" s="27"/>
      <c r="G1167" s="24" t="str">
        <f aca="false">IF(F1167="","",IF(F1167&lt;=5,"A",IF(F1167&lt;=8,"B",IF(F1167&lt;=10,"C","D"))))</f>
        <v/>
      </c>
      <c r="H1167" s="28"/>
      <c r="I1167" s="27"/>
      <c r="J1167" s="26"/>
      <c r="K1167" s="27"/>
      <c r="L1167" s="27"/>
      <c r="M1167" s="27"/>
      <c r="N1167" s="27"/>
      <c r="O1167" s="24" t="str">
        <f aca="false">IF(G1167="","",VLOOKUP(G1167,Setup!$A$14:$C$17,3,0))</f>
        <v/>
      </c>
      <c r="P1167" s="27"/>
      <c r="Q1167" s="29" t="str">
        <f aca="false">IF(OR(P1167="",M1167&lt;&gt;"Paid",O1167=""),"",P1167/O1167)</f>
        <v/>
      </c>
      <c r="R1167" s="30" t="str">
        <f aca="false">IF(Q1167="","",Q1167+N(H1167)*0.000000001)</f>
        <v/>
      </c>
      <c r="S1167" s="25" t="str">
        <f aca="false">IF(R1167="","",SUMPRODUCT((I$5:I$4004=I1167)*ISNUMBER(R$5:R$4004)*(R$5:R$4004&gt;R1167))+1)</f>
        <v/>
      </c>
      <c r="T1167" s="25" t="str">
        <f aca="false">IF(S1167="","",IF(S1167&lt;=Setup!$B$5,"🏆 WINNER",""))</f>
        <v/>
      </c>
      <c r="U1167" s="24" t="str">
        <f aca="false">IF(S1167="","",I1167&amp;"|"&amp;S1167)</f>
        <v/>
      </c>
    </row>
    <row r="1168" customFormat="false" ht="15" hidden="false" customHeight="false" outlineLevel="0" collapsed="false">
      <c r="A1168" s="31" t="n">
        <v>1164</v>
      </c>
      <c r="B1168" s="32" t="str">
        <f aca="false">IF(OR(C1168="",I1168="",G1168=""),"",IFERROR(VLOOKUP(I1168,Setup!$A$9:$B$11,2,0),"???")&amp;"-"&amp;G1168&amp;"-"&amp;TEXT(COUNTIFS(I$5:I1168,I1168,G$5:G1168,G1168),"0000"))</f>
        <v/>
      </c>
      <c r="C1168" s="26"/>
      <c r="D1168" s="26"/>
      <c r="E1168" s="27"/>
      <c r="F1168" s="27"/>
      <c r="G1168" s="31" t="str">
        <f aca="false">IF(F1168="","",IF(F1168&lt;=5,"A",IF(F1168&lt;=8,"B",IF(F1168&lt;=10,"C","D"))))</f>
        <v/>
      </c>
      <c r="H1168" s="28"/>
      <c r="I1168" s="27"/>
      <c r="J1168" s="26"/>
      <c r="K1168" s="27"/>
      <c r="L1168" s="27"/>
      <c r="M1168" s="27"/>
      <c r="N1168" s="27"/>
      <c r="O1168" s="31" t="str">
        <f aca="false">IF(G1168="","",VLOOKUP(G1168,Setup!$A$14:$C$17,3,0))</f>
        <v/>
      </c>
      <c r="P1168" s="27"/>
      <c r="Q1168" s="33" t="str">
        <f aca="false">IF(OR(P1168="",M1168&lt;&gt;"Paid",O1168=""),"",P1168/O1168)</f>
        <v/>
      </c>
      <c r="R1168" s="34" t="str">
        <f aca="false">IF(Q1168="","",Q1168+N(H1168)*0.000000001)</f>
        <v/>
      </c>
      <c r="S1168" s="32" t="str">
        <f aca="false">IF(R1168="","",SUMPRODUCT((I$5:I$4004=I1168)*ISNUMBER(R$5:R$4004)*(R$5:R$4004&gt;R1168))+1)</f>
        <v/>
      </c>
      <c r="T1168" s="32" t="str">
        <f aca="false">IF(S1168="","",IF(S1168&lt;=Setup!$B$5,"🏆 WINNER",""))</f>
        <v/>
      </c>
      <c r="U1168" s="31" t="str">
        <f aca="false">IF(S1168="","",I1168&amp;"|"&amp;S1168)</f>
        <v/>
      </c>
    </row>
    <row r="1169" customFormat="false" ht="15" hidden="false" customHeight="false" outlineLevel="0" collapsed="false">
      <c r="A1169" s="24" t="n">
        <v>1165</v>
      </c>
      <c r="B1169" s="25" t="str">
        <f aca="false">IF(OR(C1169="",I1169="",G1169=""),"",IFERROR(VLOOKUP(I1169,Setup!$A$9:$B$11,2,0),"???")&amp;"-"&amp;G1169&amp;"-"&amp;TEXT(COUNTIFS(I$5:I1169,I1169,G$5:G1169,G1169),"0000"))</f>
        <v/>
      </c>
      <c r="C1169" s="26"/>
      <c r="D1169" s="26"/>
      <c r="E1169" s="27"/>
      <c r="F1169" s="27"/>
      <c r="G1169" s="24" t="str">
        <f aca="false">IF(F1169="","",IF(F1169&lt;=5,"A",IF(F1169&lt;=8,"B",IF(F1169&lt;=10,"C","D"))))</f>
        <v/>
      </c>
      <c r="H1169" s="28"/>
      <c r="I1169" s="27"/>
      <c r="J1169" s="26"/>
      <c r="K1169" s="27"/>
      <c r="L1169" s="27"/>
      <c r="M1169" s="27"/>
      <c r="N1169" s="27"/>
      <c r="O1169" s="24" t="str">
        <f aca="false">IF(G1169="","",VLOOKUP(G1169,Setup!$A$14:$C$17,3,0))</f>
        <v/>
      </c>
      <c r="P1169" s="27"/>
      <c r="Q1169" s="29" t="str">
        <f aca="false">IF(OR(P1169="",M1169&lt;&gt;"Paid",O1169=""),"",P1169/O1169)</f>
        <v/>
      </c>
      <c r="R1169" s="30" t="str">
        <f aca="false">IF(Q1169="","",Q1169+N(H1169)*0.000000001)</f>
        <v/>
      </c>
      <c r="S1169" s="25" t="str">
        <f aca="false">IF(R1169="","",SUMPRODUCT((I$5:I$4004=I1169)*ISNUMBER(R$5:R$4004)*(R$5:R$4004&gt;R1169))+1)</f>
        <v/>
      </c>
      <c r="T1169" s="25" t="str">
        <f aca="false">IF(S1169="","",IF(S1169&lt;=Setup!$B$5,"🏆 WINNER",""))</f>
        <v/>
      </c>
      <c r="U1169" s="24" t="str">
        <f aca="false">IF(S1169="","",I1169&amp;"|"&amp;S1169)</f>
        <v/>
      </c>
    </row>
    <row r="1170" customFormat="false" ht="15" hidden="false" customHeight="false" outlineLevel="0" collapsed="false">
      <c r="A1170" s="31" t="n">
        <v>1166</v>
      </c>
      <c r="B1170" s="32" t="str">
        <f aca="false">IF(OR(C1170="",I1170="",G1170=""),"",IFERROR(VLOOKUP(I1170,Setup!$A$9:$B$11,2,0),"???")&amp;"-"&amp;G1170&amp;"-"&amp;TEXT(COUNTIFS(I$5:I1170,I1170,G$5:G1170,G1170),"0000"))</f>
        <v/>
      </c>
      <c r="C1170" s="26"/>
      <c r="D1170" s="26"/>
      <c r="E1170" s="27"/>
      <c r="F1170" s="27"/>
      <c r="G1170" s="31" t="str">
        <f aca="false">IF(F1170="","",IF(F1170&lt;=5,"A",IF(F1170&lt;=8,"B",IF(F1170&lt;=10,"C","D"))))</f>
        <v/>
      </c>
      <c r="H1170" s="28"/>
      <c r="I1170" s="27"/>
      <c r="J1170" s="26"/>
      <c r="K1170" s="27"/>
      <c r="L1170" s="27"/>
      <c r="M1170" s="27"/>
      <c r="N1170" s="27"/>
      <c r="O1170" s="31" t="str">
        <f aca="false">IF(G1170="","",VLOOKUP(G1170,Setup!$A$14:$C$17,3,0))</f>
        <v/>
      </c>
      <c r="P1170" s="27"/>
      <c r="Q1170" s="33" t="str">
        <f aca="false">IF(OR(P1170="",M1170&lt;&gt;"Paid",O1170=""),"",P1170/O1170)</f>
        <v/>
      </c>
      <c r="R1170" s="34" t="str">
        <f aca="false">IF(Q1170="","",Q1170+N(H1170)*0.000000001)</f>
        <v/>
      </c>
      <c r="S1170" s="32" t="str">
        <f aca="false">IF(R1170="","",SUMPRODUCT((I$5:I$4004=I1170)*ISNUMBER(R$5:R$4004)*(R$5:R$4004&gt;R1170))+1)</f>
        <v/>
      </c>
      <c r="T1170" s="32" t="str">
        <f aca="false">IF(S1170="","",IF(S1170&lt;=Setup!$B$5,"🏆 WINNER",""))</f>
        <v/>
      </c>
      <c r="U1170" s="31" t="str">
        <f aca="false">IF(S1170="","",I1170&amp;"|"&amp;S1170)</f>
        <v/>
      </c>
    </row>
    <row r="1171" customFormat="false" ht="15" hidden="false" customHeight="false" outlineLevel="0" collapsed="false">
      <c r="A1171" s="24" t="n">
        <v>1167</v>
      </c>
      <c r="B1171" s="25" t="str">
        <f aca="false">IF(OR(C1171="",I1171="",G1171=""),"",IFERROR(VLOOKUP(I1171,Setup!$A$9:$B$11,2,0),"???")&amp;"-"&amp;G1171&amp;"-"&amp;TEXT(COUNTIFS(I$5:I1171,I1171,G$5:G1171,G1171),"0000"))</f>
        <v/>
      </c>
      <c r="C1171" s="26"/>
      <c r="D1171" s="26"/>
      <c r="E1171" s="27"/>
      <c r="F1171" s="27"/>
      <c r="G1171" s="24" t="str">
        <f aca="false">IF(F1171="","",IF(F1171&lt;=5,"A",IF(F1171&lt;=8,"B",IF(F1171&lt;=10,"C","D"))))</f>
        <v/>
      </c>
      <c r="H1171" s="28"/>
      <c r="I1171" s="27"/>
      <c r="J1171" s="26"/>
      <c r="K1171" s="27"/>
      <c r="L1171" s="27"/>
      <c r="M1171" s="27"/>
      <c r="N1171" s="27"/>
      <c r="O1171" s="24" t="str">
        <f aca="false">IF(G1171="","",VLOOKUP(G1171,Setup!$A$14:$C$17,3,0))</f>
        <v/>
      </c>
      <c r="P1171" s="27"/>
      <c r="Q1171" s="29" t="str">
        <f aca="false">IF(OR(P1171="",M1171&lt;&gt;"Paid",O1171=""),"",P1171/O1171)</f>
        <v/>
      </c>
      <c r="R1171" s="30" t="str">
        <f aca="false">IF(Q1171="","",Q1171+N(H1171)*0.000000001)</f>
        <v/>
      </c>
      <c r="S1171" s="25" t="str">
        <f aca="false">IF(R1171="","",SUMPRODUCT((I$5:I$4004=I1171)*ISNUMBER(R$5:R$4004)*(R$5:R$4004&gt;R1171))+1)</f>
        <v/>
      </c>
      <c r="T1171" s="25" t="str">
        <f aca="false">IF(S1171="","",IF(S1171&lt;=Setup!$B$5,"🏆 WINNER",""))</f>
        <v/>
      </c>
      <c r="U1171" s="24" t="str">
        <f aca="false">IF(S1171="","",I1171&amp;"|"&amp;S1171)</f>
        <v/>
      </c>
    </row>
    <row r="1172" customFormat="false" ht="15" hidden="false" customHeight="false" outlineLevel="0" collapsed="false">
      <c r="A1172" s="31" t="n">
        <v>1168</v>
      </c>
      <c r="B1172" s="32" t="str">
        <f aca="false">IF(OR(C1172="",I1172="",G1172=""),"",IFERROR(VLOOKUP(I1172,Setup!$A$9:$B$11,2,0),"???")&amp;"-"&amp;G1172&amp;"-"&amp;TEXT(COUNTIFS(I$5:I1172,I1172,G$5:G1172,G1172),"0000"))</f>
        <v/>
      </c>
      <c r="C1172" s="26"/>
      <c r="D1172" s="26"/>
      <c r="E1172" s="27"/>
      <c r="F1172" s="27"/>
      <c r="G1172" s="31" t="str">
        <f aca="false">IF(F1172="","",IF(F1172&lt;=5,"A",IF(F1172&lt;=8,"B",IF(F1172&lt;=10,"C","D"))))</f>
        <v/>
      </c>
      <c r="H1172" s="28"/>
      <c r="I1172" s="27"/>
      <c r="J1172" s="26"/>
      <c r="K1172" s="27"/>
      <c r="L1172" s="27"/>
      <c r="M1172" s="27"/>
      <c r="N1172" s="27"/>
      <c r="O1172" s="31" t="str">
        <f aca="false">IF(G1172="","",VLOOKUP(G1172,Setup!$A$14:$C$17,3,0))</f>
        <v/>
      </c>
      <c r="P1172" s="27"/>
      <c r="Q1172" s="33" t="str">
        <f aca="false">IF(OR(P1172="",M1172&lt;&gt;"Paid",O1172=""),"",P1172/O1172)</f>
        <v/>
      </c>
      <c r="R1172" s="34" t="str">
        <f aca="false">IF(Q1172="","",Q1172+N(H1172)*0.000000001)</f>
        <v/>
      </c>
      <c r="S1172" s="32" t="str">
        <f aca="false">IF(R1172="","",SUMPRODUCT((I$5:I$4004=I1172)*ISNUMBER(R$5:R$4004)*(R$5:R$4004&gt;R1172))+1)</f>
        <v/>
      </c>
      <c r="T1172" s="32" t="str">
        <f aca="false">IF(S1172="","",IF(S1172&lt;=Setup!$B$5,"🏆 WINNER",""))</f>
        <v/>
      </c>
      <c r="U1172" s="31" t="str">
        <f aca="false">IF(S1172="","",I1172&amp;"|"&amp;S1172)</f>
        <v/>
      </c>
    </row>
    <row r="1173" customFormat="false" ht="15" hidden="false" customHeight="false" outlineLevel="0" collapsed="false">
      <c r="A1173" s="24" t="n">
        <v>1169</v>
      </c>
      <c r="B1173" s="25" t="str">
        <f aca="false">IF(OR(C1173="",I1173="",G1173=""),"",IFERROR(VLOOKUP(I1173,Setup!$A$9:$B$11,2,0),"???")&amp;"-"&amp;G1173&amp;"-"&amp;TEXT(COUNTIFS(I$5:I1173,I1173,G$5:G1173,G1173),"0000"))</f>
        <v/>
      </c>
      <c r="C1173" s="26"/>
      <c r="D1173" s="26"/>
      <c r="E1173" s="27"/>
      <c r="F1173" s="27"/>
      <c r="G1173" s="24" t="str">
        <f aca="false">IF(F1173="","",IF(F1173&lt;=5,"A",IF(F1173&lt;=8,"B",IF(F1173&lt;=10,"C","D"))))</f>
        <v/>
      </c>
      <c r="H1173" s="28"/>
      <c r="I1173" s="27"/>
      <c r="J1173" s="26"/>
      <c r="K1173" s="27"/>
      <c r="L1173" s="27"/>
      <c r="M1173" s="27"/>
      <c r="N1173" s="27"/>
      <c r="O1173" s="24" t="str">
        <f aca="false">IF(G1173="","",VLOOKUP(G1173,Setup!$A$14:$C$17,3,0))</f>
        <v/>
      </c>
      <c r="P1173" s="27"/>
      <c r="Q1173" s="29" t="str">
        <f aca="false">IF(OR(P1173="",M1173&lt;&gt;"Paid",O1173=""),"",P1173/O1173)</f>
        <v/>
      </c>
      <c r="R1173" s="30" t="str">
        <f aca="false">IF(Q1173="","",Q1173+N(H1173)*0.000000001)</f>
        <v/>
      </c>
      <c r="S1173" s="25" t="str">
        <f aca="false">IF(R1173="","",SUMPRODUCT((I$5:I$4004=I1173)*ISNUMBER(R$5:R$4004)*(R$5:R$4004&gt;R1173))+1)</f>
        <v/>
      </c>
      <c r="T1173" s="25" t="str">
        <f aca="false">IF(S1173="","",IF(S1173&lt;=Setup!$B$5,"🏆 WINNER",""))</f>
        <v/>
      </c>
      <c r="U1173" s="24" t="str">
        <f aca="false">IF(S1173="","",I1173&amp;"|"&amp;S1173)</f>
        <v/>
      </c>
    </row>
    <row r="1174" customFormat="false" ht="15" hidden="false" customHeight="false" outlineLevel="0" collapsed="false">
      <c r="A1174" s="31" t="n">
        <v>1170</v>
      </c>
      <c r="B1174" s="32" t="str">
        <f aca="false">IF(OR(C1174="",I1174="",G1174=""),"",IFERROR(VLOOKUP(I1174,Setup!$A$9:$B$11,2,0),"???")&amp;"-"&amp;G1174&amp;"-"&amp;TEXT(COUNTIFS(I$5:I1174,I1174,G$5:G1174,G1174),"0000"))</f>
        <v/>
      </c>
      <c r="C1174" s="26"/>
      <c r="D1174" s="26"/>
      <c r="E1174" s="27"/>
      <c r="F1174" s="27"/>
      <c r="G1174" s="31" t="str">
        <f aca="false">IF(F1174="","",IF(F1174&lt;=5,"A",IF(F1174&lt;=8,"B",IF(F1174&lt;=10,"C","D"))))</f>
        <v/>
      </c>
      <c r="H1174" s="28"/>
      <c r="I1174" s="27"/>
      <c r="J1174" s="26"/>
      <c r="K1174" s="27"/>
      <c r="L1174" s="27"/>
      <c r="M1174" s="27"/>
      <c r="N1174" s="27"/>
      <c r="O1174" s="31" t="str">
        <f aca="false">IF(G1174="","",VLOOKUP(G1174,Setup!$A$14:$C$17,3,0))</f>
        <v/>
      </c>
      <c r="P1174" s="27"/>
      <c r="Q1174" s="33" t="str">
        <f aca="false">IF(OR(P1174="",M1174&lt;&gt;"Paid",O1174=""),"",P1174/O1174)</f>
        <v/>
      </c>
      <c r="R1174" s="34" t="str">
        <f aca="false">IF(Q1174="","",Q1174+N(H1174)*0.000000001)</f>
        <v/>
      </c>
      <c r="S1174" s="32" t="str">
        <f aca="false">IF(R1174="","",SUMPRODUCT((I$5:I$4004=I1174)*ISNUMBER(R$5:R$4004)*(R$5:R$4004&gt;R1174))+1)</f>
        <v/>
      </c>
      <c r="T1174" s="32" t="str">
        <f aca="false">IF(S1174="","",IF(S1174&lt;=Setup!$B$5,"🏆 WINNER",""))</f>
        <v/>
      </c>
      <c r="U1174" s="31" t="str">
        <f aca="false">IF(S1174="","",I1174&amp;"|"&amp;S1174)</f>
        <v/>
      </c>
    </row>
    <row r="1175" customFormat="false" ht="15" hidden="false" customHeight="false" outlineLevel="0" collapsed="false">
      <c r="A1175" s="24" t="n">
        <v>1171</v>
      </c>
      <c r="B1175" s="25" t="str">
        <f aca="false">IF(OR(C1175="",I1175="",G1175=""),"",IFERROR(VLOOKUP(I1175,Setup!$A$9:$B$11,2,0),"???")&amp;"-"&amp;G1175&amp;"-"&amp;TEXT(COUNTIFS(I$5:I1175,I1175,G$5:G1175,G1175),"0000"))</f>
        <v/>
      </c>
      <c r="C1175" s="26"/>
      <c r="D1175" s="26"/>
      <c r="E1175" s="27"/>
      <c r="F1175" s="27"/>
      <c r="G1175" s="24" t="str">
        <f aca="false">IF(F1175="","",IF(F1175&lt;=5,"A",IF(F1175&lt;=8,"B",IF(F1175&lt;=10,"C","D"))))</f>
        <v/>
      </c>
      <c r="H1175" s="28"/>
      <c r="I1175" s="27"/>
      <c r="J1175" s="26"/>
      <c r="K1175" s="27"/>
      <c r="L1175" s="27"/>
      <c r="M1175" s="27"/>
      <c r="N1175" s="27"/>
      <c r="O1175" s="24" t="str">
        <f aca="false">IF(G1175="","",VLOOKUP(G1175,Setup!$A$14:$C$17,3,0))</f>
        <v/>
      </c>
      <c r="P1175" s="27"/>
      <c r="Q1175" s="29" t="str">
        <f aca="false">IF(OR(P1175="",M1175&lt;&gt;"Paid",O1175=""),"",P1175/O1175)</f>
        <v/>
      </c>
      <c r="R1175" s="30" t="str">
        <f aca="false">IF(Q1175="","",Q1175+N(H1175)*0.000000001)</f>
        <v/>
      </c>
      <c r="S1175" s="25" t="str">
        <f aca="false">IF(R1175="","",SUMPRODUCT((I$5:I$4004=I1175)*ISNUMBER(R$5:R$4004)*(R$5:R$4004&gt;R1175))+1)</f>
        <v/>
      </c>
      <c r="T1175" s="25" t="str">
        <f aca="false">IF(S1175="","",IF(S1175&lt;=Setup!$B$5,"🏆 WINNER",""))</f>
        <v/>
      </c>
      <c r="U1175" s="24" t="str">
        <f aca="false">IF(S1175="","",I1175&amp;"|"&amp;S1175)</f>
        <v/>
      </c>
    </row>
    <row r="1176" customFormat="false" ht="15" hidden="false" customHeight="false" outlineLevel="0" collapsed="false">
      <c r="A1176" s="31" t="n">
        <v>1172</v>
      </c>
      <c r="B1176" s="32" t="str">
        <f aca="false">IF(OR(C1176="",I1176="",G1176=""),"",IFERROR(VLOOKUP(I1176,Setup!$A$9:$B$11,2,0),"???")&amp;"-"&amp;G1176&amp;"-"&amp;TEXT(COUNTIFS(I$5:I1176,I1176,G$5:G1176,G1176),"0000"))</f>
        <v/>
      </c>
      <c r="C1176" s="26"/>
      <c r="D1176" s="26"/>
      <c r="E1176" s="27"/>
      <c r="F1176" s="27"/>
      <c r="G1176" s="31" t="str">
        <f aca="false">IF(F1176="","",IF(F1176&lt;=5,"A",IF(F1176&lt;=8,"B",IF(F1176&lt;=10,"C","D"))))</f>
        <v/>
      </c>
      <c r="H1176" s="28"/>
      <c r="I1176" s="27"/>
      <c r="J1176" s="26"/>
      <c r="K1176" s="27"/>
      <c r="L1176" s="27"/>
      <c r="M1176" s="27"/>
      <c r="N1176" s="27"/>
      <c r="O1176" s="31" t="str">
        <f aca="false">IF(G1176="","",VLOOKUP(G1176,Setup!$A$14:$C$17,3,0))</f>
        <v/>
      </c>
      <c r="P1176" s="27"/>
      <c r="Q1176" s="33" t="str">
        <f aca="false">IF(OR(P1176="",M1176&lt;&gt;"Paid",O1176=""),"",P1176/O1176)</f>
        <v/>
      </c>
      <c r="R1176" s="34" t="str">
        <f aca="false">IF(Q1176="","",Q1176+N(H1176)*0.000000001)</f>
        <v/>
      </c>
      <c r="S1176" s="32" t="str">
        <f aca="false">IF(R1176="","",SUMPRODUCT((I$5:I$4004=I1176)*ISNUMBER(R$5:R$4004)*(R$5:R$4004&gt;R1176))+1)</f>
        <v/>
      </c>
      <c r="T1176" s="32" t="str">
        <f aca="false">IF(S1176="","",IF(S1176&lt;=Setup!$B$5,"🏆 WINNER",""))</f>
        <v/>
      </c>
      <c r="U1176" s="31" t="str">
        <f aca="false">IF(S1176="","",I1176&amp;"|"&amp;S1176)</f>
        <v/>
      </c>
    </row>
    <row r="1177" customFormat="false" ht="15" hidden="false" customHeight="false" outlineLevel="0" collapsed="false">
      <c r="A1177" s="24" t="n">
        <v>1173</v>
      </c>
      <c r="B1177" s="25" t="str">
        <f aca="false">IF(OR(C1177="",I1177="",G1177=""),"",IFERROR(VLOOKUP(I1177,Setup!$A$9:$B$11,2,0),"???")&amp;"-"&amp;G1177&amp;"-"&amp;TEXT(COUNTIFS(I$5:I1177,I1177,G$5:G1177,G1177),"0000"))</f>
        <v/>
      </c>
      <c r="C1177" s="26"/>
      <c r="D1177" s="26"/>
      <c r="E1177" s="27"/>
      <c r="F1177" s="27"/>
      <c r="G1177" s="24" t="str">
        <f aca="false">IF(F1177="","",IF(F1177&lt;=5,"A",IF(F1177&lt;=8,"B",IF(F1177&lt;=10,"C","D"))))</f>
        <v/>
      </c>
      <c r="H1177" s="28"/>
      <c r="I1177" s="27"/>
      <c r="J1177" s="26"/>
      <c r="K1177" s="27"/>
      <c r="L1177" s="27"/>
      <c r="M1177" s="27"/>
      <c r="N1177" s="27"/>
      <c r="O1177" s="24" t="str">
        <f aca="false">IF(G1177="","",VLOOKUP(G1177,Setup!$A$14:$C$17,3,0))</f>
        <v/>
      </c>
      <c r="P1177" s="27"/>
      <c r="Q1177" s="29" t="str">
        <f aca="false">IF(OR(P1177="",M1177&lt;&gt;"Paid",O1177=""),"",P1177/O1177)</f>
        <v/>
      </c>
      <c r="R1177" s="30" t="str">
        <f aca="false">IF(Q1177="","",Q1177+N(H1177)*0.000000001)</f>
        <v/>
      </c>
      <c r="S1177" s="25" t="str">
        <f aca="false">IF(R1177="","",SUMPRODUCT((I$5:I$4004=I1177)*ISNUMBER(R$5:R$4004)*(R$5:R$4004&gt;R1177))+1)</f>
        <v/>
      </c>
      <c r="T1177" s="25" t="str">
        <f aca="false">IF(S1177="","",IF(S1177&lt;=Setup!$B$5,"🏆 WINNER",""))</f>
        <v/>
      </c>
      <c r="U1177" s="24" t="str">
        <f aca="false">IF(S1177="","",I1177&amp;"|"&amp;S1177)</f>
        <v/>
      </c>
    </row>
    <row r="1178" customFormat="false" ht="15" hidden="false" customHeight="false" outlineLevel="0" collapsed="false">
      <c r="A1178" s="31" t="n">
        <v>1174</v>
      </c>
      <c r="B1178" s="32" t="str">
        <f aca="false">IF(OR(C1178="",I1178="",G1178=""),"",IFERROR(VLOOKUP(I1178,Setup!$A$9:$B$11,2,0),"???")&amp;"-"&amp;G1178&amp;"-"&amp;TEXT(COUNTIFS(I$5:I1178,I1178,G$5:G1178,G1178),"0000"))</f>
        <v/>
      </c>
      <c r="C1178" s="26"/>
      <c r="D1178" s="26"/>
      <c r="E1178" s="27"/>
      <c r="F1178" s="27"/>
      <c r="G1178" s="31" t="str">
        <f aca="false">IF(F1178="","",IF(F1178&lt;=5,"A",IF(F1178&lt;=8,"B",IF(F1178&lt;=10,"C","D"))))</f>
        <v/>
      </c>
      <c r="H1178" s="28"/>
      <c r="I1178" s="27"/>
      <c r="J1178" s="26"/>
      <c r="K1178" s="27"/>
      <c r="L1178" s="27"/>
      <c r="M1178" s="27"/>
      <c r="N1178" s="27"/>
      <c r="O1178" s="31" t="str">
        <f aca="false">IF(G1178="","",VLOOKUP(G1178,Setup!$A$14:$C$17,3,0))</f>
        <v/>
      </c>
      <c r="P1178" s="27"/>
      <c r="Q1178" s="33" t="str">
        <f aca="false">IF(OR(P1178="",M1178&lt;&gt;"Paid",O1178=""),"",P1178/O1178)</f>
        <v/>
      </c>
      <c r="R1178" s="34" t="str">
        <f aca="false">IF(Q1178="","",Q1178+N(H1178)*0.000000001)</f>
        <v/>
      </c>
      <c r="S1178" s="32" t="str">
        <f aca="false">IF(R1178="","",SUMPRODUCT((I$5:I$4004=I1178)*ISNUMBER(R$5:R$4004)*(R$5:R$4004&gt;R1178))+1)</f>
        <v/>
      </c>
      <c r="T1178" s="32" t="str">
        <f aca="false">IF(S1178="","",IF(S1178&lt;=Setup!$B$5,"🏆 WINNER",""))</f>
        <v/>
      </c>
      <c r="U1178" s="31" t="str">
        <f aca="false">IF(S1178="","",I1178&amp;"|"&amp;S1178)</f>
        <v/>
      </c>
    </row>
    <row r="1179" customFormat="false" ht="15" hidden="false" customHeight="false" outlineLevel="0" collapsed="false">
      <c r="A1179" s="24" t="n">
        <v>1175</v>
      </c>
      <c r="B1179" s="25" t="str">
        <f aca="false">IF(OR(C1179="",I1179="",G1179=""),"",IFERROR(VLOOKUP(I1179,Setup!$A$9:$B$11,2,0),"???")&amp;"-"&amp;G1179&amp;"-"&amp;TEXT(COUNTIFS(I$5:I1179,I1179,G$5:G1179,G1179),"0000"))</f>
        <v/>
      </c>
      <c r="C1179" s="26"/>
      <c r="D1179" s="26"/>
      <c r="E1179" s="27"/>
      <c r="F1179" s="27"/>
      <c r="G1179" s="24" t="str">
        <f aca="false">IF(F1179="","",IF(F1179&lt;=5,"A",IF(F1179&lt;=8,"B",IF(F1179&lt;=10,"C","D"))))</f>
        <v/>
      </c>
      <c r="H1179" s="28"/>
      <c r="I1179" s="27"/>
      <c r="J1179" s="26"/>
      <c r="K1179" s="27"/>
      <c r="L1179" s="27"/>
      <c r="M1179" s="27"/>
      <c r="N1179" s="27"/>
      <c r="O1179" s="24" t="str">
        <f aca="false">IF(G1179="","",VLOOKUP(G1179,Setup!$A$14:$C$17,3,0))</f>
        <v/>
      </c>
      <c r="P1179" s="27"/>
      <c r="Q1179" s="29" t="str">
        <f aca="false">IF(OR(P1179="",M1179&lt;&gt;"Paid",O1179=""),"",P1179/O1179)</f>
        <v/>
      </c>
      <c r="R1179" s="30" t="str">
        <f aca="false">IF(Q1179="","",Q1179+N(H1179)*0.000000001)</f>
        <v/>
      </c>
      <c r="S1179" s="25" t="str">
        <f aca="false">IF(R1179="","",SUMPRODUCT((I$5:I$4004=I1179)*ISNUMBER(R$5:R$4004)*(R$5:R$4004&gt;R1179))+1)</f>
        <v/>
      </c>
      <c r="T1179" s="25" t="str">
        <f aca="false">IF(S1179="","",IF(S1179&lt;=Setup!$B$5,"🏆 WINNER",""))</f>
        <v/>
      </c>
      <c r="U1179" s="24" t="str">
        <f aca="false">IF(S1179="","",I1179&amp;"|"&amp;S1179)</f>
        <v/>
      </c>
    </row>
    <row r="1180" customFormat="false" ht="15" hidden="false" customHeight="false" outlineLevel="0" collapsed="false">
      <c r="A1180" s="31" t="n">
        <v>1176</v>
      </c>
      <c r="B1180" s="32" t="str">
        <f aca="false">IF(OR(C1180="",I1180="",G1180=""),"",IFERROR(VLOOKUP(I1180,Setup!$A$9:$B$11,2,0),"???")&amp;"-"&amp;G1180&amp;"-"&amp;TEXT(COUNTIFS(I$5:I1180,I1180,G$5:G1180,G1180),"0000"))</f>
        <v/>
      </c>
      <c r="C1180" s="26"/>
      <c r="D1180" s="26"/>
      <c r="E1180" s="27"/>
      <c r="F1180" s="27"/>
      <c r="G1180" s="31" t="str">
        <f aca="false">IF(F1180="","",IF(F1180&lt;=5,"A",IF(F1180&lt;=8,"B",IF(F1180&lt;=10,"C","D"))))</f>
        <v/>
      </c>
      <c r="H1180" s="28"/>
      <c r="I1180" s="27"/>
      <c r="J1180" s="26"/>
      <c r="K1180" s="27"/>
      <c r="L1180" s="27"/>
      <c r="M1180" s="27"/>
      <c r="N1180" s="27"/>
      <c r="O1180" s="31" t="str">
        <f aca="false">IF(G1180="","",VLOOKUP(G1180,Setup!$A$14:$C$17,3,0))</f>
        <v/>
      </c>
      <c r="P1180" s="27"/>
      <c r="Q1180" s="33" t="str">
        <f aca="false">IF(OR(P1180="",M1180&lt;&gt;"Paid",O1180=""),"",P1180/O1180)</f>
        <v/>
      </c>
      <c r="R1180" s="34" t="str">
        <f aca="false">IF(Q1180="","",Q1180+N(H1180)*0.000000001)</f>
        <v/>
      </c>
      <c r="S1180" s="32" t="str">
        <f aca="false">IF(R1180="","",SUMPRODUCT((I$5:I$4004=I1180)*ISNUMBER(R$5:R$4004)*(R$5:R$4004&gt;R1180))+1)</f>
        <v/>
      </c>
      <c r="T1180" s="32" t="str">
        <f aca="false">IF(S1180="","",IF(S1180&lt;=Setup!$B$5,"🏆 WINNER",""))</f>
        <v/>
      </c>
      <c r="U1180" s="31" t="str">
        <f aca="false">IF(S1180="","",I1180&amp;"|"&amp;S1180)</f>
        <v/>
      </c>
    </row>
    <row r="1181" customFormat="false" ht="15" hidden="false" customHeight="false" outlineLevel="0" collapsed="false">
      <c r="A1181" s="24" t="n">
        <v>1177</v>
      </c>
      <c r="B1181" s="25" t="str">
        <f aca="false">IF(OR(C1181="",I1181="",G1181=""),"",IFERROR(VLOOKUP(I1181,Setup!$A$9:$B$11,2,0),"???")&amp;"-"&amp;G1181&amp;"-"&amp;TEXT(COUNTIFS(I$5:I1181,I1181,G$5:G1181,G1181),"0000"))</f>
        <v/>
      </c>
      <c r="C1181" s="26"/>
      <c r="D1181" s="26"/>
      <c r="E1181" s="27"/>
      <c r="F1181" s="27"/>
      <c r="G1181" s="24" t="str">
        <f aca="false">IF(F1181="","",IF(F1181&lt;=5,"A",IF(F1181&lt;=8,"B",IF(F1181&lt;=10,"C","D"))))</f>
        <v/>
      </c>
      <c r="H1181" s="28"/>
      <c r="I1181" s="27"/>
      <c r="J1181" s="26"/>
      <c r="K1181" s="27"/>
      <c r="L1181" s="27"/>
      <c r="M1181" s="27"/>
      <c r="N1181" s="27"/>
      <c r="O1181" s="24" t="str">
        <f aca="false">IF(G1181="","",VLOOKUP(G1181,Setup!$A$14:$C$17,3,0))</f>
        <v/>
      </c>
      <c r="P1181" s="27"/>
      <c r="Q1181" s="29" t="str">
        <f aca="false">IF(OR(P1181="",M1181&lt;&gt;"Paid",O1181=""),"",P1181/O1181)</f>
        <v/>
      </c>
      <c r="R1181" s="30" t="str">
        <f aca="false">IF(Q1181="","",Q1181+N(H1181)*0.000000001)</f>
        <v/>
      </c>
      <c r="S1181" s="25" t="str">
        <f aca="false">IF(R1181="","",SUMPRODUCT((I$5:I$4004=I1181)*ISNUMBER(R$5:R$4004)*(R$5:R$4004&gt;R1181))+1)</f>
        <v/>
      </c>
      <c r="T1181" s="25" t="str">
        <f aca="false">IF(S1181="","",IF(S1181&lt;=Setup!$B$5,"🏆 WINNER",""))</f>
        <v/>
      </c>
      <c r="U1181" s="24" t="str">
        <f aca="false">IF(S1181="","",I1181&amp;"|"&amp;S1181)</f>
        <v/>
      </c>
    </row>
    <row r="1182" customFormat="false" ht="15" hidden="false" customHeight="false" outlineLevel="0" collapsed="false">
      <c r="A1182" s="31" t="n">
        <v>1178</v>
      </c>
      <c r="B1182" s="32" t="str">
        <f aca="false">IF(OR(C1182="",I1182="",G1182=""),"",IFERROR(VLOOKUP(I1182,Setup!$A$9:$B$11,2,0),"???")&amp;"-"&amp;G1182&amp;"-"&amp;TEXT(COUNTIFS(I$5:I1182,I1182,G$5:G1182,G1182),"0000"))</f>
        <v/>
      </c>
      <c r="C1182" s="26"/>
      <c r="D1182" s="26"/>
      <c r="E1182" s="27"/>
      <c r="F1182" s="27"/>
      <c r="G1182" s="31" t="str">
        <f aca="false">IF(F1182="","",IF(F1182&lt;=5,"A",IF(F1182&lt;=8,"B",IF(F1182&lt;=10,"C","D"))))</f>
        <v/>
      </c>
      <c r="H1182" s="28"/>
      <c r="I1182" s="27"/>
      <c r="J1182" s="26"/>
      <c r="K1182" s="27"/>
      <c r="L1182" s="27"/>
      <c r="M1182" s="27"/>
      <c r="N1182" s="27"/>
      <c r="O1182" s="31" t="str">
        <f aca="false">IF(G1182="","",VLOOKUP(G1182,Setup!$A$14:$C$17,3,0))</f>
        <v/>
      </c>
      <c r="P1182" s="27"/>
      <c r="Q1182" s="33" t="str">
        <f aca="false">IF(OR(P1182="",M1182&lt;&gt;"Paid",O1182=""),"",P1182/O1182)</f>
        <v/>
      </c>
      <c r="R1182" s="34" t="str">
        <f aca="false">IF(Q1182="","",Q1182+N(H1182)*0.000000001)</f>
        <v/>
      </c>
      <c r="S1182" s="32" t="str">
        <f aca="false">IF(R1182="","",SUMPRODUCT((I$5:I$4004=I1182)*ISNUMBER(R$5:R$4004)*(R$5:R$4004&gt;R1182))+1)</f>
        <v/>
      </c>
      <c r="T1182" s="32" t="str">
        <f aca="false">IF(S1182="","",IF(S1182&lt;=Setup!$B$5,"🏆 WINNER",""))</f>
        <v/>
      </c>
      <c r="U1182" s="31" t="str">
        <f aca="false">IF(S1182="","",I1182&amp;"|"&amp;S1182)</f>
        <v/>
      </c>
    </row>
    <row r="1183" customFormat="false" ht="15" hidden="false" customHeight="false" outlineLevel="0" collapsed="false">
      <c r="A1183" s="24" t="n">
        <v>1179</v>
      </c>
      <c r="B1183" s="25" t="str">
        <f aca="false">IF(OR(C1183="",I1183="",G1183=""),"",IFERROR(VLOOKUP(I1183,Setup!$A$9:$B$11,2,0),"???")&amp;"-"&amp;G1183&amp;"-"&amp;TEXT(COUNTIFS(I$5:I1183,I1183,G$5:G1183,G1183),"0000"))</f>
        <v/>
      </c>
      <c r="C1183" s="26"/>
      <c r="D1183" s="26"/>
      <c r="E1183" s="27"/>
      <c r="F1183" s="27"/>
      <c r="G1183" s="24" t="str">
        <f aca="false">IF(F1183="","",IF(F1183&lt;=5,"A",IF(F1183&lt;=8,"B",IF(F1183&lt;=10,"C","D"))))</f>
        <v/>
      </c>
      <c r="H1183" s="28"/>
      <c r="I1183" s="27"/>
      <c r="J1183" s="26"/>
      <c r="K1183" s="27"/>
      <c r="L1183" s="27"/>
      <c r="M1183" s="27"/>
      <c r="N1183" s="27"/>
      <c r="O1183" s="24" t="str">
        <f aca="false">IF(G1183="","",VLOOKUP(G1183,Setup!$A$14:$C$17,3,0))</f>
        <v/>
      </c>
      <c r="P1183" s="27"/>
      <c r="Q1183" s="29" t="str">
        <f aca="false">IF(OR(P1183="",M1183&lt;&gt;"Paid",O1183=""),"",P1183/O1183)</f>
        <v/>
      </c>
      <c r="R1183" s="30" t="str">
        <f aca="false">IF(Q1183="","",Q1183+N(H1183)*0.000000001)</f>
        <v/>
      </c>
      <c r="S1183" s="25" t="str">
        <f aca="false">IF(R1183="","",SUMPRODUCT((I$5:I$4004=I1183)*ISNUMBER(R$5:R$4004)*(R$5:R$4004&gt;R1183))+1)</f>
        <v/>
      </c>
      <c r="T1183" s="25" t="str">
        <f aca="false">IF(S1183="","",IF(S1183&lt;=Setup!$B$5,"🏆 WINNER",""))</f>
        <v/>
      </c>
      <c r="U1183" s="24" t="str">
        <f aca="false">IF(S1183="","",I1183&amp;"|"&amp;S1183)</f>
        <v/>
      </c>
    </row>
    <row r="1184" customFormat="false" ht="15" hidden="false" customHeight="false" outlineLevel="0" collapsed="false">
      <c r="A1184" s="31" t="n">
        <v>1180</v>
      </c>
      <c r="B1184" s="32" t="str">
        <f aca="false">IF(OR(C1184="",I1184="",G1184=""),"",IFERROR(VLOOKUP(I1184,Setup!$A$9:$B$11,2,0),"???")&amp;"-"&amp;G1184&amp;"-"&amp;TEXT(COUNTIFS(I$5:I1184,I1184,G$5:G1184,G1184),"0000"))</f>
        <v/>
      </c>
      <c r="C1184" s="26"/>
      <c r="D1184" s="26"/>
      <c r="E1184" s="27"/>
      <c r="F1184" s="27"/>
      <c r="G1184" s="31" t="str">
        <f aca="false">IF(F1184="","",IF(F1184&lt;=5,"A",IF(F1184&lt;=8,"B",IF(F1184&lt;=10,"C","D"))))</f>
        <v/>
      </c>
      <c r="H1184" s="28"/>
      <c r="I1184" s="27"/>
      <c r="J1184" s="26"/>
      <c r="K1184" s="27"/>
      <c r="L1184" s="27"/>
      <c r="M1184" s="27"/>
      <c r="N1184" s="27"/>
      <c r="O1184" s="31" t="str">
        <f aca="false">IF(G1184="","",VLOOKUP(G1184,Setup!$A$14:$C$17,3,0))</f>
        <v/>
      </c>
      <c r="P1184" s="27"/>
      <c r="Q1184" s="33" t="str">
        <f aca="false">IF(OR(P1184="",M1184&lt;&gt;"Paid",O1184=""),"",P1184/O1184)</f>
        <v/>
      </c>
      <c r="R1184" s="34" t="str">
        <f aca="false">IF(Q1184="","",Q1184+N(H1184)*0.000000001)</f>
        <v/>
      </c>
      <c r="S1184" s="32" t="str">
        <f aca="false">IF(R1184="","",SUMPRODUCT((I$5:I$4004=I1184)*ISNUMBER(R$5:R$4004)*(R$5:R$4004&gt;R1184))+1)</f>
        <v/>
      </c>
      <c r="T1184" s="32" t="str">
        <f aca="false">IF(S1184="","",IF(S1184&lt;=Setup!$B$5,"🏆 WINNER",""))</f>
        <v/>
      </c>
      <c r="U1184" s="31" t="str">
        <f aca="false">IF(S1184="","",I1184&amp;"|"&amp;S1184)</f>
        <v/>
      </c>
    </row>
    <row r="1185" customFormat="false" ht="15" hidden="false" customHeight="false" outlineLevel="0" collapsed="false">
      <c r="A1185" s="24" t="n">
        <v>1181</v>
      </c>
      <c r="B1185" s="25" t="str">
        <f aca="false">IF(OR(C1185="",I1185="",G1185=""),"",IFERROR(VLOOKUP(I1185,Setup!$A$9:$B$11,2,0),"???")&amp;"-"&amp;G1185&amp;"-"&amp;TEXT(COUNTIFS(I$5:I1185,I1185,G$5:G1185,G1185),"0000"))</f>
        <v/>
      </c>
      <c r="C1185" s="26"/>
      <c r="D1185" s="26"/>
      <c r="E1185" s="27"/>
      <c r="F1185" s="27"/>
      <c r="G1185" s="24" t="str">
        <f aca="false">IF(F1185="","",IF(F1185&lt;=5,"A",IF(F1185&lt;=8,"B",IF(F1185&lt;=10,"C","D"))))</f>
        <v/>
      </c>
      <c r="H1185" s="28"/>
      <c r="I1185" s="27"/>
      <c r="J1185" s="26"/>
      <c r="K1185" s="27"/>
      <c r="L1185" s="27"/>
      <c r="M1185" s="27"/>
      <c r="N1185" s="27"/>
      <c r="O1185" s="24" t="str">
        <f aca="false">IF(G1185="","",VLOOKUP(G1185,Setup!$A$14:$C$17,3,0))</f>
        <v/>
      </c>
      <c r="P1185" s="27"/>
      <c r="Q1185" s="29" t="str">
        <f aca="false">IF(OR(P1185="",M1185&lt;&gt;"Paid",O1185=""),"",P1185/O1185)</f>
        <v/>
      </c>
      <c r="R1185" s="30" t="str">
        <f aca="false">IF(Q1185="","",Q1185+N(H1185)*0.000000001)</f>
        <v/>
      </c>
      <c r="S1185" s="25" t="str">
        <f aca="false">IF(R1185="","",SUMPRODUCT((I$5:I$4004=I1185)*ISNUMBER(R$5:R$4004)*(R$5:R$4004&gt;R1185))+1)</f>
        <v/>
      </c>
      <c r="T1185" s="25" t="str">
        <f aca="false">IF(S1185="","",IF(S1185&lt;=Setup!$B$5,"🏆 WINNER",""))</f>
        <v/>
      </c>
      <c r="U1185" s="24" t="str">
        <f aca="false">IF(S1185="","",I1185&amp;"|"&amp;S1185)</f>
        <v/>
      </c>
    </row>
    <row r="1186" customFormat="false" ht="15" hidden="false" customHeight="false" outlineLevel="0" collapsed="false">
      <c r="A1186" s="31" t="n">
        <v>1182</v>
      </c>
      <c r="B1186" s="32" t="str">
        <f aca="false">IF(OR(C1186="",I1186="",G1186=""),"",IFERROR(VLOOKUP(I1186,Setup!$A$9:$B$11,2,0),"???")&amp;"-"&amp;G1186&amp;"-"&amp;TEXT(COUNTIFS(I$5:I1186,I1186,G$5:G1186,G1186),"0000"))</f>
        <v/>
      </c>
      <c r="C1186" s="26"/>
      <c r="D1186" s="26"/>
      <c r="E1186" s="27"/>
      <c r="F1186" s="27"/>
      <c r="G1186" s="31" t="str">
        <f aca="false">IF(F1186="","",IF(F1186&lt;=5,"A",IF(F1186&lt;=8,"B",IF(F1186&lt;=10,"C","D"))))</f>
        <v/>
      </c>
      <c r="H1186" s="28"/>
      <c r="I1186" s="27"/>
      <c r="J1186" s="26"/>
      <c r="K1186" s="27"/>
      <c r="L1186" s="27"/>
      <c r="M1186" s="27"/>
      <c r="N1186" s="27"/>
      <c r="O1186" s="31" t="str">
        <f aca="false">IF(G1186="","",VLOOKUP(G1186,Setup!$A$14:$C$17,3,0))</f>
        <v/>
      </c>
      <c r="P1186" s="27"/>
      <c r="Q1186" s="33" t="str">
        <f aca="false">IF(OR(P1186="",M1186&lt;&gt;"Paid",O1186=""),"",P1186/O1186)</f>
        <v/>
      </c>
      <c r="R1186" s="34" t="str">
        <f aca="false">IF(Q1186="","",Q1186+N(H1186)*0.000000001)</f>
        <v/>
      </c>
      <c r="S1186" s="32" t="str">
        <f aca="false">IF(R1186="","",SUMPRODUCT((I$5:I$4004=I1186)*ISNUMBER(R$5:R$4004)*(R$5:R$4004&gt;R1186))+1)</f>
        <v/>
      </c>
      <c r="T1186" s="32" t="str">
        <f aca="false">IF(S1186="","",IF(S1186&lt;=Setup!$B$5,"🏆 WINNER",""))</f>
        <v/>
      </c>
      <c r="U1186" s="31" t="str">
        <f aca="false">IF(S1186="","",I1186&amp;"|"&amp;S1186)</f>
        <v/>
      </c>
    </row>
    <row r="1187" customFormat="false" ht="15" hidden="false" customHeight="false" outlineLevel="0" collapsed="false">
      <c r="A1187" s="24" t="n">
        <v>1183</v>
      </c>
      <c r="B1187" s="25" t="str">
        <f aca="false">IF(OR(C1187="",I1187="",G1187=""),"",IFERROR(VLOOKUP(I1187,Setup!$A$9:$B$11,2,0),"???")&amp;"-"&amp;G1187&amp;"-"&amp;TEXT(COUNTIFS(I$5:I1187,I1187,G$5:G1187,G1187),"0000"))</f>
        <v/>
      </c>
      <c r="C1187" s="26"/>
      <c r="D1187" s="26"/>
      <c r="E1187" s="27"/>
      <c r="F1187" s="27"/>
      <c r="G1187" s="24" t="str">
        <f aca="false">IF(F1187="","",IF(F1187&lt;=5,"A",IF(F1187&lt;=8,"B",IF(F1187&lt;=10,"C","D"))))</f>
        <v/>
      </c>
      <c r="H1187" s="28"/>
      <c r="I1187" s="27"/>
      <c r="J1187" s="26"/>
      <c r="K1187" s="27"/>
      <c r="L1187" s="27"/>
      <c r="M1187" s="27"/>
      <c r="N1187" s="27"/>
      <c r="O1187" s="24" t="str">
        <f aca="false">IF(G1187="","",VLOOKUP(G1187,Setup!$A$14:$C$17,3,0))</f>
        <v/>
      </c>
      <c r="P1187" s="27"/>
      <c r="Q1187" s="29" t="str">
        <f aca="false">IF(OR(P1187="",M1187&lt;&gt;"Paid",O1187=""),"",P1187/O1187)</f>
        <v/>
      </c>
      <c r="R1187" s="30" t="str">
        <f aca="false">IF(Q1187="","",Q1187+N(H1187)*0.000000001)</f>
        <v/>
      </c>
      <c r="S1187" s="25" t="str">
        <f aca="false">IF(R1187="","",SUMPRODUCT((I$5:I$4004=I1187)*ISNUMBER(R$5:R$4004)*(R$5:R$4004&gt;R1187))+1)</f>
        <v/>
      </c>
      <c r="T1187" s="25" t="str">
        <f aca="false">IF(S1187="","",IF(S1187&lt;=Setup!$B$5,"🏆 WINNER",""))</f>
        <v/>
      </c>
      <c r="U1187" s="24" t="str">
        <f aca="false">IF(S1187="","",I1187&amp;"|"&amp;S1187)</f>
        <v/>
      </c>
    </row>
    <row r="1188" customFormat="false" ht="15" hidden="false" customHeight="false" outlineLevel="0" collapsed="false">
      <c r="A1188" s="31" t="n">
        <v>1184</v>
      </c>
      <c r="B1188" s="32" t="str">
        <f aca="false">IF(OR(C1188="",I1188="",G1188=""),"",IFERROR(VLOOKUP(I1188,Setup!$A$9:$B$11,2,0),"???")&amp;"-"&amp;G1188&amp;"-"&amp;TEXT(COUNTIFS(I$5:I1188,I1188,G$5:G1188,G1188),"0000"))</f>
        <v/>
      </c>
      <c r="C1188" s="26"/>
      <c r="D1188" s="26"/>
      <c r="E1188" s="27"/>
      <c r="F1188" s="27"/>
      <c r="G1188" s="31" t="str">
        <f aca="false">IF(F1188="","",IF(F1188&lt;=5,"A",IF(F1188&lt;=8,"B",IF(F1188&lt;=10,"C","D"))))</f>
        <v/>
      </c>
      <c r="H1188" s="28"/>
      <c r="I1188" s="27"/>
      <c r="J1188" s="26"/>
      <c r="K1188" s="27"/>
      <c r="L1188" s="27"/>
      <c r="M1188" s="27"/>
      <c r="N1188" s="27"/>
      <c r="O1188" s="31" t="str">
        <f aca="false">IF(G1188="","",VLOOKUP(G1188,Setup!$A$14:$C$17,3,0))</f>
        <v/>
      </c>
      <c r="P1188" s="27"/>
      <c r="Q1188" s="33" t="str">
        <f aca="false">IF(OR(P1188="",M1188&lt;&gt;"Paid",O1188=""),"",P1188/O1188)</f>
        <v/>
      </c>
      <c r="R1188" s="34" t="str">
        <f aca="false">IF(Q1188="","",Q1188+N(H1188)*0.000000001)</f>
        <v/>
      </c>
      <c r="S1188" s="32" t="str">
        <f aca="false">IF(R1188="","",SUMPRODUCT((I$5:I$4004=I1188)*ISNUMBER(R$5:R$4004)*(R$5:R$4004&gt;R1188))+1)</f>
        <v/>
      </c>
      <c r="T1188" s="32" t="str">
        <f aca="false">IF(S1188="","",IF(S1188&lt;=Setup!$B$5,"🏆 WINNER",""))</f>
        <v/>
      </c>
      <c r="U1188" s="31" t="str">
        <f aca="false">IF(S1188="","",I1188&amp;"|"&amp;S1188)</f>
        <v/>
      </c>
    </row>
    <row r="1189" customFormat="false" ht="15" hidden="false" customHeight="false" outlineLevel="0" collapsed="false">
      <c r="A1189" s="24" t="n">
        <v>1185</v>
      </c>
      <c r="B1189" s="25" t="str">
        <f aca="false">IF(OR(C1189="",I1189="",G1189=""),"",IFERROR(VLOOKUP(I1189,Setup!$A$9:$B$11,2,0),"???")&amp;"-"&amp;G1189&amp;"-"&amp;TEXT(COUNTIFS(I$5:I1189,I1189,G$5:G1189,G1189),"0000"))</f>
        <v/>
      </c>
      <c r="C1189" s="26"/>
      <c r="D1189" s="26"/>
      <c r="E1189" s="27"/>
      <c r="F1189" s="27"/>
      <c r="G1189" s="24" t="str">
        <f aca="false">IF(F1189="","",IF(F1189&lt;=5,"A",IF(F1189&lt;=8,"B",IF(F1189&lt;=10,"C","D"))))</f>
        <v/>
      </c>
      <c r="H1189" s="28"/>
      <c r="I1189" s="27"/>
      <c r="J1189" s="26"/>
      <c r="K1189" s="27"/>
      <c r="L1189" s="27"/>
      <c r="M1189" s="27"/>
      <c r="N1189" s="27"/>
      <c r="O1189" s="24" t="str">
        <f aca="false">IF(G1189="","",VLOOKUP(G1189,Setup!$A$14:$C$17,3,0))</f>
        <v/>
      </c>
      <c r="P1189" s="27"/>
      <c r="Q1189" s="29" t="str">
        <f aca="false">IF(OR(P1189="",M1189&lt;&gt;"Paid",O1189=""),"",P1189/O1189)</f>
        <v/>
      </c>
      <c r="R1189" s="30" t="str">
        <f aca="false">IF(Q1189="","",Q1189+N(H1189)*0.000000001)</f>
        <v/>
      </c>
      <c r="S1189" s="25" t="str">
        <f aca="false">IF(R1189="","",SUMPRODUCT((I$5:I$4004=I1189)*ISNUMBER(R$5:R$4004)*(R$5:R$4004&gt;R1189))+1)</f>
        <v/>
      </c>
      <c r="T1189" s="25" t="str">
        <f aca="false">IF(S1189="","",IF(S1189&lt;=Setup!$B$5,"🏆 WINNER",""))</f>
        <v/>
      </c>
      <c r="U1189" s="24" t="str">
        <f aca="false">IF(S1189="","",I1189&amp;"|"&amp;S1189)</f>
        <v/>
      </c>
    </row>
    <row r="1190" customFormat="false" ht="15" hidden="false" customHeight="false" outlineLevel="0" collapsed="false">
      <c r="A1190" s="31" t="n">
        <v>1186</v>
      </c>
      <c r="B1190" s="32" t="str">
        <f aca="false">IF(OR(C1190="",I1190="",G1190=""),"",IFERROR(VLOOKUP(I1190,Setup!$A$9:$B$11,2,0),"???")&amp;"-"&amp;G1190&amp;"-"&amp;TEXT(COUNTIFS(I$5:I1190,I1190,G$5:G1190,G1190),"0000"))</f>
        <v/>
      </c>
      <c r="C1190" s="26"/>
      <c r="D1190" s="26"/>
      <c r="E1190" s="27"/>
      <c r="F1190" s="27"/>
      <c r="G1190" s="31" t="str">
        <f aca="false">IF(F1190="","",IF(F1190&lt;=5,"A",IF(F1190&lt;=8,"B",IF(F1190&lt;=10,"C","D"))))</f>
        <v/>
      </c>
      <c r="H1190" s="28"/>
      <c r="I1190" s="27"/>
      <c r="J1190" s="26"/>
      <c r="K1190" s="27"/>
      <c r="L1190" s="27"/>
      <c r="M1190" s="27"/>
      <c r="N1190" s="27"/>
      <c r="O1190" s="31" t="str">
        <f aca="false">IF(G1190="","",VLOOKUP(G1190,Setup!$A$14:$C$17,3,0))</f>
        <v/>
      </c>
      <c r="P1190" s="27"/>
      <c r="Q1190" s="33" t="str">
        <f aca="false">IF(OR(P1190="",M1190&lt;&gt;"Paid",O1190=""),"",P1190/O1190)</f>
        <v/>
      </c>
      <c r="R1190" s="34" t="str">
        <f aca="false">IF(Q1190="","",Q1190+N(H1190)*0.000000001)</f>
        <v/>
      </c>
      <c r="S1190" s="32" t="str">
        <f aca="false">IF(R1190="","",SUMPRODUCT((I$5:I$4004=I1190)*ISNUMBER(R$5:R$4004)*(R$5:R$4004&gt;R1190))+1)</f>
        <v/>
      </c>
      <c r="T1190" s="32" t="str">
        <f aca="false">IF(S1190="","",IF(S1190&lt;=Setup!$B$5,"🏆 WINNER",""))</f>
        <v/>
      </c>
      <c r="U1190" s="31" t="str">
        <f aca="false">IF(S1190="","",I1190&amp;"|"&amp;S1190)</f>
        <v/>
      </c>
    </row>
    <row r="1191" customFormat="false" ht="15" hidden="false" customHeight="false" outlineLevel="0" collapsed="false">
      <c r="A1191" s="24" t="n">
        <v>1187</v>
      </c>
      <c r="B1191" s="25" t="str">
        <f aca="false">IF(OR(C1191="",I1191="",G1191=""),"",IFERROR(VLOOKUP(I1191,Setup!$A$9:$B$11,2,0),"???")&amp;"-"&amp;G1191&amp;"-"&amp;TEXT(COUNTIFS(I$5:I1191,I1191,G$5:G1191,G1191),"0000"))</f>
        <v/>
      </c>
      <c r="C1191" s="26"/>
      <c r="D1191" s="26"/>
      <c r="E1191" s="27"/>
      <c r="F1191" s="27"/>
      <c r="G1191" s="24" t="str">
        <f aca="false">IF(F1191="","",IF(F1191&lt;=5,"A",IF(F1191&lt;=8,"B",IF(F1191&lt;=10,"C","D"))))</f>
        <v/>
      </c>
      <c r="H1191" s="28"/>
      <c r="I1191" s="27"/>
      <c r="J1191" s="26"/>
      <c r="K1191" s="27"/>
      <c r="L1191" s="27"/>
      <c r="M1191" s="27"/>
      <c r="N1191" s="27"/>
      <c r="O1191" s="24" t="str">
        <f aca="false">IF(G1191="","",VLOOKUP(G1191,Setup!$A$14:$C$17,3,0))</f>
        <v/>
      </c>
      <c r="P1191" s="27"/>
      <c r="Q1191" s="29" t="str">
        <f aca="false">IF(OR(P1191="",M1191&lt;&gt;"Paid",O1191=""),"",P1191/O1191)</f>
        <v/>
      </c>
      <c r="R1191" s="30" t="str">
        <f aca="false">IF(Q1191="","",Q1191+N(H1191)*0.000000001)</f>
        <v/>
      </c>
      <c r="S1191" s="25" t="str">
        <f aca="false">IF(R1191="","",SUMPRODUCT((I$5:I$4004=I1191)*ISNUMBER(R$5:R$4004)*(R$5:R$4004&gt;R1191))+1)</f>
        <v/>
      </c>
      <c r="T1191" s="25" t="str">
        <f aca="false">IF(S1191="","",IF(S1191&lt;=Setup!$B$5,"🏆 WINNER",""))</f>
        <v/>
      </c>
      <c r="U1191" s="24" t="str">
        <f aca="false">IF(S1191="","",I1191&amp;"|"&amp;S1191)</f>
        <v/>
      </c>
    </row>
    <row r="1192" customFormat="false" ht="15" hidden="false" customHeight="false" outlineLevel="0" collapsed="false">
      <c r="A1192" s="31" t="n">
        <v>1188</v>
      </c>
      <c r="B1192" s="32" t="str">
        <f aca="false">IF(OR(C1192="",I1192="",G1192=""),"",IFERROR(VLOOKUP(I1192,Setup!$A$9:$B$11,2,0),"???")&amp;"-"&amp;G1192&amp;"-"&amp;TEXT(COUNTIFS(I$5:I1192,I1192,G$5:G1192,G1192),"0000"))</f>
        <v/>
      </c>
      <c r="C1192" s="26"/>
      <c r="D1192" s="26"/>
      <c r="E1192" s="27"/>
      <c r="F1192" s="27"/>
      <c r="G1192" s="31" t="str">
        <f aca="false">IF(F1192="","",IF(F1192&lt;=5,"A",IF(F1192&lt;=8,"B",IF(F1192&lt;=10,"C","D"))))</f>
        <v/>
      </c>
      <c r="H1192" s="28"/>
      <c r="I1192" s="27"/>
      <c r="J1192" s="26"/>
      <c r="K1192" s="27"/>
      <c r="L1192" s="27"/>
      <c r="M1192" s="27"/>
      <c r="N1192" s="27"/>
      <c r="O1192" s="31" t="str">
        <f aca="false">IF(G1192="","",VLOOKUP(G1192,Setup!$A$14:$C$17,3,0))</f>
        <v/>
      </c>
      <c r="P1192" s="27"/>
      <c r="Q1192" s="33" t="str">
        <f aca="false">IF(OR(P1192="",M1192&lt;&gt;"Paid",O1192=""),"",P1192/O1192)</f>
        <v/>
      </c>
      <c r="R1192" s="34" t="str">
        <f aca="false">IF(Q1192="","",Q1192+N(H1192)*0.000000001)</f>
        <v/>
      </c>
      <c r="S1192" s="32" t="str">
        <f aca="false">IF(R1192="","",SUMPRODUCT((I$5:I$4004=I1192)*ISNUMBER(R$5:R$4004)*(R$5:R$4004&gt;R1192))+1)</f>
        <v/>
      </c>
      <c r="T1192" s="32" t="str">
        <f aca="false">IF(S1192="","",IF(S1192&lt;=Setup!$B$5,"🏆 WINNER",""))</f>
        <v/>
      </c>
      <c r="U1192" s="31" t="str">
        <f aca="false">IF(S1192="","",I1192&amp;"|"&amp;S1192)</f>
        <v/>
      </c>
    </row>
    <row r="1193" customFormat="false" ht="15" hidden="false" customHeight="false" outlineLevel="0" collapsed="false">
      <c r="A1193" s="24" t="n">
        <v>1189</v>
      </c>
      <c r="B1193" s="25" t="str">
        <f aca="false">IF(OR(C1193="",I1193="",G1193=""),"",IFERROR(VLOOKUP(I1193,Setup!$A$9:$B$11,2,0),"???")&amp;"-"&amp;G1193&amp;"-"&amp;TEXT(COUNTIFS(I$5:I1193,I1193,G$5:G1193,G1193),"0000"))</f>
        <v/>
      </c>
      <c r="C1193" s="26"/>
      <c r="D1193" s="26"/>
      <c r="E1193" s="27"/>
      <c r="F1193" s="27"/>
      <c r="G1193" s="24" t="str">
        <f aca="false">IF(F1193="","",IF(F1193&lt;=5,"A",IF(F1193&lt;=8,"B",IF(F1193&lt;=10,"C","D"))))</f>
        <v/>
      </c>
      <c r="H1193" s="28"/>
      <c r="I1193" s="27"/>
      <c r="J1193" s="26"/>
      <c r="K1193" s="27"/>
      <c r="L1193" s="27"/>
      <c r="M1193" s="27"/>
      <c r="N1193" s="27"/>
      <c r="O1193" s="24" t="str">
        <f aca="false">IF(G1193="","",VLOOKUP(G1193,Setup!$A$14:$C$17,3,0))</f>
        <v/>
      </c>
      <c r="P1193" s="27"/>
      <c r="Q1193" s="29" t="str">
        <f aca="false">IF(OR(P1193="",M1193&lt;&gt;"Paid",O1193=""),"",P1193/O1193)</f>
        <v/>
      </c>
      <c r="R1193" s="30" t="str">
        <f aca="false">IF(Q1193="","",Q1193+N(H1193)*0.000000001)</f>
        <v/>
      </c>
      <c r="S1193" s="25" t="str">
        <f aca="false">IF(R1193="","",SUMPRODUCT((I$5:I$4004=I1193)*ISNUMBER(R$5:R$4004)*(R$5:R$4004&gt;R1193))+1)</f>
        <v/>
      </c>
      <c r="T1193" s="25" t="str">
        <f aca="false">IF(S1193="","",IF(S1193&lt;=Setup!$B$5,"🏆 WINNER",""))</f>
        <v/>
      </c>
      <c r="U1193" s="24" t="str">
        <f aca="false">IF(S1193="","",I1193&amp;"|"&amp;S1193)</f>
        <v/>
      </c>
    </row>
    <row r="1194" customFormat="false" ht="15" hidden="false" customHeight="false" outlineLevel="0" collapsed="false">
      <c r="A1194" s="31" t="n">
        <v>1190</v>
      </c>
      <c r="B1194" s="32" t="str">
        <f aca="false">IF(OR(C1194="",I1194="",G1194=""),"",IFERROR(VLOOKUP(I1194,Setup!$A$9:$B$11,2,0),"???")&amp;"-"&amp;G1194&amp;"-"&amp;TEXT(COUNTIFS(I$5:I1194,I1194,G$5:G1194,G1194),"0000"))</f>
        <v/>
      </c>
      <c r="C1194" s="26"/>
      <c r="D1194" s="26"/>
      <c r="E1194" s="27"/>
      <c r="F1194" s="27"/>
      <c r="G1194" s="31" t="str">
        <f aca="false">IF(F1194="","",IF(F1194&lt;=5,"A",IF(F1194&lt;=8,"B",IF(F1194&lt;=10,"C","D"))))</f>
        <v/>
      </c>
      <c r="H1194" s="28"/>
      <c r="I1194" s="27"/>
      <c r="J1194" s="26"/>
      <c r="K1194" s="27"/>
      <c r="L1194" s="27"/>
      <c r="M1194" s="27"/>
      <c r="N1194" s="27"/>
      <c r="O1194" s="31" t="str">
        <f aca="false">IF(G1194="","",VLOOKUP(G1194,Setup!$A$14:$C$17,3,0))</f>
        <v/>
      </c>
      <c r="P1194" s="27"/>
      <c r="Q1194" s="33" t="str">
        <f aca="false">IF(OR(P1194="",M1194&lt;&gt;"Paid",O1194=""),"",P1194/O1194)</f>
        <v/>
      </c>
      <c r="R1194" s="34" t="str">
        <f aca="false">IF(Q1194="","",Q1194+N(H1194)*0.000000001)</f>
        <v/>
      </c>
      <c r="S1194" s="32" t="str">
        <f aca="false">IF(R1194="","",SUMPRODUCT((I$5:I$4004=I1194)*ISNUMBER(R$5:R$4004)*(R$5:R$4004&gt;R1194))+1)</f>
        <v/>
      </c>
      <c r="T1194" s="32" t="str">
        <f aca="false">IF(S1194="","",IF(S1194&lt;=Setup!$B$5,"🏆 WINNER",""))</f>
        <v/>
      </c>
      <c r="U1194" s="31" t="str">
        <f aca="false">IF(S1194="","",I1194&amp;"|"&amp;S1194)</f>
        <v/>
      </c>
    </row>
    <row r="1195" customFormat="false" ht="15" hidden="false" customHeight="false" outlineLevel="0" collapsed="false">
      <c r="A1195" s="24" t="n">
        <v>1191</v>
      </c>
      <c r="B1195" s="25" t="str">
        <f aca="false">IF(OR(C1195="",I1195="",G1195=""),"",IFERROR(VLOOKUP(I1195,Setup!$A$9:$B$11,2,0),"???")&amp;"-"&amp;G1195&amp;"-"&amp;TEXT(COUNTIFS(I$5:I1195,I1195,G$5:G1195,G1195),"0000"))</f>
        <v/>
      </c>
      <c r="C1195" s="26"/>
      <c r="D1195" s="26"/>
      <c r="E1195" s="27"/>
      <c r="F1195" s="27"/>
      <c r="G1195" s="24" t="str">
        <f aca="false">IF(F1195="","",IF(F1195&lt;=5,"A",IF(F1195&lt;=8,"B",IF(F1195&lt;=10,"C","D"))))</f>
        <v/>
      </c>
      <c r="H1195" s="28"/>
      <c r="I1195" s="27"/>
      <c r="J1195" s="26"/>
      <c r="K1195" s="27"/>
      <c r="L1195" s="27"/>
      <c r="M1195" s="27"/>
      <c r="N1195" s="27"/>
      <c r="O1195" s="24" t="str">
        <f aca="false">IF(G1195="","",VLOOKUP(G1195,Setup!$A$14:$C$17,3,0))</f>
        <v/>
      </c>
      <c r="P1195" s="27"/>
      <c r="Q1195" s="29" t="str">
        <f aca="false">IF(OR(P1195="",M1195&lt;&gt;"Paid",O1195=""),"",P1195/O1195)</f>
        <v/>
      </c>
      <c r="R1195" s="30" t="str">
        <f aca="false">IF(Q1195="","",Q1195+N(H1195)*0.000000001)</f>
        <v/>
      </c>
      <c r="S1195" s="25" t="str">
        <f aca="false">IF(R1195="","",SUMPRODUCT((I$5:I$4004=I1195)*ISNUMBER(R$5:R$4004)*(R$5:R$4004&gt;R1195))+1)</f>
        <v/>
      </c>
      <c r="T1195" s="25" t="str">
        <f aca="false">IF(S1195="","",IF(S1195&lt;=Setup!$B$5,"🏆 WINNER",""))</f>
        <v/>
      </c>
      <c r="U1195" s="24" t="str">
        <f aca="false">IF(S1195="","",I1195&amp;"|"&amp;S1195)</f>
        <v/>
      </c>
    </row>
    <row r="1196" customFormat="false" ht="15" hidden="false" customHeight="false" outlineLevel="0" collapsed="false">
      <c r="A1196" s="31" t="n">
        <v>1192</v>
      </c>
      <c r="B1196" s="32" t="str">
        <f aca="false">IF(OR(C1196="",I1196="",G1196=""),"",IFERROR(VLOOKUP(I1196,Setup!$A$9:$B$11,2,0),"???")&amp;"-"&amp;G1196&amp;"-"&amp;TEXT(COUNTIFS(I$5:I1196,I1196,G$5:G1196,G1196),"0000"))</f>
        <v/>
      </c>
      <c r="C1196" s="26"/>
      <c r="D1196" s="26"/>
      <c r="E1196" s="27"/>
      <c r="F1196" s="27"/>
      <c r="G1196" s="31" t="str">
        <f aca="false">IF(F1196="","",IF(F1196&lt;=5,"A",IF(F1196&lt;=8,"B",IF(F1196&lt;=10,"C","D"))))</f>
        <v/>
      </c>
      <c r="H1196" s="28"/>
      <c r="I1196" s="27"/>
      <c r="J1196" s="26"/>
      <c r="K1196" s="27"/>
      <c r="L1196" s="27"/>
      <c r="M1196" s="27"/>
      <c r="N1196" s="27"/>
      <c r="O1196" s="31" t="str">
        <f aca="false">IF(G1196="","",VLOOKUP(G1196,Setup!$A$14:$C$17,3,0))</f>
        <v/>
      </c>
      <c r="P1196" s="27"/>
      <c r="Q1196" s="33" t="str">
        <f aca="false">IF(OR(P1196="",M1196&lt;&gt;"Paid",O1196=""),"",P1196/O1196)</f>
        <v/>
      </c>
      <c r="R1196" s="34" t="str">
        <f aca="false">IF(Q1196="","",Q1196+N(H1196)*0.000000001)</f>
        <v/>
      </c>
      <c r="S1196" s="32" t="str">
        <f aca="false">IF(R1196="","",SUMPRODUCT((I$5:I$4004=I1196)*ISNUMBER(R$5:R$4004)*(R$5:R$4004&gt;R1196))+1)</f>
        <v/>
      </c>
      <c r="T1196" s="32" t="str">
        <f aca="false">IF(S1196="","",IF(S1196&lt;=Setup!$B$5,"🏆 WINNER",""))</f>
        <v/>
      </c>
      <c r="U1196" s="31" t="str">
        <f aca="false">IF(S1196="","",I1196&amp;"|"&amp;S1196)</f>
        <v/>
      </c>
    </row>
    <row r="1197" customFormat="false" ht="15" hidden="false" customHeight="false" outlineLevel="0" collapsed="false">
      <c r="A1197" s="24" t="n">
        <v>1193</v>
      </c>
      <c r="B1197" s="25" t="str">
        <f aca="false">IF(OR(C1197="",I1197="",G1197=""),"",IFERROR(VLOOKUP(I1197,Setup!$A$9:$B$11,2,0),"???")&amp;"-"&amp;G1197&amp;"-"&amp;TEXT(COUNTIFS(I$5:I1197,I1197,G$5:G1197,G1197),"0000"))</f>
        <v/>
      </c>
      <c r="C1197" s="26"/>
      <c r="D1197" s="26"/>
      <c r="E1197" s="27"/>
      <c r="F1197" s="27"/>
      <c r="G1197" s="24" t="str">
        <f aca="false">IF(F1197="","",IF(F1197&lt;=5,"A",IF(F1197&lt;=8,"B",IF(F1197&lt;=10,"C","D"))))</f>
        <v/>
      </c>
      <c r="H1197" s="28"/>
      <c r="I1197" s="27"/>
      <c r="J1197" s="26"/>
      <c r="K1197" s="27"/>
      <c r="L1197" s="27"/>
      <c r="M1197" s="27"/>
      <c r="N1197" s="27"/>
      <c r="O1197" s="24" t="str">
        <f aca="false">IF(G1197="","",VLOOKUP(G1197,Setup!$A$14:$C$17,3,0))</f>
        <v/>
      </c>
      <c r="P1197" s="27"/>
      <c r="Q1197" s="29" t="str">
        <f aca="false">IF(OR(P1197="",M1197&lt;&gt;"Paid",O1197=""),"",P1197/O1197)</f>
        <v/>
      </c>
      <c r="R1197" s="30" t="str">
        <f aca="false">IF(Q1197="","",Q1197+N(H1197)*0.000000001)</f>
        <v/>
      </c>
      <c r="S1197" s="25" t="str">
        <f aca="false">IF(R1197="","",SUMPRODUCT((I$5:I$4004=I1197)*ISNUMBER(R$5:R$4004)*(R$5:R$4004&gt;R1197))+1)</f>
        <v/>
      </c>
      <c r="T1197" s="25" t="str">
        <f aca="false">IF(S1197="","",IF(S1197&lt;=Setup!$B$5,"🏆 WINNER",""))</f>
        <v/>
      </c>
      <c r="U1197" s="24" t="str">
        <f aca="false">IF(S1197="","",I1197&amp;"|"&amp;S1197)</f>
        <v/>
      </c>
    </row>
    <row r="1198" customFormat="false" ht="15" hidden="false" customHeight="false" outlineLevel="0" collapsed="false">
      <c r="A1198" s="31" t="n">
        <v>1194</v>
      </c>
      <c r="B1198" s="32" t="str">
        <f aca="false">IF(OR(C1198="",I1198="",G1198=""),"",IFERROR(VLOOKUP(I1198,Setup!$A$9:$B$11,2,0),"???")&amp;"-"&amp;G1198&amp;"-"&amp;TEXT(COUNTIFS(I$5:I1198,I1198,G$5:G1198,G1198),"0000"))</f>
        <v/>
      </c>
      <c r="C1198" s="26"/>
      <c r="D1198" s="26"/>
      <c r="E1198" s="27"/>
      <c r="F1198" s="27"/>
      <c r="G1198" s="31" t="str">
        <f aca="false">IF(F1198="","",IF(F1198&lt;=5,"A",IF(F1198&lt;=8,"B",IF(F1198&lt;=10,"C","D"))))</f>
        <v/>
      </c>
      <c r="H1198" s="28"/>
      <c r="I1198" s="27"/>
      <c r="J1198" s="26"/>
      <c r="K1198" s="27"/>
      <c r="L1198" s="27"/>
      <c r="M1198" s="27"/>
      <c r="N1198" s="27"/>
      <c r="O1198" s="31" t="str">
        <f aca="false">IF(G1198="","",VLOOKUP(G1198,Setup!$A$14:$C$17,3,0))</f>
        <v/>
      </c>
      <c r="P1198" s="27"/>
      <c r="Q1198" s="33" t="str">
        <f aca="false">IF(OR(P1198="",M1198&lt;&gt;"Paid",O1198=""),"",P1198/O1198)</f>
        <v/>
      </c>
      <c r="R1198" s="34" t="str">
        <f aca="false">IF(Q1198="","",Q1198+N(H1198)*0.000000001)</f>
        <v/>
      </c>
      <c r="S1198" s="32" t="str">
        <f aca="false">IF(R1198="","",SUMPRODUCT((I$5:I$4004=I1198)*ISNUMBER(R$5:R$4004)*(R$5:R$4004&gt;R1198))+1)</f>
        <v/>
      </c>
      <c r="T1198" s="32" t="str">
        <f aca="false">IF(S1198="","",IF(S1198&lt;=Setup!$B$5,"🏆 WINNER",""))</f>
        <v/>
      </c>
      <c r="U1198" s="31" t="str">
        <f aca="false">IF(S1198="","",I1198&amp;"|"&amp;S1198)</f>
        <v/>
      </c>
    </row>
    <row r="1199" customFormat="false" ht="15" hidden="false" customHeight="false" outlineLevel="0" collapsed="false">
      <c r="A1199" s="24" t="n">
        <v>1195</v>
      </c>
      <c r="B1199" s="25" t="str">
        <f aca="false">IF(OR(C1199="",I1199="",G1199=""),"",IFERROR(VLOOKUP(I1199,Setup!$A$9:$B$11,2,0),"???")&amp;"-"&amp;G1199&amp;"-"&amp;TEXT(COUNTIFS(I$5:I1199,I1199,G$5:G1199,G1199),"0000"))</f>
        <v/>
      </c>
      <c r="C1199" s="26"/>
      <c r="D1199" s="26"/>
      <c r="E1199" s="27"/>
      <c r="F1199" s="27"/>
      <c r="G1199" s="24" t="str">
        <f aca="false">IF(F1199="","",IF(F1199&lt;=5,"A",IF(F1199&lt;=8,"B",IF(F1199&lt;=10,"C","D"))))</f>
        <v/>
      </c>
      <c r="H1199" s="28"/>
      <c r="I1199" s="27"/>
      <c r="J1199" s="26"/>
      <c r="K1199" s="27"/>
      <c r="L1199" s="27"/>
      <c r="M1199" s="27"/>
      <c r="N1199" s="27"/>
      <c r="O1199" s="24" t="str">
        <f aca="false">IF(G1199="","",VLOOKUP(G1199,Setup!$A$14:$C$17,3,0))</f>
        <v/>
      </c>
      <c r="P1199" s="27"/>
      <c r="Q1199" s="29" t="str">
        <f aca="false">IF(OR(P1199="",M1199&lt;&gt;"Paid",O1199=""),"",P1199/O1199)</f>
        <v/>
      </c>
      <c r="R1199" s="30" t="str">
        <f aca="false">IF(Q1199="","",Q1199+N(H1199)*0.000000001)</f>
        <v/>
      </c>
      <c r="S1199" s="25" t="str">
        <f aca="false">IF(R1199="","",SUMPRODUCT((I$5:I$4004=I1199)*ISNUMBER(R$5:R$4004)*(R$5:R$4004&gt;R1199))+1)</f>
        <v/>
      </c>
      <c r="T1199" s="25" t="str">
        <f aca="false">IF(S1199="","",IF(S1199&lt;=Setup!$B$5,"🏆 WINNER",""))</f>
        <v/>
      </c>
      <c r="U1199" s="24" t="str">
        <f aca="false">IF(S1199="","",I1199&amp;"|"&amp;S1199)</f>
        <v/>
      </c>
    </row>
    <row r="1200" customFormat="false" ht="15" hidden="false" customHeight="false" outlineLevel="0" collapsed="false">
      <c r="A1200" s="31" t="n">
        <v>1196</v>
      </c>
      <c r="B1200" s="32" t="str">
        <f aca="false">IF(OR(C1200="",I1200="",G1200=""),"",IFERROR(VLOOKUP(I1200,Setup!$A$9:$B$11,2,0),"???")&amp;"-"&amp;G1200&amp;"-"&amp;TEXT(COUNTIFS(I$5:I1200,I1200,G$5:G1200,G1200),"0000"))</f>
        <v/>
      </c>
      <c r="C1200" s="26"/>
      <c r="D1200" s="26"/>
      <c r="E1200" s="27"/>
      <c r="F1200" s="27"/>
      <c r="G1200" s="31" t="str">
        <f aca="false">IF(F1200="","",IF(F1200&lt;=5,"A",IF(F1200&lt;=8,"B",IF(F1200&lt;=10,"C","D"))))</f>
        <v/>
      </c>
      <c r="H1200" s="28"/>
      <c r="I1200" s="27"/>
      <c r="J1200" s="26"/>
      <c r="K1200" s="27"/>
      <c r="L1200" s="27"/>
      <c r="M1200" s="27"/>
      <c r="N1200" s="27"/>
      <c r="O1200" s="31" t="str">
        <f aca="false">IF(G1200="","",VLOOKUP(G1200,Setup!$A$14:$C$17,3,0))</f>
        <v/>
      </c>
      <c r="P1200" s="27"/>
      <c r="Q1200" s="33" t="str">
        <f aca="false">IF(OR(P1200="",M1200&lt;&gt;"Paid",O1200=""),"",P1200/O1200)</f>
        <v/>
      </c>
      <c r="R1200" s="34" t="str">
        <f aca="false">IF(Q1200="","",Q1200+N(H1200)*0.000000001)</f>
        <v/>
      </c>
      <c r="S1200" s="32" t="str">
        <f aca="false">IF(R1200="","",SUMPRODUCT((I$5:I$4004=I1200)*ISNUMBER(R$5:R$4004)*(R$5:R$4004&gt;R1200))+1)</f>
        <v/>
      </c>
      <c r="T1200" s="32" t="str">
        <f aca="false">IF(S1200="","",IF(S1200&lt;=Setup!$B$5,"🏆 WINNER",""))</f>
        <v/>
      </c>
      <c r="U1200" s="31" t="str">
        <f aca="false">IF(S1200="","",I1200&amp;"|"&amp;S1200)</f>
        <v/>
      </c>
    </row>
    <row r="1201" customFormat="false" ht="15" hidden="false" customHeight="false" outlineLevel="0" collapsed="false">
      <c r="A1201" s="24" t="n">
        <v>1197</v>
      </c>
      <c r="B1201" s="25" t="str">
        <f aca="false">IF(OR(C1201="",I1201="",G1201=""),"",IFERROR(VLOOKUP(I1201,Setup!$A$9:$B$11,2,0),"???")&amp;"-"&amp;G1201&amp;"-"&amp;TEXT(COUNTIFS(I$5:I1201,I1201,G$5:G1201,G1201),"0000"))</f>
        <v/>
      </c>
      <c r="C1201" s="26"/>
      <c r="D1201" s="26"/>
      <c r="E1201" s="27"/>
      <c r="F1201" s="27"/>
      <c r="G1201" s="24" t="str">
        <f aca="false">IF(F1201="","",IF(F1201&lt;=5,"A",IF(F1201&lt;=8,"B",IF(F1201&lt;=10,"C","D"))))</f>
        <v/>
      </c>
      <c r="H1201" s="28"/>
      <c r="I1201" s="27"/>
      <c r="J1201" s="26"/>
      <c r="K1201" s="27"/>
      <c r="L1201" s="27"/>
      <c r="M1201" s="27"/>
      <c r="N1201" s="27"/>
      <c r="O1201" s="24" t="str">
        <f aca="false">IF(G1201="","",VLOOKUP(G1201,Setup!$A$14:$C$17,3,0))</f>
        <v/>
      </c>
      <c r="P1201" s="27"/>
      <c r="Q1201" s="29" t="str">
        <f aca="false">IF(OR(P1201="",M1201&lt;&gt;"Paid",O1201=""),"",P1201/O1201)</f>
        <v/>
      </c>
      <c r="R1201" s="30" t="str">
        <f aca="false">IF(Q1201="","",Q1201+N(H1201)*0.000000001)</f>
        <v/>
      </c>
      <c r="S1201" s="25" t="str">
        <f aca="false">IF(R1201="","",SUMPRODUCT((I$5:I$4004=I1201)*ISNUMBER(R$5:R$4004)*(R$5:R$4004&gt;R1201))+1)</f>
        <v/>
      </c>
      <c r="T1201" s="25" t="str">
        <f aca="false">IF(S1201="","",IF(S1201&lt;=Setup!$B$5,"🏆 WINNER",""))</f>
        <v/>
      </c>
      <c r="U1201" s="24" t="str">
        <f aca="false">IF(S1201="","",I1201&amp;"|"&amp;S1201)</f>
        <v/>
      </c>
    </row>
    <row r="1202" customFormat="false" ht="15" hidden="false" customHeight="false" outlineLevel="0" collapsed="false">
      <c r="A1202" s="31" t="n">
        <v>1198</v>
      </c>
      <c r="B1202" s="32" t="str">
        <f aca="false">IF(OR(C1202="",I1202="",G1202=""),"",IFERROR(VLOOKUP(I1202,Setup!$A$9:$B$11,2,0),"???")&amp;"-"&amp;G1202&amp;"-"&amp;TEXT(COUNTIFS(I$5:I1202,I1202,G$5:G1202,G1202),"0000"))</f>
        <v/>
      </c>
      <c r="C1202" s="26"/>
      <c r="D1202" s="26"/>
      <c r="E1202" s="27"/>
      <c r="F1202" s="27"/>
      <c r="G1202" s="31" t="str">
        <f aca="false">IF(F1202="","",IF(F1202&lt;=5,"A",IF(F1202&lt;=8,"B",IF(F1202&lt;=10,"C","D"))))</f>
        <v/>
      </c>
      <c r="H1202" s="28"/>
      <c r="I1202" s="27"/>
      <c r="J1202" s="26"/>
      <c r="K1202" s="27"/>
      <c r="L1202" s="27"/>
      <c r="M1202" s="27"/>
      <c r="N1202" s="27"/>
      <c r="O1202" s="31" t="str">
        <f aca="false">IF(G1202="","",VLOOKUP(G1202,Setup!$A$14:$C$17,3,0))</f>
        <v/>
      </c>
      <c r="P1202" s="27"/>
      <c r="Q1202" s="33" t="str">
        <f aca="false">IF(OR(P1202="",M1202&lt;&gt;"Paid",O1202=""),"",P1202/O1202)</f>
        <v/>
      </c>
      <c r="R1202" s="34" t="str">
        <f aca="false">IF(Q1202="","",Q1202+N(H1202)*0.000000001)</f>
        <v/>
      </c>
      <c r="S1202" s="32" t="str">
        <f aca="false">IF(R1202="","",SUMPRODUCT((I$5:I$4004=I1202)*ISNUMBER(R$5:R$4004)*(R$5:R$4004&gt;R1202))+1)</f>
        <v/>
      </c>
      <c r="T1202" s="32" t="str">
        <f aca="false">IF(S1202="","",IF(S1202&lt;=Setup!$B$5,"🏆 WINNER",""))</f>
        <v/>
      </c>
      <c r="U1202" s="31" t="str">
        <f aca="false">IF(S1202="","",I1202&amp;"|"&amp;S1202)</f>
        <v/>
      </c>
    </row>
    <row r="1203" customFormat="false" ht="15" hidden="false" customHeight="false" outlineLevel="0" collapsed="false">
      <c r="A1203" s="24" t="n">
        <v>1199</v>
      </c>
      <c r="B1203" s="25" t="str">
        <f aca="false">IF(OR(C1203="",I1203="",G1203=""),"",IFERROR(VLOOKUP(I1203,Setup!$A$9:$B$11,2,0),"???")&amp;"-"&amp;G1203&amp;"-"&amp;TEXT(COUNTIFS(I$5:I1203,I1203,G$5:G1203,G1203),"0000"))</f>
        <v/>
      </c>
      <c r="C1203" s="26"/>
      <c r="D1203" s="26"/>
      <c r="E1203" s="27"/>
      <c r="F1203" s="27"/>
      <c r="G1203" s="24" t="str">
        <f aca="false">IF(F1203="","",IF(F1203&lt;=5,"A",IF(F1203&lt;=8,"B",IF(F1203&lt;=10,"C","D"))))</f>
        <v/>
      </c>
      <c r="H1203" s="28"/>
      <c r="I1203" s="27"/>
      <c r="J1203" s="26"/>
      <c r="K1203" s="27"/>
      <c r="L1203" s="27"/>
      <c r="M1203" s="27"/>
      <c r="N1203" s="27"/>
      <c r="O1203" s="24" t="str">
        <f aca="false">IF(G1203="","",VLOOKUP(G1203,Setup!$A$14:$C$17,3,0))</f>
        <v/>
      </c>
      <c r="P1203" s="27"/>
      <c r="Q1203" s="29" t="str">
        <f aca="false">IF(OR(P1203="",M1203&lt;&gt;"Paid",O1203=""),"",P1203/O1203)</f>
        <v/>
      </c>
      <c r="R1203" s="30" t="str">
        <f aca="false">IF(Q1203="","",Q1203+N(H1203)*0.000000001)</f>
        <v/>
      </c>
      <c r="S1203" s="25" t="str">
        <f aca="false">IF(R1203="","",SUMPRODUCT((I$5:I$4004=I1203)*ISNUMBER(R$5:R$4004)*(R$5:R$4004&gt;R1203))+1)</f>
        <v/>
      </c>
      <c r="T1203" s="25" t="str">
        <f aca="false">IF(S1203="","",IF(S1203&lt;=Setup!$B$5,"🏆 WINNER",""))</f>
        <v/>
      </c>
      <c r="U1203" s="24" t="str">
        <f aca="false">IF(S1203="","",I1203&amp;"|"&amp;S1203)</f>
        <v/>
      </c>
    </row>
    <row r="1204" customFormat="false" ht="15" hidden="false" customHeight="false" outlineLevel="0" collapsed="false">
      <c r="A1204" s="31" t="n">
        <v>1200</v>
      </c>
      <c r="B1204" s="32" t="str">
        <f aca="false">IF(OR(C1204="",I1204="",G1204=""),"",IFERROR(VLOOKUP(I1204,Setup!$A$9:$B$11,2,0),"???")&amp;"-"&amp;G1204&amp;"-"&amp;TEXT(COUNTIFS(I$5:I1204,I1204,G$5:G1204,G1204),"0000"))</f>
        <v/>
      </c>
      <c r="C1204" s="26"/>
      <c r="D1204" s="26"/>
      <c r="E1204" s="27"/>
      <c r="F1204" s="27"/>
      <c r="G1204" s="31" t="str">
        <f aca="false">IF(F1204="","",IF(F1204&lt;=5,"A",IF(F1204&lt;=8,"B",IF(F1204&lt;=10,"C","D"))))</f>
        <v/>
      </c>
      <c r="H1204" s="28"/>
      <c r="I1204" s="27"/>
      <c r="J1204" s="26"/>
      <c r="K1204" s="27"/>
      <c r="L1204" s="27"/>
      <c r="M1204" s="27"/>
      <c r="N1204" s="27"/>
      <c r="O1204" s="31" t="str">
        <f aca="false">IF(G1204="","",VLOOKUP(G1204,Setup!$A$14:$C$17,3,0))</f>
        <v/>
      </c>
      <c r="P1204" s="27"/>
      <c r="Q1204" s="33" t="str">
        <f aca="false">IF(OR(P1204="",M1204&lt;&gt;"Paid",O1204=""),"",P1204/O1204)</f>
        <v/>
      </c>
      <c r="R1204" s="34" t="str">
        <f aca="false">IF(Q1204="","",Q1204+N(H1204)*0.000000001)</f>
        <v/>
      </c>
      <c r="S1204" s="32" t="str">
        <f aca="false">IF(R1204="","",SUMPRODUCT((I$5:I$4004=I1204)*ISNUMBER(R$5:R$4004)*(R$5:R$4004&gt;R1204))+1)</f>
        <v/>
      </c>
      <c r="T1204" s="32" t="str">
        <f aca="false">IF(S1204="","",IF(S1204&lt;=Setup!$B$5,"🏆 WINNER",""))</f>
        <v/>
      </c>
      <c r="U1204" s="31" t="str">
        <f aca="false">IF(S1204="","",I1204&amp;"|"&amp;S1204)</f>
        <v/>
      </c>
    </row>
    <row r="1205" customFormat="false" ht="15" hidden="false" customHeight="false" outlineLevel="0" collapsed="false">
      <c r="A1205" s="24" t="n">
        <v>1201</v>
      </c>
      <c r="B1205" s="25" t="str">
        <f aca="false">IF(OR(C1205="",I1205="",G1205=""),"",IFERROR(VLOOKUP(I1205,Setup!$A$9:$B$11,2,0),"???")&amp;"-"&amp;G1205&amp;"-"&amp;TEXT(COUNTIFS(I$5:I1205,I1205,G$5:G1205,G1205),"0000"))</f>
        <v/>
      </c>
      <c r="C1205" s="26"/>
      <c r="D1205" s="26"/>
      <c r="E1205" s="27"/>
      <c r="F1205" s="27"/>
      <c r="G1205" s="24" t="str">
        <f aca="false">IF(F1205="","",IF(F1205&lt;=5,"A",IF(F1205&lt;=8,"B",IF(F1205&lt;=10,"C","D"))))</f>
        <v/>
      </c>
      <c r="H1205" s="28"/>
      <c r="I1205" s="27"/>
      <c r="J1205" s="26"/>
      <c r="K1205" s="27"/>
      <c r="L1205" s="27"/>
      <c r="M1205" s="27"/>
      <c r="N1205" s="27"/>
      <c r="O1205" s="24" t="str">
        <f aca="false">IF(G1205="","",VLOOKUP(G1205,Setup!$A$14:$C$17,3,0))</f>
        <v/>
      </c>
      <c r="P1205" s="27"/>
      <c r="Q1205" s="29" t="str">
        <f aca="false">IF(OR(P1205="",M1205&lt;&gt;"Paid",O1205=""),"",P1205/O1205)</f>
        <v/>
      </c>
      <c r="R1205" s="30" t="str">
        <f aca="false">IF(Q1205="","",Q1205+N(H1205)*0.000000001)</f>
        <v/>
      </c>
      <c r="S1205" s="25" t="str">
        <f aca="false">IF(R1205="","",SUMPRODUCT((I$5:I$4004=I1205)*ISNUMBER(R$5:R$4004)*(R$5:R$4004&gt;R1205))+1)</f>
        <v/>
      </c>
      <c r="T1205" s="25" t="str">
        <f aca="false">IF(S1205="","",IF(S1205&lt;=Setup!$B$5,"🏆 WINNER",""))</f>
        <v/>
      </c>
      <c r="U1205" s="24" t="str">
        <f aca="false">IF(S1205="","",I1205&amp;"|"&amp;S1205)</f>
        <v/>
      </c>
    </row>
    <row r="1206" customFormat="false" ht="15" hidden="false" customHeight="false" outlineLevel="0" collapsed="false">
      <c r="A1206" s="31" t="n">
        <v>1202</v>
      </c>
      <c r="B1206" s="32" t="str">
        <f aca="false">IF(OR(C1206="",I1206="",G1206=""),"",IFERROR(VLOOKUP(I1206,Setup!$A$9:$B$11,2,0),"???")&amp;"-"&amp;G1206&amp;"-"&amp;TEXT(COUNTIFS(I$5:I1206,I1206,G$5:G1206,G1206),"0000"))</f>
        <v/>
      </c>
      <c r="C1206" s="26"/>
      <c r="D1206" s="26"/>
      <c r="E1206" s="27"/>
      <c r="F1206" s="27"/>
      <c r="G1206" s="31" t="str">
        <f aca="false">IF(F1206="","",IF(F1206&lt;=5,"A",IF(F1206&lt;=8,"B",IF(F1206&lt;=10,"C","D"))))</f>
        <v/>
      </c>
      <c r="H1206" s="28"/>
      <c r="I1206" s="27"/>
      <c r="J1206" s="26"/>
      <c r="K1206" s="27"/>
      <c r="L1206" s="27"/>
      <c r="M1206" s="27"/>
      <c r="N1206" s="27"/>
      <c r="O1206" s="31" t="str">
        <f aca="false">IF(G1206="","",VLOOKUP(G1206,Setup!$A$14:$C$17,3,0))</f>
        <v/>
      </c>
      <c r="P1206" s="27"/>
      <c r="Q1206" s="33" t="str">
        <f aca="false">IF(OR(P1206="",M1206&lt;&gt;"Paid",O1206=""),"",P1206/O1206)</f>
        <v/>
      </c>
      <c r="R1206" s="34" t="str">
        <f aca="false">IF(Q1206="","",Q1206+N(H1206)*0.000000001)</f>
        <v/>
      </c>
      <c r="S1206" s="32" t="str">
        <f aca="false">IF(R1206="","",SUMPRODUCT((I$5:I$4004=I1206)*ISNUMBER(R$5:R$4004)*(R$5:R$4004&gt;R1206))+1)</f>
        <v/>
      </c>
      <c r="T1206" s="32" t="str">
        <f aca="false">IF(S1206="","",IF(S1206&lt;=Setup!$B$5,"🏆 WINNER",""))</f>
        <v/>
      </c>
      <c r="U1206" s="31" t="str">
        <f aca="false">IF(S1206="","",I1206&amp;"|"&amp;S1206)</f>
        <v/>
      </c>
    </row>
    <row r="1207" customFormat="false" ht="15" hidden="false" customHeight="false" outlineLevel="0" collapsed="false">
      <c r="A1207" s="24" t="n">
        <v>1203</v>
      </c>
      <c r="B1207" s="25" t="str">
        <f aca="false">IF(OR(C1207="",I1207="",G1207=""),"",IFERROR(VLOOKUP(I1207,Setup!$A$9:$B$11,2,0),"???")&amp;"-"&amp;G1207&amp;"-"&amp;TEXT(COUNTIFS(I$5:I1207,I1207,G$5:G1207,G1207),"0000"))</f>
        <v/>
      </c>
      <c r="C1207" s="26"/>
      <c r="D1207" s="26"/>
      <c r="E1207" s="27"/>
      <c r="F1207" s="27"/>
      <c r="G1207" s="24" t="str">
        <f aca="false">IF(F1207="","",IF(F1207&lt;=5,"A",IF(F1207&lt;=8,"B",IF(F1207&lt;=10,"C","D"))))</f>
        <v/>
      </c>
      <c r="H1207" s="28"/>
      <c r="I1207" s="27"/>
      <c r="J1207" s="26"/>
      <c r="K1207" s="27"/>
      <c r="L1207" s="27"/>
      <c r="M1207" s="27"/>
      <c r="N1207" s="27"/>
      <c r="O1207" s="24" t="str">
        <f aca="false">IF(G1207="","",VLOOKUP(G1207,Setup!$A$14:$C$17,3,0))</f>
        <v/>
      </c>
      <c r="P1207" s="27"/>
      <c r="Q1207" s="29" t="str">
        <f aca="false">IF(OR(P1207="",M1207&lt;&gt;"Paid",O1207=""),"",P1207/O1207)</f>
        <v/>
      </c>
      <c r="R1207" s="30" t="str">
        <f aca="false">IF(Q1207="","",Q1207+N(H1207)*0.000000001)</f>
        <v/>
      </c>
      <c r="S1207" s="25" t="str">
        <f aca="false">IF(R1207="","",SUMPRODUCT((I$5:I$4004=I1207)*ISNUMBER(R$5:R$4004)*(R$5:R$4004&gt;R1207))+1)</f>
        <v/>
      </c>
      <c r="T1207" s="25" t="str">
        <f aca="false">IF(S1207="","",IF(S1207&lt;=Setup!$B$5,"🏆 WINNER",""))</f>
        <v/>
      </c>
      <c r="U1207" s="24" t="str">
        <f aca="false">IF(S1207="","",I1207&amp;"|"&amp;S1207)</f>
        <v/>
      </c>
    </row>
    <row r="1208" customFormat="false" ht="15" hidden="false" customHeight="false" outlineLevel="0" collapsed="false">
      <c r="A1208" s="31" t="n">
        <v>1204</v>
      </c>
      <c r="B1208" s="32" t="str">
        <f aca="false">IF(OR(C1208="",I1208="",G1208=""),"",IFERROR(VLOOKUP(I1208,Setup!$A$9:$B$11,2,0),"???")&amp;"-"&amp;G1208&amp;"-"&amp;TEXT(COUNTIFS(I$5:I1208,I1208,G$5:G1208,G1208),"0000"))</f>
        <v/>
      </c>
      <c r="C1208" s="26"/>
      <c r="D1208" s="26"/>
      <c r="E1208" s="27"/>
      <c r="F1208" s="27"/>
      <c r="G1208" s="31" t="str">
        <f aca="false">IF(F1208="","",IF(F1208&lt;=5,"A",IF(F1208&lt;=8,"B",IF(F1208&lt;=10,"C","D"))))</f>
        <v/>
      </c>
      <c r="H1208" s="28"/>
      <c r="I1208" s="27"/>
      <c r="J1208" s="26"/>
      <c r="K1208" s="27"/>
      <c r="L1208" s="27"/>
      <c r="M1208" s="27"/>
      <c r="N1208" s="27"/>
      <c r="O1208" s="31" t="str">
        <f aca="false">IF(G1208="","",VLOOKUP(G1208,Setup!$A$14:$C$17,3,0))</f>
        <v/>
      </c>
      <c r="P1208" s="27"/>
      <c r="Q1208" s="33" t="str">
        <f aca="false">IF(OR(P1208="",M1208&lt;&gt;"Paid",O1208=""),"",P1208/O1208)</f>
        <v/>
      </c>
      <c r="R1208" s="34" t="str">
        <f aca="false">IF(Q1208="","",Q1208+N(H1208)*0.000000001)</f>
        <v/>
      </c>
      <c r="S1208" s="32" t="str">
        <f aca="false">IF(R1208="","",SUMPRODUCT((I$5:I$4004=I1208)*ISNUMBER(R$5:R$4004)*(R$5:R$4004&gt;R1208))+1)</f>
        <v/>
      </c>
      <c r="T1208" s="32" t="str">
        <f aca="false">IF(S1208="","",IF(S1208&lt;=Setup!$B$5,"🏆 WINNER",""))</f>
        <v/>
      </c>
      <c r="U1208" s="31" t="str">
        <f aca="false">IF(S1208="","",I1208&amp;"|"&amp;S1208)</f>
        <v/>
      </c>
    </row>
    <row r="1209" customFormat="false" ht="15" hidden="false" customHeight="false" outlineLevel="0" collapsed="false">
      <c r="A1209" s="24" t="n">
        <v>1205</v>
      </c>
      <c r="B1209" s="25" t="str">
        <f aca="false">IF(OR(C1209="",I1209="",G1209=""),"",IFERROR(VLOOKUP(I1209,Setup!$A$9:$B$11,2,0),"???")&amp;"-"&amp;G1209&amp;"-"&amp;TEXT(COUNTIFS(I$5:I1209,I1209,G$5:G1209,G1209),"0000"))</f>
        <v/>
      </c>
      <c r="C1209" s="26"/>
      <c r="D1209" s="26"/>
      <c r="E1209" s="27"/>
      <c r="F1209" s="27"/>
      <c r="G1209" s="24" t="str">
        <f aca="false">IF(F1209="","",IF(F1209&lt;=5,"A",IF(F1209&lt;=8,"B",IF(F1209&lt;=10,"C","D"))))</f>
        <v/>
      </c>
      <c r="H1209" s="28"/>
      <c r="I1209" s="27"/>
      <c r="J1209" s="26"/>
      <c r="K1209" s="27"/>
      <c r="L1209" s="27"/>
      <c r="M1209" s="27"/>
      <c r="N1209" s="27"/>
      <c r="O1209" s="24" t="str">
        <f aca="false">IF(G1209="","",VLOOKUP(G1209,Setup!$A$14:$C$17,3,0))</f>
        <v/>
      </c>
      <c r="P1209" s="27"/>
      <c r="Q1209" s="29" t="str">
        <f aca="false">IF(OR(P1209="",M1209&lt;&gt;"Paid",O1209=""),"",P1209/O1209)</f>
        <v/>
      </c>
      <c r="R1209" s="30" t="str">
        <f aca="false">IF(Q1209="","",Q1209+N(H1209)*0.000000001)</f>
        <v/>
      </c>
      <c r="S1209" s="25" t="str">
        <f aca="false">IF(R1209="","",SUMPRODUCT((I$5:I$4004=I1209)*ISNUMBER(R$5:R$4004)*(R$5:R$4004&gt;R1209))+1)</f>
        <v/>
      </c>
      <c r="T1209" s="25" t="str">
        <f aca="false">IF(S1209="","",IF(S1209&lt;=Setup!$B$5,"🏆 WINNER",""))</f>
        <v/>
      </c>
      <c r="U1209" s="24" t="str">
        <f aca="false">IF(S1209="","",I1209&amp;"|"&amp;S1209)</f>
        <v/>
      </c>
    </row>
    <row r="1210" customFormat="false" ht="15" hidden="false" customHeight="false" outlineLevel="0" collapsed="false">
      <c r="A1210" s="31" t="n">
        <v>1206</v>
      </c>
      <c r="B1210" s="32" t="str">
        <f aca="false">IF(OR(C1210="",I1210="",G1210=""),"",IFERROR(VLOOKUP(I1210,Setup!$A$9:$B$11,2,0),"???")&amp;"-"&amp;G1210&amp;"-"&amp;TEXT(COUNTIFS(I$5:I1210,I1210,G$5:G1210,G1210),"0000"))</f>
        <v/>
      </c>
      <c r="C1210" s="26"/>
      <c r="D1210" s="26"/>
      <c r="E1210" s="27"/>
      <c r="F1210" s="27"/>
      <c r="G1210" s="31" t="str">
        <f aca="false">IF(F1210="","",IF(F1210&lt;=5,"A",IF(F1210&lt;=8,"B",IF(F1210&lt;=10,"C","D"))))</f>
        <v/>
      </c>
      <c r="H1210" s="28"/>
      <c r="I1210" s="27"/>
      <c r="J1210" s="26"/>
      <c r="K1210" s="27"/>
      <c r="L1210" s="27"/>
      <c r="M1210" s="27"/>
      <c r="N1210" s="27"/>
      <c r="O1210" s="31" t="str">
        <f aca="false">IF(G1210="","",VLOOKUP(G1210,Setup!$A$14:$C$17,3,0))</f>
        <v/>
      </c>
      <c r="P1210" s="27"/>
      <c r="Q1210" s="33" t="str">
        <f aca="false">IF(OR(P1210="",M1210&lt;&gt;"Paid",O1210=""),"",P1210/O1210)</f>
        <v/>
      </c>
      <c r="R1210" s="34" t="str">
        <f aca="false">IF(Q1210="","",Q1210+N(H1210)*0.000000001)</f>
        <v/>
      </c>
      <c r="S1210" s="32" t="str">
        <f aca="false">IF(R1210="","",SUMPRODUCT((I$5:I$4004=I1210)*ISNUMBER(R$5:R$4004)*(R$5:R$4004&gt;R1210))+1)</f>
        <v/>
      </c>
      <c r="T1210" s="32" t="str">
        <f aca="false">IF(S1210="","",IF(S1210&lt;=Setup!$B$5,"🏆 WINNER",""))</f>
        <v/>
      </c>
      <c r="U1210" s="31" t="str">
        <f aca="false">IF(S1210="","",I1210&amp;"|"&amp;S1210)</f>
        <v/>
      </c>
    </row>
    <row r="1211" customFormat="false" ht="15" hidden="false" customHeight="false" outlineLevel="0" collapsed="false">
      <c r="A1211" s="24" t="n">
        <v>1207</v>
      </c>
      <c r="B1211" s="25" t="str">
        <f aca="false">IF(OR(C1211="",I1211="",G1211=""),"",IFERROR(VLOOKUP(I1211,Setup!$A$9:$B$11,2,0),"???")&amp;"-"&amp;G1211&amp;"-"&amp;TEXT(COUNTIFS(I$5:I1211,I1211,G$5:G1211,G1211),"0000"))</f>
        <v/>
      </c>
      <c r="C1211" s="26"/>
      <c r="D1211" s="26"/>
      <c r="E1211" s="27"/>
      <c r="F1211" s="27"/>
      <c r="G1211" s="24" t="str">
        <f aca="false">IF(F1211="","",IF(F1211&lt;=5,"A",IF(F1211&lt;=8,"B",IF(F1211&lt;=10,"C","D"))))</f>
        <v/>
      </c>
      <c r="H1211" s="28"/>
      <c r="I1211" s="27"/>
      <c r="J1211" s="26"/>
      <c r="K1211" s="27"/>
      <c r="L1211" s="27"/>
      <c r="M1211" s="27"/>
      <c r="N1211" s="27"/>
      <c r="O1211" s="24" t="str">
        <f aca="false">IF(G1211="","",VLOOKUP(G1211,Setup!$A$14:$C$17,3,0))</f>
        <v/>
      </c>
      <c r="P1211" s="27"/>
      <c r="Q1211" s="29" t="str">
        <f aca="false">IF(OR(P1211="",M1211&lt;&gt;"Paid",O1211=""),"",P1211/O1211)</f>
        <v/>
      </c>
      <c r="R1211" s="30" t="str">
        <f aca="false">IF(Q1211="","",Q1211+N(H1211)*0.000000001)</f>
        <v/>
      </c>
      <c r="S1211" s="25" t="str">
        <f aca="false">IF(R1211="","",SUMPRODUCT((I$5:I$4004=I1211)*ISNUMBER(R$5:R$4004)*(R$5:R$4004&gt;R1211))+1)</f>
        <v/>
      </c>
      <c r="T1211" s="25" t="str">
        <f aca="false">IF(S1211="","",IF(S1211&lt;=Setup!$B$5,"🏆 WINNER",""))</f>
        <v/>
      </c>
      <c r="U1211" s="24" t="str">
        <f aca="false">IF(S1211="","",I1211&amp;"|"&amp;S1211)</f>
        <v/>
      </c>
    </row>
    <row r="1212" customFormat="false" ht="15" hidden="false" customHeight="false" outlineLevel="0" collapsed="false">
      <c r="A1212" s="31" t="n">
        <v>1208</v>
      </c>
      <c r="B1212" s="32" t="str">
        <f aca="false">IF(OR(C1212="",I1212="",G1212=""),"",IFERROR(VLOOKUP(I1212,Setup!$A$9:$B$11,2,0),"???")&amp;"-"&amp;G1212&amp;"-"&amp;TEXT(COUNTIFS(I$5:I1212,I1212,G$5:G1212,G1212),"0000"))</f>
        <v/>
      </c>
      <c r="C1212" s="26"/>
      <c r="D1212" s="26"/>
      <c r="E1212" s="27"/>
      <c r="F1212" s="27"/>
      <c r="G1212" s="31" t="str">
        <f aca="false">IF(F1212="","",IF(F1212&lt;=5,"A",IF(F1212&lt;=8,"B",IF(F1212&lt;=10,"C","D"))))</f>
        <v/>
      </c>
      <c r="H1212" s="28"/>
      <c r="I1212" s="27"/>
      <c r="J1212" s="26"/>
      <c r="K1212" s="27"/>
      <c r="L1212" s="27"/>
      <c r="M1212" s="27"/>
      <c r="N1212" s="27"/>
      <c r="O1212" s="31" t="str">
        <f aca="false">IF(G1212="","",VLOOKUP(G1212,Setup!$A$14:$C$17,3,0))</f>
        <v/>
      </c>
      <c r="P1212" s="27"/>
      <c r="Q1212" s="33" t="str">
        <f aca="false">IF(OR(P1212="",M1212&lt;&gt;"Paid",O1212=""),"",P1212/O1212)</f>
        <v/>
      </c>
      <c r="R1212" s="34" t="str">
        <f aca="false">IF(Q1212="","",Q1212+N(H1212)*0.000000001)</f>
        <v/>
      </c>
      <c r="S1212" s="32" t="str">
        <f aca="false">IF(R1212="","",SUMPRODUCT((I$5:I$4004=I1212)*ISNUMBER(R$5:R$4004)*(R$5:R$4004&gt;R1212))+1)</f>
        <v/>
      </c>
      <c r="T1212" s="32" t="str">
        <f aca="false">IF(S1212="","",IF(S1212&lt;=Setup!$B$5,"🏆 WINNER",""))</f>
        <v/>
      </c>
      <c r="U1212" s="31" t="str">
        <f aca="false">IF(S1212="","",I1212&amp;"|"&amp;S1212)</f>
        <v/>
      </c>
    </row>
    <row r="1213" customFormat="false" ht="15" hidden="false" customHeight="false" outlineLevel="0" collapsed="false">
      <c r="A1213" s="24" t="n">
        <v>1209</v>
      </c>
      <c r="B1213" s="25" t="str">
        <f aca="false">IF(OR(C1213="",I1213="",G1213=""),"",IFERROR(VLOOKUP(I1213,Setup!$A$9:$B$11,2,0),"???")&amp;"-"&amp;G1213&amp;"-"&amp;TEXT(COUNTIFS(I$5:I1213,I1213,G$5:G1213,G1213),"0000"))</f>
        <v/>
      </c>
      <c r="C1213" s="26"/>
      <c r="D1213" s="26"/>
      <c r="E1213" s="27"/>
      <c r="F1213" s="27"/>
      <c r="G1213" s="24" t="str">
        <f aca="false">IF(F1213="","",IF(F1213&lt;=5,"A",IF(F1213&lt;=8,"B",IF(F1213&lt;=10,"C","D"))))</f>
        <v/>
      </c>
      <c r="H1213" s="28"/>
      <c r="I1213" s="27"/>
      <c r="J1213" s="26"/>
      <c r="K1213" s="27"/>
      <c r="L1213" s="27"/>
      <c r="M1213" s="27"/>
      <c r="N1213" s="27"/>
      <c r="O1213" s="24" t="str">
        <f aca="false">IF(G1213="","",VLOOKUP(G1213,Setup!$A$14:$C$17,3,0))</f>
        <v/>
      </c>
      <c r="P1213" s="27"/>
      <c r="Q1213" s="29" t="str">
        <f aca="false">IF(OR(P1213="",M1213&lt;&gt;"Paid",O1213=""),"",P1213/O1213)</f>
        <v/>
      </c>
      <c r="R1213" s="30" t="str">
        <f aca="false">IF(Q1213="","",Q1213+N(H1213)*0.000000001)</f>
        <v/>
      </c>
      <c r="S1213" s="25" t="str">
        <f aca="false">IF(R1213="","",SUMPRODUCT((I$5:I$4004=I1213)*ISNUMBER(R$5:R$4004)*(R$5:R$4004&gt;R1213))+1)</f>
        <v/>
      </c>
      <c r="T1213" s="25" t="str">
        <f aca="false">IF(S1213="","",IF(S1213&lt;=Setup!$B$5,"🏆 WINNER",""))</f>
        <v/>
      </c>
      <c r="U1213" s="24" t="str">
        <f aca="false">IF(S1213="","",I1213&amp;"|"&amp;S1213)</f>
        <v/>
      </c>
    </row>
    <row r="1214" customFormat="false" ht="15" hidden="false" customHeight="false" outlineLevel="0" collapsed="false">
      <c r="A1214" s="31" t="n">
        <v>1210</v>
      </c>
      <c r="B1214" s="32" t="str">
        <f aca="false">IF(OR(C1214="",I1214="",G1214=""),"",IFERROR(VLOOKUP(I1214,Setup!$A$9:$B$11,2,0),"???")&amp;"-"&amp;G1214&amp;"-"&amp;TEXT(COUNTIFS(I$5:I1214,I1214,G$5:G1214,G1214),"0000"))</f>
        <v/>
      </c>
      <c r="C1214" s="26"/>
      <c r="D1214" s="26"/>
      <c r="E1214" s="27"/>
      <c r="F1214" s="27"/>
      <c r="G1214" s="31" t="str">
        <f aca="false">IF(F1214="","",IF(F1214&lt;=5,"A",IF(F1214&lt;=8,"B",IF(F1214&lt;=10,"C","D"))))</f>
        <v/>
      </c>
      <c r="H1214" s="28"/>
      <c r="I1214" s="27"/>
      <c r="J1214" s="26"/>
      <c r="K1214" s="27"/>
      <c r="L1214" s="27"/>
      <c r="M1214" s="27"/>
      <c r="N1214" s="27"/>
      <c r="O1214" s="31" t="str">
        <f aca="false">IF(G1214="","",VLOOKUP(G1214,Setup!$A$14:$C$17,3,0))</f>
        <v/>
      </c>
      <c r="P1214" s="27"/>
      <c r="Q1214" s="33" t="str">
        <f aca="false">IF(OR(P1214="",M1214&lt;&gt;"Paid",O1214=""),"",P1214/O1214)</f>
        <v/>
      </c>
      <c r="R1214" s="34" t="str">
        <f aca="false">IF(Q1214="","",Q1214+N(H1214)*0.000000001)</f>
        <v/>
      </c>
      <c r="S1214" s="32" t="str">
        <f aca="false">IF(R1214="","",SUMPRODUCT((I$5:I$4004=I1214)*ISNUMBER(R$5:R$4004)*(R$5:R$4004&gt;R1214))+1)</f>
        <v/>
      </c>
      <c r="T1214" s="32" t="str">
        <f aca="false">IF(S1214="","",IF(S1214&lt;=Setup!$B$5,"🏆 WINNER",""))</f>
        <v/>
      </c>
      <c r="U1214" s="31" t="str">
        <f aca="false">IF(S1214="","",I1214&amp;"|"&amp;S1214)</f>
        <v/>
      </c>
    </row>
    <row r="1215" customFormat="false" ht="15" hidden="false" customHeight="false" outlineLevel="0" collapsed="false">
      <c r="A1215" s="24" t="n">
        <v>1211</v>
      </c>
      <c r="B1215" s="25" t="str">
        <f aca="false">IF(OR(C1215="",I1215="",G1215=""),"",IFERROR(VLOOKUP(I1215,Setup!$A$9:$B$11,2,0),"???")&amp;"-"&amp;G1215&amp;"-"&amp;TEXT(COUNTIFS(I$5:I1215,I1215,G$5:G1215,G1215),"0000"))</f>
        <v/>
      </c>
      <c r="C1215" s="26"/>
      <c r="D1215" s="26"/>
      <c r="E1215" s="27"/>
      <c r="F1215" s="27"/>
      <c r="G1215" s="24" t="str">
        <f aca="false">IF(F1215="","",IF(F1215&lt;=5,"A",IF(F1215&lt;=8,"B",IF(F1215&lt;=10,"C","D"))))</f>
        <v/>
      </c>
      <c r="H1215" s="28"/>
      <c r="I1215" s="27"/>
      <c r="J1215" s="26"/>
      <c r="K1215" s="27"/>
      <c r="L1215" s="27"/>
      <c r="M1215" s="27"/>
      <c r="N1215" s="27"/>
      <c r="O1215" s="24" t="str">
        <f aca="false">IF(G1215="","",VLOOKUP(G1215,Setup!$A$14:$C$17,3,0))</f>
        <v/>
      </c>
      <c r="P1215" s="27"/>
      <c r="Q1215" s="29" t="str">
        <f aca="false">IF(OR(P1215="",M1215&lt;&gt;"Paid",O1215=""),"",P1215/O1215)</f>
        <v/>
      </c>
      <c r="R1215" s="30" t="str">
        <f aca="false">IF(Q1215="","",Q1215+N(H1215)*0.000000001)</f>
        <v/>
      </c>
      <c r="S1215" s="25" t="str">
        <f aca="false">IF(R1215="","",SUMPRODUCT((I$5:I$4004=I1215)*ISNUMBER(R$5:R$4004)*(R$5:R$4004&gt;R1215))+1)</f>
        <v/>
      </c>
      <c r="T1215" s="25" t="str">
        <f aca="false">IF(S1215="","",IF(S1215&lt;=Setup!$B$5,"🏆 WINNER",""))</f>
        <v/>
      </c>
      <c r="U1215" s="24" t="str">
        <f aca="false">IF(S1215="","",I1215&amp;"|"&amp;S1215)</f>
        <v/>
      </c>
    </row>
    <row r="1216" customFormat="false" ht="15" hidden="false" customHeight="false" outlineLevel="0" collapsed="false">
      <c r="A1216" s="31" t="n">
        <v>1212</v>
      </c>
      <c r="B1216" s="32" t="str">
        <f aca="false">IF(OR(C1216="",I1216="",G1216=""),"",IFERROR(VLOOKUP(I1216,Setup!$A$9:$B$11,2,0),"???")&amp;"-"&amp;G1216&amp;"-"&amp;TEXT(COUNTIFS(I$5:I1216,I1216,G$5:G1216,G1216),"0000"))</f>
        <v/>
      </c>
      <c r="C1216" s="26"/>
      <c r="D1216" s="26"/>
      <c r="E1216" s="27"/>
      <c r="F1216" s="27"/>
      <c r="G1216" s="31" t="str">
        <f aca="false">IF(F1216="","",IF(F1216&lt;=5,"A",IF(F1216&lt;=8,"B",IF(F1216&lt;=10,"C","D"))))</f>
        <v/>
      </c>
      <c r="H1216" s="28"/>
      <c r="I1216" s="27"/>
      <c r="J1216" s="26"/>
      <c r="K1216" s="27"/>
      <c r="L1216" s="27"/>
      <c r="M1216" s="27"/>
      <c r="N1216" s="27"/>
      <c r="O1216" s="31" t="str">
        <f aca="false">IF(G1216="","",VLOOKUP(G1216,Setup!$A$14:$C$17,3,0))</f>
        <v/>
      </c>
      <c r="P1216" s="27"/>
      <c r="Q1216" s="33" t="str">
        <f aca="false">IF(OR(P1216="",M1216&lt;&gt;"Paid",O1216=""),"",P1216/O1216)</f>
        <v/>
      </c>
      <c r="R1216" s="34" t="str">
        <f aca="false">IF(Q1216="","",Q1216+N(H1216)*0.000000001)</f>
        <v/>
      </c>
      <c r="S1216" s="32" t="str">
        <f aca="false">IF(R1216="","",SUMPRODUCT((I$5:I$4004=I1216)*ISNUMBER(R$5:R$4004)*(R$5:R$4004&gt;R1216))+1)</f>
        <v/>
      </c>
      <c r="T1216" s="32" t="str">
        <f aca="false">IF(S1216="","",IF(S1216&lt;=Setup!$B$5,"🏆 WINNER",""))</f>
        <v/>
      </c>
      <c r="U1216" s="31" t="str">
        <f aca="false">IF(S1216="","",I1216&amp;"|"&amp;S1216)</f>
        <v/>
      </c>
    </row>
    <row r="1217" customFormat="false" ht="15" hidden="false" customHeight="false" outlineLevel="0" collapsed="false">
      <c r="A1217" s="24" t="n">
        <v>1213</v>
      </c>
      <c r="B1217" s="25" t="str">
        <f aca="false">IF(OR(C1217="",I1217="",G1217=""),"",IFERROR(VLOOKUP(I1217,Setup!$A$9:$B$11,2,0),"???")&amp;"-"&amp;G1217&amp;"-"&amp;TEXT(COUNTIFS(I$5:I1217,I1217,G$5:G1217,G1217),"0000"))</f>
        <v/>
      </c>
      <c r="C1217" s="26"/>
      <c r="D1217" s="26"/>
      <c r="E1217" s="27"/>
      <c r="F1217" s="27"/>
      <c r="G1217" s="24" t="str">
        <f aca="false">IF(F1217="","",IF(F1217&lt;=5,"A",IF(F1217&lt;=8,"B",IF(F1217&lt;=10,"C","D"))))</f>
        <v/>
      </c>
      <c r="H1217" s="28"/>
      <c r="I1217" s="27"/>
      <c r="J1217" s="26"/>
      <c r="K1217" s="27"/>
      <c r="L1217" s="27"/>
      <c r="M1217" s="27"/>
      <c r="N1217" s="27"/>
      <c r="O1217" s="24" t="str">
        <f aca="false">IF(G1217="","",VLOOKUP(G1217,Setup!$A$14:$C$17,3,0))</f>
        <v/>
      </c>
      <c r="P1217" s="27"/>
      <c r="Q1217" s="29" t="str">
        <f aca="false">IF(OR(P1217="",M1217&lt;&gt;"Paid",O1217=""),"",P1217/O1217)</f>
        <v/>
      </c>
      <c r="R1217" s="30" t="str">
        <f aca="false">IF(Q1217="","",Q1217+N(H1217)*0.000000001)</f>
        <v/>
      </c>
      <c r="S1217" s="25" t="str">
        <f aca="false">IF(R1217="","",SUMPRODUCT((I$5:I$4004=I1217)*ISNUMBER(R$5:R$4004)*(R$5:R$4004&gt;R1217))+1)</f>
        <v/>
      </c>
      <c r="T1217" s="25" t="str">
        <f aca="false">IF(S1217="","",IF(S1217&lt;=Setup!$B$5,"🏆 WINNER",""))</f>
        <v/>
      </c>
      <c r="U1217" s="24" t="str">
        <f aca="false">IF(S1217="","",I1217&amp;"|"&amp;S1217)</f>
        <v/>
      </c>
    </row>
    <row r="1218" customFormat="false" ht="15" hidden="false" customHeight="false" outlineLevel="0" collapsed="false">
      <c r="A1218" s="31" t="n">
        <v>1214</v>
      </c>
      <c r="B1218" s="32" t="str">
        <f aca="false">IF(OR(C1218="",I1218="",G1218=""),"",IFERROR(VLOOKUP(I1218,Setup!$A$9:$B$11,2,0),"???")&amp;"-"&amp;G1218&amp;"-"&amp;TEXT(COUNTIFS(I$5:I1218,I1218,G$5:G1218,G1218),"0000"))</f>
        <v/>
      </c>
      <c r="C1218" s="26"/>
      <c r="D1218" s="26"/>
      <c r="E1218" s="27"/>
      <c r="F1218" s="27"/>
      <c r="G1218" s="31" t="str">
        <f aca="false">IF(F1218="","",IF(F1218&lt;=5,"A",IF(F1218&lt;=8,"B",IF(F1218&lt;=10,"C","D"))))</f>
        <v/>
      </c>
      <c r="H1218" s="28"/>
      <c r="I1218" s="27"/>
      <c r="J1218" s="26"/>
      <c r="K1218" s="27"/>
      <c r="L1218" s="27"/>
      <c r="M1218" s="27"/>
      <c r="N1218" s="27"/>
      <c r="O1218" s="31" t="str">
        <f aca="false">IF(G1218="","",VLOOKUP(G1218,Setup!$A$14:$C$17,3,0))</f>
        <v/>
      </c>
      <c r="P1218" s="27"/>
      <c r="Q1218" s="33" t="str">
        <f aca="false">IF(OR(P1218="",M1218&lt;&gt;"Paid",O1218=""),"",P1218/O1218)</f>
        <v/>
      </c>
      <c r="R1218" s="34" t="str">
        <f aca="false">IF(Q1218="","",Q1218+N(H1218)*0.000000001)</f>
        <v/>
      </c>
      <c r="S1218" s="32" t="str">
        <f aca="false">IF(R1218="","",SUMPRODUCT((I$5:I$4004=I1218)*ISNUMBER(R$5:R$4004)*(R$5:R$4004&gt;R1218))+1)</f>
        <v/>
      </c>
      <c r="T1218" s="32" t="str">
        <f aca="false">IF(S1218="","",IF(S1218&lt;=Setup!$B$5,"🏆 WINNER",""))</f>
        <v/>
      </c>
      <c r="U1218" s="31" t="str">
        <f aca="false">IF(S1218="","",I1218&amp;"|"&amp;S1218)</f>
        <v/>
      </c>
    </row>
    <row r="1219" customFormat="false" ht="15" hidden="false" customHeight="false" outlineLevel="0" collapsed="false">
      <c r="A1219" s="24" t="n">
        <v>1215</v>
      </c>
      <c r="B1219" s="25" t="str">
        <f aca="false">IF(OR(C1219="",I1219="",G1219=""),"",IFERROR(VLOOKUP(I1219,Setup!$A$9:$B$11,2,0),"???")&amp;"-"&amp;G1219&amp;"-"&amp;TEXT(COUNTIFS(I$5:I1219,I1219,G$5:G1219,G1219),"0000"))</f>
        <v/>
      </c>
      <c r="C1219" s="26"/>
      <c r="D1219" s="26"/>
      <c r="E1219" s="27"/>
      <c r="F1219" s="27"/>
      <c r="G1219" s="24" t="str">
        <f aca="false">IF(F1219="","",IF(F1219&lt;=5,"A",IF(F1219&lt;=8,"B",IF(F1219&lt;=10,"C","D"))))</f>
        <v/>
      </c>
      <c r="H1219" s="28"/>
      <c r="I1219" s="27"/>
      <c r="J1219" s="26"/>
      <c r="K1219" s="27"/>
      <c r="L1219" s="27"/>
      <c r="M1219" s="27"/>
      <c r="N1219" s="27"/>
      <c r="O1219" s="24" t="str">
        <f aca="false">IF(G1219="","",VLOOKUP(G1219,Setup!$A$14:$C$17,3,0))</f>
        <v/>
      </c>
      <c r="P1219" s="27"/>
      <c r="Q1219" s="29" t="str">
        <f aca="false">IF(OR(P1219="",M1219&lt;&gt;"Paid",O1219=""),"",P1219/O1219)</f>
        <v/>
      </c>
      <c r="R1219" s="30" t="str">
        <f aca="false">IF(Q1219="","",Q1219+N(H1219)*0.000000001)</f>
        <v/>
      </c>
      <c r="S1219" s="25" t="str">
        <f aca="false">IF(R1219="","",SUMPRODUCT((I$5:I$4004=I1219)*ISNUMBER(R$5:R$4004)*(R$5:R$4004&gt;R1219))+1)</f>
        <v/>
      </c>
      <c r="T1219" s="25" t="str">
        <f aca="false">IF(S1219="","",IF(S1219&lt;=Setup!$B$5,"🏆 WINNER",""))</f>
        <v/>
      </c>
      <c r="U1219" s="24" t="str">
        <f aca="false">IF(S1219="","",I1219&amp;"|"&amp;S1219)</f>
        <v/>
      </c>
    </row>
    <row r="1220" customFormat="false" ht="15" hidden="false" customHeight="false" outlineLevel="0" collapsed="false">
      <c r="A1220" s="31" t="n">
        <v>1216</v>
      </c>
      <c r="B1220" s="32" t="str">
        <f aca="false">IF(OR(C1220="",I1220="",G1220=""),"",IFERROR(VLOOKUP(I1220,Setup!$A$9:$B$11,2,0),"???")&amp;"-"&amp;G1220&amp;"-"&amp;TEXT(COUNTIFS(I$5:I1220,I1220,G$5:G1220,G1220),"0000"))</f>
        <v/>
      </c>
      <c r="C1220" s="26"/>
      <c r="D1220" s="26"/>
      <c r="E1220" s="27"/>
      <c r="F1220" s="27"/>
      <c r="G1220" s="31" t="str">
        <f aca="false">IF(F1220="","",IF(F1220&lt;=5,"A",IF(F1220&lt;=8,"B",IF(F1220&lt;=10,"C","D"))))</f>
        <v/>
      </c>
      <c r="H1220" s="28"/>
      <c r="I1220" s="27"/>
      <c r="J1220" s="26"/>
      <c r="K1220" s="27"/>
      <c r="L1220" s="27"/>
      <c r="M1220" s="27"/>
      <c r="N1220" s="27"/>
      <c r="O1220" s="31" t="str">
        <f aca="false">IF(G1220="","",VLOOKUP(G1220,Setup!$A$14:$C$17,3,0))</f>
        <v/>
      </c>
      <c r="P1220" s="27"/>
      <c r="Q1220" s="33" t="str">
        <f aca="false">IF(OR(P1220="",M1220&lt;&gt;"Paid",O1220=""),"",P1220/O1220)</f>
        <v/>
      </c>
      <c r="R1220" s="34" t="str">
        <f aca="false">IF(Q1220="","",Q1220+N(H1220)*0.000000001)</f>
        <v/>
      </c>
      <c r="S1220" s="32" t="str">
        <f aca="false">IF(R1220="","",SUMPRODUCT((I$5:I$4004=I1220)*ISNUMBER(R$5:R$4004)*(R$5:R$4004&gt;R1220))+1)</f>
        <v/>
      </c>
      <c r="T1220" s="32" t="str">
        <f aca="false">IF(S1220="","",IF(S1220&lt;=Setup!$B$5,"🏆 WINNER",""))</f>
        <v/>
      </c>
      <c r="U1220" s="31" t="str">
        <f aca="false">IF(S1220="","",I1220&amp;"|"&amp;S1220)</f>
        <v/>
      </c>
    </row>
    <row r="1221" customFormat="false" ht="15" hidden="false" customHeight="false" outlineLevel="0" collapsed="false">
      <c r="A1221" s="24" t="n">
        <v>1217</v>
      </c>
      <c r="B1221" s="25" t="str">
        <f aca="false">IF(OR(C1221="",I1221="",G1221=""),"",IFERROR(VLOOKUP(I1221,Setup!$A$9:$B$11,2,0),"???")&amp;"-"&amp;G1221&amp;"-"&amp;TEXT(COUNTIFS(I$5:I1221,I1221,G$5:G1221,G1221),"0000"))</f>
        <v/>
      </c>
      <c r="C1221" s="26"/>
      <c r="D1221" s="26"/>
      <c r="E1221" s="27"/>
      <c r="F1221" s="27"/>
      <c r="G1221" s="24" t="str">
        <f aca="false">IF(F1221="","",IF(F1221&lt;=5,"A",IF(F1221&lt;=8,"B",IF(F1221&lt;=10,"C","D"))))</f>
        <v/>
      </c>
      <c r="H1221" s="28"/>
      <c r="I1221" s="27"/>
      <c r="J1221" s="26"/>
      <c r="K1221" s="27"/>
      <c r="L1221" s="27"/>
      <c r="M1221" s="27"/>
      <c r="N1221" s="27"/>
      <c r="O1221" s="24" t="str">
        <f aca="false">IF(G1221="","",VLOOKUP(G1221,Setup!$A$14:$C$17,3,0))</f>
        <v/>
      </c>
      <c r="P1221" s="27"/>
      <c r="Q1221" s="29" t="str">
        <f aca="false">IF(OR(P1221="",M1221&lt;&gt;"Paid",O1221=""),"",P1221/O1221)</f>
        <v/>
      </c>
      <c r="R1221" s="30" t="str">
        <f aca="false">IF(Q1221="","",Q1221+N(H1221)*0.000000001)</f>
        <v/>
      </c>
      <c r="S1221" s="25" t="str">
        <f aca="false">IF(R1221="","",SUMPRODUCT((I$5:I$4004=I1221)*ISNUMBER(R$5:R$4004)*(R$5:R$4004&gt;R1221))+1)</f>
        <v/>
      </c>
      <c r="T1221" s="25" t="str">
        <f aca="false">IF(S1221="","",IF(S1221&lt;=Setup!$B$5,"🏆 WINNER",""))</f>
        <v/>
      </c>
      <c r="U1221" s="24" t="str">
        <f aca="false">IF(S1221="","",I1221&amp;"|"&amp;S1221)</f>
        <v/>
      </c>
    </row>
    <row r="1222" customFormat="false" ht="15" hidden="false" customHeight="false" outlineLevel="0" collapsed="false">
      <c r="A1222" s="31" t="n">
        <v>1218</v>
      </c>
      <c r="B1222" s="32" t="str">
        <f aca="false">IF(OR(C1222="",I1222="",G1222=""),"",IFERROR(VLOOKUP(I1222,Setup!$A$9:$B$11,2,0),"???")&amp;"-"&amp;G1222&amp;"-"&amp;TEXT(COUNTIFS(I$5:I1222,I1222,G$5:G1222,G1222),"0000"))</f>
        <v/>
      </c>
      <c r="C1222" s="26"/>
      <c r="D1222" s="26"/>
      <c r="E1222" s="27"/>
      <c r="F1222" s="27"/>
      <c r="G1222" s="31" t="str">
        <f aca="false">IF(F1222="","",IF(F1222&lt;=5,"A",IF(F1222&lt;=8,"B",IF(F1222&lt;=10,"C","D"))))</f>
        <v/>
      </c>
      <c r="H1222" s="28"/>
      <c r="I1222" s="27"/>
      <c r="J1222" s="26"/>
      <c r="K1222" s="27"/>
      <c r="L1222" s="27"/>
      <c r="M1222" s="27"/>
      <c r="N1222" s="27"/>
      <c r="O1222" s="31" t="str">
        <f aca="false">IF(G1222="","",VLOOKUP(G1222,Setup!$A$14:$C$17,3,0))</f>
        <v/>
      </c>
      <c r="P1222" s="27"/>
      <c r="Q1222" s="33" t="str">
        <f aca="false">IF(OR(P1222="",M1222&lt;&gt;"Paid",O1222=""),"",P1222/O1222)</f>
        <v/>
      </c>
      <c r="R1222" s="34" t="str">
        <f aca="false">IF(Q1222="","",Q1222+N(H1222)*0.000000001)</f>
        <v/>
      </c>
      <c r="S1222" s="32" t="str">
        <f aca="false">IF(R1222="","",SUMPRODUCT((I$5:I$4004=I1222)*ISNUMBER(R$5:R$4004)*(R$5:R$4004&gt;R1222))+1)</f>
        <v/>
      </c>
      <c r="T1222" s="32" t="str">
        <f aca="false">IF(S1222="","",IF(S1222&lt;=Setup!$B$5,"🏆 WINNER",""))</f>
        <v/>
      </c>
      <c r="U1222" s="31" t="str">
        <f aca="false">IF(S1222="","",I1222&amp;"|"&amp;S1222)</f>
        <v/>
      </c>
    </row>
    <row r="1223" customFormat="false" ht="15" hidden="false" customHeight="false" outlineLevel="0" collapsed="false">
      <c r="A1223" s="24" t="n">
        <v>1219</v>
      </c>
      <c r="B1223" s="25" t="str">
        <f aca="false">IF(OR(C1223="",I1223="",G1223=""),"",IFERROR(VLOOKUP(I1223,Setup!$A$9:$B$11,2,0),"???")&amp;"-"&amp;G1223&amp;"-"&amp;TEXT(COUNTIFS(I$5:I1223,I1223,G$5:G1223,G1223),"0000"))</f>
        <v/>
      </c>
      <c r="C1223" s="26"/>
      <c r="D1223" s="26"/>
      <c r="E1223" s="27"/>
      <c r="F1223" s="27"/>
      <c r="G1223" s="24" t="str">
        <f aca="false">IF(F1223="","",IF(F1223&lt;=5,"A",IF(F1223&lt;=8,"B",IF(F1223&lt;=10,"C","D"))))</f>
        <v/>
      </c>
      <c r="H1223" s="28"/>
      <c r="I1223" s="27"/>
      <c r="J1223" s="26"/>
      <c r="K1223" s="27"/>
      <c r="L1223" s="27"/>
      <c r="M1223" s="27"/>
      <c r="N1223" s="27"/>
      <c r="O1223" s="24" t="str">
        <f aca="false">IF(G1223="","",VLOOKUP(G1223,Setup!$A$14:$C$17,3,0))</f>
        <v/>
      </c>
      <c r="P1223" s="27"/>
      <c r="Q1223" s="29" t="str">
        <f aca="false">IF(OR(P1223="",M1223&lt;&gt;"Paid",O1223=""),"",P1223/O1223)</f>
        <v/>
      </c>
      <c r="R1223" s="30" t="str">
        <f aca="false">IF(Q1223="","",Q1223+N(H1223)*0.000000001)</f>
        <v/>
      </c>
      <c r="S1223" s="25" t="str">
        <f aca="false">IF(R1223="","",SUMPRODUCT((I$5:I$4004=I1223)*ISNUMBER(R$5:R$4004)*(R$5:R$4004&gt;R1223))+1)</f>
        <v/>
      </c>
      <c r="T1223" s="25" t="str">
        <f aca="false">IF(S1223="","",IF(S1223&lt;=Setup!$B$5,"🏆 WINNER",""))</f>
        <v/>
      </c>
      <c r="U1223" s="24" t="str">
        <f aca="false">IF(S1223="","",I1223&amp;"|"&amp;S1223)</f>
        <v/>
      </c>
    </row>
    <row r="1224" customFormat="false" ht="15" hidden="false" customHeight="false" outlineLevel="0" collapsed="false">
      <c r="A1224" s="31" t="n">
        <v>1220</v>
      </c>
      <c r="B1224" s="32" t="str">
        <f aca="false">IF(OR(C1224="",I1224="",G1224=""),"",IFERROR(VLOOKUP(I1224,Setup!$A$9:$B$11,2,0),"???")&amp;"-"&amp;G1224&amp;"-"&amp;TEXT(COUNTIFS(I$5:I1224,I1224,G$5:G1224,G1224),"0000"))</f>
        <v/>
      </c>
      <c r="C1224" s="26"/>
      <c r="D1224" s="26"/>
      <c r="E1224" s="27"/>
      <c r="F1224" s="27"/>
      <c r="G1224" s="31" t="str">
        <f aca="false">IF(F1224="","",IF(F1224&lt;=5,"A",IF(F1224&lt;=8,"B",IF(F1224&lt;=10,"C","D"))))</f>
        <v/>
      </c>
      <c r="H1224" s="28"/>
      <c r="I1224" s="27"/>
      <c r="J1224" s="26"/>
      <c r="K1224" s="27"/>
      <c r="L1224" s="27"/>
      <c r="M1224" s="27"/>
      <c r="N1224" s="27"/>
      <c r="O1224" s="31" t="str">
        <f aca="false">IF(G1224="","",VLOOKUP(G1224,Setup!$A$14:$C$17,3,0))</f>
        <v/>
      </c>
      <c r="P1224" s="27"/>
      <c r="Q1224" s="33" t="str">
        <f aca="false">IF(OR(P1224="",M1224&lt;&gt;"Paid",O1224=""),"",P1224/O1224)</f>
        <v/>
      </c>
      <c r="R1224" s="34" t="str">
        <f aca="false">IF(Q1224="","",Q1224+N(H1224)*0.000000001)</f>
        <v/>
      </c>
      <c r="S1224" s="32" t="str">
        <f aca="false">IF(R1224="","",SUMPRODUCT((I$5:I$4004=I1224)*ISNUMBER(R$5:R$4004)*(R$5:R$4004&gt;R1224))+1)</f>
        <v/>
      </c>
      <c r="T1224" s="32" t="str">
        <f aca="false">IF(S1224="","",IF(S1224&lt;=Setup!$B$5,"🏆 WINNER",""))</f>
        <v/>
      </c>
      <c r="U1224" s="31" t="str">
        <f aca="false">IF(S1224="","",I1224&amp;"|"&amp;S1224)</f>
        <v/>
      </c>
    </row>
    <row r="1225" customFormat="false" ht="15" hidden="false" customHeight="false" outlineLevel="0" collapsed="false">
      <c r="A1225" s="24" t="n">
        <v>1221</v>
      </c>
      <c r="B1225" s="25" t="str">
        <f aca="false">IF(OR(C1225="",I1225="",G1225=""),"",IFERROR(VLOOKUP(I1225,Setup!$A$9:$B$11,2,0),"???")&amp;"-"&amp;G1225&amp;"-"&amp;TEXT(COUNTIFS(I$5:I1225,I1225,G$5:G1225,G1225),"0000"))</f>
        <v/>
      </c>
      <c r="C1225" s="26"/>
      <c r="D1225" s="26"/>
      <c r="E1225" s="27"/>
      <c r="F1225" s="27"/>
      <c r="G1225" s="24" t="str">
        <f aca="false">IF(F1225="","",IF(F1225&lt;=5,"A",IF(F1225&lt;=8,"B",IF(F1225&lt;=10,"C","D"))))</f>
        <v/>
      </c>
      <c r="H1225" s="28"/>
      <c r="I1225" s="27"/>
      <c r="J1225" s="26"/>
      <c r="K1225" s="27"/>
      <c r="L1225" s="27"/>
      <c r="M1225" s="27"/>
      <c r="N1225" s="27"/>
      <c r="O1225" s="24" t="str">
        <f aca="false">IF(G1225="","",VLOOKUP(G1225,Setup!$A$14:$C$17,3,0))</f>
        <v/>
      </c>
      <c r="P1225" s="27"/>
      <c r="Q1225" s="29" t="str">
        <f aca="false">IF(OR(P1225="",M1225&lt;&gt;"Paid",O1225=""),"",P1225/O1225)</f>
        <v/>
      </c>
      <c r="R1225" s="30" t="str">
        <f aca="false">IF(Q1225="","",Q1225+N(H1225)*0.000000001)</f>
        <v/>
      </c>
      <c r="S1225" s="25" t="str">
        <f aca="false">IF(R1225="","",SUMPRODUCT((I$5:I$4004=I1225)*ISNUMBER(R$5:R$4004)*(R$5:R$4004&gt;R1225))+1)</f>
        <v/>
      </c>
      <c r="T1225" s="25" t="str">
        <f aca="false">IF(S1225="","",IF(S1225&lt;=Setup!$B$5,"🏆 WINNER",""))</f>
        <v/>
      </c>
      <c r="U1225" s="24" t="str">
        <f aca="false">IF(S1225="","",I1225&amp;"|"&amp;S1225)</f>
        <v/>
      </c>
    </row>
    <row r="1226" customFormat="false" ht="15" hidden="false" customHeight="false" outlineLevel="0" collapsed="false">
      <c r="A1226" s="31" t="n">
        <v>1222</v>
      </c>
      <c r="B1226" s="32" t="str">
        <f aca="false">IF(OR(C1226="",I1226="",G1226=""),"",IFERROR(VLOOKUP(I1226,Setup!$A$9:$B$11,2,0),"???")&amp;"-"&amp;G1226&amp;"-"&amp;TEXT(COUNTIFS(I$5:I1226,I1226,G$5:G1226,G1226),"0000"))</f>
        <v/>
      </c>
      <c r="C1226" s="26"/>
      <c r="D1226" s="26"/>
      <c r="E1226" s="27"/>
      <c r="F1226" s="27"/>
      <c r="G1226" s="31" t="str">
        <f aca="false">IF(F1226="","",IF(F1226&lt;=5,"A",IF(F1226&lt;=8,"B",IF(F1226&lt;=10,"C","D"))))</f>
        <v/>
      </c>
      <c r="H1226" s="28"/>
      <c r="I1226" s="27"/>
      <c r="J1226" s="26"/>
      <c r="K1226" s="27"/>
      <c r="L1226" s="27"/>
      <c r="M1226" s="27"/>
      <c r="N1226" s="27"/>
      <c r="O1226" s="31" t="str">
        <f aca="false">IF(G1226="","",VLOOKUP(G1226,Setup!$A$14:$C$17,3,0))</f>
        <v/>
      </c>
      <c r="P1226" s="27"/>
      <c r="Q1226" s="33" t="str">
        <f aca="false">IF(OR(P1226="",M1226&lt;&gt;"Paid",O1226=""),"",P1226/O1226)</f>
        <v/>
      </c>
      <c r="R1226" s="34" t="str">
        <f aca="false">IF(Q1226="","",Q1226+N(H1226)*0.000000001)</f>
        <v/>
      </c>
      <c r="S1226" s="32" t="str">
        <f aca="false">IF(R1226="","",SUMPRODUCT((I$5:I$4004=I1226)*ISNUMBER(R$5:R$4004)*(R$5:R$4004&gt;R1226))+1)</f>
        <v/>
      </c>
      <c r="T1226" s="32" t="str">
        <f aca="false">IF(S1226="","",IF(S1226&lt;=Setup!$B$5,"🏆 WINNER",""))</f>
        <v/>
      </c>
      <c r="U1226" s="31" t="str">
        <f aca="false">IF(S1226="","",I1226&amp;"|"&amp;S1226)</f>
        <v/>
      </c>
    </row>
    <row r="1227" customFormat="false" ht="15" hidden="false" customHeight="false" outlineLevel="0" collapsed="false">
      <c r="A1227" s="24" t="n">
        <v>1223</v>
      </c>
      <c r="B1227" s="25" t="str">
        <f aca="false">IF(OR(C1227="",I1227="",G1227=""),"",IFERROR(VLOOKUP(I1227,Setup!$A$9:$B$11,2,0),"???")&amp;"-"&amp;G1227&amp;"-"&amp;TEXT(COUNTIFS(I$5:I1227,I1227,G$5:G1227,G1227),"0000"))</f>
        <v/>
      </c>
      <c r="C1227" s="26"/>
      <c r="D1227" s="26"/>
      <c r="E1227" s="27"/>
      <c r="F1227" s="27"/>
      <c r="G1227" s="24" t="str">
        <f aca="false">IF(F1227="","",IF(F1227&lt;=5,"A",IF(F1227&lt;=8,"B",IF(F1227&lt;=10,"C","D"))))</f>
        <v/>
      </c>
      <c r="H1227" s="28"/>
      <c r="I1227" s="27"/>
      <c r="J1227" s="26"/>
      <c r="K1227" s="27"/>
      <c r="L1227" s="27"/>
      <c r="M1227" s="27"/>
      <c r="N1227" s="27"/>
      <c r="O1227" s="24" t="str">
        <f aca="false">IF(G1227="","",VLOOKUP(G1227,Setup!$A$14:$C$17,3,0))</f>
        <v/>
      </c>
      <c r="P1227" s="27"/>
      <c r="Q1227" s="29" t="str">
        <f aca="false">IF(OR(P1227="",M1227&lt;&gt;"Paid",O1227=""),"",P1227/O1227)</f>
        <v/>
      </c>
      <c r="R1227" s="30" t="str">
        <f aca="false">IF(Q1227="","",Q1227+N(H1227)*0.000000001)</f>
        <v/>
      </c>
      <c r="S1227" s="25" t="str">
        <f aca="false">IF(R1227="","",SUMPRODUCT((I$5:I$4004=I1227)*ISNUMBER(R$5:R$4004)*(R$5:R$4004&gt;R1227))+1)</f>
        <v/>
      </c>
      <c r="T1227" s="25" t="str">
        <f aca="false">IF(S1227="","",IF(S1227&lt;=Setup!$B$5,"🏆 WINNER",""))</f>
        <v/>
      </c>
      <c r="U1227" s="24" t="str">
        <f aca="false">IF(S1227="","",I1227&amp;"|"&amp;S1227)</f>
        <v/>
      </c>
    </row>
    <row r="1228" customFormat="false" ht="15" hidden="false" customHeight="false" outlineLevel="0" collapsed="false">
      <c r="A1228" s="31" t="n">
        <v>1224</v>
      </c>
      <c r="B1228" s="32" t="str">
        <f aca="false">IF(OR(C1228="",I1228="",G1228=""),"",IFERROR(VLOOKUP(I1228,Setup!$A$9:$B$11,2,0),"???")&amp;"-"&amp;G1228&amp;"-"&amp;TEXT(COUNTIFS(I$5:I1228,I1228,G$5:G1228,G1228),"0000"))</f>
        <v/>
      </c>
      <c r="C1228" s="26"/>
      <c r="D1228" s="26"/>
      <c r="E1228" s="27"/>
      <c r="F1228" s="27"/>
      <c r="G1228" s="31" t="str">
        <f aca="false">IF(F1228="","",IF(F1228&lt;=5,"A",IF(F1228&lt;=8,"B",IF(F1228&lt;=10,"C","D"))))</f>
        <v/>
      </c>
      <c r="H1228" s="28"/>
      <c r="I1228" s="27"/>
      <c r="J1228" s="26"/>
      <c r="K1228" s="27"/>
      <c r="L1228" s="27"/>
      <c r="M1228" s="27"/>
      <c r="N1228" s="27"/>
      <c r="O1228" s="31" t="str">
        <f aca="false">IF(G1228="","",VLOOKUP(G1228,Setup!$A$14:$C$17,3,0))</f>
        <v/>
      </c>
      <c r="P1228" s="27"/>
      <c r="Q1228" s="33" t="str">
        <f aca="false">IF(OR(P1228="",M1228&lt;&gt;"Paid",O1228=""),"",P1228/O1228)</f>
        <v/>
      </c>
      <c r="R1228" s="34" t="str">
        <f aca="false">IF(Q1228="","",Q1228+N(H1228)*0.000000001)</f>
        <v/>
      </c>
      <c r="S1228" s="32" t="str">
        <f aca="false">IF(R1228="","",SUMPRODUCT((I$5:I$4004=I1228)*ISNUMBER(R$5:R$4004)*(R$5:R$4004&gt;R1228))+1)</f>
        <v/>
      </c>
      <c r="T1228" s="32" t="str">
        <f aca="false">IF(S1228="","",IF(S1228&lt;=Setup!$B$5,"🏆 WINNER",""))</f>
        <v/>
      </c>
      <c r="U1228" s="31" t="str">
        <f aca="false">IF(S1228="","",I1228&amp;"|"&amp;S1228)</f>
        <v/>
      </c>
    </row>
    <row r="1229" customFormat="false" ht="15" hidden="false" customHeight="false" outlineLevel="0" collapsed="false">
      <c r="A1229" s="24" t="n">
        <v>1225</v>
      </c>
      <c r="B1229" s="25" t="str">
        <f aca="false">IF(OR(C1229="",I1229="",G1229=""),"",IFERROR(VLOOKUP(I1229,Setup!$A$9:$B$11,2,0),"???")&amp;"-"&amp;G1229&amp;"-"&amp;TEXT(COUNTIFS(I$5:I1229,I1229,G$5:G1229,G1229),"0000"))</f>
        <v/>
      </c>
      <c r="C1229" s="26"/>
      <c r="D1229" s="26"/>
      <c r="E1229" s="27"/>
      <c r="F1229" s="27"/>
      <c r="G1229" s="24" t="str">
        <f aca="false">IF(F1229="","",IF(F1229&lt;=5,"A",IF(F1229&lt;=8,"B",IF(F1229&lt;=10,"C","D"))))</f>
        <v/>
      </c>
      <c r="H1229" s="28"/>
      <c r="I1229" s="27"/>
      <c r="J1229" s="26"/>
      <c r="K1229" s="27"/>
      <c r="L1229" s="27"/>
      <c r="M1229" s="27"/>
      <c r="N1229" s="27"/>
      <c r="O1229" s="24" t="str">
        <f aca="false">IF(G1229="","",VLOOKUP(G1229,Setup!$A$14:$C$17,3,0))</f>
        <v/>
      </c>
      <c r="P1229" s="27"/>
      <c r="Q1229" s="29" t="str">
        <f aca="false">IF(OR(P1229="",M1229&lt;&gt;"Paid",O1229=""),"",P1229/O1229)</f>
        <v/>
      </c>
      <c r="R1229" s="30" t="str">
        <f aca="false">IF(Q1229="","",Q1229+N(H1229)*0.000000001)</f>
        <v/>
      </c>
      <c r="S1229" s="25" t="str">
        <f aca="false">IF(R1229="","",SUMPRODUCT((I$5:I$4004=I1229)*ISNUMBER(R$5:R$4004)*(R$5:R$4004&gt;R1229))+1)</f>
        <v/>
      </c>
      <c r="T1229" s="25" t="str">
        <f aca="false">IF(S1229="","",IF(S1229&lt;=Setup!$B$5,"🏆 WINNER",""))</f>
        <v/>
      </c>
      <c r="U1229" s="24" t="str">
        <f aca="false">IF(S1229="","",I1229&amp;"|"&amp;S1229)</f>
        <v/>
      </c>
    </row>
    <row r="1230" customFormat="false" ht="15" hidden="false" customHeight="false" outlineLevel="0" collapsed="false">
      <c r="A1230" s="31" t="n">
        <v>1226</v>
      </c>
      <c r="B1230" s="32" t="str">
        <f aca="false">IF(OR(C1230="",I1230="",G1230=""),"",IFERROR(VLOOKUP(I1230,Setup!$A$9:$B$11,2,0),"???")&amp;"-"&amp;G1230&amp;"-"&amp;TEXT(COUNTIFS(I$5:I1230,I1230,G$5:G1230,G1230),"0000"))</f>
        <v/>
      </c>
      <c r="C1230" s="26"/>
      <c r="D1230" s="26"/>
      <c r="E1230" s="27"/>
      <c r="F1230" s="27"/>
      <c r="G1230" s="31" t="str">
        <f aca="false">IF(F1230="","",IF(F1230&lt;=5,"A",IF(F1230&lt;=8,"B",IF(F1230&lt;=10,"C","D"))))</f>
        <v/>
      </c>
      <c r="H1230" s="28"/>
      <c r="I1230" s="27"/>
      <c r="J1230" s="26"/>
      <c r="K1230" s="27"/>
      <c r="L1230" s="27"/>
      <c r="M1230" s="27"/>
      <c r="N1230" s="27"/>
      <c r="O1230" s="31" t="str">
        <f aca="false">IF(G1230="","",VLOOKUP(G1230,Setup!$A$14:$C$17,3,0))</f>
        <v/>
      </c>
      <c r="P1230" s="27"/>
      <c r="Q1230" s="33" t="str">
        <f aca="false">IF(OR(P1230="",M1230&lt;&gt;"Paid",O1230=""),"",P1230/O1230)</f>
        <v/>
      </c>
      <c r="R1230" s="34" t="str">
        <f aca="false">IF(Q1230="","",Q1230+N(H1230)*0.000000001)</f>
        <v/>
      </c>
      <c r="S1230" s="32" t="str">
        <f aca="false">IF(R1230="","",SUMPRODUCT((I$5:I$4004=I1230)*ISNUMBER(R$5:R$4004)*(R$5:R$4004&gt;R1230))+1)</f>
        <v/>
      </c>
      <c r="T1230" s="32" t="str">
        <f aca="false">IF(S1230="","",IF(S1230&lt;=Setup!$B$5,"🏆 WINNER",""))</f>
        <v/>
      </c>
      <c r="U1230" s="31" t="str">
        <f aca="false">IF(S1230="","",I1230&amp;"|"&amp;S1230)</f>
        <v/>
      </c>
    </row>
    <row r="1231" customFormat="false" ht="15" hidden="false" customHeight="false" outlineLevel="0" collapsed="false">
      <c r="A1231" s="24" t="n">
        <v>1227</v>
      </c>
      <c r="B1231" s="25" t="str">
        <f aca="false">IF(OR(C1231="",I1231="",G1231=""),"",IFERROR(VLOOKUP(I1231,Setup!$A$9:$B$11,2,0),"???")&amp;"-"&amp;G1231&amp;"-"&amp;TEXT(COUNTIFS(I$5:I1231,I1231,G$5:G1231,G1231),"0000"))</f>
        <v/>
      </c>
      <c r="C1231" s="26"/>
      <c r="D1231" s="26"/>
      <c r="E1231" s="27"/>
      <c r="F1231" s="27"/>
      <c r="G1231" s="24" t="str">
        <f aca="false">IF(F1231="","",IF(F1231&lt;=5,"A",IF(F1231&lt;=8,"B",IF(F1231&lt;=10,"C","D"))))</f>
        <v/>
      </c>
      <c r="H1231" s="28"/>
      <c r="I1231" s="27"/>
      <c r="J1231" s="26"/>
      <c r="K1231" s="27"/>
      <c r="L1231" s="27"/>
      <c r="M1231" s="27"/>
      <c r="N1231" s="27"/>
      <c r="O1231" s="24" t="str">
        <f aca="false">IF(G1231="","",VLOOKUP(G1231,Setup!$A$14:$C$17,3,0))</f>
        <v/>
      </c>
      <c r="P1231" s="27"/>
      <c r="Q1231" s="29" t="str">
        <f aca="false">IF(OR(P1231="",M1231&lt;&gt;"Paid",O1231=""),"",P1231/O1231)</f>
        <v/>
      </c>
      <c r="R1231" s="30" t="str">
        <f aca="false">IF(Q1231="","",Q1231+N(H1231)*0.000000001)</f>
        <v/>
      </c>
      <c r="S1231" s="25" t="str">
        <f aca="false">IF(R1231="","",SUMPRODUCT((I$5:I$4004=I1231)*ISNUMBER(R$5:R$4004)*(R$5:R$4004&gt;R1231))+1)</f>
        <v/>
      </c>
      <c r="T1231" s="25" t="str">
        <f aca="false">IF(S1231="","",IF(S1231&lt;=Setup!$B$5,"🏆 WINNER",""))</f>
        <v/>
      </c>
      <c r="U1231" s="24" t="str">
        <f aca="false">IF(S1231="","",I1231&amp;"|"&amp;S1231)</f>
        <v/>
      </c>
    </row>
    <row r="1232" customFormat="false" ht="15" hidden="false" customHeight="false" outlineLevel="0" collapsed="false">
      <c r="A1232" s="31" t="n">
        <v>1228</v>
      </c>
      <c r="B1232" s="32" t="str">
        <f aca="false">IF(OR(C1232="",I1232="",G1232=""),"",IFERROR(VLOOKUP(I1232,Setup!$A$9:$B$11,2,0),"???")&amp;"-"&amp;G1232&amp;"-"&amp;TEXT(COUNTIFS(I$5:I1232,I1232,G$5:G1232,G1232),"0000"))</f>
        <v/>
      </c>
      <c r="C1232" s="26"/>
      <c r="D1232" s="26"/>
      <c r="E1232" s="27"/>
      <c r="F1232" s="27"/>
      <c r="G1232" s="31" t="str">
        <f aca="false">IF(F1232="","",IF(F1232&lt;=5,"A",IF(F1232&lt;=8,"B",IF(F1232&lt;=10,"C","D"))))</f>
        <v/>
      </c>
      <c r="H1232" s="28"/>
      <c r="I1232" s="27"/>
      <c r="J1232" s="26"/>
      <c r="K1232" s="27"/>
      <c r="L1232" s="27"/>
      <c r="M1232" s="27"/>
      <c r="N1232" s="27"/>
      <c r="O1232" s="31" t="str">
        <f aca="false">IF(G1232="","",VLOOKUP(G1232,Setup!$A$14:$C$17,3,0))</f>
        <v/>
      </c>
      <c r="P1232" s="27"/>
      <c r="Q1232" s="33" t="str">
        <f aca="false">IF(OR(P1232="",M1232&lt;&gt;"Paid",O1232=""),"",P1232/O1232)</f>
        <v/>
      </c>
      <c r="R1232" s="34" t="str">
        <f aca="false">IF(Q1232="","",Q1232+N(H1232)*0.000000001)</f>
        <v/>
      </c>
      <c r="S1232" s="32" t="str">
        <f aca="false">IF(R1232="","",SUMPRODUCT((I$5:I$4004=I1232)*ISNUMBER(R$5:R$4004)*(R$5:R$4004&gt;R1232))+1)</f>
        <v/>
      </c>
      <c r="T1232" s="32" t="str">
        <f aca="false">IF(S1232="","",IF(S1232&lt;=Setup!$B$5,"🏆 WINNER",""))</f>
        <v/>
      </c>
      <c r="U1232" s="31" t="str">
        <f aca="false">IF(S1232="","",I1232&amp;"|"&amp;S1232)</f>
        <v/>
      </c>
    </row>
    <row r="1233" customFormat="false" ht="15" hidden="false" customHeight="false" outlineLevel="0" collapsed="false">
      <c r="A1233" s="24" t="n">
        <v>1229</v>
      </c>
      <c r="B1233" s="25" t="str">
        <f aca="false">IF(OR(C1233="",I1233="",G1233=""),"",IFERROR(VLOOKUP(I1233,Setup!$A$9:$B$11,2,0),"???")&amp;"-"&amp;G1233&amp;"-"&amp;TEXT(COUNTIFS(I$5:I1233,I1233,G$5:G1233,G1233),"0000"))</f>
        <v/>
      </c>
      <c r="C1233" s="26"/>
      <c r="D1233" s="26"/>
      <c r="E1233" s="27"/>
      <c r="F1233" s="27"/>
      <c r="G1233" s="24" t="str">
        <f aca="false">IF(F1233="","",IF(F1233&lt;=5,"A",IF(F1233&lt;=8,"B",IF(F1233&lt;=10,"C","D"))))</f>
        <v/>
      </c>
      <c r="H1233" s="28"/>
      <c r="I1233" s="27"/>
      <c r="J1233" s="26"/>
      <c r="K1233" s="27"/>
      <c r="L1233" s="27"/>
      <c r="M1233" s="27"/>
      <c r="N1233" s="27"/>
      <c r="O1233" s="24" t="str">
        <f aca="false">IF(G1233="","",VLOOKUP(G1233,Setup!$A$14:$C$17,3,0))</f>
        <v/>
      </c>
      <c r="P1233" s="27"/>
      <c r="Q1233" s="29" t="str">
        <f aca="false">IF(OR(P1233="",M1233&lt;&gt;"Paid",O1233=""),"",P1233/O1233)</f>
        <v/>
      </c>
      <c r="R1233" s="30" t="str">
        <f aca="false">IF(Q1233="","",Q1233+N(H1233)*0.000000001)</f>
        <v/>
      </c>
      <c r="S1233" s="25" t="str">
        <f aca="false">IF(R1233="","",SUMPRODUCT((I$5:I$4004=I1233)*ISNUMBER(R$5:R$4004)*(R$5:R$4004&gt;R1233))+1)</f>
        <v/>
      </c>
      <c r="T1233" s="25" t="str">
        <f aca="false">IF(S1233="","",IF(S1233&lt;=Setup!$B$5,"🏆 WINNER",""))</f>
        <v/>
      </c>
      <c r="U1233" s="24" t="str">
        <f aca="false">IF(S1233="","",I1233&amp;"|"&amp;S1233)</f>
        <v/>
      </c>
    </row>
    <row r="1234" customFormat="false" ht="15" hidden="false" customHeight="false" outlineLevel="0" collapsed="false">
      <c r="A1234" s="31" t="n">
        <v>1230</v>
      </c>
      <c r="B1234" s="32" t="str">
        <f aca="false">IF(OR(C1234="",I1234="",G1234=""),"",IFERROR(VLOOKUP(I1234,Setup!$A$9:$B$11,2,0),"???")&amp;"-"&amp;G1234&amp;"-"&amp;TEXT(COUNTIFS(I$5:I1234,I1234,G$5:G1234,G1234),"0000"))</f>
        <v/>
      </c>
      <c r="C1234" s="26"/>
      <c r="D1234" s="26"/>
      <c r="E1234" s="27"/>
      <c r="F1234" s="27"/>
      <c r="G1234" s="31" t="str">
        <f aca="false">IF(F1234="","",IF(F1234&lt;=5,"A",IF(F1234&lt;=8,"B",IF(F1234&lt;=10,"C","D"))))</f>
        <v/>
      </c>
      <c r="H1234" s="28"/>
      <c r="I1234" s="27"/>
      <c r="J1234" s="26"/>
      <c r="K1234" s="27"/>
      <c r="L1234" s="27"/>
      <c r="M1234" s="27"/>
      <c r="N1234" s="27"/>
      <c r="O1234" s="31" t="str">
        <f aca="false">IF(G1234="","",VLOOKUP(G1234,Setup!$A$14:$C$17,3,0))</f>
        <v/>
      </c>
      <c r="P1234" s="27"/>
      <c r="Q1234" s="33" t="str">
        <f aca="false">IF(OR(P1234="",M1234&lt;&gt;"Paid",O1234=""),"",P1234/O1234)</f>
        <v/>
      </c>
      <c r="R1234" s="34" t="str">
        <f aca="false">IF(Q1234="","",Q1234+N(H1234)*0.000000001)</f>
        <v/>
      </c>
      <c r="S1234" s="32" t="str">
        <f aca="false">IF(R1234="","",SUMPRODUCT((I$5:I$4004=I1234)*ISNUMBER(R$5:R$4004)*(R$5:R$4004&gt;R1234))+1)</f>
        <v/>
      </c>
      <c r="T1234" s="32" t="str">
        <f aca="false">IF(S1234="","",IF(S1234&lt;=Setup!$B$5,"🏆 WINNER",""))</f>
        <v/>
      </c>
      <c r="U1234" s="31" t="str">
        <f aca="false">IF(S1234="","",I1234&amp;"|"&amp;S1234)</f>
        <v/>
      </c>
    </row>
    <row r="1235" customFormat="false" ht="15" hidden="false" customHeight="false" outlineLevel="0" collapsed="false">
      <c r="A1235" s="24" t="n">
        <v>1231</v>
      </c>
      <c r="B1235" s="25" t="str">
        <f aca="false">IF(OR(C1235="",I1235="",G1235=""),"",IFERROR(VLOOKUP(I1235,Setup!$A$9:$B$11,2,0),"???")&amp;"-"&amp;G1235&amp;"-"&amp;TEXT(COUNTIFS(I$5:I1235,I1235,G$5:G1235,G1235),"0000"))</f>
        <v/>
      </c>
      <c r="C1235" s="26"/>
      <c r="D1235" s="26"/>
      <c r="E1235" s="27"/>
      <c r="F1235" s="27"/>
      <c r="G1235" s="24" t="str">
        <f aca="false">IF(F1235="","",IF(F1235&lt;=5,"A",IF(F1235&lt;=8,"B",IF(F1235&lt;=10,"C","D"))))</f>
        <v/>
      </c>
      <c r="H1235" s="28"/>
      <c r="I1235" s="27"/>
      <c r="J1235" s="26"/>
      <c r="K1235" s="27"/>
      <c r="L1235" s="27"/>
      <c r="M1235" s="27"/>
      <c r="N1235" s="27"/>
      <c r="O1235" s="24" t="str">
        <f aca="false">IF(G1235="","",VLOOKUP(G1235,Setup!$A$14:$C$17,3,0))</f>
        <v/>
      </c>
      <c r="P1235" s="27"/>
      <c r="Q1235" s="29" t="str">
        <f aca="false">IF(OR(P1235="",M1235&lt;&gt;"Paid",O1235=""),"",P1235/O1235)</f>
        <v/>
      </c>
      <c r="R1235" s="30" t="str">
        <f aca="false">IF(Q1235="","",Q1235+N(H1235)*0.000000001)</f>
        <v/>
      </c>
      <c r="S1235" s="25" t="str">
        <f aca="false">IF(R1235="","",SUMPRODUCT((I$5:I$4004=I1235)*ISNUMBER(R$5:R$4004)*(R$5:R$4004&gt;R1235))+1)</f>
        <v/>
      </c>
      <c r="T1235" s="25" t="str">
        <f aca="false">IF(S1235="","",IF(S1235&lt;=Setup!$B$5,"🏆 WINNER",""))</f>
        <v/>
      </c>
      <c r="U1235" s="24" t="str">
        <f aca="false">IF(S1235="","",I1235&amp;"|"&amp;S1235)</f>
        <v/>
      </c>
    </row>
    <row r="1236" customFormat="false" ht="15" hidden="false" customHeight="false" outlineLevel="0" collapsed="false">
      <c r="A1236" s="31" t="n">
        <v>1232</v>
      </c>
      <c r="B1236" s="32" t="str">
        <f aca="false">IF(OR(C1236="",I1236="",G1236=""),"",IFERROR(VLOOKUP(I1236,Setup!$A$9:$B$11,2,0),"???")&amp;"-"&amp;G1236&amp;"-"&amp;TEXT(COUNTIFS(I$5:I1236,I1236,G$5:G1236,G1236),"0000"))</f>
        <v/>
      </c>
      <c r="C1236" s="26"/>
      <c r="D1236" s="26"/>
      <c r="E1236" s="27"/>
      <c r="F1236" s="27"/>
      <c r="G1236" s="31" t="str">
        <f aca="false">IF(F1236="","",IF(F1236&lt;=5,"A",IF(F1236&lt;=8,"B",IF(F1236&lt;=10,"C","D"))))</f>
        <v/>
      </c>
      <c r="H1236" s="28"/>
      <c r="I1236" s="27"/>
      <c r="J1236" s="26"/>
      <c r="K1236" s="27"/>
      <c r="L1236" s="27"/>
      <c r="M1236" s="27"/>
      <c r="N1236" s="27"/>
      <c r="O1236" s="31" t="str">
        <f aca="false">IF(G1236="","",VLOOKUP(G1236,Setup!$A$14:$C$17,3,0))</f>
        <v/>
      </c>
      <c r="P1236" s="27"/>
      <c r="Q1236" s="33" t="str">
        <f aca="false">IF(OR(P1236="",M1236&lt;&gt;"Paid",O1236=""),"",P1236/O1236)</f>
        <v/>
      </c>
      <c r="R1236" s="34" t="str">
        <f aca="false">IF(Q1236="","",Q1236+N(H1236)*0.000000001)</f>
        <v/>
      </c>
      <c r="S1236" s="32" t="str">
        <f aca="false">IF(R1236="","",SUMPRODUCT((I$5:I$4004=I1236)*ISNUMBER(R$5:R$4004)*(R$5:R$4004&gt;R1236))+1)</f>
        <v/>
      </c>
      <c r="T1236" s="32" t="str">
        <f aca="false">IF(S1236="","",IF(S1236&lt;=Setup!$B$5,"🏆 WINNER",""))</f>
        <v/>
      </c>
      <c r="U1236" s="31" t="str">
        <f aca="false">IF(S1236="","",I1236&amp;"|"&amp;S1236)</f>
        <v/>
      </c>
    </row>
    <row r="1237" customFormat="false" ht="15" hidden="false" customHeight="false" outlineLevel="0" collapsed="false">
      <c r="A1237" s="24" t="n">
        <v>1233</v>
      </c>
      <c r="B1237" s="25" t="str">
        <f aca="false">IF(OR(C1237="",I1237="",G1237=""),"",IFERROR(VLOOKUP(I1237,Setup!$A$9:$B$11,2,0),"???")&amp;"-"&amp;G1237&amp;"-"&amp;TEXT(COUNTIFS(I$5:I1237,I1237,G$5:G1237,G1237),"0000"))</f>
        <v/>
      </c>
      <c r="C1237" s="26"/>
      <c r="D1237" s="26"/>
      <c r="E1237" s="27"/>
      <c r="F1237" s="27"/>
      <c r="G1237" s="24" t="str">
        <f aca="false">IF(F1237="","",IF(F1237&lt;=5,"A",IF(F1237&lt;=8,"B",IF(F1237&lt;=10,"C","D"))))</f>
        <v/>
      </c>
      <c r="H1237" s="28"/>
      <c r="I1237" s="27"/>
      <c r="J1237" s="26"/>
      <c r="K1237" s="27"/>
      <c r="L1237" s="27"/>
      <c r="M1237" s="27"/>
      <c r="N1237" s="27"/>
      <c r="O1237" s="24" t="str">
        <f aca="false">IF(G1237="","",VLOOKUP(G1237,Setup!$A$14:$C$17,3,0))</f>
        <v/>
      </c>
      <c r="P1237" s="27"/>
      <c r="Q1237" s="29" t="str">
        <f aca="false">IF(OR(P1237="",M1237&lt;&gt;"Paid",O1237=""),"",P1237/O1237)</f>
        <v/>
      </c>
      <c r="R1237" s="30" t="str">
        <f aca="false">IF(Q1237="","",Q1237+N(H1237)*0.000000001)</f>
        <v/>
      </c>
      <c r="S1237" s="25" t="str">
        <f aca="false">IF(R1237="","",SUMPRODUCT((I$5:I$4004=I1237)*ISNUMBER(R$5:R$4004)*(R$5:R$4004&gt;R1237))+1)</f>
        <v/>
      </c>
      <c r="T1237" s="25" t="str">
        <f aca="false">IF(S1237="","",IF(S1237&lt;=Setup!$B$5,"🏆 WINNER",""))</f>
        <v/>
      </c>
      <c r="U1237" s="24" t="str">
        <f aca="false">IF(S1237="","",I1237&amp;"|"&amp;S1237)</f>
        <v/>
      </c>
    </row>
    <row r="1238" customFormat="false" ht="15" hidden="false" customHeight="false" outlineLevel="0" collapsed="false">
      <c r="A1238" s="31" t="n">
        <v>1234</v>
      </c>
      <c r="B1238" s="32" t="str">
        <f aca="false">IF(OR(C1238="",I1238="",G1238=""),"",IFERROR(VLOOKUP(I1238,Setup!$A$9:$B$11,2,0),"???")&amp;"-"&amp;G1238&amp;"-"&amp;TEXT(COUNTIFS(I$5:I1238,I1238,G$5:G1238,G1238),"0000"))</f>
        <v/>
      </c>
      <c r="C1238" s="26"/>
      <c r="D1238" s="26"/>
      <c r="E1238" s="27"/>
      <c r="F1238" s="27"/>
      <c r="G1238" s="31" t="str">
        <f aca="false">IF(F1238="","",IF(F1238&lt;=5,"A",IF(F1238&lt;=8,"B",IF(F1238&lt;=10,"C","D"))))</f>
        <v/>
      </c>
      <c r="H1238" s="28"/>
      <c r="I1238" s="27"/>
      <c r="J1238" s="26"/>
      <c r="K1238" s="27"/>
      <c r="L1238" s="27"/>
      <c r="M1238" s="27"/>
      <c r="N1238" s="27"/>
      <c r="O1238" s="31" t="str">
        <f aca="false">IF(G1238="","",VLOOKUP(G1238,Setup!$A$14:$C$17,3,0))</f>
        <v/>
      </c>
      <c r="P1238" s="27"/>
      <c r="Q1238" s="33" t="str">
        <f aca="false">IF(OR(P1238="",M1238&lt;&gt;"Paid",O1238=""),"",P1238/O1238)</f>
        <v/>
      </c>
      <c r="R1238" s="34" t="str">
        <f aca="false">IF(Q1238="","",Q1238+N(H1238)*0.000000001)</f>
        <v/>
      </c>
      <c r="S1238" s="32" t="str">
        <f aca="false">IF(R1238="","",SUMPRODUCT((I$5:I$4004=I1238)*ISNUMBER(R$5:R$4004)*(R$5:R$4004&gt;R1238))+1)</f>
        <v/>
      </c>
      <c r="T1238" s="32" t="str">
        <f aca="false">IF(S1238="","",IF(S1238&lt;=Setup!$B$5,"🏆 WINNER",""))</f>
        <v/>
      </c>
      <c r="U1238" s="31" t="str">
        <f aca="false">IF(S1238="","",I1238&amp;"|"&amp;S1238)</f>
        <v/>
      </c>
    </row>
    <row r="1239" customFormat="false" ht="15" hidden="false" customHeight="false" outlineLevel="0" collapsed="false">
      <c r="A1239" s="24" t="n">
        <v>1235</v>
      </c>
      <c r="B1239" s="25" t="str">
        <f aca="false">IF(OR(C1239="",I1239="",G1239=""),"",IFERROR(VLOOKUP(I1239,Setup!$A$9:$B$11,2,0),"???")&amp;"-"&amp;G1239&amp;"-"&amp;TEXT(COUNTIFS(I$5:I1239,I1239,G$5:G1239,G1239),"0000"))</f>
        <v/>
      </c>
      <c r="C1239" s="26"/>
      <c r="D1239" s="26"/>
      <c r="E1239" s="27"/>
      <c r="F1239" s="27"/>
      <c r="G1239" s="24" t="str">
        <f aca="false">IF(F1239="","",IF(F1239&lt;=5,"A",IF(F1239&lt;=8,"B",IF(F1239&lt;=10,"C","D"))))</f>
        <v/>
      </c>
      <c r="H1239" s="28"/>
      <c r="I1239" s="27"/>
      <c r="J1239" s="26"/>
      <c r="K1239" s="27"/>
      <c r="L1239" s="27"/>
      <c r="M1239" s="27"/>
      <c r="N1239" s="27"/>
      <c r="O1239" s="24" t="str">
        <f aca="false">IF(G1239="","",VLOOKUP(G1239,Setup!$A$14:$C$17,3,0))</f>
        <v/>
      </c>
      <c r="P1239" s="27"/>
      <c r="Q1239" s="29" t="str">
        <f aca="false">IF(OR(P1239="",M1239&lt;&gt;"Paid",O1239=""),"",P1239/O1239)</f>
        <v/>
      </c>
      <c r="R1239" s="30" t="str">
        <f aca="false">IF(Q1239="","",Q1239+N(H1239)*0.000000001)</f>
        <v/>
      </c>
      <c r="S1239" s="25" t="str">
        <f aca="false">IF(R1239="","",SUMPRODUCT((I$5:I$4004=I1239)*ISNUMBER(R$5:R$4004)*(R$5:R$4004&gt;R1239))+1)</f>
        <v/>
      </c>
      <c r="T1239" s="25" t="str">
        <f aca="false">IF(S1239="","",IF(S1239&lt;=Setup!$B$5,"🏆 WINNER",""))</f>
        <v/>
      </c>
      <c r="U1239" s="24" t="str">
        <f aca="false">IF(S1239="","",I1239&amp;"|"&amp;S1239)</f>
        <v/>
      </c>
    </row>
    <row r="1240" customFormat="false" ht="15" hidden="false" customHeight="false" outlineLevel="0" collapsed="false">
      <c r="A1240" s="31" t="n">
        <v>1236</v>
      </c>
      <c r="B1240" s="32" t="str">
        <f aca="false">IF(OR(C1240="",I1240="",G1240=""),"",IFERROR(VLOOKUP(I1240,Setup!$A$9:$B$11,2,0),"???")&amp;"-"&amp;G1240&amp;"-"&amp;TEXT(COUNTIFS(I$5:I1240,I1240,G$5:G1240,G1240),"0000"))</f>
        <v/>
      </c>
      <c r="C1240" s="26"/>
      <c r="D1240" s="26"/>
      <c r="E1240" s="27"/>
      <c r="F1240" s="27"/>
      <c r="G1240" s="31" t="str">
        <f aca="false">IF(F1240="","",IF(F1240&lt;=5,"A",IF(F1240&lt;=8,"B",IF(F1240&lt;=10,"C","D"))))</f>
        <v/>
      </c>
      <c r="H1240" s="28"/>
      <c r="I1240" s="27"/>
      <c r="J1240" s="26"/>
      <c r="K1240" s="27"/>
      <c r="L1240" s="27"/>
      <c r="M1240" s="27"/>
      <c r="N1240" s="27"/>
      <c r="O1240" s="31" t="str">
        <f aca="false">IF(G1240="","",VLOOKUP(G1240,Setup!$A$14:$C$17,3,0))</f>
        <v/>
      </c>
      <c r="P1240" s="27"/>
      <c r="Q1240" s="33" t="str">
        <f aca="false">IF(OR(P1240="",M1240&lt;&gt;"Paid",O1240=""),"",P1240/O1240)</f>
        <v/>
      </c>
      <c r="R1240" s="34" t="str">
        <f aca="false">IF(Q1240="","",Q1240+N(H1240)*0.000000001)</f>
        <v/>
      </c>
      <c r="S1240" s="32" t="str">
        <f aca="false">IF(R1240="","",SUMPRODUCT((I$5:I$4004=I1240)*ISNUMBER(R$5:R$4004)*(R$5:R$4004&gt;R1240))+1)</f>
        <v/>
      </c>
      <c r="T1240" s="32" t="str">
        <f aca="false">IF(S1240="","",IF(S1240&lt;=Setup!$B$5,"🏆 WINNER",""))</f>
        <v/>
      </c>
      <c r="U1240" s="31" t="str">
        <f aca="false">IF(S1240="","",I1240&amp;"|"&amp;S1240)</f>
        <v/>
      </c>
    </row>
    <row r="1241" customFormat="false" ht="15" hidden="false" customHeight="false" outlineLevel="0" collapsed="false">
      <c r="A1241" s="24" t="n">
        <v>1237</v>
      </c>
      <c r="B1241" s="25" t="str">
        <f aca="false">IF(OR(C1241="",I1241="",G1241=""),"",IFERROR(VLOOKUP(I1241,Setup!$A$9:$B$11,2,0),"???")&amp;"-"&amp;G1241&amp;"-"&amp;TEXT(COUNTIFS(I$5:I1241,I1241,G$5:G1241,G1241),"0000"))</f>
        <v/>
      </c>
      <c r="C1241" s="26"/>
      <c r="D1241" s="26"/>
      <c r="E1241" s="27"/>
      <c r="F1241" s="27"/>
      <c r="G1241" s="24" t="str">
        <f aca="false">IF(F1241="","",IF(F1241&lt;=5,"A",IF(F1241&lt;=8,"B",IF(F1241&lt;=10,"C","D"))))</f>
        <v/>
      </c>
      <c r="H1241" s="28"/>
      <c r="I1241" s="27"/>
      <c r="J1241" s="26"/>
      <c r="K1241" s="27"/>
      <c r="L1241" s="27"/>
      <c r="M1241" s="27"/>
      <c r="N1241" s="27"/>
      <c r="O1241" s="24" t="str">
        <f aca="false">IF(G1241="","",VLOOKUP(G1241,Setup!$A$14:$C$17,3,0))</f>
        <v/>
      </c>
      <c r="P1241" s="27"/>
      <c r="Q1241" s="29" t="str">
        <f aca="false">IF(OR(P1241="",M1241&lt;&gt;"Paid",O1241=""),"",P1241/O1241)</f>
        <v/>
      </c>
      <c r="R1241" s="30" t="str">
        <f aca="false">IF(Q1241="","",Q1241+N(H1241)*0.000000001)</f>
        <v/>
      </c>
      <c r="S1241" s="25" t="str">
        <f aca="false">IF(R1241="","",SUMPRODUCT((I$5:I$4004=I1241)*ISNUMBER(R$5:R$4004)*(R$5:R$4004&gt;R1241))+1)</f>
        <v/>
      </c>
      <c r="T1241" s="25" t="str">
        <f aca="false">IF(S1241="","",IF(S1241&lt;=Setup!$B$5,"🏆 WINNER",""))</f>
        <v/>
      </c>
      <c r="U1241" s="24" t="str">
        <f aca="false">IF(S1241="","",I1241&amp;"|"&amp;S1241)</f>
        <v/>
      </c>
    </row>
    <row r="1242" customFormat="false" ht="15" hidden="false" customHeight="false" outlineLevel="0" collapsed="false">
      <c r="A1242" s="31" t="n">
        <v>1238</v>
      </c>
      <c r="B1242" s="32" t="str">
        <f aca="false">IF(OR(C1242="",I1242="",G1242=""),"",IFERROR(VLOOKUP(I1242,Setup!$A$9:$B$11,2,0),"???")&amp;"-"&amp;G1242&amp;"-"&amp;TEXT(COUNTIFS(I$5:I1242,I1242,G$5:G1242,G1242),"0000"))</f>
        <v/>
      </c>
      <c r="C1242" s="26"/>
      <c r="D1242" s="26"/>
      <c r="E1242" s="27"/>
      <c r="F1242" s="27"/>
      <c r="G1242" s="31" t="str">
        <f aca="false">IF(F1242="","",IF(F1242&lt;=5,"A",IF(F1242&lt;=8,"B",IF(F1242&lt;=10,"C","D"))))</f>
        <v/>
      </c>
      <c r="H1242" s="28"/>
      <c r="I1242" s="27"/>
      <c r="J1242" s="26"/>
      <c r="K1242" s="27"/>
      <c r="L1242" s="27"/>
      <c r="M1242" s="27"/>
      <c r="N1242" s="27"/>
      <c r="O1242" s="31" t="str">
        <f aca="false">IF(G1242="","",VLOOKUP(G1242,Setup!$A$14:$C$17,3,0))</f>
        <v/>
      </c>
      <c r="P1242" s="27"/>
      <c r="Q1242" s="33" t="str">
        <f aca="false">IF(OR(P1242="",M1242&lt;&gt;"Paid",O1242=""),"",P1242/O1242)</f>
        <v/>
      </c>
      <c r="R1242" s="34" t="str">
        <f aca="false">IF(Q1242="","",Q1242+N(H1242)*0.000000001)</f>
        <v/>
      </c>
      <c r="S1242" s="32" t="str">
        <f aca="false">IF(R1242="","",SUMPRODUCT((I$5:I$4004=I1242)*ISNUMBER(R$5:R$4004)*(R$5:R$4004&gt;R1242))+1)</f>
        <v/>
      </c>
      <c r="T1242" s="32" t="str">
        <f aca="false">IF(S1242="","",IF(S1242&lt;=Setup!$B$5,"🏆 WINNER",""))</f>
        <v/>
      </c>
      <c r="U1242" s="31" t="str">
        <f aca="false">IF(S1242="","",I1242&amp;"|"&amp;S1242)</f>
        <v/>
      </c>
    </row>
    <row r="1243" customFormat="false" ht="15" hidden="false" customHeight="false" outlineLevel="0" collapsed="false">
      <c r="A1243" s="24" t="n">
        <v>1239</v>
      </c>
      <c r="B1243" s="25" t="str">
        <f aca="false">IF(OR(C1243="",I1243="",G1243=""),"",IFERROR(VLOOKUP(I1243,Setup!$A$9:$B$11,2,0),"???")&amp;"-"&amp;G1243&amp;"-"&amp;TEXT(COUNTIFS(I$5:I1243,I1243,G$5:G1243,G1243),"0000"))</f>
        <v/>
      </c>
      <c r="C1243" s="26"/>
      <c r="D1243" s="26"/>
      <c r="E1243" s="27"/>
      <c r="F1243" s="27"/>
      <c r="G1243" s="24" t="str">
        <f aca="false">IF(F1243="","",IF(F1243&lt;=5,"A",IF(F1243&lt;=8,"B",IF(F1243&lt;=10,"C","D"))))</f>
        <v/>
      </c>
      <c r="H1243" s="28"/>
      <c r="I1243" s="27"/>
      <c r="J1243" s="26"/>
      <c r="K1243" s="27"/>
      <c r="L1243" s="27"/>
      <c r="M1243" s="27"/>
      <c r="N1243" s="27"/>
      <c r="O1243" s="24" t="str">
        <f aca="false">IF(G1243="","",VLOOKUP(G1243,Setup!$A$14:$C$17,3,0))</f>
        <v/>
      </c>
      <c r="P1243" s="27"/>
      <c r="Q1243" s="29" t="str">
        <f aca="false">IF(OR(P1243="",M1243&lt;&gt;"Paid",O1243=""),"",P1243/O1243)</f>
        <v/>
      </c>
      <c r="R1243" s="30" t="str">
        <f aca="false">IF(Q1243="","",Q1243+N(H1243)*0.000000001)</f>
        <v/>
      </c>
      <c r="S1243" s="25" t="str">
        <f aca="false">IF(R1243="","",SUMPRODUCT((I$5:I$4004=I1243)*ISNUMBER(R$5:R$4004)*(R$5:R$4004&gt;R1243))+1)</f>
        <v/>
      </c>
      <c r="T1243" s="25" t="str">
        <f aca="false">IF(S1243="","",IF(S1243&lt;=Setup!$B$5,"🏆 WINNER",""))</f>
        <v/>
      </c>
      <c r="U1243" s="24" t="str">
        <f aca="false">IF(S1243="","",I1243&amp;"|"&amp;S1243)</f>
        <v/>
      </c>
    </row>
    <row r="1244" customFormat="false" ht="15" hidden="false" customHeight="false" outlineLevel="0" collapsed="false">
      <c r="A1244" s="31" t="n">
        <v>1240</v>
      </c>
      <c r="B1244" s="32" t="str">
        <f aca="false">IF(OR(C1244="",I1244="",G1244=""),"",IFERROR(VLOOKUP(I1244,Setup!$A$9:$B$11,2,0),"???")&amp;"-"&amp;G1244&amp;"-"&amp;TEXT(COUNTIFS(I$5:I1244,I1244,G$5:G1244,G1244),"0000"))</f>
        <v/>
      </c>
      <c r="C1244" s="26"/>
      <c r="D1244" s="26"/>
      <c r="E1244" s="27"/>
      <c r="F1244" s="27"/>
      <c r="G1244" s="31" t="str">
        <f aca="false">IF(F1244="","",IF(F1244&lt;=5,"A",IF(F1244&lt;=8,"B",IF(F1244&lt;=10,"C","D"))))</f>
        <v/>
      </c>
      <c r="H1244" s="28"/>
      <c r="I1244" s="27"/>
      <c r="J1244" s="26"/>
      <c r="K1244" s="27"/>
      <c r="L1244" s="27"/>
      <c r="M1244" s="27"/>
      <c r="N1244" s="27"/>
      <c r="O1244" s="31" t="str">
        <f aca="false">IF(G1244="","",VLOOKUP(G1244,Setup!$A$14:$C$17,3,0))</f>
        <v/>
      </c>
      <c r="P1244" s="27"/>
      <c r="Q1244" s="33" t="str">
        <f aca="false">IF(OR(P1244="",M1244&lt;&gt;"Paid",O1244=""),"",P1244/O1244)</f>
        <v/>
      </c>
      <c r="R1244" s="34" t="str">
        <f aca="false">IF(Q1244="","",Q1244+N(H1244)*0.000000001)</f>
        <v/>
      </c>
      <c r="S1244" s="32" t="str">
        <f aca="false">IF(R1244="","",SUMPRODUCT((I$5:I$4004=I1244)*ISNUMBER(R$5:R$4004)*(R$5:R$4004&gt;R1244))+1)</f>
        <v/>
      </c>
      <c r="T1244" s="32" t="str">
        <f aca="false">IF(S1244="","",IF(S1244&lt;=Setup!$B$5,"🏆 WINNER",""))</f>
        <v/>
      </c>
      <c r="U1244" s="31" t="str">
        <f aca="false">IF(S1244="","",I1244&amp;"|"&amp;S1244)</f>
        <v/>
      </c>
    </row>
    <row r="1245" customFormat="false" ht="15" hidden="false" customHeight="false" outlineLevel="0" collapsed="false">
      <c r="A1245" s="24" t="n">
        <v>1241</v>
      </c>
      <c r="B1245" s="25" t="str">
        <f aca="false">IF(OR(C1245="",I1245="",G1245=""),"",IFERROR(VLOOKUP(I1245,Setup!$A$9:$B$11,2,0),"???")&amp;"-"&amp;G1245&amp;"-"&amp;TEXT(COUNTIFS(I$5:I1245,I1245,G$5:G1245,G1245),"0000"))</f>
        <v/>
      </c>
      <c r="C1245" s="26"/>
      <c r="D1245" s="26"/>
      <c r="E1245" s="27"/>
      <c r="F1245" s="27"/>
      <c r="G1245" s="24" t="str">
        <f aca="false">IF(F1245="","",IF(F1245&lt;=5,"A",IF(F1245&lt;=8,"B",IF(F1245&lt;=10,"C","D"))))</f>
        <v/>
      </c>
      <c r="H1245" s="28"/>
      <c r="I1245" s="27"/>
      <c r="J1245" s="26"/>
      <c r="K1245" s="27"/>
      <c r="L1245" s="27"/>
      <c r="M1245" s="27"/>
      <c r="N1245" s="27"/>
      <c r="O1245" s="24" t="str">
        <f aca="false">IF(G1245="","",VLOOKUP(G1245,Setup!$A$14:$C$17,3,0))</f>
        <v/>
      </c>
      <c r="P1245" s="27"/>
      <c r="Q1245" s="29" t="str">
        <f aca="false">IF(OR(P1245="",M1245&lt;&gt;"Paid",O1245=""),"",P1245/O1245)</f>
        <v/>
      </c>
      <c r="R1245" s="30" t="str">
        <f aca="false">IF(Q1245="","",Q1245+N(H1245)*0.000000001)</f>
        <v/>
      </c>
      <c r="S1245" s="25" t="str">
        <f aca="false">IF(R1245="","",SUMPRODUCT((I$5:I$4004=I1245)*ISNUMBER(R$5:R$4004)*(R$5:R$4004&gt;R1245))+1)</f>
        <v/>
      </c>
      <c r="T1245" s="25" t="str">
        <f aca="false">IF(S1245="","",IF(S1245&lt;=Setup!$B$5,"🏆 WINNER",""))</f>
        <v/>
      </c>
      <c r="U1245" s="24" t="str">
        <f aca="false">IF(S1245="","",I1245&amp;"|"&amp;S1245)</f>
        <v/>
      </c>
    </row>
    <row r="1246" customFormat="false" ht="15" hidden="false" customHeight="false" outlineLevel="0" collapsed="false">
      <c r="A1246" s="31" t="n">
        <v>1242</v>
      </c>
      <c r="B1246" s="32" t="str">
        <f aca="false">IF(OR(C1246="",I1246="",G1246=""),"",IFERROR(VLOOKUP(I1246,Setup!$A$9:$B$11,2,0),"???")&amp;"-"&amp;G1246&amp;"-"&amp;TEXT(COUNTIFS(I$5:I1246,I1246,G$5:G1246,G1246),"0000"))</f>
        <v/>
      </c>
      <c r="C1246" s="26"/>
      <c r="D1246" s="26"/>
      <c r="E1246" s="27"/>
      <c r="F1246" s="27"/>
      <c r="G1246" s="31" t="str">
        <f aca="false">IF(F1246="","",IF(F1246&lt;=5,"A",IF(F1246&lt;=8,"B",IF(F1246&lt;=10,"C","D"))))</f>
        <v/>
      </c>
      <c r="H1246" s="28"/>
      <c r="I1246" s="27"/>
      <c r="J1246" s="26"/>
      <c r="K1246" s="27"/>
      <c r="L1246" s="27"/>
      <c r="M1246" s="27"/>
      <c r="N1246" s="27"/>
      <c r="O1246" s="31" t="str">
        <f aca="false">IF(G1246="","",VLOOKUP(G1246,Setup!$A$14:$C$17,3,0))</f>
        <v/>
      </c>
      <c r="P1246" s="27"/>
      <c r="Q1246" s="33" t="str">
        <f aca="false">IF(OR(P1246="",M1246&lt;&gt;"Paid",O1246=""),"",P1246/O1246)</f>
        <v/>
      </c>
      <c r="R1246" s="34" t="str">
        <f aca="false">IF(Q1246="","",Q1246+N(H1246)*0.000000001)</f>
        <v/>
      </c>
      <c r="S1246" s="32" t="str">
        <f aca="false">IF(R1246="","",SUMPRODUCT((I$5:I$4004=I1246)*ISNUMBER(R$5:R$4004)*(R$5:R$4004&gt;R1246))+1)</f>
        <v/>
      </c>
      <c r="T1246" s="32" t="str">
        <f aca="false">IF(S1246="","",IF(S1246&lt;=Setup!$B$5,"🏆 WINNER",""))</f>
        <v/>
      </c>
      <c r="U1246" s="31" t="str">
        <f aca="false">IF(S1246="","",I1246&amp;"|"&amp;S1246)</f>
        <v/>
      </c>
    </row>
    <row r="1247" customFormat="false" ht="15" hidden="false" customHeight="false" outlineLevel="0" collapsed="false">
      <c r="A1247" s="24" t="n">
        <v>1243</v>
      </c>
      <c r="B1247" s="25" t="str">
        <f aca="false">IF(OR(C1247="",I1247="",G1247=""),"",IFERROR(VLOOKUP(I1247,Setup!$A$9:$B$11,2,0),"???")&amp;"-"&amp;G1247&amp;"-"&amp;TEXT(COUNTIFS(I$5:I1247,I1247,G$5:G1247,G1247),"0000"))</f>
        <v/>
      </c>
      <c r="C1247" s="26"/>
      <c r="D1247" s="26"/>
      <c r="E1247" s="27"/>
      <c r="F1247" s="27"/>
      <c r="G1247" s="24" t="str">
        <f aca="false">IF(F1247="","",IF(F1247&lt;=5,"A",IF(F1247&lt;=8,"B",IF(F1247&lt;=10,"C","D"))))</f>
        <v/>
      </c>
      <c r="H1247" s="28"/>
      <c r="I1247" s="27"/>
      <c r="J1247" s="26"/>
      <c r="K1247" s="27"/>
      <c r="L1247" s="27"/>
      <c r="M1247" s="27"/>
      <c r="N1247" s="27"/>
      <c r="O1247" s="24" t="str">
        <f aca="false">IF(G1247="","",VLOOKUP(G1247,Setup!$A$14:$C$17,3,0))</f>
        <v/>
      </c>
      <c r="P1247" s="27"/>
      <c r="Q1247" s="29" t="str">
        <f aca="false">IF(OR(P1247="",M1247&lt;&gt;"Paid",O1247=""),"",P1247/O1247)</f>
        <v/>
      </c>
      <c r="R1247" s="30" t="str">
        <f aca="false">IF(Q1247="","",Q1247+N(H1247)*0.000000001)</f>
        <v/>
      </c>
      <c r="S1247" s="25" t="str">
        <f aca="false">IF(R1247="","",SUMPRODUCT((I$5:I$4004=I1247)*ISNUMBER(R$5:R$4004)*(R$5:R$4004&gt;R1247))+1)</f>
        <v/>
      </c>
      <c r="T1247" s="25" t="str">
        <f aca="false">IF(S1247="","",IF(S1247&lt;=Setup!$B$5,"🏆 WINNER",""))</f>
        <v/>
      </c>
      <c r="U1247" s="24" t="str">
        <f aca="false">IF(S1247="","",I1247&amp;"|"&amp;S1247)</f>
        <v/>
      </c>
    </row>
    <row r="1248" customFormat="false" ht="15" hidden="false" customHeight="false" outlineLevel="0" collapsed="false">
      <c r="A1248" s="31" t="n">
        <v>1244</v>
      </c>
      <c r="B1248" s="32" t="str">
        <f aca="false">IF(OR(C1248="",I1248="",G1248=""),"",IFERROR(VLOOKUP(I1248,Setup!$A$9:$B$11,2,0),"???")&amp;"-"&amp;G1248&amp;"-"&amp;TEXT(COUNTIFS(I$5:I1248,I1248,G$5:G1248,G1248),"0000"))</f>
        <v/>
      </c>
      <c r="C1248" s="26"/>
      <c r="D1248" s="26"/>
      <c r="E1248" s="27"/>
      <c r="F1248" s="27"/>
      <c r="G1248" s="31" t="str">
        <f aca="false">IF(F1248="","",IF(F1248&lt;=5,"A",IF(F1248&lt;=8,"B",IF(F1248&lt;=10,"C","D"))))</f>
        <v/>
      </c>
      <c r="H1248" s="28"/>
      <c r="I1248" s="27"/>
      <c r="J1248" s="26"/>
      <c r="K1248" s="27"/>
      <c r="L1248" s="27"/>
      <c r="M1248" s="27"/>
      <c r="N1248" s="27"/>
      <c r="O1248" s="31" t="str">
        <f aca="false">IF(G1248="","",VLOOKUP(G1248,Setup!$A$14:$C$17,3,0))</f>
        <v/>
      </c>
      <c r="P1248" s="27"/>
      <c r="Q1248" s="33" t="str">
        <f aca="false">IF(OR(P1248="",M1248&lt;&gt;"Paid",O1248=""),"",P1248/O1248)</f>
        <v/>
      </c>
      <c r="R1248" s="34" t="str">
        <f aca="false">IF(Q1248="","",Q1248+N(H1248)*0.000000001)</f>
        <v/>
      </c>
      <c r="S1248" s="32" t="str">
        <f aca="false">IF(R1248="","",SUMPRODUCT((I$5:I$4004=I1248)*ISNUMBER(R$5:R$4004)*(R$5:R$4004&gt;R1248))+1)</f>
        <v/>
      </c>
      <c r="T1248" s="32" t="str">
        <f aca="false">IF(S1248="","",IF(S1248&lt;=Setup!$B$5,"🏆 WINNER",""))</f>
        <v/>
      </c>
      <c r="U1248" s="31" t="str">
        <f aca="false">IF(S1248="","",I1248&amp;"|"&amp;S1248)</f>
        <v/>
      </c>
    </row>
    <row r="1249" customFormat="false" ht="15" hidden="false" customHeight="false" outlineLevel="0" collapsed="false">
      <c r="A1249" s="24" t="n">
        <v>1245</v>
      </c>
      <c r="B1249" s="25" t="str">
        <f aca="false">IF(OR(C1249="",I1249="",G1249=""),"",IFERROR(VLOOKUP(I1249,Setup!$A$9:$B$11,2,0),"???")&amp;"-"&amp;G1249&amp;"-"&amp;TEXT(COUNTIFS(I$5:I1249,I1249,G$5:G1249,G1249),"0000"))</f>
        <v/>
      </c>
      <c r="C1249" s="26"/>
      <c r="D1249" s="26"/>
      <c r="E1249" s="27"/>
      <c r="F1249" s="27"/>
      <c r="G1249" s="24" t="str">
        <f aca="false">IF(F1249="","",IF(F1249&lt;=5,"A",IF(F1249&lt;=8,"B",IF(F1249&lt;=10,"C","D"))))</f>
        <v/>
      </c>
      <c r="H1249" s="28"/>
      <c r="I1249" s="27"/>
      <c r="J1249" s="26"/>
      <c r="K1249" s="27"/>
      <c r="L1249" s="27"/>
      <c r="M1249" s="27"/>
      <c r="N1249" s="27"/>
      <c r="O1249" s="24" t="str">
        <f aca="false">IF(G1249="","",VLOOKUP(G1249,Setup!$A$14:$C$17,3,0))</f>
        <v/>
      </c>
      <c r="P1249" s="27"/>
      <c r="Q1249" s="29" t="str">
        <f aca="false">IF(OR(P1249="",M1249&lt;&gt;"Paid",O1249=""),"",P1249/O1249)</f>
        <v/>
      </c>
      <c r="R1249" s="30" t="str">
        <f aca="false">IF(Q1249="","",Q1249+N(H1249)*0.000000001)</f>
        <v/>
      </c>
      <c r="S1249" s="25" t="str">
        <f aca="false">IF(R1249="","",SUMPRODUCT((I$5:I$4004=I1249)*ISNUMBER(R$5:R$4004)*(R$5:R$4004&gt;R1249))+1)</f>
        <v/>
      </c>
      <c r="T1249" s="25" t="str">
        <f aca="false">IF(S1249="","",IF(S1249&lt;=Setup!$B$5,"🏆 WINNER",""))</f>
        <v/>
      </c>
      <c r="U1249" s="24" t="str">
        <f aca="false">IF(S1249="","",I1249&amp;"|"&amp;S1249)</f>
        <v/>
      </c>
    </row>
    <row r="1250" customFormat="false" ht="15" hidden="false" customHeight="false" outlineLevel="0" collapsed="false">
      <c r="A1250" s="31" t="n">
        <v>1246</v>
      </c>
      <c r="B1250" s="32" t="str">
        <f aca="false">IF(OR(C1250="",I1250="",G1250=""),"",IFERROR(VLOOKUP(I1250,Setup!$A$9:$B$11,2,0),"???")&amp;"-"&amp;G1250&amp;"-"&amp;TEXT(COUNTIFS(I$5:I1250,I1250,G$5:G1250,G1250),"0000"))</f>
        <v/>
      </c>
      <c r="C1250" s="26"/>
      <c r="D1250" s="26"/>
      <c r="E1250" s="27"/>
      <c r="F1250" s="27"/>
      <c r="G1250" s="31" t="str">
        <f aca="false">IF(F1250="","",IF(F1250&lt;=5,"A",IF(F1250&lt;=8,"B",IF(F1250&lt;=10,"C","D"))))</f>
        <v/>
      </c>
      <c r="H1250" s="28"/>
      <c r="I1250" s="27"/>
      <c r="J1250" s="26"/>
      <c r="K1250" s="27"/>
      <c r="L1250" s="27"/>
      <c r="M1250" s="27"/>
      <c r="N1250" s="27"/>
      <c r="O1250" s="31" t="str">
        <f aca="false">IF(G1250="","",VLOOKUP(G1250,Setup!$A$14:$C$17,3,0))</f>
        <v/>
      </c>
      <c r="P1250" s="27"/>
      <c r="Q1250" s="33" t="str">
        <f aca="false">IF(OR(P1250="",M1250&lt;&gt;"Paid",O1250=""),"",P1250/O1250)</f>
        <v/>
      </c>
      <c r="R1250" s="34" t="str">
        <f aca="false">IF(Q1250="","",Q1250+N(H1250)*0.000000001)</f>
        <v/>
      </c>
      <c r="S1250" s="32" t="str">
        <f aca="false">IF(R1250="","",SUMPRODUCT((I$5:I$4004=I1250)*ISNUMBER(R$5:R$4004)*(R$5:R$4004&gt;R1250))+1)</f>
        <v/>
      </c>
      <c r="T1250" s="32" t="str">
        <f aca="false">IF(S1250="","",IF(S1250&lt;=Setup!$B$5,"🏆 WINNER",""))</f>
        <v/>
      </c>
      <c r="U1250" s="31" t="str">
        <f aca="false">IF(S1250="","",I1250&amp;"|"&amp;S1250)</f>
        <v/>
      </c>
    </row>
    <row r="1251" customFormat="false" ht="15" hidden="false" customHeight="false" outlineLevel="0" collapsed="false">
      <c r="A1251" s="24" t="n">
        <v>1247</v>
      </c>
      <c r="B1251" s="25" t="str">
        <f aca="false">IF(OR(C1251="",I1251="",G1251=""),"",IFERROR(VLOOKUP(I1251,Setup!$A$9:$B$11,2,0),"???")&amp;"-"&amp;G1251&amp;"-"&amp;TEXT(COUNTIFS(I$5:I1251,I1251,G$5:G1251,G1251),"0000"))</f>
        <v/>
      </c>
      <c r="C1251" s="26"/>
      <c r="D1251" s="26"/>
      <c r="E1251" s="27"/>
      <c r="F1251" s="27"/>
      <c r="G1251" s="24" t="str">
        <f aca="false">IF(F1251="","",IF(F1251&lt;=5,"A",IF(F1251&lt;=8,"B",IF(F1251&lt;=10,"C","D"))))</f>
        <v/>
      </c>
      <c r="H1251" s="28"/>
      <c r="I1251" s="27"/>
      <c r="J1251" s="26"/>
      <c r="K1251" s="27"/>
      <c r="L1251" s="27"/>
      <c r="M1251" s="27"/>
      <c r="N1251" s="27"/>
      <c r="O1251" s="24" t="str">
        <f aca="false">IF(G1251="","",VLOOKUP(G1251,Setup!$A$14:$C$17,3,0))</f>
        <v/>
      </c>
      <c r="P1251" s="27"/>
      <c r="Q1251" s="29" t="str">
        <f aca="false">IF(OR(P1251="",M1251&lt;&gt;"Paid",O1251=""),"",P1251/O1251)</f>
        <v/>
      </c>
      <c r="R1251" s="30" t="str">
        <f aca="false">IF(Q1251="","",Q1251+N(H1251)*0.000000001)</f>
        <v/>
      </c>
      <c r="S1251" s="25" t="str">
        <f aca="false">IF(R1251="","",SUMPRODUCT((I$5:I$4004=I1251)*ISNUMBER(R$5:R$4004)*(R$5:R$4004&gt;R1251))+1)</f>
        <v/>
      </c>
      <c r="T1251" s="25" t="str">
        <f aca="false">IF(S1251="","",IF(S1251&lt;=Setup!$B$5,"🏆 WINNER",""))</f>
        <v/>
      </c>
      <c r="U1251" s="24" t="str">
        <f aca="false">IF(S1251="","",I1251&amp;"|"&amp;S1251)</f>
        <v/>
      </c>
    </row>
    <row r="1252" customFormat="false" ht="15" hidden="false" customHeight="false" outlineLevel="0" collapsed="false">
      <c r="A1252" s="31" t="n">
        <v>1248</v>
      </c>
      <c r="B1252" s="32" t="str">
        <f aca="false">IF(OR(C1252="",I1252="",G1252=""),"",IFERROR(VLOOKUP(I1252,Setup!$A$9:$B$11,2,0),"???")&amp;"-"&amp;G1252&amp;"-"&amp;TEXT(COUNTIFS(I$5:I1252,I1252,G$5:G1252,G1252),"0000"))</f>
        <v/>
      </c>
      <c r="C1252" s="26"/>
      <c r="D1252" s="26"/>
      <c r="E1252" s="27"/>
      <c r="F1252" s="27"/>
      <c r="G1252" s="31" t="str">
        <f aca="false">IF(F1252="","",IF(F1252&lt;=5,"A",IF(F1252&lt;=8,"B",IF(F1252&lt;=10,"C","D"))))</f>
        <v/>
      </c>
      <c r="H1252" s="28"/>
      <c r="I1252" s="27"/>
      <c r="J1252" s="26"/>
      <c r="K1252" s="27"/>
      <c r="L1252" s="27"/>
      <c r="M1252" s="27"/>
      <c r="N1252" s="27"/>
      <c r="O1252" s="31" t="str">
        <f aca="false">IF(G1252="","",VLOOKUP(G1252,Setup!$A$14:$C$17,3,0))</f>
        <v/>
      </c>
      <c r="P1252" s="27"/>
      <c r="Q1252" s="33" t="str">
        <f aca="false">IF(OR(P1252="",M1252&lt;&gt;"Paid",O1252=""),"",P1252/O1252)</f>
        <v/>
      </c>
      <c r="R1252" s="34" t="str">
        <f aca="false">IF(Q1252="","",Q1252+N(H1252)*0.000000001)</f>
        <v/>
      </c>
      <c r="S1252" s="32" t="str">
        <f aca="false">IF(R1252="","",SUMPRODUCT((I$5:I$4004=I1252)*ISNUMBER(R$5:R$4004)*(R$5:R$4004&gt;R1252))+1)</f>
        <v/>
      </c>
      <c r="T1252" s="32" t="str">
        <f aca="false">IF(S1252="","",IF(S1252&lt;=Setup!$B$5,"🏆 WINNER",""))</f>
        <v/>
      </c>
      <c r="U1252" s="31" t="str">
        <f aca="false">IF(S1252="","",I1252&amp;"|"&amp;S1252)</f>
        <v/>
      </c>
    </row>
    <row r="1253" customFormat="false" ht="15" hidden="false" customHeight="false" outlineLevel="0" collapsed="false">
      <c r="A1253" s="24" t="n">
        <v>1249</v>
      </c>
      <c r="B1253" s="25" t="str">
        <f aca="false">IF(OR(C1253="",I1253="",G1253=""),"",IFERROR(VLOOKUP(I1253,Setup!$A$9:$B$11,2,0),"???")&amp;"-"&amp;G1253&amp;"-"&amp;TEXT(COUNTIFS(I$5:I1253,I1253,G$5:G1253,G1253),"0000"))</f>
        <v/>
      </c>
      <c r="C1253" s="26"/>
      <c r="D1253" s="26"/>
      <c r="E1253" s="27"/>
      <c r="F1253" s="27"/>
      <c r="G1253" s="24" t="str">
        <f aca="false">IF(F1253="","",IF(F1253&lt;=5,"A",IF(F1253&lt;=8,"B",IF(F1253&lt;=10,"C","D"))))</f>
        <v/>
      </c>
      <c r="H1253" s="28"/>
      <c r="I1253" s="27"/>
      <c r="J1253" s="26"/>
      <c r="K1253" s="27"/>
      <c r="L1253" s="27"/>
      <c r="M1253" s="27"/>
      <c r="N1253" s="27"/>
      <c r="O1253" s="24" t="str">
        <f aca="false">IF(G1253="","",VLOOKUP(G1253,Setup!$A$14:$C$17,3,0))</f>
        <v/>
      </c>
      <c r="P1253" s="27"/>
      <c r="Q1253" s="29" t="str">
        <f aca="false">IF(OR(P1253="",M1253&lt;&gt;"Paid",O1253=""),"",P1253/O1253)</f>
        <v/>
      </c>
      <c r="R1253" s="30" t="str">
        <f aca="false">IF(Q1253="","",Q1253+N(H1253)*0.000000001)</f>
        <v/>
      </c>
      <c r="S1253" s="25" t="str">
        <f aca="false">IF(R1253="","",SUMPRODUCT((I$5:I$4004=I1253)*ISNUMBER(R$5:R$4004)*(R$5:R$4004&gt;R1253))+1)</f>
        <v/>
      </c>
      <c r="T1253" s="25" t="str">
        <f aca="false">IF(S1253="","",IF(S1253&lt;=Setup!$B$5,"🏆 WINNER",""))</f>
        <v/>
      </c>
      <c r="U1253" s="24" t="str">
        <f aca="false">IF(S1253="","",I1253&amp;"|"&amp;S1253)</f>
        <v/>
      </c>
    </row>
    <row r="1254" customFormat="false" ht="15" hidden="false" customHeight="false" outlineLevel="0" collapsed="false">
      <c r="A1254" s="31" t="n">
        <v>1250</v>
      </c>
      <c r="B1254" s="32" t="str">
        <f aca="false">IF(OR(C1254="",I1254="",G1254=""),"",IFERROR(VLOOKUP(I1254,Setup!$A$9:$B$11,2,0),"???")&amp;"-"&amp;G1254&amp;"-"&amp;TEXT(COUNTIFS(I$5:I1254,I1254,G$5:G1254,G1254),"0000"))</f>
        <v/>
      </c>
      <c r="C1254" s="26"/>
      <c r="D1254" s="26"/>
      <c r="E1254" s="27"/>
      <c r="F1254" s="27"/>
      <c r="G1254" s="31" t="str">
        <f aca="false">IF(F1254="","",IF(F1254&lt;=5,"A",IF(F1254&lt;=8,"B",IF(F1254&lt;=10,"C","D"))))</f>
        <v/>
      </c>
      <c r="H1254" s="28"/>
      <c r="I1254" s="27"/>
      <c r="J1254" s="26"/>
      <c r="K1254" s="27"/>
      <c r="L1254" s="27"/>
      <c r="M1254" s="27"/>
      <c r="N1254" s="27"/>
      <c r="O1254" s="31" t="str">
        <f aca="false">IF(G1254="","",VLOOKUP(G1254,Setup!$A$14:$C$17,3,0))</f>
        <v/>
      </c>
      <c r="P1254" s="27"/>
      <c r="Q1254" s="33" t="str">
        <f aca="false">IF(OR(P1254="",M1254&lt;&gt;"Paid",O1254=""),"",P1254/O1254)</f>
        <v/>
      </c>
      <c r="R1254" s="34" t="str">
        <f aca="false">IF(Q1254="","",Q1254+N(H1254)*0.000000001)</f>
        <v/>
      </c>
      <c r="S1254" s="32" t="str">
        <f aca="false">IF(R1254="","",SUMPRODUCT((I$5:I$4004=I1254)*ISNUMBER(R$5:R$4004)*(R$5:R$4004&gt;R1254))+1)</f>
        <v/>
      </c>
      <c r="T1254" s="32" t="str">
        <f aca="false">IF(S1254="","",IF(S1254&lt;=Setup!$B$5,"🏆 WINNER",""))</f>
        <v/>
      </c>
      <c r="U1254" s="31" t="str">
        <f aca="false">IF(S1254="","",I1254&amp;"|"&amp;S1254)</f>
        <v/>
      </c>
    </row>
    <row r="1255" customFormat="false" ht="15" hidden="false" customHeight="false" outlineLevel="0" collapsed="false">
      <c r="A1255" s="24" t="n">
        <v>1251</v>
      </c>
      <c r="B1255" s="25" t="str">
        <f aca="false">IF(OR(C1255="",I1255="",G1255=""),"",IFERROR(VLOOKUP(I1255,Setup!$A$9:$B$11,2,0),"???")&amp;"-"&amp;G1255&amp;"-"&amp;TEXT(COUNTIFS(I$5:I1255,I1255,G$5:G1255,G1255),"0000"))</f>
        <v/>
      </c>
      <c r="C1255" s="26"/>
      <c r="D1255" s="26"/>
      <c r="E1255" s="27"/>
      <c r="F1255" s="27"/>
      <c r="G1255" s="24" t="str">
        <f aca="false">IF(F1255="","",IF(F1255&lt;=5,"A",IF(F1255&lt;=8,"B",IF(F1255&lt;=10,"C","D"))))</f>
        <v/>
      </c>
      <c r="H1255" s="28"/>
      <c r="I1255" s="27"/>
      <c r="J1255" s="26"/>
      <c r="K1255" s="27"/>
      <c r="L1255" s="27"/>
      <c r="M1255" s="27"/>
      <c r="N1255" s="27"/>
      <c r="O1255" s="24" t="str">
        <f aca="false">IF(G1255="","",VLOOKUP(G1255,Setup!$A$14:$C$17,3,0))</f>
        <v/>
      </c>
      <c r="P1255" s="27"/>
      <c r="Q1255" s="29" t="str">
        <f aca="false">IF(OR(P1255="",M1255&lt;&gt;"Paid",O1255=""),"",P1255/O1255)</f>
        <v/>
      </c>
      <c r="R1255" s="30" t="str">
        <f aca="false">IF(Q1255="","",Q1255+N(H1255)*0.000000001)</f>
        <v/>
      </c>
      <c r="S1255" s="25" t="str">
        <f aca="false">IF(R1255="","",SUMPRODUCT((I$5:I$4004=I1255)*ISNUMBER(R$5:R$4004)*(R$5:R$4004&gt;R1255))+1)</f>
        <v/>
      </c>
      <c r="T1255" s="25" t="str">
        <f aca="false">IF(S1255="","",IF(S1255&lt;=Setup!$B$5,"🏆 WINNER",""))</f>
        <v/>
      </c>
      <c r="U1255" s="24" t="str">
        <f aca="false">IF(S1255="","",I1255&amp;"|"&amp;S1255)</f>
        <v/>
      </c>
    </row>
    <row r="1256" customFormat="false" ht="15" hidden="false" customHeight="false" outlineLevel="0" collapsed="false">
      <c r="A1256" s="31" t="n">
        <v>1252</v>
      </c>
      <c r="B1256" s="32" t="str">
        <f aca="false">IF(OR(C1256="",I1256="",G1256=""),"",IFERROR(VLOOKUP(I1256,Setup!$A$9:$B$11,2,0),"???")&amp;"-"&amp;G1256&amp;"-"&amp;TEXT(COUNTIFS(I$5:I1256,I1256,G$5:G1256,G1256),"0000"))</f>
        <v/>
      </c>
      <c r="C1256" s="26"/>
      <c r="D1256" s="26"/>
      <c r="E1256" s="27"/>
      <c r="F1256" s="27"/>
      <c r="G1256" s="31" t="str">
        <f aca="false">IF(F1256="","",IF(F1256&lt;=5,"A",IF(F1256&lt;=8,"B",IF(F1256&lt;=10,"C","D"))))</f>
        <v/>
      </c>
      <c r="H1256" s="28"/>
      <c r="I1256" s="27"/>
      <c r="J1256" s="26"/>
      <c r="K1256" s="27"/>
      <c r="L1256" s="27"/>
      <c r="M1256" s="27"/>
      <c r="N1256" s="27"/>
      <c r="O1256" s="31" t="str">
        <f aca="false">IF(G1256="","",VLOOKUP(G1256,Setup!$A$14:$C$17,3,0))</f>
        <v/>
      </c>
      <c r="P1256" s="27"/>
      <c r="Q1256" s="33" t="str">
        <f aca="false">IF(OR(P1256="",M1256&lt;&gt;"Paid",O1256=""),"",P1256/O1256)</f>
        <v/>
      </c>
      <c r="R1256" s="34" t="str">
        <f aca="false">IF(Q1256="","",Q1256+N(H1256)*0.000000001)</f>
        <v/>
      </c>
      <c r="S1256" s="32" t="str">
        <f aca="false">IF(R1256="","",SUMPRODUCT((I$5:I$4004=I1256)*ISNUMBER(R$5:R$4004)*(R$5:R$4004&gt;R1256))+1)</f>
        <v/>
      </c>
      <c r="T1256" s="32" t="str">
        <f aca="false">IF(S1256="","",IF(S1256&lt;=Setup!$B$5,"🏆 WINNER",""))</f>
        <v/>
      </c>
      <c r="U1256" s="31" t="str">
        <f aca="false">IF(S1256="","",I1256&amp;"|"&amp;S1256)</f>
        <v/>
      </c>
    </row>
    <row r="1257" customFormat="false" ht="15" hidden="false" customHeight="false" outlineLevel="0" collapsed="false">
      <c r="A1257" s="24" t="n">
        <v>1253</v>
      </c>
      <c r="B1257" s="25" t="str">
        <f aca="false">IF(OR(C1257="",I1257="",G1257=""),"",IFERROR(VLOOKUP(I1257,Setup!$A$9:$B$11,2,0),"???")&amp;"-"&amp;G1257&amp;"-"&amp;TEXT(COUNTIFS(I$5:I1257,I1257,G$5:G1257,G1257),"0000"))</f>
        <v/>
      </c>
      <c r="C1257" s="26"/>
      <c r="D1257" s="26"/>
      <c r="E1257" s="27"/>
      <c r="F1257" s="27"/>
      <c r="G1257" s="24" t="str">
        <f aca="false">IF(F1257="","",IF(F1257&lt;=5,"A",IF(F1257&lt;=8,"B",IF(F1257&lt;=10,"C","D"))))</f>
        <v/>
      </c>
      <c r="H1257" s="28"/>
      <c r="I1257" s="27"/>
      <c r="J1257" s="26"/>
      <c r="K1257" s="27"/>
      <c r="L1257" s="27"/>
      <c r="M1257" s="27"/>
      <c r="N1257" s="27"/>
      <c r="O1257" s="24" t="str">
        <f aca="false">IF(G1257="","",VLOOKUP(G1257,Setup!$A$14:$C$17,3,0))</f>
        <v/>
      </c>
      <c r="P1257" s="27"/>
      <c r="Q1257" s="29" t="str">
        <f aca="false">IF(OR(P1257="",M1257&lt;&gt;"Paid",O1257=""),"",P1257/O1257)</f>
        <v/>
      </c>
      <c r="R1257" s="30" t="str">
        <f aca="false">IF(Q1257="","",Q1257+N(H1257)*0.000000001)</f>
        <v/>
      </c>
      <c r="S1257" s="25" t="str">
        <f aca="false">IF(R1257="","",SUMPRODUCT((I$5:I$4004=I1257)*ISNUMBER(R$5:R$4004)*(R$5:R$4004&gt;R1257))+1)</f>
        <v/>
      </c>
      <c r="T1257" s="25" t="str">
        <f aca="false">IF(S1257="","",IF(S1257&lt;=Setup!$B$5,"🏆 WINNER",""))</f>
        <v/>
      </c>
      <c r="U1257" s="24" t="str">
        <f aca="false">IF(S1257="","",I1257&amp;"|"&amp;S1257)</f>
        <v/>
      </c>
    </row>
    <row r="1258" customFormat="false" ht="15" hidden="false" customHeight="false" outlineLevel="0" collapsed="false">
      <c r="A1258" s="31" t="n">
        <v>1254</v>
      </c>
      <c r="B1258" s="32" t="str">
        <f aca="false">IF(OR(C1258="",I1258="",G1258=""),"",IFERROR(VLOOKUP(I1258,Setup!$A$9:$B$11,2,0),"???")&amp;"-"&amp;G1258&amp;"-"&amp;TEXT(COUNTIFS(I$5:I1258,I1258,G$5:G1258,G1258),"0000"))</f>
        <v/>
      </c>
      <c r="C1258" s="26"/>
      <c r="D1258" s="26"/>
      <c r="E1258" s="27"/>
      <c r="F1258" s="27"/>
      <c r="G1258" s="31" t="str">
        <f aca="false">IF(F1258="","",IF(F1258&lt;=5,"A",IF(F1258&lt;=8,"B",IF(F1258&lt;=10,"C","D"))))</f>
        <v/>
      </c>
      <c r="H1258" s="28"/>
      <c r="I1258" s="27"/>
      <c r="J1258" s="26"/>
      <c r="K1258" s="27"/>
      <c r="L1258" s="27"/>
      <c r="M1258" s="27"/>
      <c r="N1258" s="27"/>
      <c r="O1258" s="31" t="str">
        <f aca="false">IF(G1258="","",VLOOKUP(G1258,Setup!$A$14:$C$17,3,0))</f>
        <v/>
      </c>
      <c r="P1258" s="27"/>
      <c r="Q1258" s="33" t="str">
        <f aca="false">IF(OR(P1258="",M1258&lt;&gt;"Paid",O1258=""),"",P1258/O1258)</f>
        <v/>
      </c>
      <c r="R1258" s="34" t="str">
        <f aca="false">IF(Q1258="","",Q1258+N(H1258)*0.000000001)</f>
        <v/>
      </c>
      <c r="S1258" s="32" t="str">
        <f aca="false">IF(R1258="","",SUMPRODUCT((I$5:I$4004=I1258)*ISNUMBER(R$5:R$4004)*(R$5:R$4004&gt;R1258))+1)</f>
        <v/>
      </c>
      <c r="T1258" s="32" t="str">
        <f aca="false">IF(S1258="","",IF(S1258&lt;=Setup!$B$5,"🏆 WINNER",""))</f>
        <v/>
      </c>
      <c r="U1258" s="31" t="str">
        <f aca="false">IF(S1258="","",I1258&amp;"|"&amp;S1258)</f>
        <v/>
      </c>
    </row>
    <row r="1259" customFormat="false" ht="15" hidden="false" customHeight="false" outlineLevel="0" collapsed="false">
      <c r="A1259" s="24" t="n">
        <v>1255</v>
      </c>
      <c r="B1259" s="25" t="str">
        <f aca="false">IF(OR(C1259="",I1259="",G1259=""),"",IFERROR(VLOOKUP(I1259,Setup!$A$9:$B$11,2,0),"???")&amp;"-"&amp;G1259&amp;"-"&amp;TEXT(COUNTIFS(I$5:I1259,I1259,G$5:G1259,G1259),"0000"))</f>
        <v/>
      </c>
      <c r="C1259" s="26"/>
      <c r="D1259" s="26"/>
      <c r="E1259" s="27"/>
      <c r="F1259" s="27"/>
      <c r="G1259" s="24" t="str">
        <f aca="false">IF(F1259="","",IF(F1259&lt;=5,"A",IF(F1259&lt;=8,"B",IF(F1259&lt;=10,"C","D"))))</f>
        <v/>
      </c>
      <c r="H1259" s="28"/>
      <c r="I1259" s="27"/>
      <c r="J1259" s="26"/>
      <c r="K1259" s="27"/>
      <c r="L1259" s="27"/>
      <c r="M1259" s="27"/>
      <c r="N1259" s="27"/>
      <c r="O1259" s="24" t="str">
        <f aca="false">IF(G1259="","",VLOOKUP(G1259,Setup!$A$14:$C$17,3,0))</f>
        <v/>
      </c>
      <c r="P1259" s="27"/>
      <c r="Q1259" s="29" t="str">
        <f aca="false">IF(OR(P1259="",M1259&lt;&gt;"Paid",O1259=""),"",P1259/O1259)</f>
        <v/>
      </c>
      <c r="R1259" s="30" t="str">
        <f aca="false">IF(Q1259="","",Q1259+N(H1259)*0.000000001)</f>
        <v/>
      </c>
      <c r="S1259" s="25" t="str">
        <f aca="false">IF(R1259="","",SUMPRODUCT((I$5:I$4004=I1259)*ISNUMBER(R$5:R$4004)*(R$5:R$4004&gt;R1259))+1)</f>
        <v/>
      </c>
      <c r="T1259" s="25" t="str">
        <f aca="false">IF(S1259="","",IF(S1259&lt;=Setup!$B$5,"🏆 WINNER",""))</f>
        <v/>
      </c>
      <c r="U1259" s="24" t="str">
        <f aca="false">IF(S1259="","",I1259&amp;"|"&amp;S1259)</f>
        <v/>
      </c>
    </row>
    <row r="1260" customFormat="false" ht="15" hidden="false" customHeight="false" outlineLevel="0" collapsed="false">
      <c r="A1260" s="31" t="n">
        <v>1256</v>
      </c>
      <c r="B1260" s="32" t="str">
        <f aca="false">IF(OR(C1260="",I1260="",G1260=""),"",IFERROR(VLOOKUP(I1260,Setup!$A$9:$B$11,2,0),"???")&amp;"-"&amp;G1260&amp;"-"&amp;TEXT(COUNTIFS(I$5:I1260,I1260,G$5:G1260,G1260),"0000"))</f>
        <v/>
      </c>
      <c r="C1260" s="26"/>
      <c r="D1260" s="26"/>
      <c r="E1260" s="27"/>
      <c r="F1260" s="27"/>
      <c r="G1260" s="31" t="str">
        <f aca="false">IF(F1260="","",IF(F1260&lt;=5,"A",IF(F1260&lt;=8,"B",IF(F1260&lt;=10,"C","D"))))</f>
        <v/>
      </c>
      <c r="H1260" s="28"/>
      <c r="I1260" s="27"/>
      <c r="J1260" s="26"/>
      <c r="K1260" s="27"/>
      <c r="L1260" s="27"/>
      <c r="M1260" s="27"/>
      <c r="N1260" s="27"/>
      <c r="O1260" s="31" t="str">
        <f aca="false">IF(G1260="","",VLOOKUP(G1260,Setup!$A$14:$C$17,3,0))</f>
        <v/>
      </c>
      <c r="P1260" s="27"/>
      <c r="Q1260" s="33" t="str">
        <f aca="false">IF(OR(P1260="",M1260&lt;&gt;"Paid",O1260=""),"",P1260/O1260)</f>
        <v/>
      </c>
      <c r="R1260" s="34" t="str">
        <f aca="false">IF(Q1260="","",Q1260+N(H1260)*0.000000001)</f>
        <v/>
      </c>
      <c r="S1260" s="32" t="str">
        <f aca="false">IF(R1260="","",SUMPRODUCT((I$5:I$4004=I1260)*ISNUMBER(R$5:R$4004)*(R$5:R$4004&gt;R1260))+1)</f>
        <v/>
      </c>
      <c r="T1260" s="32" t="str">
        <f aca="false">IF(S1260="","",IF(S1260&lt;=Setup!$B$5,"🏆 WINNER",""))</f>
        <v/>
      </c>
      <c r="U1260" s="31" t="str">
        <f aca="false">IF(S1260="","",I1260&amp;"|"&amp;S1260)</f>
        <v/>
      </c>
    </row>
    <row r="1261" customFormat="false" ht="15" hidden="false" customHeight="false" outlineLevel="0" collapsed="false">
      <c r="A1261" s="24" t="n">
        <v>1257</v>
      </c>
      <c r="B1261" s="25" t="str">
        <f aca="false">IF(OR(C1261="",I1261="",G1261=""),"",IFERROR(VLOOKUP(I1261,Setup!$A$9:$B$11,2,0),"???")&amp;"-"&amp;G1261&amp;"-"&amp;TEXT(COUNTIFS(I$5:I1261,I1261,G$5:G1261,G1261),"0000"))</f>
        <v/>
      </c>
      <c r="C1261" s="26"/>
      <c r="D1261" s="26"/>
      <c r="E1261" s="27"/>
      <c r="F1261" s="27"/>
      <c r="G1261" s="24" t="str">
        <f aca="false">IF(F1261="","",IF(F1261&lt;=5,"A",IF(F1261&lt;=8,"B",IF(F1261&lt;=10,"C","D"))))</f>
        <v/>
      </c>
      <c r="H1261" s="28"/>
      <c r="I1261" s="27"/>
      <c r="J1261" s="26"/>
      <c r="K1261" s="27"/>
      <c r="L1261" s="27"/>
      <c r="M1261" s="27"/>
      <c r="N1261" s="27"/>
      <c r="O1261" s="24" t="str">
        <f aca="false">IF(G1261="","",VLOOKUP(G1261,Setup!$A$14:$C$17,3,0))</f>
        <v/>
      </c>
      <c r="P1261" s="27"/>
      <c r="Q1261" s="29" t="str">
        <f aca="false">IF(OR(P1261="",M1261&lt;&gt;"Paid",O1261=""),"",P1261/O1261)</f>
        <v/>
      </c>
      <c r="R1261" s="30" t="str">
        <f aca="false">IF(Q1261="","",Q1261+N(H1261)*0.000000001)</f>
        <v/>
      </c>
      <c r="S1261" s="25" t="str">
        <f aca="false">IF(R1261="","",SUMPRODUCT((I$5:I$4004=I1261)*ISNUMBER(R$5:R$4004)*(R$5:R$4004&gt;R1261))+1)</f>
        <v/>
      </c>
      <c r="T1261" s="25" t="str">
        <f aca="false">IF(S1261="","",IF(S1261&lt;=Setup!$B$5,"🏆 WINNER",""))</f>
        <v/>
      </c>
      <c r="U1261" s="24" t="str">
        <f aca="false">IF(S1261="","",I1261&amp;"|"&amp;S1261)</f>
        <v/>
      </c>
    </row>
    <row r="1262" customFormat="false" ht="15" hidden="false" customHeight="false" outlineLevel="0" collapsed="false">
      <c r="A1262" s="31" t="n">
        <v>1258</v>
      </c>
      <c r="B1262" s="32" t="str">
        <f aca="false">IF(OR(C1262="",I1262="",G1262=""),"",IFERROR(VLOOKUP(I1262,Setup!$A$9:$B$11,2,0),"???")&amp;"-"&amp;G1262&amp;"-"&amp;TEXT(COUNTIFS(I$5:I1262,I1262,G$5:G1262,G1262),"0000"))</f>
        <v/>
      </c>
      <c r="C1262" s="26"/>
      <c r="D1262" s="26"/>
      <c r="E1262" s="27"/>
      <c r="F1262" s="27"/>
      <c r="G1262" s="31" t="str">
        <f aca="false">IF(F1262="","",IF(F1262&lt;=5,"A",IF(F1262&lt;=8,"B",IF(F1262&lt;=10,"C","D"))))</f>
        <v/>
      </c>
      <c r="H1262" s="28"/>
      <c r="I1262" s="27"/>
      <c r="J1262" s="26"/>
      <c r="K1262" s="27"/>
      <c r="L1262" s="27"/>
      <c r="M1262" s="27"/>
      <c r="N1262" s="27"/>
      <c r="O1262" s="31" t="str">
        <f aca="false">IF(G1262="","",VLOOKUP(G1262,Setup!$A$14:$C$17,3,0))</f>
        <v/>
      </c>
      <c r="P1262" s="27"/>
      <c r="Q1262" s="33" t="str">
        <f aca="false">IF(OR(P1262="",M1262&lt;&gt;"Paid",O1262=""),"",P1262/O1262)</f>
        <v/>
      </c>
      <c r="R1262" s="34" t="str">
        <f aca="false">IF(Q1262="","",Q1262+N(H1262)*0.000000001)</f>
        <v/>
      </c>
      <c r="S1262" s="32" t="str">
        <f aca="false">IF(R1262="","",SUMPRODUCT((I$5:I$4004=I1262)*ISNUMBER(R$5:R$4004)*(R$5:R$4004&gt;R1262))+1)</f>
        <v/>
      </c>
      <c r="T1262" s="32" t="str">
        <f aca="false">IF(S1262="","",IF(S1262&lt;=Setup!$B$5,"🏆 WINNER",""))</f>
        <v/>
      </c>
      <c r="U1262" s="31" t="str">
        <f aca="false">IF(S1262="","",I1262&amp;"|"&amp;S1262)</f>
        <v/>
      </c>
    </row>
    <row r="1263" customFormat="false" ht="15" hidden="false" customHeight="false" outlineLevel="0" collapsed="false">
      <c r="A1263" s="24" t="n">
        <v>1259</v>
      </c>
      <c r="B1263" s="25" t="str">
        <f aca="false">IF(OR(C1263="",I1263="",G1263=""),"",IFERROR(VLOOKUP(I1263,Setup!$A$9:$B$11,2,0),"???")&amp;"-"&amp;G1263&amp;"-"&amp;TEXT(COUNTIFS(I$5:I1263,I1263,G$5:G1263,G1263),"0000"))</f>
        <v/>
      </c>
      <c r="C1263" s="26"/>
      <c r="D1263" s="26"/>
      <c r="E1263" s="27"/>
      <c r="F1263" s="27"/>
      <c r="G1263" s="24" t="str">
        <f aca="false">IF(F1263="","",IF(F1263&lt;=5,"A",IF(F1263&lt;=8,"B",IF(F1263&lt;=10,"C","D"))))</f>
        <v/>
      </c>
      <c r="H1263" s="28"/>
      <c r="I1263" s="27"/>
      <c r="J1263" s="26"/>
      <c r="K1263" s="27"/>
      <c r="L1263" s="27"/>
      <c r="M1263" s="27"/>
      <c r="N1263" s="27"/>
      <c r="O1263" s="24" t="str">
        <f aca="false">IF(G1263="","",VLOOKUP(G1263,Setup!$A$14:$C$17,3,0))</f>
        <v/>
      </c>
      <c r="P1263" s="27"/>
      <c r="Q1263" s="29" t="str">
        <f aca="false">IF(OR(P1263="",M1263&lt;&gt;"Paid",O1263=""),"",P1263/O1263)</f>
        <v/>
      </c>
      <c r="R1263" s="30" t="str">
        <f aca="false">IF(Q1263="","",Q1263+N(H1263)*0.000000001)</f>
        <v/>
      </c>
      <c r="S1263" s="25" t="str">
        <f aca="false">IF(R1263="","",SUMPRODUCT((I$5:I$4004=I1263)*ISNUMBER(R$5:R$4004)*(R$5:R$4004&gt;R1263))+1)</f>
        <v/>
      </c>
      <c r="T1263" s="25" t="str">
        <f aca="false">IF(S1263="","",IF(S1263&lt;=Setup!$B$5,"🏆 WINNER",""))</f>
        <v/>
      </c>
      <c r="U1263" s="24" t="str">
        <f aca="false">IF(S1263="","",I1263&amp;"|"&amp;S1263)</f>
        <v/>
      </c>
    </row>
    <row r="1264" customFormat="false" ht="15" hidden="false" customHeight="false" outlineLevel="0" collapsed="false">
      <c r="A1264" s="31" t="n">
        <v>1260</v>
      </c>
      <c r="B1264" s="32" t="str">
        <f aca="false">IF(OR(C1264="",I1264="",G1264=""),"",IFERROR(VLOOKUP(I1264,Setup!$A$9:$B$11,2,0),"???")&amp;"-"&amp;G1264&amp;"-"&amp;TEXT(COUNTIFS(I$5:I1264,I1264,G$5:G1264,G1264),"0000"))</f>
        <v/>
      </c>
      <c r="C1264" s="26"/>
      <c r="D1264" s="26"/>
      <c r="E1264" s="27"/>
      <c r="F1264" s="27"/>
      <c r="G1264" s="31" t="str">
        <f aca="false">IF(F1264="","",IF(F1264&lt;=5,"A",IF(F1264&lt;=8,"B",IF(F1264&lt;=10,"C","D"))))</f>
        <v/>
      </c>
      <c r="H1264" s="28"/>
      <c r="I1264" s="27"/>
      <c r="J1264" s="26"/>
      <c r="K1264" s="27"/>
      <c r="L1264" s="27"/>
      <c r="M1264" s="27"/>
      <c r="N1264" s="27"/>
      <c r="O1264" s="31" t="str">
        <f aca="false">IF(G1264="","",VLOOKUP(G1264,Setup!$A$14:$C$17,3,0))</f>
        <v/>
      </c>
      <c r="P1264" s="27"/>
      <c r="Q1264" s="33" t="str">
        <f aca="false">IF(OR(P1264="",M1264&lt;&gt;"Paid",O1264=""),"",P1264/O1264)</f>
        <v/>
      </c>
      <c r="R1264" s="34" t="str">
        <f aca="false">IF(Q1264="","",Q1264+N(H1264)*0.000000001)</f>
        <v/>
      </c>
      <c r="S1264" s="32" t="str">
        <f aca="false">IF(R1264="","",SUMPRODUCT((I$5:I$4004=I1264)*ISNUMBER(R$5:R$4004)*(R$5:R$4004&gt;R1264))+1)</f>
        <v/>
      </c>
      <c r="T1264" s="32" t="str">
        <f aca="false">IF(S1264="","",IF(S1264&lt;=Setup!$B$5,"🏆 WINNER",""))</f>
        <v/>
      </c>
      <c r="U1264" s="31" t="str">
        <f aca="false">IF(S1264="","",I1264&amp;"|"&amp;S1264)</f>
        <v/>
      </c>
    </row>
    <row r="1265" customFormat="false" ht="15" hidden="false" customHeight="false" outlineLevel="0" collapsed="false">
      <c r="A1265" s="24" t="n">
        <v>1261</v>
      </c>
      <c r="B1265" s="25" t="str">
        <f aca="false">IF(OR(C1265="",I1265="",G1265=""),"",IFERROR(VLOOKUP(I1265,Setup!$A$9:$B$11,2,0),"???")&amp;"-"&amp;G1265&amp;"-"&amp;TEXT(COUNTIFS(I$5:I1265,I1265,G$5:G1265,G1265),"0000"))</f>
        <v/>
      </c>
      <c r="C1265" s="26"/>
      <c r="D1265" s="26"/>
      <c r="E1265" s="27"/>
      <c r="F1265" s="27"/>
      <c r="G1265" s="24" t="str">
        <f aca="false">IF(F1265="","",IF(F1265&lt;=5,"A",IF(F1265&lt;=8,"B",IF(F1265&lt;=10,"C","D"))))</f>
        <v/>
      </c>
      <c r="H1265" s="28"/>
      <c r="I1265" s="27"/>
      <c r="J1265" s="26"/>
      <c r="K1265" s="27"/>
      <c r="L1265" s="27"/>
      <c r="M1265" s="27"/>
      <c r="N1265" s="27"/>
      <c r="O1265" s="24" t="str">
        <f aca="false">IF(G1265="","",VLOOKUP(G1265,Setup!$A$14:$C$17,3,0))</f>
        <v/>
      </c>
      <c r="P1265" s="27"/>
      <c r="Q1265" s="29" t="str">
        <f aca="false">IF(OR(P1265="",M1265&lt;&gt;"Paid",O1265=""),"",P1265/O1265)</f>
        <v/>
      </c>
      <c r="R1265" s="30" t="str">
        <f aca="false">IF(Q1265="","",Q1265+N(H1265)*0.000000001)</f>
        <v/>
      </c>
      <c r="S1265" s="25" t="str">
        <f aca="false">IF(R1265="","",SUMPRODUCT((I$5:I$4004=I1265)*ISNUMBER(R$5:R$4004)*(R$5:R$4004&gt;R1265))+1)</f>
        <v/>
      </c>
      <c r="T1265" s="25" t="str">
        <f aca="false">IF(S1265="","",IF(S1265&lt;=Setup!$B$5,"🏆 WINNER",""))</f>
        <v/>
      </c>
      <c r="U1265" s="24" t="str">
        <f aca="false">IF(S1265="","",I1265&amp;"|"&amp;S1265)</f>
        <v/>
      </c>
    </row>
    <row r="1266" customFormat="false" ht="15" hidden="false" customHeight="false" outlineLevel="0" collapsed="false">
      <c r="A1266" s="31" t="n">
        <v>1262</v>
      </c>
      <c r="B1266" s="32" t="str">
        <f aca="false">IF(OR(C1266="",I1266="",G1266=""),"",IFERROR(VLOOKUP(I1266,Setup!$A$9:$B$11,2,0),"???")&amp;"-"&amp;G1266&amp;"-"&amp;TEXT(COUNTIFS(I$5:I1266,I1266,G$5:G1266,G1266),"0000"))</f>
        <v/>
      </c>
      <c r="C1266" s="26"/>
      <c r="D1266" s="26"/>
      <c r="E1266" s="27"/>
      <c r="F1266" s="27"/>
      <c r="G1266" s="31" t="str">
        <f aca="false">IF(F1266="","",IF(F1266&lt;=5,"A",IF(F1266&lt;=8,"B",IF(F1266&lt;=10,"C","D"))))</f>
        <v/>
      </c>
      <c r="H1266" s="28"/>
      <c r="I1266" s="27"/>
      <c r="J1266" s="26"/>
      <c r="K1266" s="27"/>
      <c r="L1266" s="27"/>
      <c r="M1266" s="27"/>
      <c r="N1266" s="27"/>
      <c r="O1266" s="31" t="str">
        <f aca="false">IF(G1266="","",VLOOKUP(G1266,Setup!$A$14:$C$17,3,0))</f>
        <v/>
      </c>
      <c r="P1266" s="27"/>
      <c r="Q1266" s="33" t="str">
        <f aca="false">IF(OR(P1266="",M1266&lt;&gt;"Paid",O1266=""),"",P1266/O1266)</f>
        <v/>
      </c>
      <c r="R1266" s="34" t="str">
        <f aca="false">IF(Q1266="","",Q1266+N(H1266)*0.000000001)</f>
        <v/>
      </c>
      <c r="S1266" s="32" t="str">
        <f aca="false">IF(R1266="","",SUMPRODUCT((I$5:I$4004=I1266)*ISNUMBER(R$5:R$4004)*(R$5:R$4004&gt;R1266))+1)</f>
        <v/>
      </c>
      <c r="T1266" s="32" t="str">
        <f aca="false">IF(S1266="","",IF(S1266&lt;=Setup!$B$5,"🏆 WINNER",""))</f>
        <v/>
      </c>
      <c r="U1266" s="31" t="str">
        <f aca="false">IF(S1266="","",I1266&amp;"|"&amp;S1266)</f>
        <v/>
      </c>
    </row>
    <row r="1267" customFormat="false" ht="15" hidden="false" customHeight="false" outlineLevel="0" collapsed="false">
      <c r="A1267" s="24" t="n">
        <v>1263</v>
      </c>
      <c r="B1267" s="25" t="str">
        <f aca="false">IF(OR(C1267="",I1267="",G1267=""),"",IFERROR(VLOOKUP(I1267,Setup!$A$9:$B$11,2,0),"???")&amp;"-"&amp;G1267&amp;"-"&amp;TEXT(COUNTIFS(I$5:I1267,I1267,G$5:G1267,G1267),"0000"))</f>
        <v/>
      </c>
      <c r="C1267" s="26"/>
      <c r="D1267" s="26"/>
      <c r="E1267" s="27"/>
      <c r="F1267" s="27"/>
      <c r="G1267" s="24" t="str">
        <f aca="false">IF(F1267="","",IF(F1267&lt;=5,"A",IF(F1267&lt;=8,"B",IF(F1267&lt;=10,"C","D"))))</f>
        <v/>
      </c>
      <c r="H1267" s="28"/>
      <c r="I1267" s="27"/>
      <c r="J1267" s="26"/>
      <c r="K1267" s="27"/>
      <c r="L1267" s="27"/>
      <c r="M1267" s="27"/>
      <c r="N1267" s="27"/>
      <c r="O1267" s="24" t="str">
        <f aca="false">IF(G1267="","",VLOOKUP(G1267,Setup!$A$14:$C$17,3,0))</f>
        <v/>
      </c>
      <c r="P1267" s="27"/>
      <c r="Q1267" s="29" t="str">
        <f aca="false">IF(OR(P1267="",M1267&lt;&gt;"Paid",O1267=""),"",P1267/O1267)</f>
        <v/>
      </c>
      <c r="R1267" s="30" t="str">
        <f aca="false">IF(Q1267="","",Q1267+N(H1267)*0.000000001)</f>
        <v/>
      </c>
      <c r="S1267" s="25" t="str">
        <f aca="false">IF(R1267="","",SUMPRODUCT((I$5:I$4004=I1267)*ISNUMBER(R$5:R$4004)*(R$5:R$4004&gt;R1267))+1)</f>
        <v/>
      </c>
      <c r="T1267" s="25" t="str">
        <f aca="false">IF(S1267="","",IF(S1267&lt;=Setup!$B$5,"🏆 WINNER",""))</f>
        <v/>
      </c>
      <c r="U1267" s="24" t="str">
        <f aca="false">IF(S1267="","",I1267&amp;"|"&amp;S1267)</f>
        <v/>
      </c>
    </row>
    <row r="1268" customFormat="false" ht="15" hidden="false" customHeight="false" outlineLevel="0" collapsed="false">
      <c r="A1268" s="31" t="n">
        <v>1264</v>
      </c>
      <c r="B1268" s="32" t="str">
        <f aca="false">IF(OR(C1268="",I1268="",G1268=""),"",IFERROR(VLOOKUP(I1268,Setup!$A$9:$B$11,2,0),"???")&amp;"-"&amp;G1268&amp;"-"&amp;TEXT(COUNTIFS(I$5:I1268,I1268,G$5:G1268,G1268),"0000"))</f>
        <v/>
      </c>
      <c r="C1268" s="26"/>
      <c r="D1268" s="26"/>
      <c r="E1268" s="27"/>
      <c r="F1268" s="27"/>
      <c r="G1268" s="31" t="str">
        <f aca="false">IF(F1268="","",IF(F1268&lt;=5,"A",IF(F1268&lt;=8,"B",IF(F1268&lt;=10,"C","D"))))</f>
        <v/>
      </c>
      <c r="H1268" s="28"/>
      <c r="I1268" s="27"/>
      <c r="J1268" s="26"/>
      <c r="K1268" s="27"/>
      <c r="L1268" s="27"/>
      <c r="M1268" s="27"/>
      <c r="N1268" s="27"/>
      <c r="O1268" s="31" t="str">
        <f aca="false">IF(G1268="","",VLOOKUP(G1268,Setup!$A$14:$C$17,3,0))</f>
        <v/>
      </c>
      <c r="P1268" s="27"/>
      <c r="Q1268" s="33" t="str">
        <f aca="false">IF(OR(P1268="",M1268&lt;&gt;"Paid",O1268=""),"",P1268/O1268)</f>
        <v/>
      </c>
      <c r="R1268" s="34" t="str">
        <f aca="false">IF(Q1268="","",Q1268+N(H1268)*0.000000001)</f>
        <v/>
      </c>
      <c r="S1268" s="32" t="str">
        <f aca="false">IF(R1268="","",SUMPRODUCT((I$5:I$4004=I1268)*ISNUMBER(R$5:R$4004)*(R$5:R$4004&gt;R1268))+1)</f>
        <v/>
      </c>
      <c r="T1268" s="32" t="str">
        <f aca="false">IF(S1268="","",IF(S1268&lt;=Setup!$B$5,"🏆 WINNER",""))</f>
        <v/>
      </c>
      <c r="U1268" s="31" t="str">
        <f aca="false">IF(S1268="","",I1268&amp;"|"&amp;S1268)</f>
        <v/>
      </c>
    </row>
    <row r="1269" customFormat="false" ht="15" hidden="false" customHeight="false" outlineLevel="0" collapsed="false">
      <c r="A1269" s="24" t="n">
        <v>1265</v>
      </c>
      <c r="B1269" s="25" t="str">
        <f aca="false">IF(OR(C1269="",I1269="",G1269=""),"",IFERROR(VLOOKUP(I1269,Setup!$A$9:$B$11,2,0),"???")&amp;"-"&amp;G1269&amp;"-"&amp;TEXT(COUNTIFS(I$5:I1269,I1269,G$5:G1269,G1269),"0000"))</f>
        <v/>
      </c>
      <c r="C1269" s="26"/>
      <c r="D1269" s="26"/>
      <c r="E1269" s="27"/>
      <c r="F1269" s="27"/>
      <c r="G1269" s="24" t="str">
        <f aca="false">IF(F1269="","",IF(F1269&lt;=5,"A",IF(F1269&lt;=8,"B",IF(F1269&lt;=10,"C","D"))))</f>
        <v/>
      </c>
      <c r="H1269" s="28"/>
      <c r="I1269" s="27"/>
      <c r="J1269" s="26"/>
      <c r="K1269" s="27"/>
      <c r="L1269" s="27"/>
      <c r="M1269" s="27"/>
      <c r="N1269" s="27"/>
      <c r="O1269" s="24" t="str">
        <f aca="false">IF(G1269="","",VLOOKUP(G1269,Setup!$A$14:$C$17,3,0))</f>
        <v/>
      </c>
      <c r="P1269" s="27"/>
      <c r="Q1269" s="29" t="str">
        <f aca="false">IF(OR(P1269="",M1269&lt;&gt;"Paid",O1269=""),"",P1269/O1269)</f>
        <v/>
      </c>
      <c r="R1269" s="30" t="str">
        <f aca="false">IF(Q1269="","",Q1269+N(H1269)*0.000000001)</f>
        <v/>
      </c>
      <c r="S1269" s="25" t="str">
        <f aca="false">IF(R1269="","",SUMPRODUCT((I$5:I$4004=I1269)*ISNUMBER(R$5:R$4004)*(R$5:R$4004&gt;R1269))+1)</f>
        <v/>
      </c>
      <c r="T1269" s="25" t="str">
        <f aca="false">IF(S1269="","",IF(S1269&lt;=Setup!$B$5,"🏆 WINNER",""))</f>
        <v/>
      </c>
      <c r="U1269" s="24" t="str">
        <f aca="false">IF(S1269="","",I1269&amp;"|"&amp;S1269)</f>
        <v/>
      </c>
    </row>
    <row r="1270" customFormat="false" ht="15" hidden="false" customHeight="false" outlineLevel="0" collapsed="false">
      <c r="A1270" s="31" t="n">
        <v>1266</v>
      </c>
      <c r="B1270" s="32" t="str">
        <f aca="false">IF(OR(C1270="",I1270="",G1270=""),"",IFERROR(VLOOKUP(I1270,Setup!$A$9:$B$11,2,0),"???")&amp;"-"&amp;G1270&amp;"-"&amp;TEXT(COUNTIFS(I$5:I1270,I1270,G$5:G1270,G1270),"0000"))</f>
        <v/>
      </c>
      <c r="C1270" s="26"/>
      <c r="D1270" s="26"/>
      <c r="E1270" s="27"/>
      <c r="F1270" s="27"/>
      <c r="G1270" s="31" t="str">
        <f aca="false">IF(F1270="","",IF(F1270&lt;=5,"A",IF(F1270&lt;=8,"B",IF(F1270&lt;=10,"C","D"))))</f>
        <v/>
      </c>
      <c r="H1270" s="28"/>
      <c r="I1270" s="27"/>
      <c r="J1270" s="26"/>
      <c r="K1270" s="27"/>
      <c r="L1270" s="27"/>
      <c r="M1270" s="27"/>
      <c r="N1270" s="27"/>
      <c r="O1270" s="31" t="str">
        <f aca="false">IF(G1270="","",VLOOKUP(G1270,Setup!$A$14:$C$17,3,0))</f>
        <v/>
      </c>
      <c r="P1270" s="27"/>
      <c r="Q1270" s="33" t="str">
        <f aca="false">IF(OR(P1270="",M1270&lt;&gt;"Paid",O1270=""),"",P1270/O1270)</f>
        <v/>
      </c>
      <c r="R1270" s="34" t="str">
        <f aca="false">IF(Q1270="","",Q1270+N(H1270)*0.000000001)</f>
        <v/>
      </c>
      <c r="S1270" s="32" t="str">
        <f aca="false">IF(R1270="","",SUMPRODUCT((I$5:I$4004=I1270)*ISNUMBER(R$5:R$4004)*(R$5:R$4004&gt;R1270))+1)</f>
        <v/>
      </c>
      <c r="T1270" s="32" t="str">
        <f aca="false">IF(S1270="","",IF(S1270&lt;=Setup!$B$5,"🏆 WINNER",""))</f>
        <v/>
      </c>
      <c r="U1270" s="31" t="str">
        <f aca="false">IF(S1270="","",I1270&amp;"|"&amp;S1270)</f>
        <v/>
      </c>
    </row>
    <row r="1271" customFormat="false" ht="15" hidden="false" customHeight="false" outlineLevel="0" collapsed="false">
      <c r="A1271" s="24" t="n">
        <v>1267</v>
      </c>
      <c r="B1271" s="25" t="str">
        <f aca="false">IF(OR(C1271="",I1271="",G1271=""),"",IFERROR(VLOOKUP(I1271,Setup!$A$9:$B$11,2,0),"???")&amp;"-"&amp;G1271&amp;"-"&amp;TEXT(COUNTIFS(I$5:I1271,I1271,G$5:G1271,G1271),"0000"))</f>
        <v/>
      </c>
      <c r="C1271" s="26"/>
      <c r="D1271" s="26"/>
      <c r="E1271" s="27"/>
      <c r="F1271" s="27"/>
      <c r="G1271" s="24" t="str">
        <f aca="false">IF(F1271="","",IF(F1271&lt;=5,"A",IF(F1271&lt;=8,"B",IF(F1271&lt;=10,"C","D"))))</f>
        <v/>
      </c>
      <c r="H1271" s="28"/>
      <c r="I1271" s="27"/>
      <c r="J1271" s="26"/>
      <c r="K1271" s="27"/>
      <c r="L1271" s="27"/>
      <c r="M1271" s="27"/>
      <c r="N1271" s="27"/>
      <c r="O1271" s="24" t="str">
        <f aca="false">IF(G1271="","",VLOOKUP(G1271,Setup!$A$14:$C$17,3,0))</f>
        <v/>
      </c>
      <c r="P1271" s="27"/>
      <c r="Q1271" s="29" t="str">
        <f aca="false">IF(OR(P1271="",M1271&lt;&gt;"Paid",O1271=""),"",P1271/O1271)</f>
        <v/>
      </c>
      <c r="R1271" s="30" t="str">
        <f aca="false">IF(Q1271="","",Q1271+N(H1271)*0.000000001)</f>
        <v/>
      </c>
      <c r="S1271" s="25" t="str">
        <f aca="false">IF(R1271="","",SUMPRODUCT((I$5:I$4004=I1271)*ISNUMBER(R$5:R$4004)*(R$5:R$4004&gt;R1271))+1)</f>
        <v/>
      </c>
      <c r="T1271" s="25" t="str">
        <f aca="false">IF(S1271="","",IF(S1271&lt;=Setup!$B$5,"🏆 WINNER",""))</f>
        <v/>
      </c>
      <c r="U1271" s="24" t="str">
        <f aca="false">IF(S1271="","",I1271&amp;"|"&amp;S1271)</f>
        <v/>
      </c>
    </row>
    <row r="1272" customFormat="false" ht="15" hidden="false" customHeight="false" outlineLevel="0" collapsed="false">
      <c r="A1272" s="31" t="n">
        <v>1268</v>
      </c>
      <c r="B1272" s="32" t="str">
        <f aca="false">IF(OR(C1272="",I1272="",G1272=""),"",IFERROR(VLOOKUP(I1272,Setup!$A$9:$B$11,2,0),"???")&amp;"-"&amp;G1272&amp;"-"&amp;TEXT(COUNTIFS(I$5:I1272,I1272,G$5:G1272,G1272),"0000"))</f>
        <v/>
      </c>
      <c r="C1272" s="26"/>
      <c r="D1272" s="26"/>
      <c r="E1272" s="27"/>
      <c r="F1272" s="27"/>
      <c r="G1272" s="31" t="str">
        <f aca="false">IF(F1272="","",IF(F1272&lt;=5,"A",IF(F1272&lt;=8,"B",IF(F1272&lt;=10,"C","D"))))</f>
        <v/>
      </c>
      <c r="H1272" s="28"/>
      <c r="I1272" s="27"/>
      <c r="J1272" s="26"/>
      <c r="K1272" s="27"/>
      <c r="L1272" s="27"/>
      <c r="M1272" s="27"/>
      <c r="N1272" s="27"/>
      <c r="O1272" s="31" t="str">
        <f aca="false">IF(G1272="","",VLOOKUP(G1272,Setup!$A$14:$C$17,3,0))</f>
        <v/>
      </c>
      <c r="P1272" s="27"/>
      <c r="Q1272" s="33" t="str">
        <f aca="false">IF(OR(P1272="",M1272&lt;&gt;"Paid",O1272=""),"",P1272/O1272)</f>
        <v/>
      </c>
      <c r="R1272" s="34" t="str">
        <f aca="false">IF(Q1272="","",Q1272+N(H1272)*0.000000001)</f>
        <v/>
      </c>
      <c r="S1272" s="32" t="str">
        <f aca="false">IF(R1272="","",SUMPRODUCT((I$5:I$4004=I1272)*ISNUMBER(R$5:R$4004)*(R$5:R$4004&gt;R1272))+1)</f>
        <v/>
      </c>
      <c r="T1272" s="32" t="str">
        <f aca="false">IF(S1272="","",IF(S1272&lt;=Setup!$B$5,"🏆 WINNER",""))</f>
        <v/>
      </c>
      <c r="U1272" s="31" t="str">
        <f aca="false">IF(S1272="","",I1272&amp;"|"&amp;S1272)</f>
        <v/>
      </c>
    </row>
    <row r="1273" customFormat="false" ht="15" hidden="false" customHeight="false" outlineLevel="0" collapsed="false">
      <c r="A1273" s="24" t="n">
        <v>1269</v>
      </c>
      <c r="B1273" s="25" t="str">
        <f aca="false">IF(OR(C1273="",I1273="",G1273=""),"",IFERROR(VLOOKUP(I1273,Setup!$A$9:$B$11,2,0),"???")&amp;"-"&amp;G1273&amp;"-"&amp;TEXT(COUNTIFS(I$5:I1273,I1273,G$5:G1273,G1273),"0000"))</f>
        <v/>
      </c>
      <c r="C1273" s="26"/>
      <c r="D1273" s="26"/>
      <c r="E1273" s="27"/>
      <c r="F1273" s="27"/>
      <c r="G1273" s="24" t="str">
        <f aca="false">IF(F1273="","",IF(F1273&lt;=5,"A",IF(F1273&lt;=8,"B",IF(F1273&lt;=10,"C","D"))))</f>
        <v/>
      </c>
      <c r="H1273" s="28"/>
      <c r="I1273" s="27"/>
      <c r="J1273" s="26"/>
      <c r="K1273" s="27"/>
      <c r="L1273" s="27"/>
      <c r="M1273" s="27"/>
      <c r="N1273" s="27"/>
      <c r="O1273" s="24" t="str">
        <f aca="false">IF(G1273="","",VLOOKUP(G1273,Setup!$A$14:$C$17,3,0))</f>
        <v/>
      </c>
      <c r="P1273" s="27"/>
      <c r="Q1273" s="29" t="str">
        <f aca="false">IF(OR(P1273="",M1273&lt;&gt;"Paid",O1273=""),"",P1273/O1273)</f>
        <v/>
      </c>
      <c r="R1273" s="30" t="str">
        <f aca="false">IF(Q1273="","",Q1273+N(H1273)*0.000000001)</f>
        <v/>
      </c>
      <c r="S1273" s="25" t="str">
        <f aca="false">IF(R1273="","",SUMPRODUCT((I$5:I$4004=I1273)*ISNUMBER(R$5:R$4004)*(R$5:R$4004&gt;R1273))+1)</f>
        <v/>
      </c>
      <c r="T1273" s="25" t="str">
        <f aca="false">IF(S1273="","",IF(S1273&lt;=Setup!$B$5,"🏆 WINNER",""))</f>
        <v/>
      </c>
      <c r="U1273" s="24" t="str">
        <f aca="false">IF(S1273="","",I1273&amp;"|"&amp;S1273)</f>
        <v/>
      </c>
    </row>
    <row r="1274" customFormat="false" ht="15" hidden="false" customHeight="false" outlineLevel="0" collapsed="false">
      <c r="A1274" s="31" t="n">
        <v>1270</v>
      </c>
      <c r="B1274" s="32" t="str">
        <f aca="false">IF(OR(C1274="",I1274="",G1274=""),"",IFERROR(VLOOKUP(I1274,Setup!$A$9:$B$11,2,0),"???")&amp;"-"&amp;G1274&amp;"-"&amp;TEXT(COUNTIFS(I$5:I1274,I1274,G$5:G1274,G1274),"0000"))</f>
        <v/>
      </c>
      <c r="C1274" s="26"/>
      <c r="D1274" s="26"/>
      <c r="E1274" s="27"/>
      <c r="F1274" s="27"/>
      <c r="G1274" s="31" t="str">
        <f aca="false">IF(F1274="","",IF(F1274&lt;=5,"A",IF(F1274&lt;=8,"B",IF(F1274&lt;=10,"C","D"))))</f>
        <v/>
      </c>
      <c r="H1274" s="28"/>
      <c r="I1274" s="27"/>
      <c r="J1274" s="26"/>
      <c r="K1274" s="27"/>
      <c r="L1274" s="27"/>
      <c r="M1274" s="27"/>
      <c r="N1274" s="27"/>
      <c r="O1274" s="31" t="str">
        <f aca="false">IF(G1274="","",VLOOKUP(G1274,Setup!$A$14:$C$17,3,0))</f>
        <v/>
      </c>
      <c r="P1274" s="27"/>
      <c r="Q1274" s="33" t="str">
        <f aca="false">IF(OR(P1274="",M1274&lt;&gt;"Paid",O1274=""),"",P1274/O1274)</f>
        <v/>
      </c>
      <c r="R1274" s="34" t="str">
        <f aca="false">IF(Q1274="","",Q1274+N(H1274)*0.000000001)</f>
        <v/>
      </c>
      <c r="S1274" s="32" t="str">
        <f aca="false">IF(R1274="","",SUMPRODUCT((I$5:I$4004=I1274)*ISNUMBER(R$5:R$4004)*(R$5:R$4004&gt;R1274))+1)</f>
        <v/>
      </c>
      <c r="T1274" s="32" t="str">
        <f aca="false">IF(S1274="","",IF(S1274&lt;=Setup!$B$5,"🏆 WINNER",""))</f>
        <v/>
      </c>
      <c r="U1274" s="31" t="str">
        <f aca="false">IF(S1274="","",I1274&amp;"|"&amp;S1274)</f>
        <v/>
      </c>
    </row>
    <row r="1275" customFormat="false" ht="15" hidden="false" customHeight="false" outlineLevel="0" collapsed="false">
      <c r="A1275" s="24" t="n">
        <v>1271</v>
      </c>
      <c r="B1275" s="25" t="str">
        <f aca="false">IF(OR(C1275="",I1275="",G1275=""),"",IFERROR(VLOOKUP(I1275,Setup!$A$9:$B$11,2,0),"???")&amp;"-"&amp;G1275&amp;"-"&amp;TEXT(COUNTIFS(I$5:I1275,I1275,G$5:G1275,G1275),"0000"))</f>
        <v/>
      </c>
      <c r="C1275" s="26"/>
      <c r="D1275" s="26"/>
      <c r="E1275" s="27"/>
      <c r="F1275" s="27"/>
      <c r="G1275" s="24" t="str">
        <f aca="false">IF(F1275="","",IF(F1275&lt;=5,"A",IF(F1275&lt;=8,"B",IF(F1275&lt;=10,"C","D"))))</f>
        <v/>
      </c>
      <c r="H1275" s="28"/>
      <c r="I1275" s="27"/>
      <c r="J1275" s="26"/>
      <c r="K1275" s="27"/>
      <c r="L1275" s="27"/>
      <c r="M1275" s="27"/>
      <c r="N1275" s="27"/>
      <c r="O1275" s="24" t="str">
        <f aca="false">IF(G1275="","",VLOOKUP(G1275,Setup!$A$14:$C$17,3,0))</f>
        <v/>
      </c>
      <c r="P1275" s="27"/>
      <c r="Q1275" s="29" t="str">
        <f aca="false">IF(OR(P1275="",M1275&lt;&gt;"Paid",O1275=""),"",P1275/O1275)</f>
        <v/>
      </c>
      <c r="R1275" s="30" t="str">
        <f aca="false">IF(Q1275="","",Q1275+N(H1275)*0.000000001)</f>
        <v/>
      </c>
      <c r="S1275" s="25" t="str">
        <f aca="false">IF(R1275="","",SUMPRODUCT((I$5:I$4004=I1275)*ISNUMBER(R$5:R$4004)*(R$5:R$4004&gt;R1275))+1)</f>
        <v/>
      </c>
      <c r="T1275" s="25" t="str">
        <f aca="false">IF(S1275="","",IF(S1275&lt;=Setup!$B$5,"🏆 WINNER",""))</f>
        <v/>
      </c>
      <c r="U1275" s="24" t="str">
        <f aca="false">IF(S1275="","",I1275&amp;"|"&amp;S1275)</f>
        <v/>
      </c>
    </row>
    <row r="1276" customFormat="false" ht="15" hidden="false" customHeight="false" outlineLevel="0" collapsed="false">
      <c r="A1276" s="31" t="n">
        <v>1272</v>
      </c>
      <c r="B1276" s="32" t="str">
        <f aca="false">IF(OR(C1276="",I1276="",G1276=""),"",IFERROR(VLOOKUP(I1276,Setup!$A$9:$B$11,2,0),"???")&amp;"-"&amp;G1276&amp;"-"&amp;TEXT(COUNTIFS(I$5:I1276,I1276,G$5:G1276,G1276),"0000"))</f>
        <v/>
      </c>
      <c r="C1276" s="26"/>
      <c r="D1276" s="26"/>
      <c r="E1276" s="27"/>
      <c r="F1276" s="27"/>
      <c r="G1276" s="31" t="str">
        <f aca="false">IF(F1276="","",IF(F1276&lt;=5,"A",IF(F1276&lt;=8,"B",IF(F1276&lt;=10,"C","D"))))</f>
        <v/>
      </c>
      <c r="H1276" s="28"/>
      <c r="I1276" s="27"/>
      <c r="J1276" s="26"/>
      <c r="K1276" s="27"/>
      <c r="L1276" s="27"/>
      <c r="M1276" s="27"/>
      <c r="N1276" s="27"/>
      <c r="O1276" s="31" t="str">
        <f aca="false">IF(G1276="","",VLOOKUP(G1276,Setup!$A$14:$C$17,3,0))</f>
        <v/>
      </c>
      <c r="P1276" s="27"/>
      <c r="Q1276" s="33" t="str">
        <f aca="false">IF(OR(P1276="",M1276&lt;&gt;"Paid",O1276=""),"",P1276/O1276)</f>
        <v/>
      </c>
      <c r="R1276" s="34" t="str">
        <f aca="false">IF(Q1276="","",Q1276+N(H1276)*0.000000001)</f>
        <v/>
      </c>
      <c r="S1276" s="32" t="str">
        <f aca="false">IF(R1276="","",SUMPRODUCT((I$5:I$4004=I1276)*ISNUMBER(R$5:R$4004)*(R$5:R$4004&gt;R1276))+1)</f>
        <v/>
      </c>
      <c r="T1276" s="32" t="str">
        <f aca="false">IF(S1276="","",IF(S1276&lt;=Setup!$B$5,"🏆 WINNER",""))</f>
        <v/>
      </c>
      <c r="U1276" s="31" t="str">
        <f aca="false">IF(S1276="","",I1276&amp;"|"&amp;S1276)</f>
        <v/>
      </c>
    </row>
    <row r="1277" customFormat="false" ht="15" hidden="false" customHeight="false" outlineLevel="0" collapsed="false">
      <c r="A1277" s="24" t="n">
        <v>1273</v>
      </c>
      <c r="B1277" s="25" t="str">
        <f aca="false">IF(OR(C1277="",I1277="",G1277=""),"",IFERROR(VLOOKUP(I1277,Setup!$A$9:$B$11,2,0),"???")&amp;"-"&amp;G1277&amp;"-"&amp;TEXT(COUNTIFS(I$5:I1277,I1277,G$5:G1277,G1277),"0000"))</f>
        <v/>
      </c>
      <c r="C1277" s="26"/>
      <c r="D1277" s="26"/>
      <c r="E1277" s="27"/>
      <c r="F1277" s="27"/>
      <c r="G1277" s="24" t="str">
        <f aca="false">IF(F1277="","",IF(F1277&lt;=5,"A",IF(F1277&lt;=8,"B",IF(F1277&lt;=10,"C","D"))))</f>
        <v/>
      </c>
      <c r="H1277" s="28"/>
      <c r="I1277" s="27"/>
      <c r="J1277" s="26"/>
      <c r="K1277" s="27"/>
      <c r="L1277" s="27"/>
      <c r="M1277" s="27"/>
      <c r="N1277" s="27"/>
      <c r="O1277" s="24" t="str">
        <f aca="false">IF(G1277="","",VLOOKUP(G1277,Setup!$A$14:$C$17,3,0))</f>
        <v/>
      </c>
      <c r="P1277" s="27"/>
      <c r="Q1277" s="29" t="str">
        <f aca="false">IF(OR(P1277="",M1277&lt;&gt;"Paid",O1277=""),"",P1277/O1277)</f>
        <v/>
      </c>
      <c r="R1277" s="30" t="str">
        <f aca="false">IF(Q1277="","",Q1277+N(H1277)*0.000000001)</f>
        <v/>
      </c>
      <c r="S1277" s="25" t="str">
        <f aca="false">IF(R1277="","",SUMPRODUCT((I$5:I$4004=I1277)*ISNUMBER(R$5:R$4004)*(R$5:R$4004&gt;R1277))+1)</f>
        <v/>
      </c>
      <c r="T1277" s="25" t="str">
        <f aca="false">IF(S1277="","",IF(S1277&lt;=Setup!$B$5,"🏆 WINNER",""))</f>
        <v/>
      </c>
      <c r="U1277" s="24" t="str">
        <f aca="false">IF(S1277="","",I1277&amp;"|"&amp;S1277)</f>
        <v/>
      </c>
    </row>
    <row r="1278" customFormat="false" ht="15" hidden="false" customHeight="false" outlineLevel="0" collapsed="false">
      <c r="A1278" s="31" t="n">
        <v>1274</v>
      </c>
      <c r="B1278" s="32" t="str">
        <f aca="false">IF(OR(C1278="",I1278="",G1278=""),"",IFERROR(VLOOKUP(I1278,Setup!$A$9:$B$11,2,0),"???")&amp;"-"&amp;G1278&amp;"-"&amp;TEXT(COUNTIFS(I$5:I1278,I1278,G$5:G1278,G1278),"0000"))</f>
        <v/>
      </c>
      <c r="C1278" s="26"/>
      <c r="D1278" s="26"/>
      <c r="E1278" s="27"/>
      <c r="F1278" s="27"/>
      <c r="G1278" s="31" t="str">
        <f aca="false">IF(F1278="","",IF(F1278&lt;=5,"A",IF(F1278&lt;=8,"B",IF(F1278&lt;=10,"C","D"))))</f>
        <v/>
      </c>
      <c r="H1278" s="28"/>
      <c r="I1278" s="27"/>
      <c r="J1278" s="26"/>
      <c r="K1278" s="27"/>
      <c r="L1278" s="27"/>
      <c r="M1278" s="27"/>
      <c r="N1278" s="27"/>
      <c r="O1278" s="31" t="str">
        <f aca="false">IF(G1278="","",VLOOKUP(G1278,Setup!$A$14:$C$17,3,0))</f>
        <v/>
      </c>
      <c r="P1278" s="27"/>
      <c r="Q1278" s="33" t="str">
        <f aca="false">IF(OR(P1278="",M1278&lt;&gt;"Paid",O1278=""),"",P1278/O1278)</f>
        <v/>
      </c>
      <c r="R1278" s="34" t="str">
        <f aca="false">IF(Q1278="","",Q1278+N(H1278)*0.000000001)</f>
        <v/>
      </c>
      <c r="S1278" s="32" t="str">
        <f aca="false">IF(R1278="","",SUMPRODUCT((I$5:I$4004=I1278)*ISNUMBER(R$5:R$4004)*(R$5:R$4004&gt;R1278))+1)</f>
        <v/>
      </c>
      <c r="T1278" s="32" t="str">
        <f aca="false">IF(S1278="","",IF(S1278&lt;=Setup!$B$5,"🏆 WINNER",""))</f>
        <v/>
      </c>
      <c r="U1278" s="31" t="str">
        <f aca="false">IF(S1278="","",I1278&amp;"|"&amp;S1278)</f>
        <v/>
      </c>
    </row>
    <row r="1279" customFormat="false" ht="15" hidden="false" customHeight="false" outlineLevel="0" collapsed="false">
      <c r="A1279" s="24" t="n">
        <v>1275</v>
      </c>
      <c r="B1279" s="25" t="str">
        <f aca="false">IF(OR(C1279="",I1279="",G1279=""),"",IFERROR(VLOOKUP(I1279,Setup!$A$9:$B$11,2,0),"???")&amp;"-"&amp;G1279&amp;"-"&amp;TEXT(COUNTIFS(I$5:I1279,I1279,G$5:G1279,G1279),"0000"))</f>
        <v/>
      </c>
      <c r="C1279" s="26"/>
      <c r="D1279" s="26"/>
      <c r="E1279" s="27"/>
      <c r="F1279" s="27"/>
      <c r="G1279" s="24" t="str">
        <f aca="false">IF(F1279="","",IF(F1279&lt;=5,"A",IF(F1279&lt;=8,"B",IF(F1279&lt;=10,"C","D"))))</f>
        <v/>
      </c>
      <c r="H1279" s="28"/>
      <c r="I1279" s="27"/>
      <c r="J1279" s="26"/>
      <c r="K1279" s="27"/>
      <c r="L1279" s="27"/>
      <c r="M1279" s="27"/>
      <c r="N1279" s="27"/>
      <c r="O1279" s="24" t="str">
        <f aca="false">IF(G1279="","",VLOOKUP(G1279,Setup!$A$14:$C$17,3,0))</f>
        <v/>
      </c>
      <c r="P1279" s="27"/>
      <c r="Q1279" s="29" t="str">
        <f aca="false">IF(OR(P1279="",M1279&lt;&gt;"Paid",O1279=""),"",P1279/O1279)</f>
        <v/>
      </c>
      <c r="R1279" s="30" t="str">
        <f aca="false">IF(Q1279="","",Q1279+N(H1279)*0.000000001)</f>
        <v/>
      </c>
      <c r="S1279" s="25" t="str">
        <f aca="false">IF(R1279="","",SUMPRODUCT((I$5:I$4004=I1279)*ISNUMBER(R$5:R$4004)*(R$5:R$4004&gt;R1279))+1)</f>
        <v/>
      </c>
      <c r="T1279" s="25" t="str">
        <f aca="false">IF(S1279="","",IF(S1279&lt;=Setup!$B$5,"🏆 WINNER",""))</f>
        <v/>
      </c>
      <c r="U1279" s="24" t="str">
        <f aca="false">IF(S1279="","",I1279&amp;"|"&amp;S1279)</f>
        <v/>
      </c>
    </row>
    <row r="1280" customFormat="false" ht="15" hidden="false" customHeight="false" outlineLevel="0" collapsed="false">
      <c r="A1280" s="31" t="n">
        <v>1276</v>
      </c>
      <c r="B1280" s="32" t="str">
        <f aca="false">IF(OR(C1280="",I1280="",G1280=""),"",IFERROR(VLOOKUP(I1280,Setup!$A$9:$B$11,2,0),"???")&amp;"-"&amp;G1280&amp;"-"&amp;TEXT(COUNTIFS(I$5:I1280,I1280,G$5:G1280,G1280),"0000"))</f>
        <v/>
      </c>
      <c r="C1280" s="26"/>
      <c r="D1280" s="26"/>
      <c r="E1280" s="27"/>
      <c r="F1280" s="27"/>
      <c r="G1280" s="31" t="str">
        <f aca="false">IF(F1280="","",IF(F1280&lt;=5,"A",IF(F1280&lt;=8,"B",IF(F1280&lt;=10,"C","D"))))</f>
        <v/>
      </c>
      <c r="H1280" s="28"/>
      <c r="I1280" s="27"/>
      <c r="J1280" s="26"/>
      <c r="K1280" s="27"/>
      <c r="L1280" s="27"/>
      <c r="M1280" s="27"/>
      <c r="N1280" s="27"/>
      <c r="O1280" s="31" t="str">
        <f aca="false">IF(G1280="","",VLOOKUP(G1280,Setup!$A$14:$C$17,3,0))</f>
        <v/>
      </c>
      <c r="P1280" s="27"/>
      <c r="Q1280" s="33" t="str">
        <f aca="false">IF(OR(P1280="",M1280&lt;&gt;"Paid",O1280=""),"",P1280/O1280)</f>
        <v/>
      </c>
      <c r="R1280" s="34" t="str">
        <f aca="false">IF(Q1280="","",Q1280+N(H1280)*0.000000001)</f>
        <v/>
      </c>
      <c r="S1280" s="32" t="str">
        <f aca="false">IF(R1280="","",SUMPRODUCT((I$5:I$4004=I1280)*ISNUMBER(R$5:R$4004)*(R$5:R$4004&gt;R1280))+1)</f>
        <v/>
      </c>
      <c r="T1280" s="32" t="str">
        <f aca="false">IF(S1280="","",IF(S1280&lt;=Setup!$B$5,"🏆 WINNER",""))</f>
        <v/>
      </c>
      <c r="U1280" s="31" t="str">
        <f aca="false">IF(S1280="","",I1280&amp;"|"&amp;S1280)</f>
        <v/>
      </c>
    </row>
    <row r="1281" customFormat="false" ht="15" hidden="false" customHeight="false" outlineLevel="0" collapsed="false">
      <c r="A1281" s="24" t="n">
        <v>1277</v>
      </c>
      <c r="B1281" s="25" t="str">
        <f aca="false">IF(OR(C1281="",I1281="",G1281=""),"",IFERROR(VLOOKUP(I1281,Setup!$A$9:$B$11,2,0),"???")&amp;"-"&amp;G1281&amp;"-"&amp;TEXT(COUNTIFS(I$5:I1281,I1281,G$5:G1281,G1281),"0000"))</f>
        <v/>
      </c>
      <c r="C1281" s="26"/>
      <c r="D1281" s="26"/>
      <c r="E1281" s="27"/>
      <c r="F1281" s="27"/>
      <c r="G1281" s="24" t="str">
        <f aca="false">IF(F1281="","",IF(F1281&lt;=5,"A",IF(F1281&lt;=8,"B",IF(F1281&lt;=10,"C","D"))))</f>
        <v/>
      </c>
      <c r="H1281" s="28"/>
      <c r="I1281" s="27"/>
      <c r="J1281" s="26"/>
      <c r="K1281" s="27"/>
      <c r="L1281" s="27"/>
      <c r="M1281" s="27"/>
      <c r="N1281" s="27"/>
      <c r="O1281" s="24" t="str">
        <f aca="false">IF(G1281="","",VLOOKUP(G1281,Setup!$A$14:$C$17,3,0))</f>
        <v/>
      </c>
      <c r="P1281" s="27"/>
      <c r="Q1281" s="29" t="str">
        <f aca="false">IF(OR(P1281="",M1281&lt;&gt;"Paid",O1281=""),"",P1281/O1281)</f>
        <v/>
      </c>
      <c r="R1281" s="30" t="str">
        <f aca="false">IF(Q1281="","",Q1281+N(H1281)*0.000000001)</f>
        <v/>
      </c>
      <c r="S1281" s="25" t="str">
        <f aca="false">IF(R1281="","",SUMPRODUCT((I$5:I$4004=I1281)*ISNUMBER(R$5:R$4004)*(R$5:R$4004&gt;R1281))+1)</f>
        <v/>
      </c>
      <c r="T1281" s="25" t="str">
        <f aca="false">IF(S1281="","",IF(S1281&lt;=Setup!$B$5,"🏆 WINNER",""))</f>
        <v/>
      </c>
      <c r="U1281" s="24" t="str">
        <f aca="false">IF(S1281="","",I1281&amp;"|"&amp;S1281)</f>
        <v/>
      </c>
    </row>
    <row r="1282" customFormat="false" ht="15" hidden="false" customHeight="false" outlineLevel="0" collapsed="false">
      <c r="A1282" s="31" t="n">
        <v>1278</v>
      </c>
      <c r="B1282" s="32" t="str">
        <f aca="false">IF(OR(C1282="",I1282="",G1282=""),"",IFERROR(VLOOKUP(I1282,Setup!$A$9:$B$11,2,0),"???")&amp;"-"&amp;G1282&amp;"-"&amp;TEXT(COUNTIFS(I$5:I1282,I1282,G$5:G1282,G1282),"0000"))</f>
        <v/>
      </c>
      <c r="C1282" s="26"/>
      <c r="D1282" s="26"/>
      <c r="E1282" s="27"/>
      <c r="F1282" s="27"/>
      <c r="G1282" s="31" t="str">
        <f aca="false">IF(F1282="","",IF(F1282&lt;=5,"A",IF(F1282&lt;=8,"B",IF(F1282&lt;=10,"C","D"))))</f>
        <v/>
      </c>
      <c r="H1282" s="28"/>
      <c r="I1282" s="27"/>
      <c r="J1282" s="26"/>
      <c r="K1282" s="27"/>
      <c r="L1282" s="27"/>
      <c r="M1282" s="27"/>
      <c r="N1282" s="27"/>
      <c r="O1282" s="31" t="str">
        <f aca="false">IF(G1282="","",VLOOKUP(G1282,Setup!$A$14:$C$17,3,0))</f>
        <v/>
      </c>
      <c r="P1282" s="27"/>
      <c r="Q1282" s="33" t="str">
        <f aca="false">IF(OR(P1282="",M1282&lt;&gt;"Paid",O1282=""),"",P1282/O1282)</f>
        <v/>
      </c>
      <c r="R1282" s="34" t="str">
        <f aca="false">IF(Q1282="","",Q1282+N(H1282)*0.000000001)</f>
        <v/>
      </c>
      <c r="S1282" s="32" t="str">
        <f aca="false">IF(R1282="","",SUMPRODUCT((I$5:I$4004=I1282)*ISNUMBER(R$5:R$4004)*(R$5:R$4004&gt;R1282))+1)</f>
        <v/>
      </c>
      <c r="T1282" s="32" t="str">
        <f aca="false">IF(S1282="","",IF(S1282&lt;=Setup!$B$5,"🏆 WINNER",""))</f>
        <v/>
      </c>
      <c r="U1282" s="31" t="str">
        <f aca="false">IF(S1282="","",I1282&amp;"|"&amp;S1282)</f>
        <v/>
      </c>
    </row>
    <row r="1283" customFormat="false" ht="15" hidden="false" customHeight="false" outlineLevel="0" collapsed="false">
      <c r="A1283" s="24" t="n">
        <v>1279</v>
      </c>
      <c r="B1283" s="25" t="str">
        <f aca="false">IF(OR(C1283="",I1283="",G1283=""),"",IFERROR(VLOOKUP(I1283,Setup!$A$9:$B$11,2,0),"???")&amp;"-"&amp;G1283&amp;"-"&amp;TEXT(COUNTIFS(I$5:I1283,I1283,G$5:G1283,G1283),"0000"))</f>
        <v/>
      </c>
      <c r="C1283" s="26"/>
      <c r="D1283" s="26"/>
      <c r="E1283" s="27"/>
      <c r="F1283" s="27"/>
      <c r="G1283" s="24" t="str">
        <f aca="false">IF(F1283="","",IF(F1283&lt;=5,"A",IF(F1283&lt;=8,"B",IF(F1283&lt;=10,"C","D"))))</f>
        <v/>
      </c>
      <c r="H1283" s="28"/>
      <c r="I1283" s="27"/>
      <c r="J1283" s="26"/>
      <c r="K1283" s="27"/>
      <c r="L1283" s="27"/>
      <c r="M1283" s="27"/>
      <c r="N1283" s="27"/>
      <c r="O1283" s="24" t="str">
        <f aca="false">IF(G1283="","",VLOOKUP(G1283,Setup!$A$14:$C$17,3,0))</f>
        <v/>
      </c>
      <c r="P1283" s="27"/>
      <c r="Q1283" s="29" t="str">
        <f aca="false">IF(OR(P1283="",M1283&lt;&gt;"Paid",O1283=""),"",P1283/O1283)</f>
        <v/>
      </c>
      <c r="R1283" s="30" t="str">
        <f aca="false">IF(Q1283="","",Q1283+N(H1283)*0.000000001)</f>
        <v/>
      </c>
      <c r="S1283" s="25" t="str">
        <f aca="false">IF(R1283="","",SUMPRODUCT((I$5:I$4004=I1283)*ISNUMBER(R$5:R$4004)*(R$5:R$4004&gt;R1283))+1)</f>
        <v/>
      </c>
      <c r="T1283" s="25" t="str">
        <f aca="false">IF(S1283="","",IF(S1283&lt;=Setup!$B$5,"🏆 WINNER",""))</f>
        <v/>
      </c>
      <c r="U1283" s="24" t="str">
        <f aca="false">IF(S1283="","",I1283&amp;"|"&amp;S1283)</f>
        <v/>
      </c>
    </row>
    <row r="1284" customFormat="false" ht="15" hidden="false" customHeight="false" outlineLevel="0" collapsed="false">
      <c r="A1284" s="31" t="n">
        <v>1280</v>
      </c>
      <c r="B1284" s="32" t="str">
        <f aca="false">IF(OR(C1284="",I1284="",G1284=""),"",IFERROR(VLOOKUP(I1284,Setup!$A$9:$B$11,2,0),"???")&amp;"-"&amp;G1284&amp;"-"&amp;TEXT(COUNTIFS(I$5:I1284,I1284,G$5:G1284,G1284),"0000"))</f>
        <v/>
      </c>
      <c r="C1284" s="26"/>
      <c r="D1284" s="26"/>
      <c r="E1284" s="27"/>
      <c r="F1284" s="27"/>
      <c r="G1284" s="31" t="str">
        <f aca="false">IF(F1284="","",IF(F1284&lt;=5,"A",IF(F1284&lt;=8,"B",IF(F1284&lt;=10,"C","D"))))</f>
        <v/>
      </c>
      <c r="H1284" s="28"/>
      <c r="I1284" s="27"/>
      <c r="J1284" s="26"/>
      <c r="K1284" s="27"/>
      <c r="L1284" s="27"/>
      <c r="M1284" s="27"/>
      <c r="N1284" s="27"/>
      <c r="O1284" s="31" t="str">
        <f aca="false">IF(G1284="","",VLOOKUP(G1284,Setup!$A$14:$C$17,3,0))</f>
        <v/>
      </c>
      <c r="P1284" s="27"/>
      <c r="Q1284" s="33" t="str">
        <f aca="false">IF(OR(P1284="",M1284&lt;&gt;"Paid",O1284=""),"",P1284/O1284)</f>
        <v/>
      </c>
      <c r="R1284" s="34" t="str">
        <f aca="false">IF(Q1284="","",Q1284+N(H1284)*0.000000001)</f>
        <v/>
      </c>
      <c r="S1284" s="32" t="str">
        <f aca="false">IF(R1284="","",SUMPRODUCT((I$5:I$4004=I1284)*ISNUMBER(R$5:R$4004)*(R$5:R$4004&gt;R1284))+1)</f>
        <v/>
      </c>
      <c r="T1284" s="32" t="str">
        <f aca="false">IF(S1284="","",IF(S1284&lt;=Setup!$B$5,"🏆 WINNER",""))</f>
        <v/>
      </c>
      <c r="U1284" s="31" t="str">
        <f aca="false">IF(S1284="","",I1284&amp;"|"&amp;S1284)</f>
        <v/>
      </c>
    </row>
    <row r="1285" customFormat="false" ht="15" hidden="false" customHeight="false" outlineLevel="0" collapsed="false">
      <c r="A1285" s="24" t="n">
        <v>1281</v>
      </c>
      <c r="B1285" s="25" t="str">
        <f aca="false">IF(OR(C1285="",I1285="",G1285=""),"",IFERROR(VLOOKUP(I1285,Setup!$A$9:$B$11,2,0),"???")&amp;"-"&amp;G1285&amp;"-"&amp;TEXT(COUNTIFS(I$5:I1285,I1285,G$5:G1285,G1285),"0000"))</f>
        <v/>
      </c>
      <c r="C1285" s="26"/>
      <c r="D1285" s="26"/>
      <c r="E1285" s="27"/>
      <c r="F1285" s="27"/>
      <c r="G1285" s="24" t="str">
        <f aca="false">IF(F1285="","",IF(F1285&lt;=5,"A",IF(F1285&lt;=8,"B",IF(F1285&lt;=10,"C","D"))))</f>
        <v/>
      </c>
      <c r="H1285" s="28"/>
      <c r="I1285" s="27"/>
      <c r="J1285" s="26"/>
      <c r="K1285" s="27"/>
      <c r="L1285" s="27"/>
      <c r="M1285" s="27"/>
      <c r="N1285" s="27"/>
      <c r="O1285" s="24" t="str">
        <f aca="false">IF(G1285="","",VLOOKUP(G1285,Setup!$A$14:$C$17,3,0))</f>
        <v/>
      </c>
      <c r="P1285" s="27"/>
      <c r="Q1285" s="29" t="str">
        <f aca="false">IF(OR(P1285="",M1285&lt;&gt;"Paid",O1285=""),"",P1285/O1285)</f>
        <v/>
      </c>
      <c r="R1285" s="30" t="str">
        <f aca="false">IF(Q1285="","",Q1285+N(H1285)*0.000000001)</f>
        <v/>
      </c>
      <c r="S1285" s="25" t="str">
        <f aca="false">IF(R1285="","",SUMPRODUCT((I$5:I$4004=I1285)*ISNUMBER(R$5:R$4004)*(R$5:R$4004&gt;R1285))+1)</f>
        <v/>
      </c>
      <c r="T1285" s="25" t="str">
        <f aca="false">IF(S1285="","",IF(S1285&lt;=Setup!$B$5,"🏆 WINNER",""))</f>
        <v/>
      </c>
      <c r="U1285" s="24" t="str">
        <f aca="false">IF(S1285="","",I1285&amp;"|"&amp;S1285)</f>
        <v/>
      </c>
    </row>
    <row r="1286" customFormat="false" ht="15" hidden="false" customHeight="false" outlineLevel="0" collapsed="false">
      <c r="A1286" s="31" t="n">
        <v>1282</v>
      </c>
      <c r="B1286" s="32" t="str">
        <f aca="false">IF(OR(C1286="",I1286="",G1286=""),"",IFERROR(VLOOKUP(I1286,Setup!$A$9:$B$11,2,0),"???")&amp;"-"&amp;G1286&amp;"-"&amp;TEXT(COUNTIFS(I$5:I1286,I1286,G$5:G1286,G1286),"0000"))</f>
        <v/>
      </c>
      <c r="C1286" s="26"/>
      <c r="D1286" s="26"/>
      <c r="E1286" s="27"/>
      <c r="F1286" s="27"/>
      <c r="G1286" s="31" t="str">
        <f aca="false">IF(F1286="","",IF(F1286&lt;=5,"A",IF(F1286&lt;=8,"B",IF(F1286&lt;=10,"C","D"))))</f>
        <v/>
      </c>
      <c r="H1286" s="28"/>
      <c r="I1286" s="27"/>
      <c r="J1286" s="26"/>
      <c r="K1286" s="27"/>
      <c r="L1286" s="27"/>
      <c r="M1286" s="27"/>
      <c r="N1286" s="27"/>
      <c r="O1286" s="31" t="str">
        <f aca="false">IF(G1286="","",VLOOKUP(G1286,Setup!$A$14:$C$17,3,0))</f>
        <v/>
      </c>
      <c r="P1286" s="27"/>
      <c r="Q1286" s="33" t="str">
        <f aca="false">IF(OR(P1286="",M1286&lt;&gt;"Paid",O1286=""),"",P1286/O1286)</f>
        <v/>
      </c>
      <c r="R1286" s="34" t="str">
        <f aca="false">IF(Q1286="","",Q1286+N(H1286)*0.000000001)</f>
        <v/>
      </c>
      <c r="S1286" s="32" t="str">
        <f aca="false">IF(R1286="","",SUMPRODUCT((I$5:I$4004=I1286)*ISNUMBER(R$5:R$4004)*(R$5:R$4004&gt;R1286))+1)</f>
        <v/>
      </c>
      <c r="T1286" s="32" t="str">
        <f aca="false">IF(S1286="","",IF(S1286&lt;=Setup!$B$5,"🏆 WINNER",""))</f>
        <v/>
      </c>
      <c r="U1286" s="31" t="str">
        <f aca="false">IF(S1286="","",I1286&amp;"|"&amp;S1286)</f>
        <v/>
      </c>
    </row>
    <row r="1287" customFormat="false" ht="15" hidden="false" customHeight="false" outlineLevel="0" collapsed="false">
      <c r="A1287" s="24" t="n">
        <v>1283</v>
      </c>
      <c r="B1287" s="25" t="str">
        <f aca="false">IF(OR(C1287="",I1287="",G1287=""),"",IFERROR(VLOOKUP(I1287,Setup!$A$9:$B$11,2,0),"???")&amp;"-"&amp;G1287&amp;"-"&amp;TEXT(COUNTIFS(I$5:I1287,I1287,G$5:G1287,G1287),"0000"))</f>
        <v/>
      </c>
      <c r="C1287" s="26"/>
      <c r="D1287" s="26"/>
      <c r="E1287" s="27"/>
      <c r="F1287" s="27"/>
      <c r="G1287" s="24" t="str">
        <f aca="false">IF(F1287="","",IF(F1287&lt;=5,"A",IF(F1287&lt;=8,"B",IF(F1287&lt;=10,"C","D"))))</f>
        <v/>
      </c>
      <c r="H1287" s="28"/>
      <c r="I1287" s="27"/>
      <c r="J1287" s="26"/>
      <c r="K1287" s="27"/>
      <c r="L1287" s="27"/>
      <c r="M1287" s="27"/>
      <c r="N1287" s="27"/>
      <c r="O1287" s="24" t="str">
        <f aca="false">IF(G1287="","",VLOOKUP(G1287,Setup!$A$14:$C$17,3,0))</f>
        <v/>
      </c>
      <c r="P1287" s="27"/>
      <c r="Q1287" s="29" t="str">
        <f aca="false">IF(OR(P1287="",M1287&lt;&gt;"Paid",O1287=""),"",P1287/O1287)</f>
        <v/>
      </c>
      <c r="R1287" s="30" t="str">
        <f aca="false">IF(Q1287="","",Q1287+N(H1287)*0.000000001)</f>
        <v/>
      </c>
      <c r="S1287" s="25" t="str">
        <f aca="false">IF(R1287="","",SUMPRODUCT((I$5:I$4004=I1287)*ISNUMBER(R$5:R$4004)*(R$5:R$4004&gt;R1287))+1)</f>
        <v/>
      </c>
      <c r="T1287" s="25" t="str">
        <f aca="false">IF(S1287="","",IF(S1287&lt;=Setup!$B$5,"🏆 WINNER",""))</f>
        <v/>
      </c>
      <c r="U1287" s="24" t="str">
        <f aca="false">IF(S1287="","",I1287&amp;"|"&amp;S1287)</f>
        <v/>
      </c>
    </row>
    <row r="1288" customFormat="false" ht="15" hidden="false" customHeight="false" outlineLevel="0" collapsed="false">
      <c r="A1288" s="31" t="n">
        <v>1284</v>
      </c>
      <c r="B1288" s="32" t="str">
        <f aca="false">IF(OR(C1288="",I1288="",G1288=""),"",IFERROR(VLOOKUP(I1288,Setup!$A$9:$B$11,2,0),"???")&amp;"-"&amp;G1288&amp;"-"&amp;TEXT(COUNTIFS(I$5:I1288,I1288,G$5:G1288,G1288),"0000"))</f>
        <v/>
      </c>
      <c r="C1288" s="26"/>
      <c r="D1288" s="26"/>
      <c r="E1288" s="27"/>
      <c r="F1288" s="27"/>
      <c r="G1288" s="31" t="str">
        <f aca="false">IF(F1288="","",IF(F1288&lt;=5,"A",IF(F1288&lt;=8,"B",IF(F1288&lt;=10,"C","D"))))</f>
        <v/>
      </c>
      <c r="H1288" s="28"/>
      <c r="I1288" s="27"/>
      <c r="J1288" s="26"/>
      <c r="K1288" s="27"/>
      <c r="L1288" s="27"/>
      <c r="M1288" s="27"/>
      <c r="N1288" s="27"/>
      <c r="O1288" s="31" t="str">
        <f aca="false">IF(G1288="","",VLOOKUP(G1288,Setup!$A$14:$C$17,3,0))</f>
        <v/>
      </c>
      <c r="P1288" s="27"/>
      <c r="Q1288" s="33" t="str">
        <f aca="false">IF(OR(P1288="",M1288&lt;&gt;"Paid",O1288=""),"",P1288/O1288)</f>
        <v/>
      </c>
      <c r="R1288" s="34" t="str">
        <f aca="false">IF(Q1288="","",Q1288+N(H1288)*0.000000001)</f>
        <v/>
      </c>
      <c r="S1288" s="32" t="str">
        <f aca="false">IF(R1288="","",SUMPRODUCT((I$5:I$4004=I1288)*ISNUMBER(R$5:R$4004)*(R$5:R$4004&gt;R1288))+1)</f>
        <v/>
      </c>
      <c r="T1288" s="32" t="str">
        <f aca="false">IF(S1288="","",IF(S1288&lt;=Setup!$B$5,"🏆 WINNER",""))</f>
        <v/>
      </c>
      <c r="U1288" s="31" t="str">
        <f aca="false">IF(S1288="","",I1288&amp;"|"&amp;S1288)</f>
        <v/>
      </c>
    </row>
    <row r="1289" customFormat="false" ht="15" hidden="false" customHeight="false" outlineLevel="0" collapsed="false">
      <c r="A1289" s="24" t="n">
        <v>1285</v>
      </c>
      <c r="B1289" s="25" t="str">
        <f aca="false">IF(OR(C1289="",I1289="",G1289=""),"",IFERROR(VLOOKUP(I1289,Setup!$A$9:$B$11,2,0),"???")&amp;"-"&amp;G1289&amp;"-"&amp;TEXT(COUNTIFS(I$5:I1289,I1289,G$5:G1289,G1289),"0000"))</f>
        <v/>
      </c>
      <c r="C1289" s="26"/>
      <c r="D1289" s="26"/>
      <c r="E1289" s="27"/>
      <c r="F1289" s="27"/>
      <c r="G1289" s="24" t="str">
        <f aca="false">IF(F1289="","",IF(F1289&lt;=5,"A",IF(F1289&lt;=8,"B",IF(F1289&lt;=10,"C","D"))))</f>
        <v/>
      </c>
      <c r="H1289" s="28"/>
      <c r="I1289" s="27"/>
      <c r="J1289" s="26"/>
      <c r="K1289" s="27"/>
      <c r="L1289" s="27"/>
      <c r="M1289" s="27"/>
      <c r="N1289" s="27"/>
      <c r="O1289" s="24" t="str">
        <f aca="false">IF(G1289="","",VLOOKUP(G1289,Setup!$A$14:$C$17,3,0))</f>
        <v/>
      </c>
      <c r="P1289" s="27"/>
      <c r="Q1289" s="29" t="str">
        <f aca="false">IF(OR(P1289="",M1289&lt;&gt;"Paid",O1289=""),"",P1289/O1289)</f>
        <v/>
      </c>
      <c r="R1289" s="30" t="str">
        <f aca="false">IF(Q1289="","",Q1289+N(H1289)*0.000000001)</f>
        <v/>
      </c>
      <c r="S1289" s="25" t="str">
        <f aca="false">IF(R1289="","",SUMPRODUCT((I$5:I$4004=I1289)*ISNUMBER(R$5:R$4004)*(R$5:R$4004&gt;R1289))+1)</f>
        <v/>
      </c>
      <c r="T1289" s="25" t="str">
        <f aca="false">IF(S1289="","",IF(S1289&lt;=Setup!$B$5,"🏆 WINNER",""))</f>
        <v/>
      </c>
      <c r="U1289" s="24" t="str">
        <f aca="false">IF(S1289="","",I1289&amp;"|"&amp;S1289)</f>
        <v/>
      </c>
    </row>
    <row r="1290" customFormat="false" ht="15" hidden="false" customHeight="false" outlineLevel="0" collapsed="false">
      <c r="A1290" s="31" t="n">
        <v>1286</v>
      </c>
      <c r="B1290" s="32" t="str">
        <f aca="false">IF(OR(C1290="",I1290="",G1290=""),"",IFERROR(VLOOKUP(I1290,Setup!$A$9:$B$11,2,0),"???")&amp;"-"&amp;G1290&amp;"-"&amp;TEXT(COUNTIFS(I$5:I1290,I1290,G$5:G1290,G1290),"0000"))</f>
        <v/>
      </c>
      <c r="C1290" s="26"/>
      <c r="D1290" s="26"/>
      <c r="E1290" s="27"/>
      <c r="F1290" s="27"/>
      <c r="G1290" s="31" t="str">
        <f aca="false">IF(F1290="","",IF(F1290&lt;=5,"A",IF(F1290&lt;=8,"B",IF(F1290&lt;=10,"C","D"))))</f>
        <v/>
      </c>
      <c r="H1290" s="28"/>
      <c r="I1290" s="27"/>
      <c r="J1290" s="26"/>
      <c r="K1290" s="27"/>
      <c r="L1290" s="27"/>
      <c r="M1290" s="27"/>
      <c r="N1290" s="27"/>
      <c r="O1290" s="31" t="str">
        <f aca="false">IF(G1290="","",VLOOKUP(G1290,Setup!$A$14:$C$17,3,0))</f>
        <v/>
      </c>
      <c r="P1290" s="27"/>
      <c r="Q1290" s="33" t="str">
        <f aca="false">IF(OR(P1290="",M1290&lt;&gt;"Paid",O1290=""),"",P1290/O1290)</f>
        <v/>
      </c>
      <c r="R1290" s="34" t="str">
        <f aca="false">IF(Q1290="","",Q1290+N(H1290)*0.000000001)</f>
        <v/>
      </c>
      <c r="S1290" s="32" t="str">
        <f aca="false">IF(R1290="","",SUMPRODUCT((I$5:I$4004=I1290)*ISNUMBER(R$5:R$4004)*(R$5:R$4004&gt;R1290))+1)</f>
        <v/>
      </c>
      <c r="T1290" s="32" t="str">
        <f aca="false">IF(S1290="","",IF(S1290&lt;=Setup!$B$5,"🏆 WINNER",""))</f>
        <v/>
      </c>
      <c r="U1290" s="31" t="str">
        <f aca="false">IF(S1290="","",I1290&amp;"|"&amp;S1290)</f>
        <v/>
      </c>
    </row>
    <row r="1291" customFormat="false" ht="15" hidden="false" customHeight="false" outlineLevel="0" collapsed="false">
      <c r="A1291" s="24" t="n">
        <v>1287</v>
      </c>
      <c r="B1291" s="25" t="str">
        <f aca="false">IF(OR(C1291="",I1291="",G1291=""),"",IFERROR(VLOOKUP(I1291,Setup!$A$9:$B$11,2,0),"???")&amp;"-"&amp;G1291&amp;"-"&amp;TEXT(COUNTIFS(I$5:I1291,I1291,G$5:G1291,G1291),"0000"))</f>
        <v/>
      </c>
      <c r="C1291" s="26"/>
      <c r="D1291" s="26"/>
      <c r="E1291" s="27"/>
      <c r="F1291" s="27"/>
      <c r="G1291" s="24" t="str">
        <f aca="false">IF(F1291="","",IF(F1291&lt;=5,"A",IF(F1291&lt;=8,"B",IF(F1291&lt;=10,"C","D"))))</f>
        <v/>
      </c>
      <c r="H1291" s="28"/>
      <c r="I1291" s="27"/>
      <c r="J1291" s="26"/>
      <c r="K1291" s="27"/>
      <c r="L1291" s="27"/>
      <c r="M1291" s="27"/>
      <c r="N1291" s="27"/>
      <c r="O1291" s="24" t="str">
        <f aca="false">IF(G1291="","",VLOOKUP(G1291,Setup!$A$14:$C$17,3,0))</f>
        <v/>
      </c>
      <c r="P1291" s="27"/>
      <c r="Q1291" s="29" t="str">
        <f aca="false">IF(OR(P1291="",M1291&lt;&gt;"Paid",O1291=""),"",P1291/O1291)</f>
        <v/>
      </c>
      <c r="R1291" s="30" t="str">
        <f aca="false">IF(Q1291="","",Q1291+N(H1291)*0.000000001)</f>
        <v/>
      </c>
      <c r="S1291" s="25" t="str">
        <f aca="false">IF(R1291="","",SUMPRODUCT((I$5:I$4004=I1291)*ISNUMBER(R$5:R$4004)*(R$5:R$4004&gt;R1291))+1)</f>
        <v/>
      </c>
      <c r="T1291" s="25" t="str">
        <f aca="false">IF(S1291="","",IF(S1291&lt;=Setup!$B$5,"🏆 WINNER",""))</f>
        <v/>
      </c>
      <c r="U1291" s="24" t="str">
        <f aca="false">IF(S1291="","",I1291&amp;"|"&amp;S1291)</f>
        <v/>
      </c>
    </row>
    <row r="1292" customFormat="false" ht="15" hidden="false" customHeight="false" outlineLevel="0" collapsed="false">
      <c r="A1292" s="31" t="n">
        <v>1288</v>
      </c>
      <c r="B1292" s="32" t="str">
        <f aca="false">IF(OR(C1292="",I1292="",G1292=""),"",IFERROR(VLOOKUP(I1292,Setup!$A$9:$B$11,2,0),"???")&amp;"-"&amp;G1292&amp;"-"&amp;TEXT(COUNTIFS(I$5:I1292,I1292,G$5:G1292,G1292),"0000"))</f>
        <v/>
      </c>
      <c r="C1292" s="26"/>
      <c r="D1292" s="26"/>
      <c r="E1292" s="27"/>
      <c r="F1292" s="27"/>
      <c r="G1292" s="31" t="str">
        <f aca="false">IF(F1292="","",IF(F1292&lt;=5,"A",IF(F1292&lt;=8,"B",IF(F1292&lt;=10,"C","D"))))</f>
        <v/>
      </c>
      <c r="H1292" s="28"/>
      <c r="I1292" s="27"/>
      <c r="J1292" s="26"/>
      <c r="K1292" s="27"/>
      <c r="L1292" s="27"/>
      <c r="M1292" s="27"/>
      <c r="N1292" s="27"/>
      <c r="O1292" s="31" t="str">
        <f aca="false">IF(G1292="","",VLOOKUP(G1292,Setup!$A$14:$C$17,3,0))</f>
        <v/>
      </c>
      <c r="P1292" s="27"/>
      <c r="Q1292" s="33" t="str">
        <f aca="false">IF(OR(P1292="",M1292&lt;&gt;"Paid",O1292=""),"",P1292/O1292)</f>
        <v/>
      </c>
      <c r="R1292" s="34" t="str">
        <f aca="false">IF(Q1292="","",Q1292+N(H1292)*0.000000001)</f>
        <v/>
      </c>
      <c r="S1292" s="32" t="str">
        <f aca="false">IF(R1292="","",SUMPRODUCT((I$5:I$4004=I1292)*ISNUMBER(R$5:R$4004)*(R$5:R$4004&gt;R1292))+1)</f>
        <v/>
      </c>
      <c r="T1292" s="32" t="str">
        <f aca="false">IF(S1292="","",IF(S1292&lt;=Setup!$B$5,"🏆 WINNER",""))</f>
        <v/>
      </c>
      <c r="U1292" s="31" t="str">
        <f aca="false">IF(S1292="","",I1292&amp;"|"&amp;S1292)</f>
        <v/>
      </c>
    </row>
    <row r="1293" customFormat="false" ht="15" hidden="false" customHeight="false" outlineLevel="0" collapsed="false">
      <c r="A1293" s="24" t="n">
        <v>1289</v>
      </c>
      <c r="B1293" s="25" t="str">
        <f aca="false">IF(OR(C1293="",I1293="",G1293=""),"",IFERROR(VLOOKUP(I1293,Setup!$A$9:$B$11,2,0),"???")&amp;"-"&amp;G1293&amp;"-"&amp;TEXT(COUNTIFS(I$5:I1293,I1293,G$5:G1293,G1293),"0000"))</f>
        <v/>
      </c>
      <c r="C1293" s="26"/>
      <c r="D1293" s="26"/>
      <c r="E1293" s="27"/>
      <c r="F1293" s="27"/>
      <c r="G1293" s="24" t="str">
        <f aca="false">IF(F1293="","",IF(F1293&lt;=5,"A",IF(F1293&lt;=8,"B",IF(F1293&lt;=10,"C","D"))))</f>
        <v/>
      </c>
      <c r="H1293" s="28"/>
      <c r="I1293" s="27"/>
      <c r="J1293" s="26"/>
      <c r="K1293" s="27"/>
      <c r="L1293" s="27"/>
      <c r="M1293" s="27"/>
      <c r="N1293" s="27"/>
      <c r="O1293" s="24" t="str">
        <f aca="false">IF(G1293="","",VLOOKUP(G1293,Setup!$A$14:$C$17,3,0))</f>
        <v/>
      </c>
      <c r="P1293" s="27"/>
      <c r="Q1293" s="29" t="str">
        <f aca="false">IF(OR(P1293="",M1293&lt;&gt;"Paid",O1293=""),"",P1293/O1293)</f>
        <v/>
      </c>
      <c r="R1293" s="30" t="str">
        <f aca="false">IF(Q1293="","",Q1293+N(H1293)*0.000000001)</f>
        <v/>
      </c>
      <c r="S1293" s="25" t="str">
        <f aca="false">IF(R1293="","",SUMPRODUCT((I$5:I$4004=I1293)*ISNUMBER(R$5:R$4004)*(R$5:R$4004&gt;R1293))+1)</f>
        <v/>
      </c>
      <c r="T1293" s="25" t="str">
        <f aca="false">IF(S1293="","",IF(S1293&lt;=Setup!$B$5,"🏆 WINNER",""))</f>
        <v/>
      </c>
      <c r="U1293" s="24" t="str">
        <f aca="false">IF(S1293="","",I1293&amp;"|"&amp;S1293)</f>
        <v/>
      </c>
    </row>
    <row r="1294" customFormat="false" ht="15" hidden="false" customHeight="false" outlineLevel="0" collapsed="false">
      <c r="A1294" s="31" t="n">
        <v>1290</v>
      </c>
      <c r="B1294" s="32" t="str">
        <f aca="false">IF(OR(C1294="",I1294="",G1294=""),"",IFERROR(VLOOKUP(I1294,Setup!$A$9:$B$11,2,0),"???")&amp;"-"&amp;G1294&amp;"-"&amp;TEXT(COUNTIFS(I$5:I1294,I1294,G$5:G1294,G1294),"0000"))</f>
        <v/>
      </c>
      <c r="C1294" s="26"/>
      <c r="D1294" s="26"/>
      <c r="E1294" s="27"/>
      <c r="F1294" s="27"/>
      <c r="G1294" s="31" t="str">
        <f aca="false">IF(F1294="","",IF(F1294&lt;=5,"A",IF(F1294&lt;=8,"B",IF(F1294&lt;=10,"C","D"))))</f>
        <v/>
      </c>
      <c r="H1294" s="28"/>
      <c r="I1294" s="27"/>
      <c r="J1294" s="26"/>
      <c r="K1294" s="27"/>
      <c r="L1294" s="27"/>
      <c r="M1294" s="27"/>
      <c r="N1294" s="27"/>
      <c r="O1294" s="31" t="str">
        <f aca="false">IF(G1294="","",VLOOKUP(G1294,Setup!$A$14:$C$17,3,0))</f>
        <v/>
      </c>
      <c r="P1294" s="27"/>
      <c r="Q1294" s="33" t="str">
        <f aca="false">IF(OR(P1294="",M1294&lt;&gt;"Paid",O1294=""),"",P1294/O1294)</f>
        <v/>
      </c>
      <c r="R1294" s="34" t="str">
        <f aca="false">IF(Q1294="","",Q1294+N(H1294)*0.000000001)</f>
        <v/>
      </c>
      <c r="S1294" s="32" t="str">
        <f aca="false">IF(R1294="","",SUMPRODUCT((I$5:I$4004=I1294)*ISNUMBER(R$5:R$4004)*(R$5:R$4004&gt;R1294))+1)</f>
        <v/>
      </c>
      <c r="T1294" s="32" t="str">
        <f aca="false">IF(S1294="","",IF(S1294&lt;=Setup!$B$5,"🏆 WINNER",""))</f>
        <v/>
      </c>
      <c r="U1294" s="31" t="str">
        <f aca="false">IF(S1294="","",I1294&amp;"|"&amp;S1294)</f>
        <v/>
      </c>
    </row>
    <row r="1295" customFormat="false" ht="15" hidden="false" customHeight="false" outlineLevel="0" collapsed="false">
      <c r="A1295" s="24" t="n">
        <v>1291</v>
      </c>
      <c r="B1295" s="25" t="str">
        <f aca="false">IF(OR(C1295="",I1295="",G1295=""),"",IFERROR(VLOOKUP(I1295,Setup!$A$9:$B$11,2,0),"???")&amp;"-"&amp;G1295&amp;"-"&amp;TEXT(COUNTIFS(I$5:I1295,I1295,G$5:G1295,G1295),"0000"))</f>
        <v/>
      </c>
      <c r="C1295" s="26"/>
      <c r="D1295" s="26"/>
      <c r="E1295" s="27"/>
      <c r="F1295" s="27"/>
      <c r="G1295" s="24" t="str">
        <f aca="false">IF(F1295="","",IF(F1295&lt;=5,"A",IF(F1295&lt;=8,"B",IF(F1295&lt;=10,"C","D"))))</f>
        <v/>
      </c>
      <c r="H1295" s="28"/>
      <c r="I1295" s="27"/>
      <c r="J1295" s="26"/>
      <c r="K1295" s="27"/>
      <c r="L1295" s="27"/>
      <c r="M1295" s="27"/>
      <c r="N1295" s="27"/>
      <c r="O1295" s="24" t="str">
        <f aca="false">IF(G1295="","",VLOOKUP(G1295,Setup!$A$14:$C$17,3,0))</f>
        <v/>
      </c>
      <c r="P1295" s="27"/>
      <c r="Q1295" s="29" t="str">
        <f aca="false">IF(OR(P1295="",M1295&lt;&gt;"Paid",O1295=""),"",P1295/O1295)</f>
        <v/>
      </c>
      <c r="R1295" s="30" t="str">
        <f aca="false">IF(Q1295="","",Q1295+N(H1295)*0.000000001)</f>
        <v/>
      </c>
      <c r="S1295" s="25" t="str">
        <f aca="false">IF(R1295="","",SUMPRODUCT((I$5:I$4004=I1295)*ISNUMBER(R$5:R$4004)*(R$5:R$4004&gt;R1295))+1)</f>
        <v/>
      </c>
      <c r="T1295" s="25" t="str">
        <f aca="false">IF(S1295="","",IF(S1295&lt;=Setup!$B$5,"🏆 WINNER",""))</f>
        <v/>
      </c>
      <c r="U1295" s="24" t="str">
        <f aca="false">IF(S1295="","",I1295&amp;"|"&amp;S1295)</f>
        <v/>
      </c>
    </row>
    <row r="1296" customFormat="false" ht="15" hidden="false" customHeight="false" outlineLevel="0" collapsed="false">
      <c r="A1296" s="31" t="n">
        <v>1292</v>
      </c>
      <c r="B1296" s="32" t="str">
        <f aca="false">IF(OR(C1296="",I1296="",G1296=""),"",IFERROR(VLOOKUP(I1296,Setup!$A$9:$B$11,2,0),"???")&amp;"-"&amp;G1296&amp;"-"&amp;TEXT(COUNTIFS(I$5:I1296,I1296,G$5:G1296,G1296),"0000"))</f>
        <v/>
      </c>
      <c r="C1296" s="26"/>
      <c r="D1296" s="26"/>
      <c r="E1296" s="27"/>
      <c r="F1296" s="27"/>
      <c r="G1296" s="31" t="str">
        <f aca="false">IF(F1296="","",IF(F1296&lt;=5,"A",IF(F1296&lt;=8,"B",IF(F1296&lt;=10,"C","D"))))</f>
        <v/>
      </c>
      <c r="H1296" s="28"/>
      <c r="I1296" s="27"/>
      <c r="J1296" s="26"/>
      <c r="K1296" s="27"/>
      <c r="L1296" s="27"/>
      <c r="M1296" s="27"/>
      <c r="N1296" s="27"/>
      <c r="O1296" s="31" t="str">
        <f aca="false">IF(G1296="","",VLOOKUP(G1296,Setup!$A$14:$C$17,3,0))</f>
        <v/>
      </c>
      <c r="P1296" s="27"/>
      <c r="Q1296" s="33" t="str">
        <f aca="false">IF(OR(P1296="",M1296&lt;&gt;"Paid",O1296=""),"",P1296/O1296)</f>
        <v/>
      </c>
      <c r="R1296" s="34" t="str">
        <f aca="false">IF(Q1296="","",Q1296+N(H1296)*0.000000001)</f>
        <v/>
      </c>
      <c r="S1296" s="32" t="str">
        <f aca="false">IF(R1296="","",SUMPRODUCT((I$5:I$4004=I1296)*ISNUMBER(R$5:R$4004)*(R$5:R$4004&gt;R1296))+1)</f>
        <v/>
      </c>
      <c r="T1296" s="32" t="str">
        <f aca="false">IF(S1296="","",IF(S1296&lt;=Setup!$B$5,"🏆 WINNER",""))</f>
        <v/>
      </c>
      <c r="U1296" s="31" t="str">
        <f aca="false">IF(S1296="","",I1296&amp;"|"&amp;S1296)</f>
        <v/>
      </c>
    </row>
    <row r="1297" customFormat="false" ht="15" hidden="false" customHeight="false" outlineLevel="0" collapsed="false">
      <c r="A1297" s="24" t="n">
        <v>1293</v>
      </c>
      <c r="B1297" s="25" t="str">
        <f aca="false">IF(OR(C1297="",I1297="",G1297=""),"",IFERROR(VLOOKUP(I1297,Setup!$A$9:$B$11,2,0),"???")&amp;"-"&amp;G1297&amp;"-"&amp;TEXT(COUNTIFS(I$5:I1297,I1297,G$5:G1297,G1297),"0000"))</f>
        <v/>
      </c>
      <c r="C1297" s="26"/>
      <c r="D1297" s="26"/>
      <c r="E1297" s="27"/>
      <c r="F1297" s="27"/>
      <c r="G1297" s="24" t="str">
        <f aca="false">IF(F1297="","",IF(F1297&lt;=5,"A",IF(F1297&lt;=8,"B",IF(F1297&lt;=10,"C","D"))))</f>
        <v/>
      </c>
      <c r="H1297" s="28"/>
      <c r="I1297" s="27"/>
      <c r="J1297" s="26"/>
      <c r="K1297" s="27"/>
      <c r="L1297" s="27"/>
      <c r="M1297" s="27"/>
      <c r="N1297" s="27"/>
      <c r="O1297" s="24" t="str">
        <f aca="false">IF(G1297="","",VLOOKUP(G1297,Setup!$A$14:$C$17,3,0))</f>
        <v/>
      </c>
      <c r="P1297" s="27"/>
      <c r="Q1297" s="29" t="str">
        <f aca="false">IF(OR(P1297="",M1297&lt;&gt;"Paid",O1297=""),"",P1297/O1297)</f>
        <v/>
      </c>
      <c r="R1297" s="30" t="str">
        <f aca="false">IF(Q1297="","",Q1297+N(H1297)*0.000000001)</f>
        <v/>
      </c>
      <c r="S1297" s="25" t="str">
        <f aca="false">IF(R1297="","",SUMPRODUCT((I$5:I$4004=I1297)*ISNUMBER(R$5:R$4004)*(R$5:R$4004&gt;R1297))+1)</f>
        <v/>
      </c>
      <c r="T1297" s="25" t="str">
        <f aca="false">IF(S1297="","",IF(S1297&lt;=Setup!$B$5,"🏆 WINNER",""))</f>
        <v/>
      </c>
      <c r="U1297" s="24" t="str">
        <f aca="false">IF(S1297="","",I1297&amp;"|"&amp;S1297)</f>
        <v/>
      </c>
    </row>
    <row r="1298" customFormat="false" ht="15" hidden="false" customHeight="false" outlineLevel="0" collapsed="false">
      <c r="A1298" s="31" t="n">
        <v>1294</v>
      </c>
      <c r="B1298" s="32" t="str">
        <f aca="false">IF(OR(C1298="",I1298="",G1298=""),"",IFERROR(VLOOKUP(I1298,Setup!$A$9:$B$11,2,0),"???")&amp;"-"&amp;G1298&amp;"-"&amp;TEXT(COUNTIFS(I$5:I1298,I1298,G$5:G1298,G1298),"0000"))</f>
        <v/>
      </c>
      <c r="C1298" s="26"/>
      <c r="D1298" s="26"/>
      <c r="E1298" s="27"/>
      <c r="F1298" s="27"/>
      <c r="G1298" s="31" t="str">
        <f aca="false">IF(F1298="","",IF(F1298&lt;=5,"A",IF(F1298&lt;=8,"B",IF(F1298&lt;=10,"C","D"))))</f>
        <v/>
      </c>
      <c r="H1298" s="28"/>
      <c r="I1298" s="27"/>
      <c r="J1298" s="26"/>
      <c r="K1298" s="27"/>
      <c r="L1298" s="27"/>
      <c r="M1298" s="27"/>
      <c r="N1298" s="27"/>
      <c r="O1298" s="31" t="str">
        <f aca="false">IF(G1298="","",VLOOKUP(G1298,Setup!$A$14:$C$17,3,0))</f>
        <v/>
      </c>
      <c r="P1298" s="27"/>
      <c r="Q1298" s="33" t="str">
        <f aca="false">IF(OR(P1298="",M1298&lt;&gt;"Paid",O1298=""),"",P1298/O1298)</f>
        <v/>
      </c>
      <c r="R1298" s="34" t="str">
        <f aca="false">IF(Q1298="","",Q1298+N(H1298)*0.000000001)</f>
        <v/>
      </c>
      <c r="S1298" s="32" t="str">
        <f aca="false">IF(R1298="","",SUMPRODUCT((I$5:I$4004=I1298)*ISNUMBER(R$5:R$4004)*(R$5:R$4004&gt;R1298))+1)</f>
        <v/>
      </c>
      <c r="T1298" s="32" t="str">
        <f aca="false">IF(S1298="","",IF(S1298&lt;=Setup!$B$5,"🏆 WINNER",""))</f>
        <v/>
      </c>
      <c r="U1298" s="31" t="str">
        <f aca="false">IF(S1298="","",I1298&amp;"|"&amp;S1298)</f>
        <v/>
      </c>
    </row>
    <row r="1299" customFormat="false" ht="15" hidden="false" customHeight="false" outlineLevel="0" collapsed="false">
      <c r="A1299" s="24" t="n">
        <v>1295</v>
      </c>
      <c r="B1299" s="25" t="str">
        <f aca="false">IF(OR(C1299="",I1299="",G1299=""),"",IFERROR(VLOOKUP(I1299,Setup!$A$9:$B$11,2,0),"???")&amp;"-"&amp;G1299&amp;"-"&amp;TEXT(COUNTIFS(I$5:I1299,I1299,G$5:G1299,G1299),"0000"))</f>
        <v/>
      </c>
      <c r="C1299" s="26"/>
      <c r="D1299" s="26"/>
      <c r="E1299" s="27"/>
      <c r="F1299" s="27"/>
      <c r="G1299" s="24" t="str">
        <f aca="false">IF(F1299="","",IF(F1299&lt;=5,"A",IF(F1299&lt;=8,"B",IF(F1299&lt;=10,"C","D"))))</f>
        <v/>
      </c>
      <c r="H1299" s="28"/>
      <c r="I1299" s="27"/>
      <c r="J1299" s="26"/>
      <c r="K1299" s="27"/>
      <c r="L1299" s="27"/>
      <c r="M1299" s="27"/>
      <c r="N1299" s="27"/>
      <c r="O1299" s="24" t="str">
        <f aca="false">IF(G1299="","",VLOOKUP(G1299,Setup!$A$14:$C$17,3,0))</f>
        <v/>
      </c>
      <c r="P1299" s="27"/>
      <c r="Q1299" s="29" t="str">
        <f aca="false">IF(OR(P1299="",M1299&lt;&gt;"Paid",O1299=""),"",P1299/O1299)</f>
        <v/>
      </c>
      <c r="R1299" s="30" t="str">
        <f aca="false">IF(Q1299="","",Q1299+N(H1299)*0.000000001)</f>
        <v/>
      </c>
      <c r="S1299" s="25" t="str">
        <f aca="false">IF(R1299="","",SUMPRODUCT((I$5:I$4004=I1299)*ISNUMBER(R$5:R$4004)*(R$5:R$4004&gt;R1299))+1)</f>
        <v/>
      </c>
      <c r="T1299" s="25" t="str">
        <f aca="false">IF(S1299="","",IF(S1299&lt;=Setup!$B$5,"🏆 WINNER",""))</f>
        <v/>
      </c>
      <c r="U1299" s="24" t="str">
        <f aca="false">IF(S1299="","",I1299&amp;"|"&amp;S1299)</f>
        <v/>
      </c>
    </row>
    <row r="1300" customFormat="false" ht="15" hidden="false" customHeight="false" outlineLevel="0" collapsed="false">
      <c r="A1300" s="31" t="n">
        <v>1296</v>
      </c>
      <c r="B1300" s="32" t="str">
        <f aca="false">IF(OR(C1300="",I1300="",G1300=""),"",IFERROR(VLOOKUP(I1300,Setup!$A$9:$B$11,2,0),"???")&amp;"-"&amp;G1300&amp;"-"&amp;TEXT(COUNTIFS(I$5:I1300,I1300,G$5:G1300,G1300),"0000"))</f>
        <v/>
      </c>
      <c r="C1300" s="26"/>
      <c r="D1300" s="26"/>
      <c r="E1300" s="27"/>
      <c r="F1300" s="27"/>
      <c r="G1300" s="31" t="str">
        <f aca="false">IF(F1300="","",IF(F1300&lt;=5,"A",IF(F1300&lt;=8,"B",IF(F1300&lt;=10,"C","D"))))</f>
        <v/>
      </c>
      <c r="H1300" s="28"/>
      <c r="I1300" s="27"/>
      <c r="J1300" s="26"/>
      <c r="K1300" s="27"/>
      <c r="L1300" s="27"/>
      <c r="M1300" s="27"/>
      <c r="N1300" s="27"/>
      <c r="O1300" s="31" t="str">
        <f aca="false">IF(G1300="","",VLOOKUP(G1300,Setup!$A$14:$C$17,3,0))</f>
        <v/>
      </c>
      <c r="P1300" s="27"/>
      <c r="Q1300" s="33" t="str">
        <f aca="false">IF(OR(P1300="",M1300&lt;&gt;"Paid",O1300=""),"",P1300/O1300)</f>
        <v/>
      </c>
      <c r="R1300" s="34" t="str">
        <f aca="false">IF(Q1300="","",Q1300+N(H1300)*0.000000001)</f>
        <v/>
      </c>
      <c r="S1300" s="32" t="str">
        <f aca="false">IF(R1300="","",SUMPRODUCT((I$5:I$4004=I1300)*ISNUMBER(R$5:R$4004)*(R$5:R$4004&gt;R1300))+1)</f>
        <v/>
      </c>
      <c r="T1300" s="32" t="str">
        <f aca="false">IF(S1300="","",IF(S1300&lt;=Setup!$B$5,"🏆 WINNER",""))</f>
        <v/>
      </c>
      <c r="U1300" s="31" t="str">
        <f aca="false">IF(S1300="","",I1300&amp;"|"&amp;S1300)</f>
        <v/>
      </c>
    </row>
    <row r="1301" customFormat="false" ht="15" hidden="false" customHeight="false" outlineLevel="0" collapsed="false">
      <c r="A1301" s="24" t="n">
        <v>1297</v>
      </c>
      <c r="B1301" s="25" t="str">
        <f aca="false">IF(OR(C1301="",I1301="",G1301=""),"",IFERROR(VLOOKUP(I1301,Setup!$A$9:$B$11,2,0),"???")&amp;"-"&amp;G1301&amp;"-"&amp;TEXT(COUNTIFS(I$5:I1301,I1301,G$5:G1301,G1301),"0000"))</f>
        <v/>
      </c>
      <c r="C1301" s="26"/>
      <c r="D1301" s="26"/>
      <c r="E1301" s="27"/>
      <c r="F1301" s="27"/>
      <c r="G1301" s="24" t="str">
        <f aca="false">IF(F1301="","",IF(F1301&lt;=5,"A",IF(F1301&lt;=8,"B",IF(F1301&lt;=10,"C","D"))))</f>
        <v/>
      </c>
      <c r="H1301" s="28"/>
      <c r="I1301" s="27"/>
      <c r="J1301" s="26"/>
      <c r="K1301" s="27"/>
      <c r="L1301" s="27"/>
      <c r="M1301" s="27"/>
      <c r="N1301" s="27"/>
      <c r="O1301" s="24" t="str">
        <f aca="false">IF(G1301="","",VLOOKUP(G1301,Setup!$A$14:$C$17,3,0))</f>
        <v/>
      </c>
      <c r="P1301" s="27"/>
      <c r="Q1301" s="29" t="str">
        <f aca="false">IF(OR(P1301="",M1301&lt;&gt;"Paid",O1301=""),"",P1301/O1301)</f>
        <v/>
      </c>
      <c r="R1301" s="30" t="str">
        <f aca="false">IF(Q1301="","",Q1301+N(H1301)*0.000000001)</f>
        <v/>
      </c>
      <c r="S1301" s="25" t="str">
        <f aca="false">IF(R1301="","",SUMPRODUCT((I$5:I$4004=I1301)*ISNUMBER(R$5:R$4004)*(R$5:R$4004&gt;R1301))+1)</f>
        <v/>
      </c>
      <c r="T1301" s="25" t="str">
        <f aca="false">IF(S1301="","",IF(S1301&lt;=Setup!$B$5,"🏆 WINNER",""))</f>
        <v/>
      </c>
      <c r="U1301" s="24" t="str">
        <f aca="false">IF(S1301="","",I1301&amp;"|"&amp;S1301)</f>
        <v/>
      </c>
    </row>
    <row r="1302" customFormat="false" ht="15" hidden="false" customHeight="false" outlineLevel="0" collapsed="false">
      <c r="A1302" s="31" t="n">
        <v>1298</v>
      </c>
      <c r="B1302" s="32" t="str">
        <f aca="false">IF(OR(C1302="",I1302="",G1302=""),"",IFERROR(VLOOKUP(I1302,Setup!$A$9:$B$11,2,0),"???")&amp;"-"&amp;G1302&amp;"-"&amp;TEXT(COUNTIFS(I$5:I1302,I1302,G$5:G1302,G1302),"0000"))</f>
        <v/>
      </c>
      <c r="C1302" s="26"/>
      <c r="D1302" s="26"/>
      <c r="E1302" s="27"/>
      <c r="F1302" s="27"/>
      <c r="G1302" s="31" t="str">
        <f aca="false">IF(F1302="","",IF(F1302&lt;=5,"A",IF(F1302&lt;=8,"B",IF(F1302&lt;=10,"C","D"))))</f>
        <v/>
      </c>
      <c r="H1302" s="28"/>
      <c r="I1302" s="27"/>
      <c r="J1302" s="26"/>
      <c r="K1302" s="27"/>
      <c r="L1302" s="27"/>
      <c r="M1302" s="27"/>
      <c r="N1302" s="27"/>
      <c r="O1302" s="31" t="str">
        <f aca="false">IF(G1302="","",VLOOKUP(G1302,Setup!$A$14:$C$17,3,0))</f>
        <v/>
      </c>
      <c r="P1302" s="27"/>
      <c r="Q1302" s="33" t="str">
        <f aca="false">IF(OR(P1302="",M1302&lt;&gt;"Paid",O1302=""),"",P1302/O1302)</f>
        <v/>
      </c>
      <c r="R1302" s="34" t="str">
        <f aca="false">IF(Q1302="","",Q1302+N(H1302)*0.000000001)</f>
        <v/>
      </c>
      <c r="S1302" s="32" t="str">
        <f aca="false">IF(R1302="","",SUMPRODUCT((I$5:I$4004=I1302)*ISNUMBER(R$5:R$4004)*(R$5:R$4004&gt;R1302))+1)</f>
        <v/>
      </c>
      <c r="T1302" s="32" t="str">
        <f aca="false">IF(S1302="","",IF(S1302&lt;=Setup!$B$5,"🏆 WINNER",""))</f>
        <v/>
      </c>
      <c r="U1302" s="31" t="str">
        <f aca="false">IF(S1302="","",I1302&amp;"|"&amp;S1302)</f>
        <v/>
      </c>
    </row>
    <row r="1303" customFormat="false" ht="15" hidden="false" customHeight="false" outlineLevel="0" collapsed="false">
      <c r="A1303" s="24" t="n">
        <v>1299</v>
      </c>
      <c r="B1303" s="25" t="str">
        <f aca="false">IF(OR(C1303="",I1303="",G1303=""),"",IFERROR(VLOOKUP(I1303,Setup!$A$9:$B$11,2,0),"???")&amp;"-"&amp;G1303&amp;"-"&amp;TEXT(COUNTIFS(I$5:I1303,I1303,G$5:G1303,G1303),"0000"))</f>
        <v/>
      </c>
      <c r="C1303" s="26"/>
      <c r="D1303" s="26"/>
      <c r="E1303" s="27"/>
      <c r="F1303" s="27"/>
      <c r="G1303" s="24" t="str">
        <f aca="false">IF(F1303="","",IF(F1303&lt;=5,"A",IF(F1303&lt;=8,"B",IF(F1303&lt;=10,"C","D"))))</f>
        <v/>
      </c>
      <c r="H1303" s="28"/>
      <c r="I1303" s="27"/>
      <c r="J1303" s="26"/>
      <c r="K1303" s="27"/>
      <c r="L1303" s="27"/>
      <c r="M1303" s="27"/>
      <c r="N1303" s="27"/>
      <c r="O1303" s="24" t="str">
        <f aca="false">IF(G1303="","",VLOOKUP(G1303,Setup!$A$14:$C$17,3,0))</f>
        <v/>
      </c>
      <c r="P1303" s="27"/>
      <c r="Q1303" s="29" t="str">
        <f aca="false">IF(OR(P1303="",M1303&lt;&gt;"Paid",O1303=""),"",P1303/O1303)</f>
        <v/>
      </c>
      <c r="R1303" s="30" t="str">
        <f aca="false">IF(Q1303="","",Q1303+N(H1303)*0.000000001)</f>
        <v/>
      </c>
      <c r="S1303" s="25" t="str">
        <f aca="false">IF(R1303="","",SUMPRODUCT((I$5:I$4004=I1303)*ISNUMBER(R$5:R$4004)*(R$5:R$4004&gt;R1303))+1)</f>
        <v/>
      </c>
      <c r="T1303" s="25" t="str">
        <f aca="false">IF(S1303="","",IF(S1303&lt;=Setup!$B$5,"🏆 WINNER",""))</f>
        <v/>
      </c>
      <c r="U1303" s="24" t="str">
        <f aca="false">IF(S1303="","",I1303&amp;"|"&amp;S1303)</f>
        <v/>
      </c>
    </row>
    <row r="1304" customFormat="false" ht="15" hidden="false" customHeight="false" outlineLevel="0" collapsed="false">
      <c r="A1304" s="31" t="n">
        <v>1300</v>
      </c>
      <c r="B1304" s="32" t="str">
        <f aca="false">IF(OR(C1304="",I1304="",G1304=""),"",IFERROR(VLOOKUP(I1304,Setup!$A$9:$B$11,2,0),"???")&amp;"-"&amp;G1304&amp;"-"&amp;TEXT(COUNTIFS(I$5:I1304,I1304,G$5:G1304,G1304),"0000"))</f>
        <v/>
      </c>
      <c r="C1304" s="26"/>
      <c r="D1304" s="26"/>
      <c r="E1304" s="27"/>
      <c r="F1304" s="27"/>
      <c r="G1304" s="31" t="str">
        <f aca="false">IF(F1304="","",IF(F1304&lt;=5,"A",IF(F1304&lt;=8,"B",IF(F1304&lt;=10,"C","D"))))</f>
        <v/>
      </c>
      <c r="H1304" s="28"/>
      <c r="I1304" s="27"/>
      <c r="J1304" s="26"/>
      <c r="K1304" s="27"/>
      <c r="L1304" s="27"/>
      <c r="M1304" s="27"/>
      <c r="N1304" s="27"/>
      <c r="O1304" s="31" t="str">
        <f aca="false">IF(G1304="","",VLOOKUP(G1304,Setup!$A$14:$C$17,3,0))</f>
        <v/>
      </c>
      <c r="P1304" s="27"/>
      <c r="Q1304" s="33" t="str">
        <f aca="false">IF(OR(P1304="",M1304&lt;&gt;"Paid",O1304=""),"",P1304/O1304)</f>
        <v/>
      </c>
      <c r="R1304" s="34" t="str">
        <f aca="false">IF(Q1304="","",Q1304+N(H1304)*0.000000001)</f>
        <v/>
      </c>
      <c r="S1304" s="32" t="str">
        <f aca="false">IF(R1304="","",SUMPRODUCT((I$5:I$4004=I1304)*ISNUMBER(R$5:R$4004)*(R$5:R$4004&gt;R1304))+1)</f>
        <v/>
      </c>
      <c r="T1304" s="32" t="str">
        <f aca="false">IF(S1304="","",IF(S1304&lt;=Setup!$B$5,"🏆 WINNER",""))</f>
        <v/>
      </c>
      <c r="U1304" s="31" t="str">
        <f aca="false">IF(S1304="","",I1304&amp;"|"&amp;S1304)</f>
        <v/>
      </c>
    </row>
    <row r="1305" customFormat="false" ht="15" hidden="false" customHeight="false" outlineLevel="0" collapsed="false">
      <c r="A1305" s="24" t="n">
        <v>1301</v>
      </c>
      <c r="B1305" s="25" t="str">
        <f aca="false">IF(OR(C1305="",I1305="",G1305=""),"",IFERROR(VLOOKUP(I1305,Setup!$A$9:$B$11,2,0),"???")&amp;"-"&amp;G1305&amp;"-"&amp;TEXT(COUNTIFS(I$5:I1305,I1305,G$5:G1305,G1305),"0000"))</f>
        <v/>
      </c>
      <c r="C1305" s="26"/>
      <c r="D1305" s="26"/>
      <c r="E1305" s="27"/>
      <c r="F1305" s="27"/>
      <c r="G1305" s="24" t="str">
        <f aca="false">IF(F1305="","",IF(F1305&lt;=5,"A",IF(F1305&lt;=8,"B",IF(F1305&lt;=10,"C","D"))))</f>
        <v/>
      </c>
      <c r="H1305" s="28"/>
      <c r="I1305" s="27"/>
      <c r="J1305" s="26"/>
      <c r="K1305" s="27"/>
      <c r="L1305" s="27"/>
      <c r="M1305" s="27"/>
      <c r="N1305" s="27"/>
      <c r="O1305" s="24" t="str">
        <f aca="false">IF(G1305="","",VLOOKUP(G1305,Setup!$A$14:$C$17,3,0))</f>
        <v/>
      </c>
      <c r="P1305" s="27"/>
      <c r="Q1305" s="29" t="str">
        <f aca="false">IF(OR(P1305="",M1305&lt;&gt;"Paid",O1305=""),"",P1305/O1305)</f>
        <v/>
      </c>
      <c r="R1305" s="30" t="str">
        <f aca="false">IF(Q1305="","",Q1305+N(H1305)*0.000000001)</f>
        <v/>
      </c>
      <c r="S1305" s="25" t="str">
        <f aca="false">IF(R1305="","",SUMPRODUCT((I$5:I$4004=I1305)*ISNUMBER(R$5:R$4004)*(R$5:R$4004&gt;R1305))+1)</f>
        <v/>
      </c>
      <c r="T1305" s="25" t="str">
        <f aca="false">IF(S1305="","",IF(S1305&lt;=Setup!$B$5,"🏆 WINNER",""))</f>
        <v/>
      </c>
      <c r="U1305" s="24" t="str">
        <f aca="false">IF(S1305="","",I1305&amp;"|"&amp;S1305)</f>
        <v/>
      </c>
    </row>
    <row r="1306" customFormat="false" ht="15" hidden="false" customHeight="false" outlineLevel="0" collapsed="false">
      <c r="A1306" s="31" t="n">
        <v>1302</v>
      </c>
      <c r="B1306" s="32" t="str">
        <f aca="false">IF(OR(C1306="",I1306="",G1306=""),"",IFERROR(VLOOKUP(I1306,Setup!$A$9:$B$11,2,0),"???")&amp;"-"&amp;G1306&amp;"-"&amp;TEXT(COUNTIFS(I$5:I1306,I1306,G$5:G1306,G1306),"0000"))</f>
        <v/>
      </c>
      <c r="C1306" s="26"/>
      <c r="D1306" s="26"/>
      <c r="E1306" s="27"/>
      <c r="F1306" s="27"/>
      <c r="G1306" s="31" t="str">
        <f aca="false">IF(F1306="","",IF(F1306&lt;=5,"A",IF(F1306&lt;=8,"B",IF(F1306&lt;=10,"C","D"))))</f>
        <v/>
      </c>
      <c r="H1306" s="28"/>
      <c r="I1306" s="27"/>
      <c r="J1306" s="26"/>
      <c r="K1306" s="27"/>
      <c r="L1306" s="27"/>
      <c r="M1306" s="27"/>
      <c r="N1306" s="27"/>
      <c r="O1306" s="31" t="str">
        <f aca="false">IF(G1306="","",VLOOKUP(G1306,Setup!$A$14:$C$17,3,0))</f>
        <v/>
      </c>
      <c r="P1306" s="27"/>
      <c r="Q1306" s="33" t="str">
        <f aca="false">IF(OR(P1306="",M1306&lt;&gt;"Paid",O1306=""),"",P1306/O1306)</f>
        <v/>
      </c>
      <c r="R1306" s="34" t="str">
        <f aca="false">IF(Q1306="","",Q1306+N(H1306)*0.000000001)</f>
        <v/>
      </c>
      <c r="S1306" s="32" t="str">
        <f aca="false">IF(R1306="","",SUMPRODUCT((I$5:I$4004=I1306)*ISNUMBER(R$5:R$4004)*(R$5:R$4004&gt;R1306))+1)</f>
        <v/>
      </c>
      <c r="T1306" s="32" t="str">
        <f aca="false">IF(S1306="","",IF(S1306&lt;=Setup!$B$5,"🏆 WINNER",""))</f>
        <v/>
      </c>
      <c r="U1306" s="31" t="str">
        <f aca="false">IF(S1306="","",I1306&amp;"|"&amp;S1306)</f>
        <v/>
      </c>
    </row>
    <row r="1307" customFormat="false" ht="15" hidden="false" customHeight="false" outlineLevel="0" collapsed="false">
      <c r="A1307" s="24" t="n">
        <v>1303</v>
      </c>
      <c r="B1307" s="25" t="str">
        <f aca="false">IF(OR(C1307="",I1307="",G1307=""),"",IFERROR(VLOOKUP(I1307,Setup!$A$9:$B$11,2,0),"???")&amp;"-"&amp;G1307&amp;"-"&amp;TEXT(COUNTIFS(I$5:I1307,I1307,G$5:G1307,G1307),"0000"))</f>
        <v/>
      </c>
      <c r="C1307" s="26"/>
      <c r="D1307" s="26"/>
      <c r="E1307" s="27"/>
      <c r="F1307" s="27"/>
      <c r="G1307" s="24" t="str">
        <f aca="false">IF(F1307="","",IF(F1307&lt;=5,"A",IF(F1307&lt;=8,"B",IF(F1307&lt;=10,"C","D"))))</f>
        <v/>
      </c>
      <c r="H1307" s="28"/>
      <c r="I1307" s="27"/>
      <c r="J1307" s="26"/>
      <c r="K1307" s="27"/>
      <c r="L1307" s="27"/>
      <c r="M1307" s="27"/>
      <c r="N1307" s="27"/>
      <c r="O1307" s="24" t="str">
        <f aca="false">IF(G1307="","",VLOOKUP(G1307,Setup!$A$14:$C$17,3,0))</f>
        <v/>
      </c>
      <c r="P1307" s="27"/>
      <c r="Q1307" s="29" t="str">
        <f aca="false">IF(OR(P1307="",M1307&lt;&gt;"Paid",O1307=""),"",P1307/O1307)</f>
        <v/>
      </c>
      <c r="R1307" s="30" t="str">
        <f aca="false">IF(Q1307="","",Q1307+N(H1307)*0.000000001)</f>
        <v/>
      </c>
      <c r="S1307" s="25" t="str">
        <f aca="false">IF(R1307="","",SUMPRODUCT((I$5:I$4004=I1307)*ISNUMBER(R$5:R$4004)*(R$5:R$4004&gt;R1307))+1)</f>
        <v/>
      </c>
      <c r="T1307" s="25" t="str">
        <f aca="false">IF(S1307="","",IF(S1307&lt;=Setup!$B$5,"🏆 WINNER",""))</f>
        <v/>
      </c>
      <c r="U1307" s="24" t="str">
        <f aca="false">IF(S1307="","",I1307&amp;"|"&amp;S1307)</f>
        <v/>
      </c>
    </row>
    <row r="1308" customFormat="false" ht="15" hidden="false" customHeight="false" outlineLevel="0" collapsed="false">
      <c r="A1308" s="31" t="n">
        <v>1304</v>
      </c>
      <c r="B1308" s="32" t="str">
        <f aca="false">IF(OR(C1308="",I1308="",G1308=""),"",IFERROR(VLOOKUP(I1308,Setup!$A$9:$B$11,2,0),"???")&amp;"-"&amp;G1308&amp;"-"&amp;TEXT(COUNTIFS(I$5:I1308,I1308,G$5:G1308,G1308),"0000"))</f>
        <v/>
      </c>
      <c r="C1308" s="26"/>
      <c r="D1308" s="26"/>
      <c r="E1308" s="27"/>
      <c r="F1308" s="27"/>
      <c r="G1308" s="31" t="str">
        <f aca="false">IF(F1308="","",IF(F1308&lt;=5,"A",IF(F1308&lt;=8,"B",IF(F1308&lt;=10,"C","D"))))</f>
        <v/>
      </c>
      <c r="H1308" s="28"/>
      <c r="I1308" s="27"/>
      <c r="J1308" s="26"/>
      <c r="K1308" s="27"/>
      <c r="L1308" s="27"/>
      <c r="M1308" s="27"/>
      <c r="N1308" s="27"/>
      <c r="O1308" s="31" t="str">
        <f aca="false">IF(G1308="","",VLOOKUP(G1308,Setup!$A$14:$C$17,3,0))</f>
        <v/>
      </c>
      <c r="P1308" s="27"/>
      <c r="Q1308" s="33" t="str">
        <f aca="false">IF(OR(P1308="",M1308&lt;&gt;"Paid",O1308=""),"",P1308/O1308)</f>
        <v/>
      </c>
      <c r="R1308" s="34" t="str">
        <f aca="false">IF(Q1308="","",Q1308+N(H1308)*0.000000001)</f>
        <v/>
      </c>
      <c r="S1308" s="32" t="str">
        <f aca="false">IF(R1308="","",SUMPRODUCT((I$5:I$4004=I1308)*ISNUMBER(R$5:R$4004)*(R$5:R$4004&gt;R1308))+1)</f>
        <v/>
      </c>
      <c r="T1308" s="32" t="str">
        <f aca="false">IF(S1308="","",IF(S1308&lt;=Setup!$B$5,"🏆 WINNER",""))</f>
        <v/>
      </c>
      <c r="U1308" s="31" t="str">
        <f aca="false">IF(S1308="","",I1308&amp;"|"&amp;S1308)</f>
        <v/>
      </c>
    </row>
    <row r="1309" customFormat="false" ht="15" hidden="false" customHeight="false" outlineLevel="0" collapsed="false">
      <c r="A1309" s="24" t="n">
        <v>1305</v>
      </c>
      <c r="B1309" s="25" t="str">
        <f aca="false">IF(OR(C1309="",I1309="",G1309=""),"",IFERROR(VLOOKUP(I1309,Setup!$A$9:$B$11,2,0),"???")&amp;"-"&amp;G1309&amp;"-"&amp;TEXT(COUNTIFS(I$5:I1309,I1309,G$5:G1309,G1309),"0000"))</f>
        <v/>
      </c>
      <c r="C1309" s="26"/>
      <c r="D1309" s="26"/>
      <c r="E1309" s="27"/>
      <c r="F1309" s="27"/>
      <c r="G1309" s="24" t="str">
        <f aca="false">IF(F1309="","",IF(F1309&lt;=5,"A",IF(F1309&lt;=8,"B",IF(F1309&lt;=10,"C","D"))))</f>
        <v/>
      </c>
      <c r="H1309" s="28"/>
      <c r="I1309" s="27"/>
      <c r="J1309" s="26"/>
      <c r="K1309" s="27"/>
      <c r="L1309" s="27"/>
      <c r="M1309" s="27"/>
      <c r="N1309" s="27"/>
      <c r="O1309" s="24" t="str">
        <f aca="false">IF(G1309="","",VLOOKUP(G1309,Setup!$A$14:$C$17,3,0))</f>
        <v/>
      </c>
      <c r="P1309" s="27"/>
      <c r="Q1309" s="29" t="str">
        <f aca="false">IF(OR(P1309="",M1309&lt;&gt;"Paid",O1309=""),"",P1309/O1309)</f>
        <v/>
      </c>
      <c r="R1309" s="30" t="str">
        <f aca="false">IF(Q1309="","",Q1309+N(H1309)*0.000000001)</f>
        <v/>
      </c>
      <c r="S1309" s="25" t="str">
        <f aca="false">IF(R1309="","",SUMPRODUCT((I$5:I$4004=I1309)*ISNUMBER(R$5:R$4004)*(R$5:R$4004&gt;R1309))+1)</f>
        <v/>
      </c>
      <c r="T1309" s="25" t="str">
        <f aca="false">IF(S1309="","",IF(S1309&lt;=Setup!$B$5,"🏆 WINNER",""))</f>
        <v/>
      </c>
      <c r="U1309" s="24" t="str">
        <f aca="false">IF(S1309="","",I1309&amp;"|"&amp;S1309)</f>
        <v/>
      </c>
    </row>
    <row r="1310" customFormat="false" ht="15" hidden="false" customHeight="false" outlineLevel="0" collapsed="false">
      <c r="A1310" s="31" t="n">
        <v>1306</v>
      </c>
      <c r="B1310" s="32" t="str">
        <f aca="false">IF(OR(C1310="",I1310="",G1310=""),"",IFERROR(VLOOKUP(I1310,Setup!$A$9:$B$11,2,0),"???")&amp;"-"&amp;G1310&amp;"-"&amp;TEXT(COUNTIFS(I$5:I1310,I1310,G$5:G1310,G1310),"0000"))</f>
        <v/>
      </c>
      <c r="C1310" s="26"/>
      <c r="D1310" s="26"/>
      <c r="E1310" s="27"/>
      <c r="F1310" s="27"/>
      <c r="G1310" s="31" t="str">
        <f aca="false">IF(F1310="","",IF(F1310&lt;=5,"A",IF(F1310&lt;=8,"B",IF(F1310&lt;=10,"C","D"))))</f>
        <v/>
      </c>
      <c r="H1310" s="28"/>
      <c r="I1310" s="27"/>
      <c r="J1310" s="26"/>
      <c r="K1310" s="27"/>
      <c r="L1310" s="27"/>
      <c r="M1310" s="27"/>
      <c r="N1310" s="27"/>
      <c r="O1310" s="31" t="str">
        <f aca="false">IF(G1310="","",VLOOKUP(G1310,Setup!$A$14:$C$17,3,0))</f>
        <v/>
      </c>
      <c r="P1310" s="27"/>
      <c r="Q1310" s="33" t="str">
        <f aca="false">IF(OR(P1310="",M1310&lt;&gt;"Paid",O1310=""),"",P1310/O1310)</f>
        <v/>
      </c>
      <c r="R1310" s="34" t="str">
        <f aca="false">IF(Q1310="","",Q1310+N(H1310)*0.000000001)</f>
        <v/>
      </c>
      <c r="S1310" s="32" t="str">
        <f aca="false">IF(R1310="","",SUMPRODUCT((I$5:I$4004=I1310)*ISNUMBER(R$5:R$4004)*(R$5:R$4004&gt;R1310))+1)</f>
        <v/>
      </c>
      <c r="T1310" s="32" t="str">
        <f aca="false">IF(S1310="","",IF(S1310&lt;=Setup!$B$5,"🏆 WINNER",""))</f>
        <v/>
      </c>
      <c r="U1310" s="31" t="str">
        <f aca="false">IF(S1310="","",I1310&amp;"|"&amp;S1310)</f>
        <v/>
      </c>
    </row>
    <row r="1311" customFormat="false" ht="15" hidden="false" customHeight="false" outlineLevel="0" collapsed="false">
      <c r="A1311" s="24" t="n">
        <v>1307</v>
      </c>
      <c r="B1311" s="25" t="str">
        <f aca="false">IF(OR(C1311="",I1311="",G1311=""),"",IFERROR(VLOOKUP(I1311,Setup!$A$9:$B$11,2,0),"???")&amp;"-"&amp;G1311&amp;"-"&amp;TEXT(COUNTIFS(I$5:I1311,I1311,G$5:G1311,G1311),"0000"))</f>
        <v/>
      </c>
      <c r="C1311" s="26"/>
      <c r="D1311" s="26"/>
      <c r="E1311" s="27"/>
      <c r="F1311" s="27"/>
      <c r="G1311" s="24" t="str">
        <f aca="false">IF(F1311="","",IF(F1311&lt;=5,"A",IF(F1311&lt;=8,"B",IF(F1311&lt;=10,"C","D"))))</f>
        <v/>
      </c>
      <c r="H1311" s="28"/>
      <c r="I1311" s="27"/>
      <c r="J1311" s="26"/>
      <c r="K1311" s="27"/>
      <c r="L1311" s="27"/>
      <c r="M1311" s="27"/>
      <c r="N1311" s="27"/>
      <c r="O1311" s="24" t="str">
        <f aca="false">IF(G1311="","",VLOOKUP(G1311,Setup!$A$14:$C$17,3,0))</f>
        <v/>
      </c>
      <c r="P1311" s="27"/>
      <c r="Q1311" s="29" t="str">
        <f aca="false">IF(OR(P1311="",M1311&lt;&gt;"Paid",O1311=""),"",P1311/O1311)</f>
        <v/>
      </c>
      <c r="R1311" s="30" t="str">
        <f aca="false">IF(Q1311="","",Q1311+N(H1311)*0.000000001)</f>
        <v/>
      </c>
      <c r="S1311" s="25" t="str">
        <f aca="false">IF(R1311="","",SUMPRODUCT((I$5:I$4004=I1311)*ISNUMBER(R$5:R$4004)*(R$5:R$4004&gt;R1311))+1)</f>
        <v/>
      </c>
      <c r="T1311" s="25" t="str">
        <f aca="false">IF(S1311="","",IF(S1311&lt;=Setup!$B$5,"🏆 WINNER",""))</f>
        <v/>
      </c>
      <c r="U1311" s="24" t="str">
        <f aca="false">IF(S1311="","",I1311&amp;"|"&amp;S1311)</f>
        <v/>
      </c>
    </row>
    <row r="1312" customFormat="false" ht="15" hidden="false" customHeight="false" outlineLevel="0" collapsed="false">
      <c r="A1312" s="31" t="n">
        <v>1308</v>
      </c>
      <c r="B1312" s="32" t="str">
        <f aca="false">IF(OR(C1312="",I1312="",G1312=""),"",IFERROR(VLOOKUP(I1312,Setup!$A$9:$B$11,2,0),"???")&amp;"-"&amp;G1312&amp;"-"&amp;TEXT(COUNTIFS(I$5:I1312,I1312,G$5:G1312,G1312),"0000"))</f>
        <v/>
      </c>
      <c r="C1312" s="26"/>
      <c r="D1312" s="26"/>
      <c r="E1312" s="27"/>
      <c r="F1312" s="27"/>
      <c r="G1312" s="31" t="str">
        <f aca="false">IF(F1312="","",IF(F1312&lt;=5,"A",IF(F1312&lt;=8,"B",IF(F1312&lt;=10,"C","D"))))</f>
        <v/>
      </c>
      <c r="H1312" s="28"/>
      <c r="I1312" s="27"/>
      <c r="J1312" s="26"/>
      <c r="K1312" s="27"/>
      <c r="L1312" s="27"/>
      <c r="M1312" s="27"/>
      <c r="N1312" s="27"/>
      <c r="O1312" s="31" t="str">
        <f aca="false">IF(G1312="","",VLOOKUP(G1312,Setup!$A$14:$C$17,3,0))</f>
        <v/>
      </c>
      <c r="P1312" s="27"/>
      <c r="Q1312" s="33" t="str">
        <f aca="false">IF(OR(P1312="",M1312&lt;&gt;"Paid",O1312=""),"",P1312/O1312)</f>
        <v/>
      </c>
      <c r="R1312" s="34" t="str">
        <f aca="false">IF(Q1312="","",Q1312+N(H1312)*0.000000001)</f>
        <v/>
      </c>
      <c r="S1312" s="32" t="str">
        <f aca="false">IF(R1312="","",SUMPRODUCT((I$5:I$4004=I1312)*ISNUMBER(R$5:R$4004)*(R$5:R$4004&gt;R1312))+1)</f>
        <v/>
      </c>
      <c r="T1312" s="32" t="str">
        <f aca="false">IF(S1312="","",IF(S1312&lt;=Setup!$B$5,"🏆 WINNER",""))</f>
        <v/>
      </c>
      <c r="U1312" s="31" t="str">
        <f aca="false">IF(S1312="","",I1312&amp;"|"&amp;S1312)</f>
        <v/>
      </c>
    </row>
    <row r="1313" customFormat="false" ht="15" hidden="false" customHeight="false" outlineLevel="0" collapsed="false">
      <c r="A1313" s="24" t="n">
        <v>1309</v>
      </c>
      <c r="B1313" s="25" t="str">
        <f aca="false">IF(OR(C1313="",I1313="",G1313=""),"",IFERROR(VLOOKUP(I1313,Setup!$A$9:$B$11,2,0),"???")&amp;"-"&amp;G1313&amp;"-"&amp;TEXT(COUNTIFS(I$5:I1313,I1313,G$5:G1313,G1313),"0000"))</f>
        <v/>
      </c>
      <c r="C1313" s="26"/>
      <c r="D1313" s="26"/>
      <c r="E1313" s="27"/>
      <c r="F1313" s="27"/>
      <c r="G1313" s="24" t="str">
        <f aca="false">IF(F1313="","",IF(F1313&lt;=5,"A",IF(F1313&lt;=8,"B",IF(F1313&lt;=10,"C","D"))))</f>
        <v/>
      </c>
      <c r="H1313" s="28"/>
      <c r="I1313" s="27"/>
      <c r="J1313" s="26"/>
      <c r="K1313" s="27"/>
      <c r="L1313" s="27"/>
      <c r="M1313" s="27"/>
      <c r="N1313" s="27"/>
      <c r="O1313" s="24" t="str">
        <f aca="false">IF(G1313="","",VLOOKUP(G1313,Setup!$A$14:$C$17,3,0))</f>
        <v/>
      </c>
      <c r="P1313" s="27"/>
      <c r="Q1313" s="29" t="str">
        <f aca="false">IF(OR(P1313="",M1313&lt;&gt;"Paid",O1313=""),"",P1313/O1313)</f>
        <v/>
      </c>
      <c r="R1313" s="30" t="str">
        <f aca="false">IF(Q1313="","",Q1313+N(H1313)*0.000000001)</f>
        <v/>
      </c>
      <c r="S1313" s="25" t="str">
        <f aca="false">IF(R1313="","",SUMPRODUCT((I$5:I$4004=I1313)*ISNUMBER(R$5:R$4004)*(R$5:R$4004&gt;R1313))+1)</f>
        <v/>
      </c>
      <c r="T1313" s="25" t="str">
        <f aca="false">IF(S1313="","",IF(S1313&lt;=Setup!$B$5,"🏆 WINNER",""))</f>
        <v/>
      </c>
      <c r="U1313" s="24" t="str">
        <f aca="false">IF(S1313="","",I1313&amp;"|"&amp;S1313)</f>
        <v/>
      </c>
    </row>
    <row r="1314" customFormat="false" ht="15" hidden="false" customHeight="false" outlineLevel="0" collapsed="false">
      <c r="A1314" s="31" t="n">
        <v>1310</v>
      </c>
      <c r="B1314" s="32" t="str">
        <f aca="false">IF(OR(C1314="",I1314="",G1314=""),"",IFERROR(VLOOKUP(I1314,Setup!$A$9:$B$11,2,0),"???")&amp;"-"&amp;G1314&amp;"-"&amp;TEXT(COUNTIFS(I$5:I1314,I1314,G$5:G1314,G1314),"0000"))</f>
        <v/>
      </c>
      <c r="C1314" s="26"/>
      <c r="D1314" s="26"/>
      <c r="E1314" s="27"/>
      <c r="F1314" s="27"/>
      <c r="G1314" s="31" t="str">
        <f aca="false">IF(F1314="","",IF(F1314&lt;=5,"A",IF(F1314&lt;=8,"B",IF(F1314&lt;=10,"C","D"))))</f>
        <v/>
      </c>
      <c r="H1314" s="28"/>
      <c r="I1314" s="27"/>
      <c r="J1314" s="26"/>
      <c r="K1314" s="27"/>
      <c r="L1314" s="27"/>
      <c r="M1314" s="27"/>
      <c r="N1314" s="27"/>
      <c r="O1314" s="31" t="str">
        <f aca="false">IF(G1314="","",VLOOKUP(G1314,Setup!$A$14:$C$17,3,0))</f>
        <v/>
      </c>
      <c r="P1314" s="27"/>
      <c r="Q1314" s="33" t="str">
        <f aca="false">IF(OR(P1314="",M1314&lt;&gt;"Paid",O1314=""),"",P1314/O1314)</f>
        <v/>
      </c>
      <c r="R1314" s="34" t="str">
        <f aca="false">IF(Q1314="","",Q1314+N(H1314)*0.000000001)</f>
        <v/>
      </c>
      <c r="S1314" s="32" t="str">
        <f aca="false">IF(R1314="","",SUMPRODUCT((I$5:I$4004=I1314)*ISNUMBER(R$5:R$4004)*(R$5:R$4004&gt;R1314))+1)</f>
        <v/>
      </c>
      <c r="T1314" s="32" t="str">
        <f aca="false">IF(S1314="","",IF(S1314&lt;=Setup!$B$5,"🏆 WINNER",""))</f>
        <v/>
      </c>
      <c r="U1314" s="31" t="str">
        <f aca="false">IF(S1314="","",I1314&amp;"|"&amp;S1314)</f>
        <v/>
      </c>
    </row>
    <row r="1315" customFormat="false" ht="15" hidden="false" customHeight="false" outlineLevel="0" collapsed="false">
      <c r="A1315" s="24" t="n">
        <v>1311</v>
      </c>
      <c r="B1315" s="25" t="str">
        <f aca="false">IF(OR(C1315="",I1315="",G1315=""),"",IFERROR(VLOOKUP(I1315,Setup!$A$9:$B$11,2,0),"???")&amp;"-"&amp;G1315&amp;"-"&amp;TEXT(COUNTIFS(I$5:I1315,I1315,G$5:G1315,G1315),"0000"))</f>
        <v/>
      </c>
      <c r="C1315" s="26"/>
      <c r="D1315" s="26"/>
      <c r="E1315" s="27"/>
      <c r="F1315" s="27"/>
      <c r="G1315" s="24" t="str">
        <f aca="false">IF(F1315="","",IF(F1315&lt;=5,"A",IF(F1315&lt;=8,"B",IF(F1315&lt;=10,"C","D"))))</f>
        <v/>
      </c>
      <c r="H1315" s="28"/>
      <c r="I1315" s="27"/>
      <c r="J1315" s="26"/>
      <c r="K1315" s="27"/>
      <c r="L1315" s="27"/>
      <c r="M1315" s="27"/>
      <c r="N1315" s="27"/>
      <c r="O1315" s="24" t="str">
        <f aca="false">IF(G1315="","",VLOOKUP(G1315,Setup!$A$14:$C$17,3,0))</f>
        <v/>
      </c>
      <c r="P1315" s="27"/>
      <c r="Q1315" s="29" t="str">
        <f aca="false">IF(OR(P1315="",M1315&lt;&gt;"Paid",O1315=""),"",P1315/O1315)</f>
        <v/>
      </c>
      <c r="R1315" s="30" t="str">
        <f aca="false">IF(Q1315="","",Q1315+N(H1315)*0.000000001)</f>
        <v/>
      </c>
      <c r="S1315" s="25" t="str">
        <f aca="false">IF(R1315="","",SUMPRODUCT((I$5:I$4004=I1315)*ISNUMBER(R$5:R$4004)*(R$5:R$4004&gt;R1315))+1)</f>
        <v/>
      </c>
      <c r="T1315" s="25" t="str">
        <f aca="false">IF(S1315="","",IF(S1315&lt;=Setup!$B$5,"🏆 WINNER",""))</f>
        <v/>
      </c>
      <c r="U1315" s="24" t="str">
        <f aca="false">IF(S1315="","",I1315&amp;"|"&amp;S1315)</f>
        <v/>
      </c>
    </row>
    <row r="1316" customFormat="false" ht="15" hidden="false" customHeight="false" outlineLevel="0" collapsed="false">
      <c r="A1316" s="31" t="n">
        <v>1312</v>
      </c>
      <c r="B1316" s="32" t="str">
        <f aca="false">IF(OR(C1316="",I1316="",G1316=""),"",IFERROR(VLOOKUP(I1316,Setup!$A$9:$B$11,2,0),"???")&amp;"-"&amp;G1316&amp;"-"&amp;TEXT(COUNTIFS(I$5:I1316,I1316,G$5:G1316,G1316),"0000"))</f>
        <v/>
      </c>
      <c r="C1316" s="26"/>
      <c r="D1316" s="26"/>
      <c r="E1316" s="27"/>
      <c r="F1316" s="27"/>
      <c r="G1316" s="31" t="str">
        <f aca="false">IF(F1316="","",IF(F1316&lt;=5,"A",IF(F1316&lt;=8,"B",IF(F1316&lt;=10,"C","D"))))</f>
        <v/>
      </c>
      <c r="H1316" s="28"/>
      <c r="I1316" s="27"/>
      <c r="J1316" s="26"/>
      <c r="K1316" s="27"/>
      <c r="L1316" s="27"/>
      <c r="M1316" s="27"/>
      <c r="N1316" s="27"/>
      <c r="O1316" s="31" t="str">
        <f aca="false">IF(G1316="","",VLOOKUP(G1316,Setup!$A$14:$C$17,3,0))</f>
        <v/>
      </c>
      <c r="P1316" s="27"/>
      <c r="Q1316" s="33" t="str">
        <f aca="false">IF(OR(P1316="",M1316&lt;&gt;"Paid",O1316=""),"",P1316/O1316)</f>
        <v/>
      </c>
      <c r="R1316" s="34" t="str">
        <f aca="false">IF(Q1316="","",Q1316+N(H1316)*0.000000001)</f>
        <v/>
      </c>
      <c r="S1316" s="32" t="str">
        <f aca="false">IF(R1316="","",SUMPRODUCT((I$5:I$4004=I1316)*ISNUMBER(R$5:R$4004)*(R$5:R$4004&gt;R1316))+1)</f>
        <v/>
      </c>
      <c r="T1316" s="32" t="str">
        <f aca="false">IF(S1316="","",IF(S1316&lt;=Setup!$B$5,"🏆 WINNER",""))</f>
        <v/>
      </c>
      <c r="U1316" s="31" t="str">
        <f aca="false">IF(S1316="","",I1316&amp;"|"&amp;S1316)</f>
        <v/>
      </c>
    </row>
    <row r="1317" customFormat="false" ht="15" hidden="false" customHeight="false" outlineLevel="0" collapsed="false">
      <c r="A1317" s="24" t="n">
        <v>1313</v>
      </c>
      <c r="B1317" s="25" t="str">
        <f aca="false">IF(OR(C1317="",I1317="",G1317=""),"",IFERROR(VLOOKUP(I1317,Setup!$A$9:$B$11,2,0),"???")&amp;"-"&amp;G1317&amp;"-"&amp;TEXT(COUNTIFS(I$5:I1317,I1317,G$5:G1317,G1317),"0000"))</f>
        <v/>
      </c>
      <c r="C1317" s="26"/>
      <c r="D1317" s="26"/>
      <c r="E1317" s="27"/>
      <c r="F1317" s="27"/>
      <c r="G1317" s="24" t="str">
        <f aca="false">IF(F1317="","",IF(F1317&lt;=5,"A",IF(F1317&lt;=8,"B",IF(F1317&lt;=10,"C","D"))))</f>
        <v/>
      </c>
      <c r="H1317" s="28"/>
      <c r="I1317" s="27"/>
      <c r="J1317" s="26"/>
      <c r="K1317" s="27"/>
      <c r="L1317" s="27"/>
      <c r="M1317" s="27"/>
      <c r="N1317" s="27"/>
      <c r="O1317" s="24" t="str">
        <f aca="false">IF(G1317="","",VLOOKUP(G1317,Setup!$A$14:$C$17,3,0))</f>
        <v/>
      </c>
      <c r="P1317" s="27"/>
      <c r="Q1317" s="29" t="str">
        <f aca="false">IF(OR(P1317="",M1317&lt;&gt;"Paid",O1317=""),"",P1317/O1317)</f>
        <v/>
      </c>
      <c r="R1317" s="30" t="str">
        <f aca="false">IF(Q1317="","",Q1317+N(H1317)*0.000000001)</f>
        <v/>
      </c>
      <c r="S1317" s="25" t="str">
        <f aca="false">IF(R1317="","",SUMPRODUCT((I$5:I$4004=I1317)*ISNUMBER(R$5:R$4004)*(R$5:R$4004&gt;R1317))+1)</f>
        <v/>
      </c>
      <c r="T1317" s="25" t="str">
        <f aca="false">IF(S1317="","",IF(S1317&lt;=Setup!$B$5,"🏆 WINNER",""))</f>
        <v/>
      </c>
      <c r="U1317" s="24" t="str">
        <f aca="false">IF(S1317="","",I1317&amp;"|"&amp;S1317)</f>
        <v/>
      </c>
    </row>
    <row r="1318" customFormat="false" ht="15" hidden="false" customHeight="false" outlineLevel="0" collapsed="false">
      <c r="A1318" s="31" t="n">
        <v>1314</v>
      </c>
      <c r="B1318" s="32" t="str">
        <f aca="false">IF(OR(C1318="",I1318="",G1318=""),"",IFERROR(VLOOKUP(I1318,Setup!$A$9:$B$11,2,0),"???")&amp;"-"&amp;G1318&amp;"-"&amp;TEXT(COUNTIFS(I$5:I1318,I1318,G$5:G1318,G1318),"0000"))</f>
        <v/>
      </c>
      <c r="C1318" s="26"/>
      <c r="D1318" s="26"/>
      <c r="E1318" s="27"/>
      <c r="F1318" s="27"/>
      <c r="G1318" s="31" t="str">
        <f aca="false">IF(F1318="","",IF(F1318&lt;=5,"A",IF(F1318&lt;=8,"B",IF(F1318&lt;=10,"C","D"))))</f>
        <v/>
      </c>
      <c r="H1318" s="28"/>
      <c r="I1318" s="27"/>
      <c r="J1318" s="26"/>
      <c r="K1318" s="27"/>
      <c r="L1318" s="27"/>
      <c r="M1318" s="27"/>
      <c r="N1318" s="27"/>
      <c r="O1318" s="31" t="str">
        <f aca="false">IF(G1318="","",VLOOKUP(G1318,Setup!$A$14:$C$17,3,0))</f>
        <v/>
      </c>
      <c r="P1318" s="27"/>
      <c r="Q1318" s="33" t="str">
        <f aca="false">IF(OR(P1318="",M1318&lt;&gt;"Paid",O1318=""),"",P1318/O1318)</f>
        <v/>
      </c>
      <c r="R1318" s="34" t="str">
        <f aca="false">IF(Q1318="","",Q1318+N(H1318)*0.000000001)</f>
        <v/>
      </c>
      <c r="S1318" s="32" t="str">
        <f aca="false">IF(R1318="","",SUMPRODUCT((I$5:I$4004=I1318)*ISNUMBER(R$5:R$4004)*(R$5:R$4004&gt;R1318))+1)</f>
        <v/>
      </c>
      <c r="T1318" s="32" t="str">
        <f aca="false">IF(S1318="","",IF(S1318&lt;=Setup!$B$5,"🏆 WINNER",""))</f>
        <v/>
      </c>
      <c r="U1318" s="31" t="str">
        <f aca="false">IF(S1318="","",I1318&amp;"|"&amp;S1318)</f>
        <v/>
      </c>
    </row>
    <row r="1319" customFormat="false" ht="15" hidden="false" customHeight="false" outlineLevel="0" collapsed="false">
      <c r="A1319" s="24" t="n">
        <v>1315</v>
      </c>
      <c r="B1319" s="25" t="str">
        <f aca="false">IF(OR(C1319="",I1319="",G1319=""),"",IFERROR(VLOOKUP(I1319,Setup!$A$9:$B$11,2,0),"???")&amp;"-"&amp;G1319&amp;"-"&amp;TEXT(COUNTIFS(I$5:I1319,I1319,G$5:G1319,G1319),"0000"))</f>
        <v/>
      </c>
      <c r="C1319" s="26"/>
      <c r="D1319" s="26"/>
      <c r="E1319" s="27"/>
      <c r="F1319" s="27"/>
      <c r="G1319" s="24" t="str">
        <f aca="false">IF(F1319="","",IF(F1319&lt;=5,"A",IF(F1319&lt;=8,"B",IF(F1319&lt;=10,"C","D"))))</f>
        <v/>
      </c>
      <c r="H1319" s="28"/>
      <c r="I1319" s="27"/>
      <c r="J1319" s="26"/>
      <c r="K1319" s="27"/>
      <c r="L1319" s="27"/>
      <c r="M1319" s="27"/>
      <c r="N1319" s="27"/>
      <c r="O1319" s="24" t="str">
        <f aca="false">IF(G1319="","",VLOOKUP(G1319,Setup!$A$14:$C$17,3,0))</f>
        <v/>
      </c>
      <c r="P1319" s="27"/>
      <c r="Q1319" s="29" t="str">
        <f aca="false">IF(OR(P1319="",M1319&lt;&gt;"Paid",O1319=""),"",P1319/O1319)</f>
        <v/>
      </c>
      <c r="R1319" s="30" t="str">
        <f aca="false">IF(Q1319="","",Q1319+N(H1319)*0.000000001)</f>
        <v/>
      </c>
      <c r="S1319" s="25" t="str">
        <f aca="false">IF(R1319="","",SUMPRODUCT((I$5:I$4004=I1319)*ISNUMBER(R$5:R$4004)*(R$5:R$4004&gt;R1319))+1)</f>
        <v/>
      </c>
      <c r="T1319" s="25" t="str">
        <f aca="false">IF(S1319="","",IF(S1319&lt;=Setup!$B$5,"🏆 WINNER",""))</f>
        <v/>
      </c>
      <c r="U1319" s="24" t="str">
        <f aca="false">IF(S1319="","",I1319&amp;"|"&amp;S1319)</f>
        <v/>
      </c>
    </row>
    <row r="1320" customFormat="false" ht="15" hidden="false" customHeight="false" outlineLevel="0" collapsed="false">
      <c r="A1320" s="31" t="n">
        <v>1316</v>
      </c>
      <c r="B1320" s="32" t="str">
        <f aca="false">IF(OR(C1320="",I1320="",G1320=""),"",IFERROR(VLOOKUP(I1320,Setup!$A$9:$B$11,2,0),"???")&amp;"-"&amp;G1320&amp;"-"&amp;TEXT(COUNTIFS(I$5:I1320,I1320,G$5:G1320,G1320),"0000"))</f>
        <v/>
      </c>
      <c r="C1320" s="26"/>
      <c r="D1320" s="26"/>
      <c r="E1320" s="27"/>
      <c r="F1320" s="27"/>
      <c r="G1320" s="31" t="str">
        <f aca="false">IF(F1320="","",IF(F1320&lt;=5,"A",IF(F1320&lt;=8,"B",IF(F1320&lt;=10,"C","D"))))</f>
        <v/>
      </c>
      <c r="H1320" s="28"/>
      <c r="I1320" s="27"/>
      <c r="J1320" s="26"/>
      <c r="K1320" s="27"/>
      <c r="L1320" s="27"/>
      <c r="M1320" s="27"/>
      <c r="N1320" s="27"/>
      <c r="O1320" s="31" t="str">
        <f aca="false">IF(G1320="","",VLOOKUP(G1320,Setup!$A$14:$C$17,3,0))</f>
        <v/>
      </c>
      <c r="P1320" s="27"/>
      <c r="Q1320" s="33" t="str">
        <f aca="false">IF(OR(P1320="",M1320&lt;&gt;"Paid",O1320=""),"",P1320/O1320)</f>
        <v/>
      </c>
      <c r="R1320" s="34" t="str">
        <f aca="false">IF(Q1320="","",Q1320+N(H1320)*0.000000001)</f>
        <v/>
      </c>
      <c r="S1320" s="32" t="str">
        <f aca="false">IF(R1320="","",SUMPRODUCT((I$5:I$4004=I1320)*ISNUMBER(R$5:R$4004)*(R$5:R$4004&gt;R1320))+1)</f>
        <v/>
      </c>
      <c r="T1320" s="32" t="str">
        <f aca="false">IF(S1320="","",IF(S1320&lt;=Setup!$B$5,"🏆 WINNER",""))</f>
        <v/>
      </c>
      <c r="U1320" s="31" t="str">
        <f aca="false">IF(S1320="","",I1320&amp;"|"&amp;S1320)</f>
        <v/>
      </c>
    </row>
    <row r="1321" customFormat="false" ht="15" hidden="false" customHeight="false" outlineLevel="0" collapsed="false">
      <c r="A1321" s="24" t="n">
        <v>1317</v>
      </c>
      <c r="B1321" s="25" t="str">
        <f aca="false">IF(OR(C1321="",I1321="",G1321=""),"",IFERROR(VLOOKUP(I1321,Setup!$A$9:$B$11,2,0),"???")&amp;"-"&amp;G1321&amp;"-"&amp;TEXT(COUNTIFS(I$5:I1321,I1321,G$5:G1321,G1321),"0000"))</f>
        <v/>
      </c>
      <c r="C1321" s="26"/>
      <c r="D1321" s="26"/>
      <c r="E1321" s="27"/>
      <c r="F1321" s="27"/>
      <c r="G1321" s="24" t="str">
        <f aca="false">IF(F1321="","",IF(F1321&lt;=5,"A",IF(F1321&lt;=8,"B",IF(F1321&lt;=10,"C","D"))))</f>
        <v/>
      </c>
      <c r="H1321" s="28"/>
      <c r="I1321" s="27"/>
      <c r="J1321" s="26"/>
      <c r="K1321" s="27"/>
      <c r="L1321" s="27"/>
      <c r="M1321" s="27"/>
      <c r="N1321" s="27"/>
      <c r="O1321" s="24" t="str">
        <f aca="false">IF(G1321="","",VLOOKUP(G1321,Setup!$A$14:$C$17,3,0))</f>
        <v/>
      </c>
      <c r="P1321" s="27"/>
      <c r="Q1321" s="29" t="str">
        <f aca="false">IF(OR(P1321="",M1321&lt;&gt;"Paid",O1321=""),"",P1321/O1321)</f>
        <v/>
      </c>
      <c r="R1321" s="30" t="str">
        <f aca="false">IF(Q1321="","",Q1321+N(H1321)*0.000000001)</f>
        <v/>
      </c>
      <c r="S1321" s="25" t="str">
        <f aca="false">IF(R1321="","",SUMPRODUCT((I$5:I$4004=I1321)*ISNUMBER(R$5:R$4004)*(R$5:R$4004&gt;R1321))+1)</f>
        <v/>
      </c>
      <c r="T1321" s="25" t="str">
        <f aca="false">IF(S1321="","",IF(S1321&lt;=Setup!$B$5,"🏆 WINNER",""))</f>
        <v/>
      </c>
      <c r="U1321" s="24" t="str">
        <f aca="false">IF(S1321="","",I1321&amp;"|"&amp;S1321)</f>
        <v/>
      </c>
    </row>
    <row r="1322" customFormat="false" ht="15" hidden="false" customHeight="false" outlineLevel="0" collapsed="false">
      <c r="A1322" s="31" t="n">
        <v>1318</v>
      </c>
      <c r="B1322" s="32" t="str">
        <f aca="false">IF(OR(C1322="",I1322="",G1322=""),"",IFERROR(VLOOKUP(I1322,Setup!$A$9:$B$11,2,0),"???")&amp;"-"&amp;G1322&amp;"-"&amp;TEXT(COUNTIFS(I$5:I1322,I1322,G$5:G1322,G1322),"0000"))</f>
        <v/>
      </c>
      <c r="C1322" s="26"/>
      <c r="D1322" s="26"/>
      <c r="E1322" s="27"/>
      <c r="F1322" s="27"/>
      <c r="G1322" s="31" t="str">
        <f aca="false">IF(F1322="","",IF(F1322&lt;=5,"A",IF(F1322&lt;=8,"B",IF(F1322&lt;=10,"C","D"))))</f>
        <v/>
      </c>
      <c r="H1322" s="28"/>
      <c r="I1322" s="27"/>
      <c r="J1322" s="26"/>
      <c r="K1322" s="27"/>
      <c r="L1322" s="27"/>
      <c r="M1322" s="27"/>
      <c r="N1322" s="27"/>
      <c r="O1322" s="31" t="str">
        <f aca="false">IF(G1322="","",VLOOKUP(G1322,Setup!$A$14:$C$17,3,0))</f>
        <v/>
      </c>
      <c r="P1322" s="27"/>
      <c r="Q1322" s="33" t="str">
        <f aca="false">IF(OR(P1322="",M1322&lt;&gt;"Paid",O1322=""),"",P1322/O1322)</f>
        <v/>
      </c>
      <c r="R1322" s="34" t="str">
        <f aca="false">IF(Q1322="","",Q1322+N(H1322)*0.000000001)</f>
        <v/>
      </c>
      <c r="S1322" s="32" t="str">
        <f aca="false">IF(R1322="","",SUMPRODUCT((I$5:I$4004=I1322)*ISNUMBER(R$5:R$4004)*(R$5:R$4004&gt;R1322))+1)</f>
        <v/>
      </c>
      <c r="T1322" s="32" t="str">
        <f aca="false">IF(S1322="","",IF(S1322&lt;=Setup!$B$5,"🏆 WINNER",""))</f>
        <v/>
      </c>
      <c r="U1322" s="31" t="str">
        <f aca="false">IF(S1322="","",I1322&amp;"|"&amp;S1322)</f>
        <v/>
      </c>
    </row>
    <row r="1323" customFormat="false" ht="15" hidden="false" customHeight="false" outlineLevel="0" collapsed="false">
      <c r="A1323" s="24" t="n">
        <v>1319</v>
      </c>
      <c r="B1323" s="25" t="str">
        <f aca="false">IF(OR(C1323="",I1323="",G1323=""),"",IFERROR(VLOOKUP(I1323,Setup!$A$9:$B$11,2,0),"???")&amp;"-"&amp;G1323&amp;"-"&amp;TEXT(COUNTIFS(I$5:I1323,I1323,G$5:G1323,G1323),"0000"))</f>
        <v/>
      </c>
      <c r="C1323" s="26"/>
      <c r="D1323" s="26"/>
      <c r="E1323" s="27"/>
      <c r="F1323" s="27"/>
      <c r="G1323" s="24" t="str">
        <f aca="false">IF(F1323="","",IF(F1323&lt;=5,"A",IF(F1323&lt;=8,"B",IF(F1323&lt;=10,"C","D"))))</f>
        <v/>
      </c>
      <c r="H1323" s="28"/>
      <c r="I1323" s="27"/>
      <c r="J1323" s="26"/>
      <c r="K1323" s="27"/>
      <c r="L1323" s="27"/>
      <c r="M1323" s="27"/>
      <c r="N1323" s="27"/>
      <c r="O1323" s="24" t="str">
        <f aca="false">IF(G1323="","",VLOOKUP(G1323,Setup!$A$14:$C$17,3,0))</f>
        <v/>
      </c>
      <c r="P1323" s="27"/>
      <c r="Q1323" s="29" t="str">
        <f aca="false">IF(OR(P1323="",M1323&lt;&gt;"Paid",O1323=""),"",P1323/O1323)</f>
        <v/>
      </c>
      <c r="R1323" s="30" t="str">
        <f aca="false">IF(Q1323="","",Q1323+N(H1323)*0.000000001)</f>
        <v/>
      </c>
      <c r="S1323" s="25" t="str">
        <f aca="false">IF(R1323="","",SUMPRODUCT((I$5:I$4004=I1323)*ISNUMBER(R$5:R$4004)*(R$5:R$4004&gt;R1323))+1)</f>
        <v/>
      </c>
      <c r="T1323" s="25" t="str">
        <f aca="false">IF(S1323="","",IF(S1323&lt;=Setup!$B$5,"🏆 WINNER",""))</f>
        <v/>
      </c>
      <c r="U1323" s="24" t="str">
        <f aca="false">IF(S1323="","",I1323&amp;"|"&amp;S1323)</f>
        <v/>
      </c>
    </row>
    <row r="1324" customFormat="false" ht="15" hidden="false" customHeight="false" outlineLevel="0" collapsed="false">
      <c r="A1324" s="31" t="n">
        <v>1320</v>
      </c>
      <c r="B1324" s="32" t="str">
        <f aca="false">IF(OR(C1324="",I1324="",G1324=""),"",IFERROR(VLOOKUP(I1324,Setup!$A$9:$B$11,2,0),"???")&amp;"-"&amp;G1324&amp;"-"&amp;TEXT(COUNTIFS(I$5:I1324,I1324,G$5:G1324,G1324),"0000"))</f>
        <v/>
      </c>
      <c r="C1324" s="26"/>
      <c r="D1324" s="26"/>
      <c r="E1324" s="27"/>
      <c r="F1324" s="27"/>
      <c r="G1324" s="31" t="str">
        <f aca="false">IF(F1324="","",IF(F1324&lt;=5,"A",IF(F1324&lt;=8,"B",IF(F1324&lt;=10,"C","D"))))</f>
        <v/>
      </c>
      <c r="H1324" s="28"/>
      <c r="I1324" s="27"/>
      <c r="J1324" s="26"/>
      <c r="K1324" s="27"/>
      <c r="L1324" s="27"/>
      <c r="M1324" s="27"/>
      <c r="N1324" s="27"/>
      <c r="O1324" s="31" t="str">
        <f aca="false">IF(G1324="","",VLOOKUP(G1324,Setup!$A$14:$C$17,3,0))</f>
        <v/>
      </c>
      <c r="P1324" s="27"/>
      <c r="Q1324" s="33" t="str">
        <f aca="false">IF(OR(P1324="",M1324&lt;&gt;"Paid",O1324=""),"",P1324/O1324)</f>
        <v/>
      </c>
      <c r="R1324" s="34" t="str">
        <f aca="false">IF(Q1324="","",Q1324+N(H1324)*0.000000001)</f>
        <v/>
      </c>
      <c r="S1324" s="32" t="str">
        <f aca="false">IF(R1324="","",SUMPRODUCT((I$5:I$4004=I1324)*ISNUMBER(R$5:R$4004)*(R$5:R$4004&gt;R1324))+1)</f>
        <v/>
      </c>
      <c r="T1324" s="32" t="str">
        <f aca="false">IF(S1324="","",IF(S1324&lt;=Setup!$B$5,"🏆 WINNER",""))</f>
        <v/>
      </c>
      <c r="U1324" s="31" t="str">
        <f aca="false">IF(S1324="","",I1324&amp;"|"&amp;S1324)</f>
        <v/>
      </c>
    </row>
    <row r="1325" customFormat="false" ht="15" hidden="false" customHeight="false" outlineLevel="0" collapsed="false">
      <c r="A1325" s="24" t="n">
        <v>1321</v>
      </c>
      <c r="B1325" s="25" t="str">
        <f aca="false">IF(OR(C1325="",I1325="",G1325=""),"",IFERROR(VLOOKUP(I1325,Setup!$A$9:$B$11,2,0),"???")&amp;"-"&amp;G1325&amp;"-"&amp;TEXT(COUNTIFS(I$5:I1325,I1325,G$5:G1325,G1325),"0000"))</f>
        <v/>
      </c>
      <c r="C1325" s="26"/>
      <c r="D1325" s="26"/>
      <c r="E1325" s="27"/>
      <c r="F1325" s="27"/>
      <c r="G1325" s="24" t="str">
        <f aca="false">IF(F1325="","",IF(F1325&lt;=5,"A",IF(F1325&lt;=8,"B",IF(F1325&lt;=10,"C","D"))))</f>
        <v/>
      </c>
      <c r="H1325" s="28"/>
      <c r="I1325" s="27"/>
      <c r="J1325" s="26"/>
      <c r="K1325" s="27"/>
      <c r="L1325" s="27"/>
      <c r="M1325" s="27"/>
      <c r="N1325" s="27"/>
      <c r="O1325" s="24" t="str">
        <f aca="false">IF(G1325="","",VLOOKUP(G1325,Setup!$A$14:$C$17,3,0))</f>
        <v/>
      </c>
      <c r="P1325" s="27"/>
      <c r="Q1325" s="29" t="str">
        <f aca="false">IF(OR(P1325="",M1325&lt;&gt;"Paid",O1325=""),"",P1325/O1325)</f>
        <v/>
      </c>
      <c r="R1325" s="30" t="str">
        <f aca="false">IF(Q1325="","",Q1325+N(H1325)*0.000000001)</f>
        <v/>
      </c>
      <c r="S1325" s="25" t="str">
        <f aca="false">IF(R1325="","",SUMPRODUCT((I$5:I$4004=I1325)*ISNUMBER(R$5:R$4004)*(R$5:R$4004&gt;R1325))+1)</f>
        <v/>
      </c>
      <c r="T1325" s="25" t="str">
        <f aca="false">IF(S1325="","",IF(S1325&lt;=Setup!$B$5,"🏆 WINNER",""))</f>
        <v/>
      </c>
      <c r="U1325" s="24" t="str">
        <f aca="false">IF(S1325="","",I1325&amp;"|"&amp;S1325)</f>
        <v/>
      </c>
    </row>
    <row r="1326" customFormat="false" ht="15" hidden="false" customHeight="false" outlineLevel="0" collapsed="false">
      <c r="A1326" s="31" t="n">
        <v>1322</v>
      </c>
      <c r="B1326" s="32" t="str">
        <f aca="false">IF(OR(C1326="",I1326="",G1326=""),"",IFERROR(VLOOKUP(I1326,Setup!$A$9:$B$11,2,0),"???")&amp;"-"&amp;G1326&amp;"-"&amp;TEXT(COUNTIFS(I$5:I1326,I1326,G$5:G1326,G1326),"0000"))</f>
        <v/>
      </c>
      <c r="C1326" s="26"/>
      <c r="D1326" s="26"/>
      <c r="E1326" s="27"/>
      <c r="F1326" s="27"/>
      <c r="G1326" s="31" t="str">
        <f aca="false">IF(F1326="","",IF(F1326&lt;=5,"A",IF(F1326&lt;=8,"B",IF(F1326&lt;=10,"C","D"))))</f>
        <v/>
      </c>
      <c r="H1326" s="28"/>
      <c r="I1326" s="27"/>
      <c r="J1326" s="26"/>
      <c r="K1326" s="27"/>
      <c r="L1326" s="27"/>
      <c r="M1326" s="27"/>
      <c r="N1326" s="27"/>
      <c r="O1326" s="31" t="str">
        <f aca="false">IF(G1326="","",VLOOKUP(G1326,Setup!$A$14:$C$17,3,0))</f>
        <v/>
      </c>
      <c r="P1326" s="27"/>
      <c r="Q1326" s="33" t="str">
        <f aca="false">IF(OR(P1326="",M1326&lt;&gt;"Paid",O1326=""),"",P1326/O1326)</f>
        <v/>
      </c>
      <c r="R1326" s="34" t="str">
        <f aca="false">IF(Q1326="","",Q1326+N(H1326)*0.000000001)</f>
        <v/>
      </c>
      <c r="S1326" s="32" t="str">
        <f aca="false">IF(R1326="","",SUMPRODUCT((I$5:I$4004=I1326)*ISNUMBER(R$5:R$4004)*(R$5:R$4004&gt;R1326))+1)</f>
        <v/>
      </c>
      <c r="T1326" s="32" t="str">
        <f aca="false">IF(S1326="","",IF(S1326&lt;=Setup!$B$5,"🏆 WINNER",""))</f>
        <v/>
      </c>
      <c r="U1326" s="31" t="str">
        <f aca="false">IF(S1326="","",I1326&amp;"|"&amp;S1326)</f>
        <v/>
      </c>
    </row>
    <row r="1327" customFormat="false" ht="15" hidden="false" customHeight="false" outlineLevel="0" collapsed="false">
      <c r="A1327" s="24" t="n">
        <v>1323</v>
      </c>
      <c r="B1327" s="25" t="str">
        <f aca="false">IF(OR(C1327="",I1327="",G1327=""),"",IFERROR(VLOOKUP(I1327,Setup!$A$9:$B$11,2,0),"???")&amp;"-"&amp;G1327&amp;"-"&amp;TEXT(COUNTIFS(I$5:I1327,I1327,G$5:G1327,G1327),"0000"))</f>
        <v/>
      </c>
      <c r="C1327" s="26"/>
      <c r="D1327" s="26"/>
      <c r="E1327" s="27"/>
      <c r="F1327" s="27"/>
      <c r="G1327" s="24" t="str">
        <f aca="false">IF(F1327="","",IF(F1327&lt;=5,"A",IF(F1327&lt;=8,"B",IF(F1327&lt;=10,"C","D"))))</f>
        <v/>
      </c>
      <c r="H1327" s="28"/>
      <c r="I1327" s="27"/>
      <c r="J1327" s="26"/>
      <c r="K1327" s="27"/>
      <c r="L1327" s="27"/>
      <c r="M1327" s="27"/>
      <c r="N1327" s="27"/>
      <c r="O1327" s="24" t="str">
        <f aca="false">IF(G1327="","",VLOOKUP(G1327,Setup!$A$14:$C$17,3,0))</f>
        <v/>
      </c>
      <c r="P1327" s="27"/>
      <c r="Q1327" s="29" t="str">
        <f aca="false">IF(OR(P1327="",M1327&lt;&gt;"Paid",O1327=""),"",P1327/O1327)</f>
        <v/>
      </c>
      <c r="R1327" s="30" t="str">
        <f aca="false">IF(Q1327="","",Q1327+N(H1327)*0.000000001)</f>
        <v/>
      </c>
      <c r="S1327" s="25" t="str">
        <f aca="false">IF(R1327="","",SUMPRODUCT((I$5:I$4004=I1327)*ISNUMBER(R$5:R$4004)*(R$5:R$4004&gt;R1327))+1)</f>
        <v/>
      </c>
      <c r="T1327" s="25" t="str">
        <f aca="false">IF(S1327="","",IF(S1327&lt;=Setup!$B$5,"🏆 WINNER",""))</f>
        <v/>
      </c>
      <c r="U1327" s="24" t="str">
        <f aca="false">IF(S1327="","",I1327&amp;"|"&amp;S1327)</f>
        <v/>
      </c>
    </row>
    <row r="1328" customFormat="false" ht="15" hidden="false" customHeight="false" outlineLevel="0" collapsed="false">
      <c r="A1328" s="31" t="n">
        <v>1324</v>
      </c>
      <c r="B1328" s="32" t="str">
        <f aca="false">IF(OR(C1328="",I1328="",G1328=""),"",IFERROR(VLOOKUP(I1328,Setup!$A$9:$B$11,2,0),"???")&amp;"-"&amp;G1328&amp;"-"&amp;TEXT(COUNTIFS(I$5:I1328,I1328,G$5:G1328,G1328),"0000"))</f>
        <v/>
      </c>
      <c r="C1328" s="26"/>
      <c r="D1328" s="26"/>
      <c r="E1328" s="27"/>
      <c r="F1328" s="27"/>
      <c r="G1328" s="31" t="str">
        <f aca="false">IF(F1328="","",IF(F1328&lt;=5,"A",IF(F1328&lt;=8,"B",IF(F1328&lt;=10,"C","D"))))</f>
        <v/>
      </c>
      <c r="H1328" s="28"/>
      <c r="I1328" s="27"/>
      <c r="J1328" s="26"/>
      <c r="K1328" s="27"/>
      <c r="L1328" s="27"/>
      <c r="M1328" s="27"/>
      <c r="N1328" s="27"/>
      <c r="O1328" s="31" t="str">
        <f aca="false">IF(G1328="","",VLOOKUP(G1328,Setup!$A$14:$C$17,3,0))</f>
        <v/>
      </c>
      <c r="P1328" s="27"/>
      <c r="Q1328" s="33" t="str">
        <f aca="false">IF(OR(P1328="",M1328&lt;&gt;"Paid",O1328=""),"",P1328/O1328)</f>
        <v/>
      </c>
      <c r="R1328" s="34" t="str">
        <f aca="false">IF(Q1328="","",Q1328+N(H1328)*0.000000001)</f>
        <v/>
      </c>
      <c r="S1328" s="32" t="str">
        <f aca="false">IF(R1328="","",SUMPRODUCT((I$5:I$4004=I1328)*ISNUMBER(R$5:R$4004)*(R$5:R$4004&gt;R1328))+1)</f>
        <v/>
      </c>
      <c r="T1328" s="32" t="str">
        <f aca="false">IF(S1328="","",IF(S1328&lt;=Setup!$B$5,"🏆 WINNER",""))</f>
        <v/>
      </c>
      <c r="U1328" s="31" t="str">
        <f aca="false">IF(S1328="","",I1328&amp;"|"&amp;S1328)</f>
        <v/>
      </c>
    </row>
    <row r="1329" customFormat="false" ht="15" hidden="false" customHeight="false" outlineLevel="0" collapsed="false">
      <c r="A1329" s="24" t="n">
        <v>1325</v>
      </c>
      <c r="B1329" s="25" t="str">
        <f aca="false">IF(OR(C1329="",I1329="",G1329=""),"",IFERROR(VLOOKUP(I1329,Setup!$A$9:$B$11,2,0),"???")&amp;"-"&amp;G1329&amp;"-"&amp;TEXT(COUNTIFS(I$5:I1329,I1329,G$5:G1329,G1329),"0000"))</f>
        <v/>
      </c>
      <c r="C1329" s="26"/>
      <c r="D1329" s="26"/>
      <c r="E1329" s="27"/>
      <c r="F1329" s="27"/>
      <c r="G1329" s="24" t="str">
        <f aca="false">IF(F1329="","",IF(F1329&lt;=5,"A",IF(F1329&lt;=8,"B",IF(F1329&lt;=10,"C","D"))))</f>
        <v/>
      </c>
      <c r="H1329" s="28"/>
      <c r="I1329" s="27"/>
      <c r="J1329" s="26"/>
      <c r="K1329" s="27"/>
      <c r="L1329" s="27"/>
      <c r="M1329" s="27"/>
      <c r="N1329" s="27"/>
      <c r="O1329" s="24" t="str">
        <f aca="false">IF(G1329="","",VLOOKUP(G1329,Setup!$A$14:$C$17,3,0))</f>
        <v/>
      </c>
      <c r="P1329" s="27"/>
      <c r="Q1329" s="29" t="str">
        <f aca="false">IF(OR(P1329="",M1329&lt;&gt;"Paid",O1329=""),"",P1329/O1329)</f>
        <v/>
      </c>
      <c r="R1329" s="30" t="str">
        <f aca="false">IF(Q1329="","",Q1329+N(H1329)*0.000000001)</f>
        <v/>
      </c>
      <c r="S1329" s="25" t="str">
        <f aca="false">IF(R1329="","",SUMPRODUCT((I$5:I$4004=I1329)*ISNUMBER(R$5:R$4004)*(R$5:R$4004&gt;R1329))+1)</f>
        <v/>
      </c>
      <c r="T1329" s="25" t="str">
        <f aca="false">IF(S1329="","",IF(S1329&lt;=Setup!$B$5,"🏆 WINNER",""))</f>
        <v/>
      </c>
      <c r="U1329" s="24" t="str">
        <f aca="false">IF(S1329="","",I1329&amp;"|"&amp;S1329)</f>
        <v/>
      </c>
    </row>
    <row r="1330" customFormat="false" ht="15" hidden="false" customHeight="false" outlineLevel="0" collapsed="false">
      <c r="A1330" s="31" t="n">
        <v>1326</v>
      </c>
      <c r="B1330" s="32" t="str">
        <f aca="false">IF(OR(C1330="",I1330="",G1330=""),"",IFERROR(VLOOKUP(I1330,Setup!$A$9:$B$11,2,0),"???")&amp;"-"&amp;G1330&amp;"-"&amp;TEXT(COUNTIFS(I$5:I1330,I1330,G$5:G1330,G1330),"0000"))</f>
        <v/>
      </c>
      <c r="C1330" s="26"/>
      <c r="D1330" s="26"/>
      <c r="E1330" s="27"/>
      <c r="F1330" s="27"/>
      <c r="G1330" s="31" t="str">
        <f aca="false">IF(F1330="","",IF(F1330&lt;=5,"A",IF(F1330&lt;=8,"B",IF(F1330&lt;=10,"C","D"))))</f>
        <v/>
      </c>
      <c r="H1330" s="28"/>
      <c r="I1330" s="27"/>
      <c r="J1330" s="26"/>
      <c r="K1330" s="27"/>
      <c r="L1330" s="27"/>
      <c r="M1330" s="27"/>
      <c r="N1330" s="27"/>
      <c r="O1330" s="31" t="str">
        <f aca="false">IF(G1330="","",VLOOKUP(G1330,Setup!$A$14:$C$17,3,0))</f>
        <v/>
      </c>
      <c r="P1330" s="27"/>
      <c r="Q1330" s="33" t="str">
        <f aca="false">IF(OR(P1330="",M1330&lt;&gt;"Paid",O1330=""),"",P1330/O1330)</f>
        <v/>
      </c>
      <c r="R1330" s="34" t="str">
        <f aca="false">IF(Q1330="","",Q1330+N(H1330)*0.000000001)</f>
        <v/>
      </c>
      <c r="S1330" s="32" t="str">
        <f aca="false">IF(R1330="","",SUMPRODUCT((I$5:I$4004=I1330)*ISNUMBER(R$5:R$4004)*(R$5:R$4004&gt;R1330))+1)</f>
        <v/>
      </c>
      <c r="T1330" s="32" t="str">
        <f aca="false">IF(S1330="","",IF(S1330&lt;=Setup!$B$5,"🏆 WINNER",""))</f>
        <v/>
      </c>
      <c r="U1330" s="31" t="str">
        <f aca="false">IF(S1330="","",I1330&amp;"|"&amp;S1330)</f>
        <v/>
      </c>
    </row>
    <row r="1331" customFormat="false" ht="15" hidden="false" customHeight="false" outlineLevel="0" collapsed="false">
      <c r="A1331" s="24" t="n">
        <v>1327</v>
      </c>
      <c r="B1331" s="25" t="str">
        <f aca="false">IF(OR(C1331="",I1331="",G1331=""),"",IFERROR(VLOOKUP(I1331,Setup!$A$9:$B$11,2,0),"???")&amp;"-"&amp;G1331&amp;"-"&amp;TEXT(COUNTIFS(I$5:I1331,I1331,G$5:G1331,G1331),"0000"))</f>
        <v/>
      </c>
      <c r="C1331" s="26"/>
      <c r="D1331" s="26"/>
      <c r="E1331" s="27"/>
      <c r="F1331" s="27"/>
      <c r="G1331" s="24" t="str">
        <f aca="false">IF(F1331="","",IF(F1331&lt;=5,"A",IF(F1331&lt;=8,"B",IF(F1331&lt;=10,"C","D"))))</f>
        <v/>
      </c>
      <c r="H1331" s="28"/>
      <c r="I1331" s="27"/>
      <c r="J1331" s="26"/>
      <c r="K1331" s="27"/>
      <c r="L1331" s="27"/>
      <c r="M1331" s="27"/>
      <c r="N1331" s="27"/>
      <c r="O1331" s="24" t="str">
        <f aca="false">IF(G1331="","",VLOOKUP(G1331,Setup!$A$14:$C$17,3,0))</f>
        <v/>
      </c>
      <c r="P1331" s="27"/>
      <c r="Q1331" s="29" t="str">
        <f aca="false">IF(OR(P1331="",M1331&lt;&gt;"Paid",O1331=""),"",P1331/O1331)</f>
        <v/>
      </c>
      <c r="R1331" s="30" t="str">
        <f aca="false">IF(Q1331="","",Q1331+N(H1331)*0.000000001)</f>
        <v/>
      </c>
      <c r="S1331" s="25" t="str">
        <f aca="false">IF(R1331="","",SUMPRODUCT((I$5:I$4004=I1331)*ISNUMBER(R$5:R$4004)*(R$5:R$4004&gt;R1331))+1)</f>
        <v/>
      </c>
      <c r="T1331" s="25" t="str">
        <f aca="false">IF(S1331="","",IF(S1331&lt;=Setup!$B$5,"🏆 WINNER",""))</f>
        <v/>
      </c>
      <c r="U1331" s="24" t="str">
        <f aca="false">IF(S1331="","",I1331&amp;"|"&amp;S1331)</f>
        <v/>
      </c>
    </row>
    <row r="1332" customFormat="false" ht="15" hidden="false" customHeight="false" outlineLevel="0" collapsed="false">
      <c r="A1332" s="31" t="n">
        <v>1328</v>
      </c>
      <c r="B1332" s="32" t="str">
        <f aca="false">IF(OR(C1332="",I1332="",G1332=""),"",IFERROR(VLOOKUP(I1332,Setup!$A$9:$B$11,2,0),"???")&amp;"-"&amp;G1332&amp;"-"&amp;TEXT(COUNTIFS(I$5:I1332,I1332,G$5:G1332,G1332),"0000"))</f>
        <v/>
      </c>
      <c r="C1332" s="26"/>
      <c r="D1332" s="26"/>
      <c r="E1332" s="27"/>
      <c r="F1332" s="27"/>
      <c r="G1332" s="31" t="str">
        <f aca="false">IF(F1332="","",IF(F1332&lt;=5,"A",IF(F1332&lt;=8,"B",IF(F1332&lt;=10,"C","D"))))</f>
        <v/>
      </c>
      <c r="H1332" s="28"/>
      <c r="I1332" s="27"/>
      <c r="J1332" s="26"/>
      <c r="K1332" s="27"/>
      <c r="L1332" s="27"/>
      <c r="M1332" s="27"/>
      <c r="N1332" s="27"/>
      <c r="O1332" s="31" t="str">
        <f aca="false">IF(G1332="","",VLOOKUP(G1332,Setup!$A$14:$C$17,3,0))</f>
        <v/>
      </c>
      <c r="P1332" s="27"/>
      <c r="Q1332" s="33" t="str">
        <f aca="false">IF(OR(P1332="",M1332&lt;&gt;"Paid",O1332=""),"",P1332/O1332)</f>
        <v/>
      </c>
      <c r="R1332" s="34" t="str">
        <f aca="false">IF(Q1332="","",Q1332+N(H1332)*0.000000001)</f>
        <v/>
      </c>
      <c r="S1332" s="32" t="str">
        <f aca="false">IF(R1332="","",SUMPRODUCT((I$5:I$4004=I1332)*ISNUMBER(R$5:R$4004)*(R$5:R$4004&gt;R1332))+1)</f>
        <v/>
      </c>
      <c r="T1332" s="32" t="str">
        <f aca="false">IF(S1332="","",IF(S1332&lt;=Setup!$B$5,"🏆 WINNER",""))</f>
        <v/>
      </c>
      <c r="U1332" s="31" t="str">
        <f aca="false">IF(S1332="","",I1332&amp;"|"&amp;S1332)</f>
        <v/>
      </c>
    </row>
    <row r="1333" customFormat="false" ht="15" hidden="false" customHeight="false" outlineLevel="0" collapsed="false">
      <c r="A1333" s="24" t="n">
        <v>1329</v>
      </c>
      <c r="B1333" s="25" t="str">
        <f aca="false">IF(OR(C1333="",I1333="",G1333=""),"",IFERROR(VLOOKUP(I1333,Setup!$A$9:$B$11,2,0),"???")&amp;"-"&amp;G1333&amp;"-"&amp;TEXT(COUNTIFS(I$5:I1333,I1333,G$5:G1333,G1333),"0000"))</f>
        <v/>
      </c>
      <c r="C1333" s="26"/>
      <c r="D1333" s="26"/>
      <c r="E1333" s="27"/>
      <c r="F1333" s="27"/>
      <c r="G1333" s="24" t="str">
        <f aca="false">IF(F1333="","",IF(F1333&lt;=5,"A",IF(F1333&lt;=8,"B",IF(F1333&lt;=10,"C","D"))))</f>
        <v/>
      </c>
      <c r="H1333" s="28"/>
      <c r="I1333" s="27"/>
      <c r="J1333" s="26"/>
      <c r="K1333" s="27"/>
      <c r="L1333" s="27"/>
      <c r="M1333" s="27"/>
      <c r="N1333" s="27"/>
      <c r="O1333" s="24" t="str">
        <f aca="false">IF(G1333="","",VLOOKUP(G1333,Setup!$A$14:$C$17,3,0))</f>
        <v/>
      </c>
      <c r="P1333" s="27"/>
      <c r="Q1333" s="29" t="str">
        <f aca="false">IF(OR(P1333="",M1333&lt;&gt;"Paid",O1333=""),"",P1333/O1333)</f>
        <v/>
      </c>
      <c r="R1333" s="30" t="str">
        <f aca="false">IF(Q1333="","",Q1333+N(H1333)*0.000000001)</f>
        <v/>
      </c>
      <c r="S1333" s="25" t="str">
        <f aca="false">IF(R1333="","",SUMPRODUCT((I$5:I$4004=I1333)*ISNUMBER(R$5:R$4004)*(R$5:R$4004&gt;R1333))+1)</f>
        <v/>
      </c>
      <c r="T1333" s="25" t="str">
        <f aca="false">IF(S1333="","",IF(S1333&lt;=Setup!$B$5,"🏆 WINNER",""))</f>
        <v/>
      </c>
      <c r="U1333" s="24" t="str">
        <f aca="false">IF(S1333="","",I1333&amp;"|"&amp;S1333)</f>
        <v/>
      </c>
    </row>
    <row r="1334" customFormat="false" ht="15" hidden="false" customHeight="false" outlineLevel="0" collapsed="false">
      <c r="A1334" s="31" t="n">
        <v>1330</v>
      </c>
      <c r="B1334" s="32" t="str">
        <f aca="false">IF(OR(C1334="",I1334="",G1334=""),"",IFERROR(VLOOKUP(I1334,Setup!$A$9:$B$11,2,0),"???")&amp;"-"&amp;G1334&amp;"-"&amp;TEXT(COUNTIFS(I$5:I1334,I1334,G$5:G1334,G1334),"0000"))</f>
        <v/>
      </c>
      <c r="C1334" s="26"/>
      <c r="D1334" s="26"/>
      <c r="E1334" s="27"/>
      <c r="F1334" s="27"/>
      <c r="G1334" s="31" t="str">
        <f aca="false">IF(F1334="","",IF(F1334&lt;=5,"A",IF(F1334&lt;=8,"B",IF(F1334&lt;=10,"C","D"))))</f>
        <v/>
      </c>
      <c r="H1334" s="28"/>
      <c r="I1334" s="27"/>
      <c r="J1334" s="26"/>
      <c r="K1334" s="27"/>
      <c r="L1334" s="27"/>
      <c r="M1334" s="27"/>
      <c r="N1334" s="27"/>
      <c r="O1334" s="31" t="str">
        <f aca="false">IF(G1334="","",VLOOKUP(G1334,Setup!$A$14:$C$17,3,0))</f>
        <v/>
      </c>
      <c r="P1334" s="27"/>
      <c r="Q1334" s="33" t="str">
        <f aca="false">IF(OR(P1334="",M1334&lt;&gt;"Paid",O1334=""),"",P1334/O1334)</f>
        <v/>
      </c>
      <c r="R1334" s="34" t="str">
        <f aca="false">IF(Q1334="","",Q1334+N(H1334)*0.000000001)</f>
        <v/>
      </c>
      <c r="S1334" s="32" t="str">
        <f aca="false">IF(R1334="","",SUMPRODUCT((I$5:I$4004=I1334)*ISNUMBER(R$5:R$4004)*(R$5:R$4004&gt;R1334))+1)</f>
        <v/>
      </c>
      <c r="T1334" s="32" t="str">
        <f aca="false">IF(S1334="","",IF(S1334&lt;=Setup!$B$5,"🏆 WINNER",""))</f>
        <v/>
      </c>
      <c r="U1334" s="31" t="str">
        <f aca="false">IF(S1334="","",I1334&amp;"|"&amp;S1334)</f>
        <v/>
      </c>
    </row>
    <row r="1335" customFormat="false" ht="15" hidden="false" customHeight="false" outlineLevel="0" collapsed="false">
      <c r="A1335" s="24" t="n">
        <v>1331</v>
      </c>
      <c r="B1335" s="25" t="str">
        <f aca="false">IF(OR(C1335="",I1335="",G1335=""),"",IFERROR(VLOOKUP(I1335,Setup!$A$9:$B$11,2,0),"???")&amp;"-"&amp;G1335&amp;"-"&amp;TEXT(COUNTIFS(I$5:I1335,I1335,G$5:G1335,G1335),"0000"))</f>
        <v/>
      </c>
      <c r="C1335" s="26"/>
      <c r="D1335" s="26"/>
      <c r="E1335" s="27"/>
      <c r="F1335" s="27"/>
      <c r="G1335" s="24" t="str">
        <f aca="false">IF(F1335="","",IF(F1335&lt;=5,"A",IF(F1335&lt;=8,"B",IF(F1335&lt;=10,"C","D"))))</f>
        <v/>
      </c>
      <c r="H1335" s="28"/>
      <c r="I1335" s="27"/>
      <c r="J1335" s="26"/>
      <c r="K1335" s="27"/>
      <c r="L1335" s="27"/>
      <c r="M1335" s="27"/>
      <c r="N1335" s="27"/>
      <c r="O1335" s="24" t="str">
        <f aca="false">IF(G1335="","",VLOOKUP(G1335,Setup!$A$14:$C$17,3,0))</f>
        <v/>
      </c>
      <c r="P1335" s="27"/>
      <c r="Q1335" s="29" t="str">
        <f aca="false">IF(OR(P1335="",M1335&lt;&gt;"Paid",O1335=""),"",P1335/O1335)</f>
        <v/>
      </c>
      <c r="R1335" s="30" t="str">
        <f aca="false">IF(Q1335="","",Q1335+N(H1335)*0.000000001)</f>
        <v/>
      </c>
      <c r="S1335" s="25" t="str">
        <f aca="false">IF(R1335="","",SUMPRODUCT((I$5:I$4004=I1335)*ISNUMBER(R$5:R$4004)*(R$5:R$4004&gt;R1335))+1)</f>
        <v/>
      </c>
      <c r="T1335" s="25" t="str">
        <f aca="false">IF(S1335="","",IF(S1335&lt;=Setup!$B$5,"🏆 WINNER",""))</f>
        <v/>
      </c>
      <c r="U1335" s="24" t="str">
        <f aca="false">IF(S1335="","",I1335&amp;"|"&amp;S1335)</f>
        <v/>
      </c>
    </row>
    <row r="1336" customFormat="false" ht="15" hidden="false" customHeight="false" outlineLevel="0" collapsed="false">
      <c r="A1336" s="31" t="n">
        <v>1332</v>
      </c>
      <c r="B1336" s="32" t="str">
        <f aca="false">IF(OR(C1336="",I1336="",G1336=""),"",IFERROR(VLOOKUP(I1336,Setup!$A$9:$B$11,2,0),"???")&amp;"-"&amp;G1336&amp;"-"&amp;TEXT(COUNTIFS(I$5:I1336,I1336,G$5:G1336,G1336),"0000"))</f>
        <v/>
      </c>
      <c r="C1336" s="26"/>
      <c r="D1336" s="26"/>
      <c r="E1336" s="27"/>
      <c r="F1336" s="27"/>
      <c r="G1336" s="31" t="str">
        <f aca="false">IF(F1336="","",IF(F1336&lt;=5,"A",IF(F1336&lt;=8,"B",IF(F1336&lt;=10,"C","D"))))</f>
        <v/>
      </c>
      <c r="H1336" s="28"/>
      <c r="I1336" s="27"/>
      <c r="J1336" s="26"/>
      <c r="K1336" s="27"/>
      <c r="L1336" s="27"/>
      <c r="M1336" s="27"/>
      <c r="N1336" s="27"/>
      <c r="O1336" s="31" t="str">
        <f aca="false">IF(G1336="","",VLOOKUP(G1336,Setup!$A$14:$C$17,3,0))</f>
        <v/>
      </c>
      <c r="P1336" s="27"/>
      <c r="Q1336" s="33" t="str">
        <f aca="false">IF(OR(P1336="",M1336&lt;&gt;"Paid",O1336=""),"",P1336/O1336)</f>
        <v/>
      </c>
      <c r="R1336" s="34" t="str">
        <f aca="false">IF(Q1336="","",Q1336+N(H1336)*0.000000001)</f>
        <v/>
      </c>
      <c r="S1336" s="32" t="str">
        <f aca="false">IF(R1336="","",SUMPRODUCT((I$5:I$4004=I1336)*ISNUMBER(R$5:R$4004)*(R$5:R$4004&gt;R1336))+1)</f>
        <v/>
      </c>
      <c r="T1336" s="32" t="str">
        <f aca="false">IF(S1336="","",IF(S1336&lt;=Setup!$B$5,"🏆 WINNER",""))</f>
        <v/>
      </c>
      <c r="U1336" s="31" t="str">
        <f aca="false">IF(S1336="","",I1336&amp;"|"&amp;S1336)</f>
        <v/>
      </c>
    </row>
    <row r="1337" customFormat="false" ht="15" hidden="false" customHeight="false" outlineLevel="0" collapsed="false">
      <c r="A1337" s="24" t="n">
        <v>1333</v>
      </c>
      <c r="B1337" s="25" t="str">
        <f aca="false">IF(OR(C1337="",I1337="",G1337=""),"",IFERROR(VLOOKUP(I1337,Setup!$A$9:$B$11,2,0),"???")&amp;"-"&amp;G1337&amp;"-"&amp;TEXT(COUNTIFS(I$5:I1337,I1337,G$5:G1337,G1337),"0000"))</f>
        <v/>
      </c>
      <c r="C1337" s="26"/>
      <c r="D1337" s="26"/>
      <c r="E1337" s="27"/>
      <c r="F1337" s="27"/>
      <c r="G1337" s="24" t="str">
        <f aca="false">IF(F1337="","",IF(F1337&lt;=5,"A",IF(F1337&lt;=8,"B",IF(F1337&lt;=10,"C","D"))))</f>
        <v/>
      </c>
      <c r="H1337" s="28"/>
      <c r="I1337" s="27"/>
      <c r="J1337" s="26"/>
      <c r="K1337" s="27"/>
      <c r="L1337" s="27"/>
      <c r="M1337" s="27"/>
      <c r="N1337" s="27"/>
      <c r="O1337" s="24" t="str">
        <f aca="false">IF(G1337="","",VLOOKUP(G1337,Setup!$A$14:$C$17,3,0))</f>
        <v/>
      </c>
      <c r="P1337" s="27"/>
      <c r="Q1337" s="29" t="str">
        <f aca="false">IF(OR(P1337="",M1337&lt;&gt;"Paid",O1337=""),"",P1337/O1337)</f>
        <v/>
      </c>
      <c r="R1337" s="30" t="str">
        <f aca="false">IF(Q1337="","",Q1337+N(H1337)*0.000000001)</f>
        <v/>
      </c>
      <c r="S1337" s="25" t="str">
        <f aca="false">IF(R1337="","",SUMPRODUCT((I$5:I$4004=I1337)*ISNUMBER(R$5:R$4004)*(R$5:R$4004&gt;R1337))+1)</f>
        <v/>
      </c>
      <c r="T1337" s="25" t="str">
        <f aca="false">IF(S1337="","",IF(S1337&lt;=Setup!$B$5,"🏆 WINNER",""))</f>
        <v/>
      </c>
      <c r="U1337" s="24" t="str">
        <f aca="false">IF(S1337="","",I1337&amp;"|"&amp;S1337)</f>
        <v/>
      </c>
    </row>
    <row r="1338" customFormat="false" ht="15" hidden="false" customHeight="false" outlineLevel="0" collapsed="false">
      <c r="A1338" s="31" t="n">
        <v>1334</v>
      </c>
      <c r="B1338" s="32" t="str">
        <f aca="false">IF(OR(C1338="",I1338="",G1338=""),"",IFERROR(VLOOKUP(I1338,Setup!$A$9:$B$11,2,0),"???")&amp;"-"&amp;G1338&amp;"-"&amp;TEXT(COUNTIFS(I$5:I1338,I1338,G$5:G1338,G1338),"0000"))</f>
        <v/>
      </c>
      <c r="C1338" s="26"/>
      <c r="D1338" s="26"/>
      <c r="E1338" s="27"/>
      <c r="F1338" s="27"/>
      <c r="G1338" s="31" t="str">
        <f aca="false">IF(F1338="","",IF(F1338&lt;=5,"A",IF(F1338&lt;=8,"B",IF(F1338&lt;=10,"C","D"))))</f>
        <v/>
      </c>
      <c r="H1338" s="28"/>
      <c r="I1338" s="27"/>
      <c r="J1338" s="26"/>
      <c r="K1338" s="27"/>
      <c r="L1338" s="27"/>
      <c r="M1338" s="27"/>
      <c r="N1338" s="27"/>
      <c r="O1338" s="31" t="str">
        <f aca="false">IF(G1338="","",VLOOKUP(G1338,Setup!$A$14:$C$17,3,0))</f>
        <v/>
      </c>
      <c r="P1338" s="27"/>
      <c r="Q1338" s="33" t="str">
        <f aca="false">IF(OR(P1338="",M1338&lt;&gt;"Paid",O1338=""),"",P1338/O1338)</f>
        <v/>
      </c>
      <c r="R1338" s="34" t="str">
        <f aca="false">IF(Q1338="","",Q1338+N(H1338)*0.000000001)</f>
        <v/>
      </c>
      <c r="S1338" s="32" t="str">
        <f aca="false">IF(R1338="","",SUMPRODUCT((I$5:I$4004=I1338)*ISNUMBER(R$5:R$4004)*(R$5:R$4004&gt;R1338))+1)</f>
        <v/>
      </c>
      <c r="T1338" s="32" t="str">
        <f aca="false">IF(S1338="","",IF(S1338&lt;=Setup!$B$5,"🏆 WINNER",""))</f>
        <v/>
      </c>
      <c r="U1338" s="31" t="str">
        <f aca="false">IF(S1338="","",I1338&amp;"|"&amp;S1338)</f>
        <v/>
      </c>
    </row>
    <row r="1339" customFormat="false" ht="15" hidden="false" customHeight="false" outlineLevel="0" collapsed="false">
      <c r="A1339" s="24" t="n">
        <v>1335</v>
      </c>
      <c r="B1339" s="25" t="str">
        <f aca="false">IF(OR(C1339="",I1339="",G1339=""),"",IFERROR(VLOOKUP(I1339,Setup!$A$9:$B$11,2,0),"???")&amp;"-"&amp;G1339&amp;"-"&amp;TEXT(COUNTIFS(I$5:I1339,I1339,G$5:G1339,G1339),"0000"))</f>
        <v/>
      </c>
      <c r="C1339" s="26"/>
      <c r="D1339" s="26"/>
      <c r="E1339" s="27"/>
      <c r="F1339" s="27"/>
      <c r="G1339" s="24" t="str">
        <f aca="false">IF(F1339="","",IF(F1339&lt;=5,"A",IF(F1339&lt;=8,"B",IF(F1339&lt;=10,"C","D"))))</f>
        <v/>
      </c>
      <c r="H1339" s="28"/>
      <c r="I1339" s="27"/>
      <c r="J1339" s="26"/>
      <c r="K1339" s="27"/>
      <c r="L1339" s="27"/>
      <c r="M1339" s="27"/>
      <c r="N1339" s="27"/>
      <c r="O1339" s="24" t="str">
        <f aca="false">IF(G1339="","",VLOOKUP(G1339,Setup!$A$14:$C$17,3,0))</f>
        <v/>
      </c>
      <c r="P1339" s="27"/>
      <c r="Q1339" s="29" t="str">
        <f aca="false">IF(OR(P1339="",M1339&lt;&gt;"Paid",O1339=""),"",P1339/O1339)</f>
        <v/>
      </c>
      <c r="R1339" s="30" t="str">
        <f aca="false">IF(Q1339="","",Q1339+N(H1339)*0.000000001)</f>
        <v/>
      </c>
      <c r="S1339" s="25" t="str">
        <f aca="false">IF(R1339="","",SUMPRODUCT((I$5:I$4004=I1339)*ISNUMBER(R$5:R$4004)*(R$5:R$4004&gt;R1339))+1)</f>
        <v/>
      </c>
      <c r="T1339" s="25" t="str">
        <f aca="false">IF(S1339="","",IF(S1339&lt;=Setup!$B$5,"🏆 WINNER",""))</f>
        <v/>
      </c>
      <c r="U1339" s="24" t="str">
        <f aca="false">IF(S1339="","",I1339&amp;"|"&amp;S1339)</f>
        <v/>
      </c>
    </row>
    <row r="1340" customFormat="false" ht="15" hidden="false" customHeight="false" outlineLevel="0" collapsed="false">
      <c r="A1340" s="31" t="n">
        <v>1336</v>
      </c>
      <c r="B1340" s="32" t="str">
        <f aca="false">IF(OR(C1340="",I1340="",G1340=""),"",IFERROR(VLOOKUP(I1340,Setup!$A$9:$B$11,2,0),"???")&amp;"-"&amp;G1340&amp;"-"&amp;TEXT(COUNTIFS(I$5:I1340,I1340,G$5:G1340,G1340),"0000"))</f>
        <v/>
      </c>
      <c r="C1340" s="26"/>
      <c r="D1340" s="26"/>
      <c r="E1340" s="27"/>
      <c r="F1340" s="27"/>
      <c r="G1340" s="31" t="str">
        <f aca="false">IF(F1340="","",IF(F1340&lt;=5,"A",IF(F1340&lt;=8,"B",IF(F1340&lt;=10,"C","D"))))</f>
        <v/>
      </c>
      <c r="H1340" s="28"/>
      <c r="I1340" s="27"/>
      <c r="J1340" s="26"/>
      <c r="K1340" s="27"/>
      <c r="L1340" s="27"/>
      <c r="M1340" s="27"/>
      <c r="N1340" s="27"/>
      <c r="O1340" s="31" t="str">
        <f aca="false">IF(G1340="","",VLOOKUP(G1340,Setup!$A$14:$C$17,3,0))</f>
        <v/>
      </c>
      <c r="P1340" s="27"/>
      <c r="Q1340" s="33" t="str">
        <f aca="false">IF(OR(P1340="",M1340&lt;&gt;"Paid",O1340=""),"",P1340/O1340)</f>
        <v/>
      </c>
      <c r="R1340" s="34" t="str">
        <f aca="false">IF(Q1340="","",Q1340+N(H1340)*0.000000001)</f>
        <v/>
      </c>
      <c r="S1340" s="32" t="str">
        <f aca="false">IF(R1340="","",SUMPRODUCT((I$5:I$4004=I1340)*ISNUMBER(R$5:R$4004)*(R$5:R$4004&gt;R1340))+1)</f>
        <v/>
      </c>
      <c r="T1340" s="32" t="str">
        <f aca="false">IF(S1340="","",IF(S1340&lt;=Setup!$B$5,"🏆 WINNER",""))</f>
        <v/>
      </c>
      <c r="U1340" s="31" t="str">
        <f aca="false">IF(S1340="","",I1340&amp;"|"&amp;S1340)</f>
        <v/>
      </c>
    </row>
    <row r="1341" customFormat="false" ht="15" hidden="false" customHeight="false" outlineLevel="0" collapsed="false">
      <c r="A1341" s="24" t="n">
        <v>1337</v>
      </c>
      <c r="B1341" s="25" t="str">
        <f aca="false">IF(OR(C1341="",I1341="",G1341=""),"",IFERROR(VLOOKUP(I1341,Setup!$A$9:$B$11,2,0),"???")&amp;"-"&amp;G1341&amp;"-"&amp;TEXT(COUNTIFS(I$5:I1341,I1341,G$5:G1341,G1341),"0000"))</f>
        <v/>
      </c>
      <c r="C1341" s="26"/>
      <c r="D1341" s="26"/>
      <c r="E1341" s="27"/>
      <c r="F1341" s="27"/>
      <c r="G1341" s="24" t="str">
        <f aca="false">IF(F1341="","",IF(F1341&lt;=5,"A",IF(F1341&lt;=8,"B",IF(F1341&lt;=10,"C","D"))))</f>
        <v/>
      </c>
      <c r="H1341" s="28"/>
      <c r="I1341" s="27"/>
      <c r="J1341" s="26"/>
      <c r="K1341" s="27"/>
      <c r="L1341" s="27"/>
      <c r="M1341" s="27"/>
      <c r="N1341" s="27"/>
      <c r="O1341" s="24" t="str">
        <f aca="false">IF(G1341="","",VLOOKUP(G1341,Setup!$A$14:$C$17,3,0))</f>
        <v/>
      </c>
      <c r="P1341" s="27"/>
      <c r="Q1341" s="29" t="str">
        <f aca="false">IF(OR(P1341="",M1341&lt;&gt;"Paid",O1341=""),"",P1341/O1341)</f>
        <v/>
      </c>
      <c r="R1341" s="30" t="str">
        <f aca="false">IF(Q1341="","",Q1341+N(H1341)*0.000000001)</f>
        <v/>
      </c>
      <c r="S1341" s="25" t="str">
        <f aca="false">IF(R1341="","",SUMPRODUCT((I$5:I$4004=I1341)*ISNUMBER(R$5:R$4004)*(R$5:R$4004&gt;R1341))+1)</f>
        <v/>
      </c>
      <c r="T1341" s="25" t="str">
        <f aca="false">IF(S1341="","",IF(S1341&lt;=Setup!$B$5,"🏆 WINNER",""))</f>
        <v/>
      </c>
      <c r="U1341" s="24" t="str">
        <f aca="false">IF(S1341="","",I1341&amp;"|"&amp;S1341)</f>
        <v/>
      </c>
    </row>
    <row r="1342" customFormat="false" ht="15" hidden="false" customHeight="false" outlineLevel="0" collapsed="false">
      <c r="A1342" s="31" t="n">
        <v>1338</v>
      </c>
      <c r="B1342" s="32" t="str">
        <f aca="false">IF(OR(C1342="",I1342="",G1342=""),"",IFERROR(VLOOKUP(I1342,Setup!$A$9:$B$11,2,0),"???")&amp;"-"&amp;G1342&amp;"-"&amp;TEXT(COUNTIFS(I$5:I1342,I1342,G$5:G1342,G1342),"0000"))</f>
        <v/>
      </c>
      <c r="C1342" s="26"/>
      <c r="D1342" s="26"/>
      <c r="E1342" s="27"/>
      <c r="F1342" s="27"/>
      <c r="G1342" s="31" t="str">
        <f aca="false">IF(F1342="","",IF(F1342&lt;=5,"A",IF(F1342&lt;=8,"B",IF(F1342&lt;=10,"C","D"))))</f>
        <v/>
      </c>
      <c r="H1342" s="28"/>
      <c r="I1342" s="27"/>
      <c r="J1342" s="26"/>
      <c r="K1342" s="27"/>
      <c r="L1342" s="27"/>
      <c r="M1342" s="27"/>
      <c r="N1342" s="27"/>
      <c r="O1342" s="31" t="str">
        <f aca="false">IF(G1342="","",VLOOKUP(G1342,Setup!$A$14:$C$17,3,0))</f>
        <v/>
      </c>
      <c r="P1342" s="27"/>
      <c r="Q1342" s="33" t="str">
        <f aca="false">IF(OR(P1342="",M1342&lt;&gt;"Paid",O1342=""),"",P1342/O1342)</f>
        <v/>
      </c>
      <c r="R1342" s="34" t="str">
        <f aca="false">IF(Q1342="","",Q1342+N(H1342)*0.000000001)</f>
        <v/>
      </c>
      <c r="S1342" s="32" t="str">
        <f aca="false">IF(R1342="","",SUMPRODUCT((I$5:I$4004=I1342)*ISNUMBER(R$5:R$4004)*(R$5:R$4004&gt;R1342))+1)</f>
        <v/>
      </c>
      <c r="T1342" s="32" t="str">
        <f aca="false">IF(S1342="","",IF(S1342&lt;=Setup!$B$5,"🏆 WINNER",""))</f>
        <v/>
      </c>
      <c r="U1342" s="31" t="str">
        <f aca="false">IF(S1342="","",I1342&amp;"|"&amp;S1342)</f>
        <v/>
      </c>
    </row>
    <row r="1343" customFormat="false" ht="15" hidden="false" customHeight="false" outlineLevel="0" collapsed="false">
      <c r="A1343" s="24" t="n">
        <v>1339</v>
      </c>
      <c r="B1343" s="25" t="str">
        <f aca="false">IF(OR(C1343="",I1343="",G1343=""),"",IFERROR(VLOOKUP(I1343,Setup!$A$9:$B$11,2,0),"???")&amp;"-"&amp;G1343&amp;"-"&amp;TEXT(COUNTIFS(I$5:I1343,I1343,G$5:G1343,G1343),"0000"))</f>
        <v/>
      </c>
      <c r="C1343" s="26"/>
      <c r="D1343" s="26"/>
      <c r="E1343" s="27"/>
      <c r="F1343" s="27"/>
      <c r="G1343" s="24" t="str">
        <f aca="false">IF(F1343="","",IF(F1343&lt;=5,"A",IF(F1343&lt;=8,"B",IF(F1343&lt;=10,"C","D"))))</f>
        <v/>
      </c>
      <c r="H1343" s="28"/>
      <c r="I1343" s="27"/>
      <c r="J1343" s="26"/>
      <c r="K1343" s="27"/>
      <c r="L1343" s="27"/>
      <c r="M1343" s="27"/>
      <c r="N1343" s="27"/>
      <c r="O1343" s="24" t="str">
        <f aca="false">IF(G1343="","",VLOOKUP(G1343,Setup!$A$14:$C$17,3,0))</f>
        <v/>
      </c>
      <c r="P1343" s="27"/>
      <c r="Q1343" s="29" t="str">
        <f aca="false">IF(OR(P1343="",M1343&lt;&gt;"Paid",O1343=""),"",P1343/O1343)</f>
        <v/>
      </c>
      <c r="R1343" s="30" t="str">
        <f aca="false">IF(Q1343="","",Q1343+N(H1343)*0.000000001)</f>
        <v/>
      </c>
      <c r="S1343" s="25" t="str">
        <f aca="false">IF(R1343="","",SUMPRODUCT((I$5:I$4004=I1343)*ISNUMBER(R$5:R$4004)*(R$5:R$4004&gt;R1343))+1)</f>
        <v/>
      </c>
      <c r="T1343" s="25" t="str">
        <f aca="false">IF(S1343="","",IF(S1343&lt;=Setup!$B$5,"🏆 WINNER",""))</f>
        <v/>
      </c>
      <c r="U1343" s="24" t="str">
        <f aca="false">IF(S1343="","",I1343&amp;"|"&amp;S1343)</f>
        <v/>
      </c>
    </row>
    <row r="1344" customFormat="false" ht="15" hidden="false" customHeight="false" outlineLevel="0" collapsed="false">
      <c r="A1344" s="31" t="n">
        <v>1340</v>
      </c>
      <c r="B1344" s="32" t="str">
        <f aca="false">IF(OR(C1344="",I1344="",G1344=""),"",IFERROR(VLOOKUP(I1344,Setup!$A$9:$B$11,2,0),"???")&amp;"-"&amp;G1344&amp;"-"&amp;TEXT(COUNTIFS(I$5:I1344,I1344,G$5:G1344,G1344),"0000"))</f>
        <v/>
      </c>
      <c r="C1344" s="26"/>
      <c r="D1344" s="26"/>
      <c r="E1344" s="27"/>
      <c r="F1344" s="27"/>
      <c r="G1344" s="31" t="str">
        <f aca="false">IF(F1344="","",IF(F1344&lt;=5,"A",IF(F1344&lt;=8,"B",IF(F1344&lt;=10,"C","D"))))</f>
        <v/>
      </c>
      <c r="H1344" s="28"/>
      <c r="I1344" s="27"/>
      <c r="J1344" s="26"/>
      <c r="K1344" s="27"/>
      <c r="L1344" s="27"/>
      <c r="M1344" s="27"/>
      <c r="N1344" s="27"/>
      <c r="O1344" s="31" t="str">
        <f aca="false">IF(G1344="","",VLOOKUP(G1344,Setup!$A$14:$C$17,3,0))</f>
        <v/>
      </c>
      <c r="P1344" s="27"/>
      <c r="Q1344" s="33" t="str">
        <f aca="false">IF(OR(P1344="",M1344&lt;&gt;"Paid",O1344=""),"",P1344/O1344)</f>
        <v/>
      </c>
      <c r="R1344" s="34" t="str">
        <f aca="false">IF(Q1344="","",Q1344+N(H1344)*0.000000001)</f>
        <v/>
      </c>
      <c r="S1344" s="32" t="str">
        <f aca="false">IF(R1344="","",SUMPRODUCT((I$5:I$4004=I1344)*ISNUMBER(R$5:R$4004)*(R$5:R$4004&gt;R1344))+1)</f>
        <v/>
      </c>
      <c r="T1344" s="32" t="str">
        <f aca="false">IF(S1344="","",IF(S1344&lt;=Setup!$B$5,"🏆 WINNER",""))</f>
        <v/>
      </c>
      <c r="U1344" s="31" t="str">
        <f aca="false">IF(S1344="","",I1344&amp;"|"&amp;S1344)</f>
        <v/>
      </c>
    </row>
    <row r="1345" customFormat="false" ht="15" hidden="false" customHeight="false" outlineLevel="0" collapsed="false">
      <c r="A1345" s="24" t="n">
        <v>1341</v>
      </c>
      <c r="B1345" s="25" t="str">
        <f aca="false">IF(OR(C1345="",I1345="",G1345=""),"",IFERROR(VLOOKUP(I1345,Setup!$A$9:$B$11,2,0),"???")&amp;"-"&amp;G1345&amp;"-"&amp;TEXT(COUNTIFS(I$5:I1345,I1345,G$5:G1345,G1345),"0000"))</f>
        <v/>
      </c>
      <c r="C1345" s="26"/>
      <c r="D1345" s="26"/>
      <c r="E1345" s="27"/>
      <c r="F1345" s="27"/>
      <c r="G1345" s="24" t="str">
        <f aca="false">IF(F1345="","",IF(F1345&lt;=5,"A",IF(F1345&lt;=8,"B",IF(F1345&lt;=10,"C","D"))))</f>
        <v/>
      </c>
      <c r="H1345" s="28"/>
      <c r="I1345" s="27"/>
      <c r="J1345" s="26"/>
      <c r="K1345" s="27"/>
      <c r="L1345" s="27"/>
      <c r="M1345" s="27"/>
      <c r="N1345" s="27"/>
      <c r="O1345" s="24" t="str">
        <f aca="false">IF(G1345="","",VLOOKUP(G1345,Setup!$A$14:$C$17,3,0))</f>
        <v/>
      </c>
      <c r="P1345" s="27"/>
      <c r="Q1345" s="29" t="str">
        <f aca="false">IF(OR(P1345="",M1345&lt;&gt;"Paid",O1345=""),"",P1345/O1345)</f>
        <v/>
      </c>
      <c r="R1345" s="30" t="str">
        <f aca="false">IF(Q1345="","",Q1345+N(H1345)*0.000000001)</f>
        <v/>
      </c>
      <c r="S1345" s="25" t="str">
        <f aca="false">IF(R1345="","",SUMPRODUCT((I$5:I$4004=I1345)*ISNUMBER(R$5:R$4004)*(R$5:R$4004&gt;R1345))+1)</f>
        <v/>
      </c>
      <c r="T1345" s="25" t="str">
        <f aca="false">IF(S1345="","",IF(S1345&lt;=Setup!$B$5,"🏆 WINNER",""))</f>
        <v/>
      </c>
      <c r="U1345" s="24" t="str">
        <f aca="false">IF(S1345="","",I1345&amp;"|"&amp;S1345)</f>
        <v/>
      </c>
    </row>
    <row r="1346" customFormat="false" ht="15" hidden="false" customHeight="false" outlineLevel="0" collapsed="false">
      <c r="A1346" s="31" t="n">
        <v>1342</v>
      </c>
      <c r="B1346" s="32" t="str">
        <f aca="false">IF(OR(C1346="",I1346="",G1346=""),"",IFERROR(VLOOKUP(I1346,Setup!$A$9:$B$11,2,0),"???")&amp;"-"&amp;G1346&amp;"-"&amp;TEXT(COUNTIFS(I$5:I1346,I1346,G$5:G1346,G1346),"0000"))</f>
        <v/>
      </c>
      <c r="C1346" s="26"/>
      <c r="D1346" s="26"/>
      <c r="E1346" s="27"/>
      <c r="F1346" s="27"/>
      <c r="G1346" s="31" t="str">
        <f aca="false">IF(F1346="","",IF(F1346&lt;=5,"A",IF(F1346&lt;=8,"B",IF(F1346&lt;=10,"C","D"))))</f>
        <v/>
      </c>
      <c r="H1346" s="28"/>
      <c r="I1346" s="27"/>
      <c r="J1346" s="26"/>
      <c r="K1346" s="27"/>
      <c r="L1346" s="27"/>
      <c r="M1346" s="27"/>
      <c r="N1346" s="27"/>
      <c r="O1346" s="31" t="str">
        <f aca="false">IF(G1346="","",VLOOKUP(G1346,Setup!$A$14:$C$17,3,0))</f>
        <v/>
      </c>
      <c r="P1346" s="27"/>
      <c r="Q1346" s="33" t="str">
        <f aca="false">IF(OR(P1346="",M1346&lt;&gt;"Paid",O1346=""),"",P1346/O1346)</f>
        <v/>
      </c>
      <c r="R1346" s="34" t="str">
        <f aca="false">IF(Q1346="","",Q1346+N(H1346)*0.000000001)</f>
        <v/>
      </c>
      <c r="S1346" s="32" t="str">
        <f aca="false">IF(R1346="","",SUMPRODUCT((I$5:I$4004=I1346)*ISNUMBER(R$5:R$4004)*(R$5:R$4004&gt;R1346))+1)</f>
        <v/>
      </c>
      <c r="T1346" s="32" t="str">
        <f aca="false">IF(S1346="","",IF(S1346&lt;=Setup!$B$5,"🏆 WINNER",""))</f>
        <v/>
      </c>
      <c r="U1346" s="31" t="str">
        <f aca="false">IF(S1346="","",I1346&amp;"|"&amp;S1346)</f>
        <v/>
      </c>
    </row>
    <row r="1347" customFormat="false" ht="15" hidden="false" customHeight="false" outlineLevel="0" collapsed="false">
      <c r="A1347" s="24" t="n">
        <v>1343</v>
      </c>
      <c r="B1347" s="25" t="str">
        <f aca="false">IF(OR(C1347="",I1347="",G1347=""),"",IFERROR(VLOOKUP(I1347,Setup!$A$9:$B$11,2,0),"???")&amp;"-"&amp;G1347&amp;"-"&amp;TEXT(COUNTIFS(I$5:I1347,I1347,G$5:G1347,G1347),"0000"))</f>
        <v/>
      </c>
      <c r="C1347" s="26"/>
      <c r="D1347" s="26"/>
      <c r="E1347" s="27"/>
      <c r="F1347" s="27"/>
      <c r="G1347" s="24" t="str">
        <f aca="false">IF(F1347="","",IF(F1347&lt;=5,"A",IF(F1347&lt;=8,"B",IF(F1347&lt;=10,"C","D"))))</f>
        <v/>
      </c>
      <c r="H1347" s="28"/>
      <c r="I1347" s="27"/>
      <c r="J1347" s="26"/>
      <c r="K1347" s="27"/>
      <c r="L1347" s="27"/>
      <c r="M1347" s="27"/>
      <c r="N1347" s="27"/>
      <c r="O1347" s="24" t="str">
        <f aca="false">IF(G1347="","",VLOOKUP(G1347,Setup!$A$14:$C$17,3,0))</f>
        <v/>
      </c>
      <c r="P1347" s="27"/>
      <c r="Q1347" s="29" t="str">
        <f aca="false">IF(OR(P1347="",M1347&lt;&gt;"Paid",O1347=""),"",P1347/O1347)</f>
        <v/>
      </c>
      <c r="R1347" s="30" t="str">
        <f aca="false">IF(Q1347="","",Q1347+N(H1347)*0.000000001)</f>
        <v/>
      </c>
      <c r="S1347" s="25" t="str">
        <f aca="false">IF(R1347="","",SUMPRODUCT((I$5:I$4004=I1347)*ISNUMBER(R$5:R$4004)*(R$5:R$4004&gt;R1347))+1)</f>
        <v/>
      </c>
      <c r="T1347" s="25" t="str">
        <f aca="false">IF(S1347="","",IF(S1347&lt;=Setup!$B$5,"🏆 WINNER",""))</f>
        <v/>
      </c>
      <c r="U1347" s="24" t="str">
        <f aca="false">IF(S1347="","",I1347&amp;"|"&amp;S1347)</f>
        <v/>
      </c>
    </row>
    <row r="1348" customFormat="false" ht="15" hidden="false" customHeight="false" outlineLevel="0" collapsed="false">
      <c r="A1348" s="31" t="n">
        <v>1344</v>
      </c>
      <c r="B1348" s="32" t="str">
        <f aca="false">IF(OR(C1348="",I1348="",G1348=""),"",IFERROR(VLOOKUP(I1348,Setup!$A$9:$B$11,2,0),"???")&amp;"-"&amp;G1348&amp;"-"&amp;TEXT(COUNTIFS(I$5:I1348,I1348,G$5:G1348,G1348),"0000"))</f>
        <v/>
      </c>
      <c r="C1348" s="26"/>
      <c r="D1348" s="26"/>
      <c r="E1348" s="27"/>
      <c r="F1348" s="27"/>
      <c r="G1348" s="31" t="str">
        <f aca="false">IF(F1348="","",IF(F1348&lt;=5,"A",IF(F1348&lt;=8,"B",IF(F1348&lt;=10,"C","D"))))</f>
        <v/>
      </c>
      <c r="H1348" s="28"/>
      <c r="I1348" s="27"/>
      <c r="J1348" s="26"/>
      <c r="K1348" s="27"/>
      <c r="L1348" s="27"/>
      <c r="M1348" s="27"/>
      <c r="N1348" s="27"/>
      <c r="O1348" s="31" t="str">
        <f aca="false">IF(G1348="","",VLOOKUP(G1348,Setup!$A$14:$C$17,3,0))</f>
        <v/>
      </c>
      <c r="P1348" s="27"/>
      <c r="Q1348" s="33" t="str">
        <f aca="false">IF(OR(P1348="",M1348&lt;&gt;"Paid",O1348=""),"",P1348/O1348)</f>
        <v/>
      </c>
      <c r="R1348" s="34" t="str">
        <f aca="false">IF(Q1348="","",Q1348+N(H1348)*0.000000001)</f>
        <v/>
      </c>
      <c r="S1348" s="32" t="str">
        <f aca="false">IF(R1348="","",SUMPRODUCT((I$5:I$4004=I1348)*ISNUMBER(R$5:R$4004)*(R$5:R$4004&gt;R1348))+1)</f>
        <v/>
      </c>
      <c r="T1348" s="32" t="str">
        <f aca="false">IF(S1348="","",IF(S1348&lt;=Setup!$B$5,"🏆 WINNER",""))</f>
        <v/>
      </c>
      <c r="U1348" s="31" t="str">
        <f aca="false">IF(S1348="","",I1348&amp;"|"&amp;S1348)</f>
        <v/>
      </c>
    </row>
    <row r="1349" customFormat="false" ht="15" hidden="false" customHeight="false" outlineLevel="0" collapsed="false">
      <c r="A1349" s="24" t="n">
        <v>1345</v>
      </c>
      <c r="B1349" s="25" t="str">
        <f aca="false">IF(OR(C1349="",I1349="",G1349=""),"",IFERROR(VLOOKUP(I1349,Setup!$A$9:$B$11,2,0),"???")&amp;"-"&amp;G1349&amp;"-"&amp;TEXT(COUNTIFS(I$5:I1349,I1349,G$5:G1349,G1349),"0000"))</f>
        <v/>
      </c>
      <c r="C1349" s="26"/>
      <c r="D1349" s="26"/>
      <c r="E1349" s="27"/>
      <c r="F1349" s="27"/>
      <c r="G1349" s="24" t="str">
        <f aca="false">IF(F1349="","",IF(F1349&lt;=5,"A",IF(F1349&lt;=8,"B",IF(F1349&lt;=10,"C","D"))))</f>
        <v/>
      </c>
      <c r="H1349" s="28"/>
      <c r="I1349" s="27"/>
      <c r="J1349" s="26"/>
      <c r="K1349" s="27"/>
      <c r="L1349" s="27"/>
      <c r="M1349" s="27"/>
      <c r="N1349" s="27"/>
      <c r="O1349" s="24" t="str">
        <f aca="false">IF(G1349="","",VLOOKUP(G1349,Setup!$A$14:$C$17,3,0))</f>
        <v/>
      </c>
      <c r="P1349" s="27"/>
      <c r="Q1349" s="29" t="str">
        <f aca="false">IF(OR(P1349="",M1349&lt;&gt;"Paid",O1349=""),"",P1349/O1349)</f>
        <v/>
      </c>
      <c r="R1349" s="30" t="str">
        <f aca="false">IF(Q1349="","",Q1349+N(H1349)*0.000000001)</f>
        <v/>
      </c>
      <c r="S1349" s="25" t="str">
        <f aca="false">IF(R1349="","",SUMPRODUCT((I$5:I$4004=I1349)*ISNUMBER(R$5:R$4004)*(R$5:R$4004&gt;R1349))+1)</f>
        <v/>
      </c>
      <c r="T1349" s="25" t="str">
        <f aca="false">IF(S1349="","",IF(S1349&lt;=Setup!$B$5,"🏆 WINNER",""))</f>
        <v/>
      </c>
      <c r="U1349" s="24" t="str">
        <f aca="false">IF(S1349="","",I1349&amp;"|"&amp;S1349)</f>
        <v/>
      </c>
    </row>
    <row r="1350" customFormat="false" ht="15" hidden="false" customHeight="false" outlineLevel="0" collapsed="false">
      <c r="A1350" s="31" t="n">
        <v>1346</v>
      </c>
      <c r="B1350" s="32" t="str">
        <f aca="false">IF(OR(C1350="",I1350="",G1350=""),"",IFERROR(VLOOKUP(I1350,Setup!$A$9:$B$11,2,0),"???")&amp;"-"&amp;G1350&amp;"-"&amp;TEXT(COUNTIFS(I$5:I1350,I1350,G$5:G1350,G1350),"0000"))</f>
        <v/>
      </c>
      <c r="C1350" s="26"/>
      <c r="D1350" s="26"/>
      <c r="E1350" s="27"/>
      <c r="F1350" s="27"/>
      <c r="G1350" s="31" t="str">
        <f aca="false">IF(F1350="","",IF(F1350&lt;=5,"A",IF(F1350&lt;=8,"B",IF(F1350&lt;=10,"C","D"))))</f>
        <v/>
      </c>
      <c r="H1350" s="28"/>
      <c r="I1350" s="27"/>
      <c r="J1350" s="26"/>
      <c r="K1350" s="27"/>
      <c r="L1350" s="27"/>
      <c r="M1350" s="27"/>
      <c r="N1350" s="27"/>
      <c r="O1350" s="31" t="str">
        <f aca="false">IF(G1350="","",VLOOKUP(G1350,Setup!$A$14:$C$17,3,0))</f>
        <v/>
      </c>
      <c r="P1350" s="27"/>
      <c r="Q1350" s="33" t="str">
        <f aca="false">IF(OR(P1350="",M1350&lt;&gt;"Paid",O1350=""),"",P1350/O1350)</f>
        <v/>
      </c>
      <c r="R1350" s="34" t="str">
        <f aca="false">IF(Q1350="","",Q1350+N(H1350)*0.000000001)</f>
        <v/>
      </c>
      <c r="S1350" s="32" t="str">
        <f aca="false">IF(R1350="","",SUMPRODUCT((I$5:I$4004=I1350)*ISNUMBER(R$5:R$4004)*(R$5:R$4004&gt;R1350))+1)</f>
        <v/>
      </c>
      <c r="T1350" s="32" t="str">
        <f aca="false">IF(S1350="","",IF(S1350&lt;=Setup!$B$5,"🏆 WINNER",""))</f>
        <v/>
      </c>
      <c r="U1350" s="31" t="str">
        <f aca="false">IF(S1350="","",I1350&amp;"|"&amp;S1350)</f>
        <v/>
      </c>
    </row>
    <row r="1351" customFormat="false" ht="15" hidden="false" customHeight="false" outlineLevel="0" collapsed="false">
      <c r="A1351" s="24" t="n">
        <v>1347</v>
      </c>
      <c r="B1351" s="25" t="str">
        <f aca="false">IF(OR(C1351="",I1351="",G1351=""),"",IFERROR(VLOOKUP(I1351,Setup!$A$9:$B$11,2,0),"???")&amp;"-"&amp;G1351&amp;"-"&amp;TEXT(COUNTIFS(I$5:I1351,I1351,G$5:G1351,G1351),"0000"))</f>
        <v/>
      </c>
      <c r="C1351" s="26"/>
      <c r="D1351" s="26"/>
      <c r="E1351" s="27"/>
      <c r="F1351" s="27"/>
      <c r="G1351" s="24" t="str">
        <f aca="false">IF(F1351="","",IF(F1351&lt;=5,"A",IF(F1351&lt;=8,"B",IF(F1351&lt;=10,"C","D"))))</f>
        <v/>
      </c>
      <c r="H1351" s="28"/>
      <c r="I1351" s="27"/>
      <c r="J1351" s="26"/>
      <c r="K1351" s="27"/>
      <c r="L1351" s="27"/>
      <c r="M1351" s="27"/>
      <c r="N1351" s="27"/>
      <c r="O1351" s="24" t="str">
        <f aca="false">IF(G1351="","",VLOOKUP(G1351,Setup!$A$14:$C$17,3,0))</f>
        <v/>
      </c>
      <c r="P1351" s="27"/>
      <c r="Q1351" s="29" t="str">
        <f aca="false">IF(OR(P1351="",M1351&lt;&gt;"Paid",O1351=""),"",P1351/O1351)</f>
        <v/>
      </c>
      <c r="R1351" s="30" t="str">
        <f aca="false">IF(Q1351="","",Q1351+N(H1351)*0.000000001)</f>
        <v/>
      </c>
      <c r="S1351" s="25" t="str">
        <f aca="false">IF(R1351="","",SUMPRODUCT((I$5:I$4004=I1351)*ISNUMBER(R$5:R$4004)*(R$5:R$4004&gt;R1351))+1)</f>
        <v/>
      </c>
      <c r="T1351" s="25" t="str">
        <f aca="false">IF(S1351="","",IF(S1351&lt;=Setup!$B$5,"🏆 WINNER",""))</f>
        <v/>
      </c>
      <c r="U1351" s="24" t="str">
        <f aca="false">IF(S1351="","",I1351&amp;"|"&amp;S1351)</f>
        <v/>
      </c>
    </row>
    <row r="1352" customFormat="false" ht="15" hidden="false" customHeight="false" outlineLevel="0" collapsed="false">
      <c r="A1352" s="31" t="n">
        <v>1348</v>
      </c>
      <c r="B1352" s="32" t="str">
        <f aca="false">IF(OR(C1352="",I1352="",G1352=""),"",IFERROR(VLOOKUP(I1352,Setup!$A$9:$B$11,2,0),"???")&amp;"-"&amp;G1352&amp;"-"&amp;TEXT(COUNTIFS(I$5:I1352,I1352,G$5:G1352,G1352),"0000"))</f>
        <v/>
      </c>
      <c r="C1352" s="26"/>
      <c r="D1352" s="26"/>
      <c r="E1352" s="27"/>
      <c r="F1352" s="27"/>
      <c r="G1352" s="31" t="str">
        <f aca="false">IF(F1352="","",IF(F1352&lt;=5,"A",IF(F1352&lt;=8,"B",IF(F1352&lt;=10,"C","D"))))</f>
        <v/>
      </c>
      <c r="H1352" s="28"/>
      <c r="I1352" s="27"/>
      <c r="J1352" s="26"/>
      <c r="K1352" s="27"/>
      <c r="L1352" s="27"/>
      <c r="M1352" s="27"/>
      <c r="N1352" s="27"/>
      <c r="O1352" s="31" t="str">
        <f aca="false">IF(G1352="","",VLOOKUP(G1352,Setup!$A$14:$C$17,3,0))</f>
        <v/>
      </c>
      <c r="P1352" s="27"/>
      <c r="Q1352" s="33" t="str">
        <f aca="false">IF(OR(P1352="",M1352&lt;&gt;"Paid",O1352=""),"",P1352/O1352)</f>
        <v/>
      </c>
      <c r="R1352" s="34" t="str">
        <f aca="false">IF(Q1352="","",Q1352+N(H1352)*0.000000001)</f>
        <v/>
      </c>
      <c r="S1352" s="32" t="str">
        <f aca="false">IF(R1352="","",SUMPRODUCT((I$5:I$4004=I1352)*ISNUMBER(R$5:R$4004)*(R$5:R$4004&gt;R1352))+1)</f>
        <v/>
      </c>
      <c r="T1352" s="32" t="str">
        <f aca="false">IF(S1352="","",IF(S1352&lt;=Setup!$B$5,"🏆 WINNER",""))</f>
        <v/>
      </c>
      <c r="U1352" s="31" t="str">
        <f aca="false">IF(S1352="","",I1352&amp;"|"&amp;S1352)</f>
        <v/>
      </c>
    </row>
    <row r="1353" customFormat="false" ht="15" hidden="false" customHeight="false" outlineLevel="0" collapsed="false">
      <c r="A1353" s="24" t="n">
        <v>1349</v>
      </c>
      <c r="B1353" s="25" t="str">
        <f aca="false">IF(OR(C1353="",I1353="",G1353=""),"",IFERROR(VLOOKUP(I1353,Setup!$A$9:$B$11,2,0),"???")&amp;"-"&amp;G1353&amp;"-"&amp;TEXT(COUNTIFS(I$5:I1353,I1353,G$5:G1353,G1353),"0000"))</f>
        <v/>
      </c>
      <c r="C1353" s="26"/>
      <c r="D1353" s="26"/>
      <c r="E1353" s="27"/>
      <c r="F1353" s="27"/>
      <c r="G1353" s="24" t="str">
        <f aca="false">IF(F1353="","",IF(F1353&lt;=5,"A",IF(F1353&lt;=8,"B",IF(F1353&lt;=10,"C","D"))))</f>
        <v/>
      </c>
      <c r="H1353" s="28"/>
      <c r="I1353" s="27"/>
      <c r="J1353" s="26"/>
      <c r="K1353" s="27"/>
      <c r="L1353" s="27"/>
      <c r="M1353" s="27"/>
      <c r="N1353" s="27"/>
      <c r="O1353" s="24" t="str">
        <f aca="false">IF(G1353="","",VLOOKUP(G1353,Setup!$A$14:$C$17,3,0))</f>
        <v/>
      </c>
      <c r="P1353" s="27"/>
      <c r="Q1353" s="29" t="str">
        <f aca="false">IF(OR(P1353="",M1353&lt;&gt;"Paid",O1353=""),"",P1353/O1353)</f>
        <v/>
      </c>
      <c r="R1353" s="30" t="str">
        <f aca="false">IF(Q1353="","",Q1353+N(H1353)*0.000000001)</f>
        <v/>
      </c>
      <c r="S1353" s="25" t="str">
        <f aca="false">IF(R1353="","",SUMPRODUCT((I$5:I$4004=I1353)*ISNUMBER(R$5:R$4004)*(R$5:R$4004&gt;R1353))+1)</f>
        <v/>
      </c>
      <c r="T1353" s="25" t="str">
        <f aca="false">IF(S1353="","",IF(S1353&lt;=Setup!$B$5,"🏆 WINNER",""))</f>
        <v/>
      </c>
      <c r="U1353" s="24" t="str">
        <f aca="false">IF(S1353="","",I1353&amp;"|"&amp;S1353)</f>
        <v/>
      </c>
    </row>
    <row r="1354" customFormat="false" ht="15" hidden="false" customHeight="false" outlineLevel="0" collapsed="false">
      <c r="A1354" s="31" t="n">
        <v>1350</v>
      </c>
      <c r="B1354" s="32" t="str">
        <f aca="false">IF(OR(C1354="",I1354="",G1354=""),"",IFERROR(VLOOKUP(I1354,Setup!$A$9:$B$11,2,0),"???")&amp;"-"&amp;G1354&amp;"-"&amp;TEXT(COUNTIFS(I$5:I1354,I1354,G$5:G1354,G1354),"0000"))</f>
        <v/>
      </c>
      <c r="C1354" s="26"/>
      <c r="D1354" s="26"/>
      <c r="E1354" s="27"/>
      <c r="F1354" s="27"/>
      <c r="G1354" s="31" t="str">
        <f aca="false">IF(F1354="","",IF(F1354&lt;=5,"A",IF(F1354&lt;=8,"B",IF(F1354&lt;=10,"C","D"))))</f>
        <v/>
      </c>
      <c r="H1354" s="28"/>
      <c r="I1354" s="27"/>
      <c r="J1354" s="26"/>
      <c r="K1354" s="27"/>
      <c r="L1354" s="27"/>
      <c r="M1354" s="27"/>
      <c r="N1354" s="27"/>
      <c r="O1354" s="31" t="str">
        <f aca="false">IF(G1354="","",VLOOKUP(G1354,Setup!$A$14:$C$17,3,0))</f>
        <v/>
      </c>
      <c r="P1354" s="27"/>
      <c r="Q1354" s="33" t="str">
        <f aca="false">IF(OR(P1354="",M1354&lt;&gt;"Paid",O1354=""),"",P1354/O1354)</f>
        <v/>
      </c>
      <c r="R1354" s="34" t="str">
        <f aca="false">IF(Q1354="","",Q1354+N(H1354)*0.000000001)</f>
        <v/>
      </c>
      <c r="S1354" s="32" t="str">
        <f aca="false">IF(R1354="","",SUMPRODUCT((I$5:I$4004=I1354)*ISNUMBER(R$5:R$4004)*(R$5:R$4004&gt;R1354))+1)</f>
        <v/>
      </c>
      <c r="T1354" s="32" t="str">
        <f aca="false">IF(S1354="","",IF(S1354&lt;=Setup!$B$5,"🏆 WINNER",""))</f>
        <v/>
      </c>
      <c r="U1354" s="31" t="str">
        <f aca="false">IF(S1354="","",I1354&amp;"|"&amp;S1354)</f>
        <v/>
      </c>
    </row>
    <row r="1355" customFormat="false" ht="15" hidden="false" customHeight="false" outlineLevel="0" collapsed="false">
      <c r="A1355" s="24" t="n">
        <v>1351</v>
      </c>
      <c r="B1355" s="25" t="str">
        <f aca="false">IF(OR(C1355="",I1355="",G1355=""),"",IFERROR(VLOOKUP(I1355,Setup!$A$9:$B$11,2,0),"???")&amp;"-"&amp;G1355&amp;"-"&amp;TEXT(COUNTIFS(I$5:I1355,I1355,G$5:G1355,G1355),"0000"))</f>
        <v/>
      </c>
      <c r="C1355" s="26"/>
      <c r="D1355" s="26"/>
      <c r="E1355" s="27"/>
      <c r="F1355" s="27"/>
      <c r="G1355" s="24" t="str">
        <f aca="false">IF(F1355="","",IF(F1355&lt;=5,"A",IF(F1355&lt;=8,"B",IF(F1355&lt;=10,"C","D"))))</f>
        <v/>
      </c>
      <c r="H1355" s="28"/>
      <c r="I1355" s="27"/>
      <c r="J1355" s="26"/>
      <c r="K1355" s="27"/>
      <c r="L1355" s="27"/>
      <c r="M1355" s="27"/>
      <c r="N1355" s="27"/>
      <c r="O1355" s="24" t="str">
        <f aca="false">IF(G1355="","",VLOOKUP(G1355,Setup!$A$14:$C$17,3,0))</f>
        <v/>
      </c>
      <c r="P1355" s="27"/>
      <c r="Q1355" s="29" t="str">
        <f aca="false">IF(OR(P1355="",M1355&lt;&gt;"Paid",O1355=""),"",P1355/O1355)</f>
        <v/>
      </c>
      <c r="R1355" s="30" t="str">
        <f aca="false">IF(Q1355="","",Q1355+N(H1355)*0.000000001)</f>
        <v/>
      </c>
      <c r="S1355" s="25" t="str">
        <f aca="false">IF(R1355="","",SUMPRODUCT((I$5:I$4004=I1355)*ISNUMBER(R$5:R$4004)*(R$5:R$4004&gt;R1355))+1)</f>
        <v/>
      </c>
      <c r="T1355" s="25" t="str">
        <f aca="false">IF(S1355="","",IF(S1355&lt;=Setup!$B$5,"🏆 WINNER",""))</f>
        <v/>
      </c>
      <c r="U1355" s="24" t="str">
        <f aca="false">IF(S1355="","",I1355&amp;"|"&amp;S1355)</f>
        <v/>
      </c>
    </row>
    <row r="1356" customFormat="false" ht="15" hidden="false" customHeight="false" outlineLevel="0" collapsed="false">
      <c r="A1356" s="31" t="n">
        <v>1352</v>
      </c>
      <c r="B1356" s="32" t="str">
        <f aca="false">IF(OR(C1356="",I1356="",G1356=""),"",IFERROR(VLOOKUP(I1356,Setup!$A$9:$B$11,2,0),"???")&amp;"-"&amp;G1356&amp;"-"&amp;TEXT(COUNTIFS(I$5:I1356,I1356,G$5:G1356,G1356),"0000"))</f>
        <v/>
      </c>
      <c r="C1356" s="26"/>
      <c r="D1356" s="26"/>
      <c r="E1356" s="27"/>
      <c r="F1356" s="27"/>
      <c r="G1356" s="31" t="str">
        <f aca="false">IF(F1356="","",IF(F1356&lt;=5,"A",IF(F1356&lt;=8,"B",IF(F1356&lt;=10,"C","D"))))</f>
        <v/>
      </c>
      <c r="H1356" s="28"/>
      <c r="I1356" s="27"/>
      <c r="J1356" s="26"/>
      <c r="K1356" s="27"/>
      <c r="L1356" s="27"/>
      <c r="M1356" s="27"/>
      <c r="N1356" s="27"/>
      <c r="O1356" s="31" t="str">
        <f aca="false">IF(G1356="","",VLOOKUP(G1356,Setup!$A$14:$C$17,3,0))</f>
        <v/>
      </c>
      <c r="P1356" s="27"/>
      <c r="Q1356" s="33" t="str">
        <f aca="false">IF(OR(P1356="",M1356&lt;&gt;"Paid",O1356=""),"",P1356/O1356)</f>
        <v/>
      </c>
      <c r="R1356" s="34" t="str">
        <f aca="false">IF(Q1356="","",Q1356+N(H1356)*0.000000001)</f>
        <v/>
      </c>
      <c r="S1356" s="32" t="str">
        <f aca="false">IF(R1356="","",SUMPRODUCT((I$5:I$4004=I1356)*ISNUMBER(R$5:R$4004)*(R$5:R$4004&gt;R1356))+1)</f>
        <v/>
      </c>
      <c r="T1356" s="32" t="str">
        <f aca="false">IF(S1356="","",IF(S1356&lt;=Setup!$B$5,"🏆 WINNER",""))</f>
        <v/>
      </c>
      <c r="U1356" s="31" t="str">
        <f aca="false">IF(S1356="","",I1356&amp;"|"&amp;S1356)</f>
        <v/>
      </c>
    </row>
    <row r="1357" customFormat="false" ht="15" hidden="false" customHeight="false" outlineLevel="0" collapsed="false">
      <c r="A1357" s="24" t="n">
        <v>1353</v>
      </c>
      <c r="B1357" s="25" t="str">
        <f aca="false">IF(OR(C1357="",I1357="",G1357=""),"",IFERROR(VLOOKUP(I1357,Setup!$A$9:$B$11,2,0),"???")&amp;"-"&amp;G1357&amp;"-"&amp;TEXT(COUNTIFS(I$5:I1357,I1357,G$5:G1357,G1357),"0000"))</f>
        <v/>
      </c>
      <c r="C1357" s="26"/>
      <c r="D1357" s="26"/>
      <c r="E1357" s="27"/>
      <c r="F1357" s="27"/>
      <c r="G1357" s="24" t="str">
        <f aca="false">IF(F1357="","",IF(F1357&lt;=5,"A",IF(F1357&lt;=8,"B",IF(F1357&lt;=10,"C","D"))))</f>
        <v/>
      </c>
      <c r="H1357" s="28"/>
      <c r="I1357" s="27"/>
      <c r="J1357" s="26"/>
      <c r="K1357" s="27"/>
      <c r="L1357" s="27"/>
      <c r="M1357" s="27"/>
      <c r="N1357" s="27"/>
      <c r="O1357" s="24" t="str">
        <f aca="false">IF(G1357="","",VLOOKUP(G1357,Setup!$A$14:$C$17,3,0))</f>
        <v/>
      </c>
      <c r="P1357" s="27"/>
      <c r="Q1357" s="29" t="str">
        <f aca="false">IF(OR(P1357="",M1357&lt;&gt;"Paid",O1357=""),"",P1357/O1357)</f>
        <v/>
      </c>
      <c r="R1357" s="30" t="str">
        <f aca="false">IF(Q1357="","",Q1357+N(H1357)*0.000000001)</f>
        <v/>
      </c>
      <c r="S1357" s="25" t="str">
        <f aca="false">IF(R1357="","",SUMPRODUCT((I$5:I$4004=I1357)*ISNUMBER(R$5:R$4004)*(R$5:R$4004&gt;R1357))+1)</f>
        <v/>
      </c>
      <c r="T1357" s="25" t="str">
        <f aca="false">IF(S1357="","",IF(S1357&lt;=Setup!$B$5,"🏆 WINNER",""))</f>
        <v/>
      </c>
      <c r="U1357" s="24" t="str">
        <f aca="false">IF(S1357="","",I1357&amp;"|"&amp;S1357)</f>
        <v/>
      </c>
    </row>
    <row r="1358" customFormat="false" ht="15" hidden="false" customHeight="false" outlineLevel="0" collapsed="false">
      <c r="A1358" s="31" t="n">
        <v>1354</v>
      </c>
      <c r="B1358" s="32" t="str">
        <f aca="false">IF(OR(C1358="",I1358="",G1358=""),"",IFERROR(VLOOKUP(I1358,Setup!$A$9:$B$11,2,0),"???")&amp;"-"&amp;G1358&amp;"-"&amp;TEXT(COUNTIFS(I$5:I1358,I1358,G$5:G1358,G1358),"0000"))</f>
        <v/>
      </c>
      <c r="C1358" s="26"/>
      <c r="D1358" s="26"/>
      <c r="E1358" s="27"/>
      <c r="F1358" s="27"/>
      <c r="G1358" s="31" t="str">
        <f aca="false">IF(F1358="","",IF(F1358&lt;=5,"A",IF(F1358&lt;=8,"B",IF(F1358&lt;=10,"C","D"))))</f>
        <v/>
      </c>
      <c r="H1358" s="28"/>
      <c r="I1358" s="27"/>
      <c r="J1358" s="26"/>
      <c r="K1358" s="27"/>
      <c r="L1358" s="27"/>
      <c r="M1358" s="27"/>
      <c r="N1358" s="27"/>
      <c r="O1358" s="31" t="str">
        <f aca="false">IF(G1358="","",VLOOKUP(G1358,Setup!$A$14:$C$17,3,0))</f>
        <v/>
      </c>
      <c r="P1358" s="27"/>
      <c r="Q1358" s="33" t="str">
        <f aca="false">IF(OR(P1358="",M1358&lt;&gt;"Paid",O1358=""),"",P1358/O1358)</f>
        <v/>
      </c>
      <c r="R1358" s="34" t="str">
        <f aca="false">IF(Q1358="","",Q1358+N(H1358)*0.000000001)</f>
        <v/>
      </c>
      <c r="S1358" s="32" t="str">
        <f aca="false">IF(R1358="","",SUMPRODUCT((I$5:I$4004=I1358)*ISNUMBER(R$5:R$4004)*(R$5:R$4004&gt;R1358))+1)</f>
        <v/>
      </c>
      <c r="T1358" s="32" t="str">
        <f aca="false">IF(S1358="","",IF(S1358&lt;=Setup!$B$5,"🏆 WINNER",""))</f>
        <v/>
      </c>
      <c r="U1358" s="31" t="str">
        <f aca="false">IF(S1358="","",I1358&amp;"|"&amp;S1358)</f>
        <v/>
      </c>
    </row>
    <row r="1359" customFormat="false" ht="15" hidden="false" customHeight="false" outlineLevel="0" collapsed="false">
      <c r="A1359" s="24" t="n">
        <v>1355</v>
      </c>
      <c r="B1359" s="25" t="str">
        <f aca="false">IF(OR(C1359="",I1359="",G1359=""),"",IFERROR(VLOOKUP(I1359,Setup!$A$9:$B$11,2,0),"???")&amp;"-"&amp;G1359&amp;"-"&amp;TEXT(COUNTIFS(I$5:I1359,I1359,G$5:G1359,G1359),"0000"))</f>
        <v/>
      </c>
      <c r="C1359" s="26"/>
      <c r="D1359" s="26"/>
      <c r="E1359" s="27"/>
      <c r="F1359" s="27"/>
      <c r="G1359" s="24" t="str">
        <f aca="false">IF(F1359="","",IF(F1359&lt;=5,"A",IF(F1359&lt;=8,"B",IF(F1359&lt;=10,"C","D"))))</f>
        <v/>
      </c>
      <c r="H1359" s="28"/>
      <c r="I1359" s="27"/>
      <c r="J1359" s="26"/>
      <c r="K1359" s="27"/>
      <c r="L1359" s="27"/>
      <c r="M1359" s="27"/>
      <c r="N1359" s="27"/>
      <c r="O1359" s="24" t="str">
        <f aca="false">IF(G1359="","",VLOOKUP(G1359,Setup!$A$14:$C$17,3,0))</f>
        <v/>
      </c>
      <c r="P1359" s="27"/>
      <c r="Q1359" s="29" t="str">
        <f aca="false">IF(OR(P1359="",M1359&lt;&gt;"Paid",O1359=""),"",P1359/O1359)</f>
        <v/>
      </c>
      <c r="R1359" s="30" t="str">
        <f aca="false">IF(Q1359="","",Q1359+N(H1359)*0.000000001)</f>
        <v/>
      </c>
      <c r="S1359" s="25" t="str">
        <f aca="false">IF(R1359="","",SUMPRODUCT((I$5:I$4004=I1359)*ISNUMBER(R$5:R$4004)*(R$5:R$4004&gt;R1359))+1)</f>
        <v/>
      </c>
      <c r="T1359" s="25" t="str">
        <f aca="false">IF(S1359="","",IF(S1359&lt;=Setup!$B$5,"🏆 WINNER",""))</f>
        <v/>
      </c>
      <c r="U1359" s="24" t="str">
        <f aca="false">IF(S1359="","",I1359&amp;"|"&amp;S1359)</f>
        <v/>
      </c>
    </row>
    <row r="1360" customFormat="false" ht="15" hidden="false" customHeight="false" outlineLevel="0" collapsed="false">
      <c r="A1360" s="31" t="n">
        <v>1356</v>
      </c>
      <c r="B1360" s="32" t="str">
        <f aca="false">IF(OR(C1360="",I1360="",G1360=""),"",IFERROR(VLOOKUP(I1360,Setup!$A$9:$B$11,2,0),"???")&amp;"-"&amp;G1360&amp;"-"&amp;TEXT(COUNTIFS(I$5:I1360,I1360,G$5:G1360,G1360),"0000"))</f>
        <v/>
      </c>
      <c r="C1360" s="26"/>
      <c r="D1360" s="26"/>
      <c r="E1360" s="27"/>
      <c r="F1360" s="27"/>
      <c r="G1360" s="31" t="str">
        <f aca="false">IF(F1360="","",IF(F1360&lt;=5,"A",IF(F1360&lt;=8,"B",IF(F1360&lt;=10,"C","D"))))</f>
        <v/>
      </c>
      <c r="H1360" s="28"/>
      <c r="I1360" s="27"/>
      <c r="J1360" s="26"/>
      <c r="K1360" s="27"/>
      <c r="L1360" s="27"/>
      <c r="M1360" s="27"/>
      <c r="N1360" s="27"/>
      <c r="O1360" s="31" t="str">
        <f aca="false">IF(G1360="","",VLOOKUP(G1360,Setup!$A$14:$C$17,3,0))</f>
        <v/>
      </c>
      <c r="P1360" s="27"/>
      <c r="Q1360" s="33" t="str">
        <f aca="false">IF(OR(P1360="",M1360&lt;&gt;"Paid",O1360=""),"",P1360/O1360)</f>
        <v/>
      </c>
      <c r="R1360" s="34" t="str">
        <f aca="false">IF(Q1360="","",Q1360+N(H1360)*0.000000001)</f>
        <v/>
      </c>
      <c r="S1360" s="32" t="str">
        <f aca="false">IF(R1360="","",SUMPRODUCT((I$5:I$4004=I1360)*ISNUMBER(R$5:R$4004)*(R$5:R$4004&gt;R1360))+1)</f>
        <v/>
      </c>
      <c r="T1360" s="32" t="str">
        <f aca="false">IF(S1360="","",IF(S1360&lt;=Setup!$B$5,"🏆 WINNER",""))</f>
        <v/>
      </c>
      <c r="U1360" s="31" t="str">
        <f aca="false">IF(S1360="","",I1360&amp;"|"&amp;S1360)</f>
        <v/>
      </c>
    </row>
    <row r="1361" customFormat="false" ht="15" hidden="false" customHeight="false" outlineLevel="0" collapsed="false">
      <c r="A1361" s="24" t="n">
        <v>1357</v>
      </c>
      <c r="B1361" s="25" t="str">
        <f aca="false">IF(OR(C1361="",I1361="",G1361=""),"",IFERROR(VLOOKUP(I1361,Setup!$A$9:$B$11,2,0),"???")&amp;"-"&amp;G1361&amp;"-"&amp;TEXT(COUNTIFS(I$5:I1361,I1361,G$5:G1361,G1361),"0000"))</f>
        <v/>
      </c>
      <c r="C1361" s="26"/>
      <c r="D1361" s="26"/>
      <c r="E1361" s="27"/>
      <c r="F1361" s="27"/>
      <c r="G1361" s="24" t="str">
        <f aca="false">IF(F1361="","",IF(F1361&lt;=5,"A",IF(F1361&lt;=8,"B",IF(F1361&lt;=10,"C","D"))))</f>
        <v/>
      </c>
      <c r="H1361" s="28"/>
      <c r="I1361" s="27"/>
      <c r="J1361" s="26"/>
      <c r="K1361" s="27"/>
      <c r="L1361" s="27"/>
      <c r="M1361" s="27"/>
      <c r="N1361" s="27"/>
      <c r="O1361" s="24" t="str">
        <f aca="false">IF(G1361="","",VLOOKUP(G1361,Setup!$A$14:$C$17,3,0))</f>
        <v/>
      </c>
      <c r="P1361" s="27"/>
      <c r="Q1361" s="29" t="str">
        <f aca="false">IF(OR(P1361="",M1361&lt;&gt;"Paid",O1361=""),"",P1361/O1361)</f>
        <v/>
      </c>
      <c r="R1361" s="30" t="str">
        <f aca="false">IF(Q1361="","",Q1361+N(H1361)*0.000000001)</f>
        <v/>
      </c>
      <c r="S1361" s="25" t="str">
        <f aca="false">IF(R1361="","",SUMPRODUCT((I$5:I$4004=I1361)*ISNUMBER(R$5:R$4004)*(R$5:R$4004&gt;R1361))+1)</f>
        <v/>
      </c>
      <c r="T1361" s="25" t="str">
        <f aca="false">IF(S1361="","",IF(S1361&lt;=Setup!$B$5,"🏆 WINNER",""))</f>
        <v/>
      </c>
      <c r="U1361" s="24" t="str">
        <f aca="false">IF(S1361="","",I1361&amp;"|"&amp;S1361)</f>
        <v/>
      </c>
    </row>
    <row r="1362" customFormat="false" ht="15" hidden="false" customHeight="false" outlineLevel="0" collapsed="false">
      <c r="A1362" s="31" t="n">
        <v>1358</v>
      </c>
      <c r="B1362" s="32" t="str">
        <f aca="false">IF(OR(C1362="",I1362="",G1362=""),"",IFERROR(VLOOKUP(I1362,Setup!$A$9:$B$11,2,0),"???")&amp;"-"&amp;G1362&amp;"-"&amp;TEXT(COUNTIFS(I$5:I1362,I1362,G$5:G1362,G1362),"0000"))</f>
        <v/>
      </c>
      <c r="C1362" s="26"/>
      <c r="D1362" s="26"/>
      <c r="E1362" s="27"/>
      <c r="F1362" s="27"/>
      <c r="G1362" s="31" t="str">
        <f aca="false">IF(F1362="","",IF(F1362&lt;=5,"A",IF(F1362&lt;=8,"B",IF(F1362&lt;=10,"C","D"))))</f>
        <v/>
      </c>
      <c r="H1362" s="28"/>
      <c r="I1362" s="27"/>
      <c r="J1362" s="26"/>
      <c r="K1362" s="27"/>
      <c r="L1362" s="27"/>
      <c r="M1362" s="27"/>
      <c r="N1362" s="27"/>
      <c r="O1362" s="31" t="str">
        <f aca="false">IF(G1362="","",VLOOKUP(G1362,Setup!$A$14:$C$17,3,0))</f>
        <v/>
      </c>
      <c r="P1362" s="27"/>
      <c r="Q1362" s="33" t="str">
        <f aca="false">IF(OR(P1362="",M1362&lt;&gt;"Paid",O1362=""),"",P1362/O1362)</f>
        <v/>
      </c>
      <c r="R1362" s="34" t="str">
        <f aca="false">IF(Q1362="","",Q1362+N(H1362)*0.000000001)</f>
        <v/>
      </c>
      <c r="S1362" s="32" t="str">
        <f aca="false">IF(R1362="","",SUMPRODUCT((I$5:I$4004=I1362)*ISNUMBER(R$5:R$4004)*(R$5:R$4004&gt;R1362))+1)</f>
        <v/>
      </c>
      <c r="T1362" s="32" t="str">
        <f aca="false">IF(S1362="","",IF(S1362&lt;=Setup!$B$5,"🏆 WINNER",""))</f>
        <v/>
      </c>
      <c r="U1362" s="31" t="str">
        <f aca="false">IF(S1362="","",I1362&amp;"|"&amp;S1362)</f>
        <v/>
      </c>
    </row>
    <row r="1363" customFormat="false" ht="15" hidden="false" customHeight="false" outlineLevel="0" collapsed="false">
      <c r="A1363" s="24" t="n">
        <v>1359</v>
      </c>
      <c r="B1363" s="25" t="str">
        <f aca="false">IF(OR(C1363="",I1363="",G1363=""),"",IFERROR(VLOOKUP(I1363,Setup!$A$9:$B$11,2,0),"???")&amp;"-"&amp;G1363&amp;"-"&amp;TEXT(COUNTIFS(I$5:I1363,I1363,G$5:G1363,G1363),"0000"))</f>
        <v/>
      </c>
      <c r="C1363" s="26"/>
      <c r="D1363" s="26"/>
      <c r="E1363" s="27"/>
      <c r="F1363" s="27"/>
      <c r="G1363" s="24" t="str">
        <f aca="false">IF(F1363="","",IF(F1363&lt;=5,"A",IF(F1363&lt;=8,"B",IF(F1363&lt;=10,"C","D"))))</f>
        <v/>
      </c>
      <c r="H1363" s="28"/>
      <c r="I1363" s="27"/>
      <c r="J1363" s="26"/>
      <c r="K1363" s="27"/>
      <c r="L1363" s="27"/>
      <c r="M1363" s="27"/>
      <c r="N1363" s="27"/>
      <c r="O1363" s="24" t="str">
        <f aca="false">IF(G1363="","",VLOOKUP(G1363,Setup!$A$14:$C$17,3,0))</f>
        <v/>
      </c>
      <c r="P1363" s="27"/>
      <c r="Q1363" s="29" t="str">
        <f aca="false">IF(OR(P1363="",M1363&lt;&gt;"Paid",O1363=""),"",P1363/O1363)</f>
        <v/>
      </c>
      <c r="R1363" s="30" t="str">
        <f aca="false">IF(Q1363="","",Q1363+N(H1363)*0.000000001)</f>
        <v/>
      </c>
      <c r="S1363" s="25" t="str">
        <f aca="false">IF(R1363="","",SUMPRODUCT((I$5:I$4004=I1363)*ISNUMBER(R$5:R$4004)*(R$5:R$4004&gt;R1363))+1)</f>
        <v/>
      </c>
      <c r="T1363" s="25" t="str">
        <f aca="false">IF(S1363="","",IF(S1363&lt;=Setup!$B$5,"🏆 WINNER",""))</f>
        <v/>
      </c>
      <c r="U1363" s="24" t="str">
        <f aca="false">IF(S1363="","",I1363&amp;"|"&amp;S1363)</f>
        <v/>
      </c>
    </row>
    <row r="1364" customFormat="false" ht="15" hidden="false" customHeight="false" outlineLevel="0" collapsed="false">
      <c r="A1364" s="31" t="n">
        <v>1360</v>
      </c>
      <c r="B1364" s="32" t="str">
        <f aca="false">IF(OR(C1364="",I1364="",G1364=""),"",IFERROR(VLOOKUP(I1364,Setup!$A$9:$B$11,2,0),"???")&amp;"-"&amp;G1364&amp;"-"&amp;TEXT(COUNTIFS(I$5:I1364,I1364,G$5:G1364,G1364),"0000"))</f>
        <v/>
      </c>
      <c r="C1364" s="26"/>
      <c r="D1364" s="26"/>
      <c r="E1364" s="27"/>
      <c r="F1364" s="27"/>
      <c r="G1364" s="31" t="str">
        <f aca="false">IF(F1364="","",IF(F1364&lt;=5,"A",IF(F1364&lt;=8,"B",IF(F1364&lt;=10,"C","D"))))</f>
        <v/>
      </c>
      <c r="H1364" s="28"/>
      <c r="I1364" s="27"/>
      <c r="J1364" s="26"/>
      <c r="K1364" s="27"/>
      <c r="L1364" s="27"/>
      <c r="M1364" s="27"/>
      <c r="N1364" s="27"/>
      <c r="O1364" s="31" t="str">
        <f aca="false">IF(G1364="","",VLOOKUP(G1364,Setup!$A$14:$C$17,3,0))</f>
        <v/>
      </c>
      <c r="P1364" s="27"/>
      <c r="Q1364" s="33" t="str">
        <f aca="false">IF(OR(P1364="",M1364&lt;&gt;"Paid",O1364=""),"",P1364/O1364)</f>
        <v/>
      </c>
      <c r="R1364" s="34" t="str">
        <f aca="false">IF(Q1364="","",Q1364+N(H1364)*0.000000001)</f>
        <v/>
      </c>
      <c r="S1364" s="32" t="str">
        <f aca="false">IF(R1364="","",SUMPRODUCT((I$5:I$4004=I1364)*ISNUMBER(R$5:R$4004)*(R$5:R$4004&gt;R1364))+1)</f>
        <v/>
      </c>
      <c r="T1364" s="32" t="str">
        <f aca="false">IF(S1364="","",IF(S1364&lt;=Setup!$B$5,"🏆 WINNER",""))</f>
        <v/>
      </c>
      <c r="U1364" s="31" t="str">
        <f aca="false">IF(S1364="","",I1364&amp;"|"&amp;S1364)</f>
        <v/>
      </c>
    </row>
    <row r="1365" customFormat="false" ht="15" hidden="false" customHeight="false" outlineLevel="0" collapsed="false">
      <c r="A1365" s="24" t="n">
        <v>1361</v>
      </c>
      <c r="B1365" s="25" t="str">
        <f aca="false">IF(OR(C1365="",I1365="",G1365=""),"",IFERROR(VLOOKUP(I1365,Setup!$A$9:$B$11,2,0),"???")&amp;"-"&amp;G1365&amp;"-"&amp;TEXT(COUNTIFS(I$5:I1365,I1365,G$5:G1365,G1365),"0000"))</f>
        <v/>
      </c>
      <c r="C1365" s="26"/>
      <c r="D1365" s="26"/>
      <c r="E1365" s="27"/>
      <c r="F1365" s="27"/>
      <c r="G1365" s="24" t="str">
        <f aca="false">IF(F1365="","",IF(F1365&lt;=5,"A",IF(F1365&lt;=8,"B",IF(F1365&lt;=10,"C","D"))))</f>
        <v/>
      </c>
      <c r="H1365" s="28"/>
      <c r="I1365" s="27"/>
      <c r="J1365" s="26"/>
      <c r="K1365" s="27"/>
      <c r="L1365" s="27"/>
      <c r="M1365" s="27"/>
      <c r="N1365" s="27"/>
      <c r="O1365" s="24" t="str">
        <f aca="false">IF(G1365="","",VLOOKUP(G1365,Setup!$A$14:$C$17,3,0))</f>
        <v/>
      </c>
      <c r="P1365" s="27"/>
      <c r="Q1365" s="29" t="str">
        <f aca="false">IF(OR(P1365="",M1365&lt;&gt;"Paid",O1365=""),"",P1365/O1365)</f>
        <v/>
      </c>
      <c r="R1365" s="30" t="str">
        <f aca="false">IF(Q1365="","",Q1365+N(H1365)*0.000000001)</f>
        <v/>
      </c>
      <c r="S1365" s="25" t="str">
        <f aca="false">IF(R1365="","",SUMPRODUCT((I$5:I$4004=I1365)*ISNUMBER(R$5:R$4004)*(R$5:R$4004&gt;R1365))+1)</f>
        <v/>
      </c>
      <c r="T1365" s="25" t="str">
        <f aca="false">IF(S1365="","",IF(S1365&lt;=Setup!$B$5,"🏆 WINNER",""))</f>
        <v/>
      </c>
      <c r="U1365" s="24" t="str">
        <f aca="false">IF(S1365="","",I1365&amp;"|"&amp;S1365)</f>
        <v/>
      </c>
    </row>
    <row r="1366" customFormat="false" ht="15" hidden="false" customHeight="false" outlineLevel="0" collapsed="false">
      <c r="A1366" s="31" t="n">
        <v>1362</v>
      </c>
      <c r="B1366" s="32" t="str">
        <f aca="false">IF(OR(C1366="",I1366="",G1366=""),"",IFERROR(VLOOKUP(I1366,Setup!$A$9:$B$11,2,0),"???")&amp;"-"&amp;G1366&amp;"-"&amp;TEXT(COUNTIFS(I$5:I1366,I1366,G$5:G1366,G1366),"0000"))</f>
        <v/>
      </c>
      <c r="C1366" s="26"/>
      <c r="D1366" s="26"/>
      <c r="E1366" s="27"/>
      <c r="F1366" s="27"/>
      <c r="G1366" s="31" t="str">
        <f aca="false">IF(F1366="","",IF(F1366&lt;=5,"A",IF(F1366&lt;=8,"B",IF(F1366&lt;=10,"C","D"))))</f>
        <v/>
      </c>
      <c r="H1366" s="28"/>
      <c r="I1366" s="27"/>
      <c r="J1366" s="26"/>
      <c r="K1366" s="27"/>
      <c r="L1366" s="27"/>
      <c r="M1366" s="27"/>
      <c r="N1366" s="27"/>
      <c r="O1366" s="31" t="str">
        <f aca="false">IF(G1366="","",VLOOKUP(G1366,Setup!$A$14:$C$17,3,0))</f>
        <v/>
      </c>
      <c r="P1366" s="27"/>
      <c r="Q1366" s="33" t="str">
        <f aca="false">IF(OR(P1366="",M1366&lt;&gt;"Paid",O1366=""),"",P1366/O1366)</f>
        <v/>
      </c>
      <c r="R1366" s="34" t="str">
        <f aca="false">IF(Q1366="","",Q1366+N(H1366)*0.000000001)</f>
        <v/>
      </c>
      <c r="S1366" s="32" t="str">
        <f aca="false">IF(R1366="","",SUMPRODUCT((I$5:I$4004=I1366)*ISNUMBER(R$5:R$4004)*(R$5:R$4004&gt;R1366))+1)</f>
        <v/>
      </c>
      <c r="T1366" s="32" t="str">
        <f aca="false">IF(S1366="","",IF(S1366&lt;=Setup!$B$5,"🏆 WINNER",""))</f>
        <v/>
      </c>
      <c r="U1366" s="31" t="str">
        <f aca="false">IF(S1366="","",I1366&amp;"|"&amp;S1366)</f>
        <v/>
      </c>
    </row>
    <row r="1367" customFormat="false" ht="15" hidden="false" customHeight="false" outlineLevel="0" collapsed="false">
      <c r="A1367" s="24" t="n">
        <v>1363</v>
      </c>
      <c r="B1367" s="25" t="str">
        <f aca="false">IF(OR(C1367="",I1367="",G1367=""),"",IFERROR(VLOOKUP(I1367,Setup!$A$9:$B$11,2,0),"???")&amp;"-"&amp;G1367&amp;"-"&amp;TEXT(COUNTIFS(I$5:I1367,I1367,G$5:G1367,G1367),"0000"))</f>
        <v/>
      </c>
      <c r="C1367" s="26"/>
      <c r="D1367" s="26"/>
      <c r="E1367" s="27"/>
      <c r="F1367" s="27"/>
      <c r="G1367" s="24" t="str">
        <f aca="false">IF(F1367="","",IF(F1367&lt;=5,"A",IF(F1367&lt;=8,"B",IF(F1367&lt;=10,"C","D"))))</f>
        <v/>
      </c>
      <c r="H1367" s="28"/>
      <c r="I1367" s="27"/>
      <c r="J1367" s="26"/>
      <c r="K1367" s="27"/>
      <c r="L1367" s="27"/>
      <c r="M1367" s="27"/>
      <c r="N1367" s="27"/>
      <c r="O1367" s="24" t="str">
        <f aca="false">IF(G1367="","",VLOOKUP(G1367,Setup!$A$14:$C$17,3,0))</f>
        <v/>
      </c>
      <c r="P1367" s="27"/>
      <c r="Q1367" s="29" t="str">
        <f aca="false">IF(OR(P1367="",M1367&lt;&gt;"Paid",O1367=""),"",P1367/O1367)</f>
        <v/>
      </c>
      <c r="R1367" s="30" t="str">
        <f aca="false">IF(Q1367="","",Q1367+N(H1367)*0.000000001)</f>
        <v/>
      </c>
      <c r="S1367" s="25" t="str">
        <f aca="false">IF(R1367="","",SUMPRODUCT((I$5:I$4004=I1367)*ISNUMBER(R$5:R$4004)*(R$5:R$4004&gt;R1367))+1)</f>
        <v/>
      </c>
      <c r="T1367" s="25" t="str">
        <f aca="false">IF(S1367="","",IF(S1367&lt;=Setup!$B$5,"🏆 WINNER",""))</f>
        <v/>
      </c>
      <c r="U1367" s="24" t="str">
        <f aca="false">IF(S1367="","",I1367&amp;"|"&amp;S1367)</f>
        <v/>
      </c>
    </row>
    <row r="1368" customFormat="false" ht="15" hidden="false" customHeight="false" outlineLevel="0" collapsed="false">
      <c r="A1368" s="31" t="n">
        <v>1364</v>
      </c>
      <c r="B1368" s="32" t="str">
        <f aca="false">IF(OR(C1368="",I1368="",G1368=""),"",IFERROR(VLOOKUP(I1368,Setup!$A$9:$B$11,2,0),"???")&amp;"-"&amp;G1368&amp;"-"&amp;TEXT(COUNTIFS(I$5:I1368,I1368,G$5:G1368,G1368),"0000"))</f>
        <v/>
      </c>
      <c r="C1368" s="26"/>
      <c r="D1368" s="26"/>
      <c r="E1368" s="27"/>
      <c r="F1368" s="27"/>
      <c r="G1368" s="31" t="str">
        <f aca="false">IF(F1368="","",IF(F1368&lt;=5,"A",IF(F1368&lt;=8,"B",IF(F1368&lt;=10,"C","D"))))</f>
        <v/>
      </c>
      <c r="H1368" s="28"/>
      <c r="I1368" s="27"/>
      <c r="J1368" s="26"/>
      <c r="K1368" s="27"/>
      <c r="L1368" s="27"/>
      <c r="M1368" s="27"/>
      <c r="N1368" s="27"/>
      <c r="O1368" s="31" t="str">
        <f aca="false">IF(G1368="","",VLOOKUP(G1368,Setup!$A$14:$C$17,3,0))</f>
        <v/>
      </c>
      <c r="P1368" s="27"/>
      <c r="Q1368" s="33" t="str">
        <f aca="false">IF(OR(P1368="",M1368&lt;&gt;"Paid",O1368=""),"",P1368/O1368)</f>
        <v/>
      </c>
      <c r="R1368" s="34" t="str">
        <f aca="false">IF(Q1368="","",Q1368+N(H1368)*0.000000001)</f>
        <v/>
      </c>
      <c r="S1368" s="32" t="str">
        <f aca="false">IF(R1368="","",SUMPRODUCT((I$5:I$4004=I1368)*ISNUMBER(R$5:R$4004)*(R$5:R$4004&gt;R1368))+1)</f>
        <v/>
      </c>
      <c r="T1368" s="32" t="str">
        <f aca="false">IF(S1368="","",IF(S1368&lt;=Setup!$B$5,"🏆 WINNER",""))</f>
        <v/>
      </c>
      <c r="U1368" s="31" t="str">
        <f aca="false">IF(S1368="","",I1368&amp;"|"&amp;S1368)</f>
        <v/>
      </c>
    </row>
    <row r="1369" customFormat="false" ht="15" hidden="false" customHeight="false" outlineLevel="0" collapsed="false">
      <c r="A1369" s="24" t="n">
        <v>1365</v>
      </c>
      <c r="B1369" s="25" t="str">
        <f aca="false">IF(OR(C1369="",I1369="",G1369=""),"",IFERROR(VLOOKUP(I1369,Setup!$A$9:$B$11,2,0),"???")&amp;"-"&amp;G1369&amp;"-"&amp;TEXT(COUNTIFS(I$5:I1369,I1369,G$5:G1369,G1369),"0000"))</f>
        <v/>
      </c>
      <c r="C1369" s="26"/>
      <c r="D1369" s="26"/>
      <c r="E1369" s="27"/>
      <c r="F1369" s="27"/>
      <c r="G1369" s="24" t="str">
        <f aca="false">IF(F1369="","",IF(F1369&lt;=5,"A",IF(F1369&lt;=8,"B",IF(F1369&lt;=10,"C","D"))))</f>
        <v/>
      </c>
      <c r="H1369" s="28"/>
      <c r="I1369" s="27"/>
      <c r="J1369" s="26"/>
      <c r="K1369" s="27"/>
      <c r="L1369" s="27"/>
      <c r="M1369" s="27"/>
      <c r="N1369" s="27"/>
      <c r="O1369" s="24" t="str">
        <f aca="false">IF(G1369="","",VLOOKUP(G1369,Setup!$A$14:$C$17,3,0))</f>
        <v/>
      </c>
      <c r="P1369" s="27"/>
      <c r="Q1369" s="29" t="str">
        <f aca="false">IF(OR(P1369="",M1369&lt;&gt;"Paid",O1369=""),"",P1369/O1369)</f>
        <v/>
      </c>
      <c r="R1369" s="30" t="str">
        <f aca="false">IF(Q1369="","",Q1369+N(H1369)*0.000000001)</f>
        <v/>
      </c>
      <c r="S1369" s="25" t="str">
        <f aca="false">IF(R1369="","",SUMPRODUCT((I$5:I$4004=I1369)*ISNUMBER(R$5:R$4004)*(R$5:R$4004&gt;R1369))+1)</f>
        <v/>
      </c>
      <c r="T1369" s="25" t="str">
        <f aca="false">IF(S1369="","",IF(S1369&lt;=Setup!$B$5,"🏆 WINNER",""))</f>
        <v/>
      </c>
      <c r="U1369" s="24" t="str">
        <f aca="false">IF(S1369="","",I1369&amp;"|"&amp;S1369)</f>
        <v/>
      </c>
    </row>
    <row r="1370" customFormat="false" ht="15" hidden="false" customHeight="false" outlineLevel="0" collapsed="false">
      <c r="A1370" s="31" t="n">
        <v>1366</v>
      </c>
      <c r="B1370" s="32" t="str">
        <f aca="false">IF(OR(C1370="",I1370="",G1370=""),"",IFERROR(VLOOKUP(I1370,Setup!$A$9:$B$11,2,0),"???")&amp;"-"&amp;G1370&amp;"-"&amp;TEXT(COUNTIFS(I$5:I1370,I1370,G$5:G1370,G1370),"0000"))</f>
        <v/>
      </c>
      <c r="C1370" s="26"/>
      <c r="D1370" s="26"/>
      <c r="E1370" s="27"/>
      <c r="F1370" s="27"/>
      <c r="G1370" s="31" t="str">
        <f aca="false">IF(F1370="","",IF(F1370&lt;=5,"A",IF(F1370&lt;=8,"B",IF(F1370&lt;=10,"C","D"))))</f>
        <v/>
      </c>
      <c r="H1370" s="28"/>
      <c r="I1370" s="27"/>
      <c r="J1370" s="26"/>
      <c r="K1370" s="27"/>
      <c r="L1370" s="27"/>
      <c r="M1370" s="27"/>
      <c r="N1370" s="27"/>
      <c r="O1370" s="31" t="str">
        <f aca="false">IF(G1370="","",VLOOKUP(G1370,Setup!$A$14:$C$17,3,0))</f>
        <v/>
      </c>
      <c r="P1370" s="27"/>
      <c r="Q1370" s="33" t="str">
        <f aca="false">IF(OR(P1370="",M1370&lt;&gt;"Paid",O1370=""),"",P1370/O1370)</f>
        <v/>
      </c>
      <c r="R1370" s="34" t="str">
        <f aca="false">IF(Q1370="","",Q1370+N(H1370)*0.000000001)</f>
        <v/>
      </c>
      <c r="S1370" s="32" t="str">
        <f aca="false">IF(R1370="","",SUMPRODUCT((I$5:I$4004=I1370)*ISNUMBER(R$5:R$4004)*(R$5:R$4004&gt;R1370))+1)</f>
        <v/>
      </c>
      <c r="T1370" s="32" t="str">
        <f aca="false">IF(S1370="","",IF(S1370&lt;=Setup!$B$5,"🏆 WINNER",""))</f>
        <v/>
      </c>
      <c r="U1370" s="31" t="str">
        <f aca="false">IF(S1370="","",I1370&amp;"|"&amp;S1370)</f>
        <v/>
      </c>
    </row>
    <row r="1371" customFormat="false" ht="15" hidden="false" customHeight="false" outlineLevel="0" collapsed="false">
      <c r="A1371" s="24" t="n">
        <v>1367</v>
      </c>
      <c r="B1371" s="25" t="str">
        <f aca="false">IF(OR(C1371="",I1371="",G1371=""),"",IFERROR(VLOOKUP(I1371,Setup!$A$9:$B$11,2,0),"???")&amp;"-"&amp;G1371&amp;"-"&amp;TEXT(COUNTIFS(I$5:I1371,I1371,G$5:G1371,G1371),"0000"))</f>
        <v/>
      </c>
      <c r="C1371" s="26"/>
      <c r="D1371" s="26"/>
      <c r="E1371" s="27"/>
      <c r="F1371" s="27"/>
      <c r="G1371" s="24" t="str">
        <f aca="false">IF(F1371="","",IF(F1371&lt;=5,"A",IF(F1371&lt;=8,"B",IF(F1371&lt;=10,"C","D"))))</f>
        <v/>
      </c>
      <c r="H1371" s="28"/>
      <c r="I1371" s="27"/>
      <c r="J1371" s="26"/>
      <c r="K1371" s="27"/>
      <c r="L1371" s="27"/>
      <c r="M1371" s="27"/>
      <c r="N1371" s="27"/>
      <c r="O1371" s="24" t="str">
        <f aca="false">IF(G1371="","",VLOOKUP(G1371,Setup!$A$14:$C$17,3,0))</f>
        <v/>
      </c>
      <c r="P1371" s="27"/>
      <c r="Q1371" s="29" t="str">
        <f aca="false">IF(OR(P1371="",M1371&lt;&gt;"Paid",O1371=""),"",P1371/O1371)</f>
        <v/>
      </c>
      <c r="R1371" s="30" t="str">
        <f aca="false">IF(Q1371="","",Q1371+N(H1371)*0.000000001)</f>
        <v/>
      </c>
      <c r="S1371" s="25" t="str">
        <f aca="false">IF(R1371="","",SUMPRODUCT((I$5:I$4004=I1371)*ISNUMBER(R$5:R$4004)*(R$5:R$4004&gt;R1371))+1)</f>
        <v/>
      </c>
      <c r="T1371" s="25" t="str">
        <f aca="false">IF(S1371="","",IF(S1371&lt;=Setup!$B$5,"🏆 WINNER",""))</f>
        <v/>
      </c>
      <c r="U1371" s="24" t="str">
        <f aca="false">IF(S1371="","",I1371&amp;"|"&amp;S1371)</f>
        <v/>
      </c>
    </row>
    <row r="1372" customFormat="false" ht="15" hidden="false" customHeight="false" outlineLevel="0" collapsed="false">
      <c r="A1372" s="31" t="n">
        <v>1368</v>
      </c>
      <c r="B1372" s="32" t="str">
        <f aca="false">IF(OR(C1372="",I1372="",G1372=""),"",IFERROR(VLOOKUP(I1372,Setup!$A$9:$B$11,2,0),"???")&amp;"-"&amp;G1372&amp;"-"&amp;TEXT(COUNTIFS(I$5:I1372,I1372,G$5:G1372,G1372),"0000"))</f>
        <v/>
      </c>
      <c r="C1372" s="26"/>
      <c r="D1372" s="26"/>
      <c r="E1372" s="27"/>
      <c r="F1372" s="27"/>
      <c r="G1372" s="31" t="str">
        <f aca="false">IF(F1372="","",IF(F1372&lt;=5,"A",IF(F1372&lt;=8,"B",IF(F1372&lt;=10,"C","D"))))</f>
        <v/>
      </c>
      <c r="H1372" s="28"/>
      <c r="I1372" s="27"/>
      <c r="J1372" s="26"/>
      <c r="K1372" s="27"/>
      <c r="L1372" s="27"/>
      <c r="M1372" s="27"/>
      <c r="N1372" s="27"/>
      <c r="O1372" s="31" t="str">
        <f aca="false">IF(G1372="","",VLOOKUP(G1372,Setup!$A$14:$C$17,3,0))</f>
        <v/>
      </c>
      <c r="P1372" s="27"/>
      <c r="Q1372" s="33" t="str">
        <f aca="false">IF(OR(P1372="",M1372&lt;&gt;"Paid",O1372=""),"",P1372/O1372)</f>
        <v/>
      </c>
      <c r="R1372" s="34" t="str">
        <f aca="false">IF(Q1372="","",Q1372+N(H1372)*0.000000001)</f>
        <v/>
      </c>
      <c r="S1372" s="32" t="str">
        <f aca="false">IF(R1372="","",SUMPRODUCT((I$5:I$4004=I1372)*ISNUMBER(R$5:R$4004)*(R$5:R$4004&gt;R1372))+1)</f>
        <v/>
      </c>
      <c r="T1372" s="32" t="str">
        <f aca="false">IF(S1372="","",IF(S1372&lt;=Setup!$B$5,"🏆 WINNER",""))</f>
        <v/>
      </c>
      <c r="U1372" s="31" t="str">
        <f aca="false">IF(S1372="","",I1372&amp;"|"&amp;S1372)</f>
        <v/>
      </c>
    </row>
    <row r="1373" customFormat="false" ht="15" hidden="false" customHeight="false" outlineLevel="0" collapsed="false">
      <c r="A1373" s="24" t="n">
        <v>1369</v>
      </c>
      <c r="B1373" s="25" t="str">
        <f aca="false">IF(OR(C1373="",I1373="",G1373=""),"",IFERROR(VLOOKUP(I1373,Setup!$A$9:$B$11,2,0),"???")&amp;"-"&amp;G1373&amp;"-"&amp;TEXT(COUNTIFS(I$5:I1373,I1373,G$5:G1373,G1373),"0000"))</f>
        <v/>
      </c>
      <c r="C1373" s="26"/>
      <c r="D1373" s="26"/>
      <c r="E1373" s="27"/>
      <c r="F1373" s="27"/>
      <c r="G1373" s="24" t="str">
        <f aca="false">IF(F1373="","",IF(F1373&lt;=5,"A",IF(F1373&lt;=8,"B",IF(F1373&lt;=10,"C","D"))))</f>
        <v/>
      </c>
      <c r="H1373" s="28"/>
      <c r="I1373" s="27"/>
      <c r="J1373" s="26"/>
      <c r="K1373" s="27"/>
      <c r="L1373" s="27"/>
      <c r="M1373" s="27"/>
      <c r="N1373" s="27"/>
      <c r="O1373" s="24" t="str">
        <f aca="false">IF(G1373="","",VLOOKUP(G1373,Setup!$A$14:$C$17,3,0))</f>
        <v/>
      </c>
      <c r="P1373" s="27"/>
      <c r="Q1373" s="29" t="str">
        <f aca="false">IF(OR(P1373="",M1373&lt;&gt;"Paid",O1373=""),"",P1373/O1373)</f>
        <v/>
      </c>
      <c r="R1373" s="30" t="str">
        <f aca="false">IF(Q1373="","",Q1373+N(H1373)*0.000000001)</f>
        <v/>
      </c>
      <c r="S1373" s="25" t="str">
        <f aca="false">IF(R1373="","",SUMPRODUCT((I$5:I$4004=I1373)*ISNUMBER(R$5:R$4004)*(R$5:R$4004&gt;R1373))+1)</f>
        <v/>
      </c>
      <c r="T1373" s="25" t="str">
        <f aca="false">IF(S1373="","",IF(S1373&lt;=Setup!$B$5,"🏆 WINNER",""))</f>
        <v/>
      </c>
      <c r="U1373" s="24" t="str">
        <f aca="false">IF(S1373="","",I1373&amp;"|"&amp;S1373)</f>
        <v/>
      </c>
    </row>
    <row r="1374" customFormat="false" ht="15" hidden="false" customHeight="false" outlineLevel="0" collapsed="false">
      <c r="A1374" s="31" t="n">
        <v>1370</v>
      </c>
      <c r="B1374" s="32" t="str">
        <f aca="false">IF(OR(C1374="",I1374="",G1374=""),"",IFERROR(VLOOKUP(I1374,Setup!$A$9:$B$11,2,0),"???")&amp;"-"&amp;G1374&amp;"-"&amp;TEXT(COUNTIFS(I$5:I1374,I1374,G$5:G1374,G1374),"0000"))</f>
        <v/>
      </c>
      <c r="C1374" s="26"/>
      <c r="D1374" s="26"/>
      <c r="E1374" s="27"/>
      <c r="F1374" s="27"/>
      <c r="G1374" s="31" t="str">
        <f aca="false">IF(F1374="","",IF(F1374&lt;=5,"A",IF(F1374&lt;=8,"B",IF(F1374&lt;=10,"C","D"))))</f>
        <v/>
      </c>
      <c r="H1374" s="28"/>
      <c r="I1374" s="27"/>
      <c r="J1374" s="26"/>
      <c r="K1374" s="27"/>
      <c r="L1374" s="27"/>
      <c r="M1374" s="27"/>
      <c r="N1374" s="27"/>
      <c r="O1374" s="31" t="str">
        <f aca="false">IF(G1374="","",VLOOKUP(G1374,Setup!$A$14:$C$17,3,0))</f>
        <v/>
      </c>
      <c r="P1374" s="27"/>
      <c r="Q1374" s="33" t="str">
        <f aca="false">IF(OR(P1374="",M1374&lt;&gt;"Paid",O1374=""),"",P1374/O1374)</f>
        <v/>
      </c>
      <c r="R1374" s="34" t="str">
        <f aca="false">IF(Q1374="","",Q1374+N(H1374)*0.000000001)</f>
        <v/>
      </c>
      <c r="S1374" s="32" t="str">
        <f aca="false">IF(R1374="","",SUMPRODUCT((I$5:I$4004=I1374)*ISNUMBER(R$5:R$4004)*(R$5:R$4004&gt;R1374))+1)</f>
        <v/>
      </c>
      <c r="T1374" s="32" t="str">
        <f aca="false">IF(S1374="","",IF(S1374&lt;=Setup!$B$5,"🏆 WINNER",""))</f>
        <v/>
      </c>
      <c r="U1374" s="31" t="str">
        <f aca="false">IF(S1374="","",I1374&amp;"|"&amp;S1374)</f>
        <v/>
      </c>
    </row>
    <row r="1375" customFormat="false" ht="15" hidden="false" customHeight="false" outlineLevel="0" collapsed="false">
      <c r="A1375" s="24" t="n">
        <v>1371</v>
      </c>
      <c r="B1375" s="25" t="str">
        <f aca="false">IF(OR(C1375="",I1375="",G1375=""),"",IFERROR(VLOOKUP(I1375,Setup!$A$9:$B$11,2,0),"???")&amp;"-"&amp;G1375&amp;"-"&amp;TEXT(COUNTIFS(I$5:I1375,I1375,G$5:G1375,G1375),"0000"))</f>
        <v/>
      </c>
      <c r="C1375" s="26"/>
      <c r="D1375" s="26"/>
      <c r="E1375" s="27"/>
      <c r="F1375" s="27"/>
      <c r="G1375" s="24" t="str">
        <f aca="false">IF(F1375="","",IF(F1375&lt;=5,"A",IF(F1375&lt;=8,"B",IF(F1375&lt;=10,"C","D"))))</f>
        <v/>
      </c>
      <c r="H1375" s="28"/>
      <c r="I1375" s="27"/>
      <c r="J1375" s="26"/>
      <c r="K1375" s="27"/>
      <c r="L1375" s="27"/>
      <c r="M1375" s="27"/>
      <c r="N1375" s="27"/>
      <c r="O1375" s="24" t="str">
        <f aca="false">IF(G1375="","",VLOOKUP(G1375,Setup!$A$14:$C$17,3,0))</f>
        <v/>
      </c>
      <c r="P1375" s="27"/>
      <c r="Q1375" s="29" t="str">
        <f aca="false">IF(OR(P1375="",M1375&lt;&gt;"Paid",O1375=""),"",P1375/O1375)</f>
        <v/>
      </c>
      <c r="R1375" s="30" t="str">
        <f aca="false">IF(Q1375="","",Q1375+N(H1375)*0.000000001)</f>
        <v/>
      </c>
      <c r="S1375" s="25" t="str">
        <f aca="false">IF(R1375="","",SUMPRODUCT((I$5:I$4004=I1375)*ISNUMBER(R$5:R$4004)*(R$5:R$4004&gt;R1375))+1)</f>
        <v/>
      </c>
      <c r="T1375" s="25" t="str">
        <f aca="false">IF(S1375="","",IF(S1375&lt;=Setup!$B$5,"🏆 WINNER",""))</f>
        <v/>
      </c>
      <c r="U1375" s="24" t="str">
        <f aca="false">IF(S1375="","",I1375&amp;"|"&amp;S1375)</f>
        <v/>
      </c>
    </row>
    <row r="1376" customFormat="false" ht="15" hidden="false" customHeight="false" outlineLevel="0" collapsed="false">
      <c r="A1376" s="31" t="n">
        <v>1372</v>
      </c>
      <c r="B1376" s="32" t="str">
        <f aca="false">IF(OR(C1376="",I1376="",G1376=""),"",IFERROR(VLOOKUP(I1376,Setup!$A$9:$B$11,2,0),"???")&amp;"-"&amp;G1376&amp;"-"&amp;TEXT(COUNTIFS(I$5:I1376,I1376,G$5:G1376,G1376),"0000"))</f>
        <v/>
      </c>
      <c r="C1376" s="26"/>
      <c r="D1376" s="26"/>
      <c r="E1376" s="27"/>
      <c r="F1376" s="27"/>
      <c r="G1376" s="31" t="str">
        <f aca="false">IF(F1376="","",IF(F1376&lt;=5,"A",IF(F1376&lt;=8,"B",IF(F1376&lt;=10,"C","D"))))</f>
        <v/>
      </c>
      <c r="H1376" s="28"/>
      <c r="I1376" s="27"/>
      <c r="J1376" s="26"/>
      <c r="K1376" s="27"/>
      <c r="L1376" s="27"/>
      <c r="M1376" s="27"/>
      <c r="N1376" s="27"/>
      <c r="O1376" s="31" t="str">
        <f aca="false">IF(G1376="","",VLOOKUP(G1376,Setup!$A$14:$C$17,3,0))</f>
        <v/>
      </c>
      <c r="P1376" s="27"/>
      <c r="Q1376" s="33" t="str">
        <f aca="false">IF(OR(P1376="",M1376&lt;&gt;"Paid",O1376=""),"",P1376/O1376)</f>
        <v/>
      </c>
      <c r="R1376" s="34" t="str">
        <f aca="false">IF(Q1376="","",Q1376+N(H1376)*0.000000001)</f>
        <v/>
      </c>
      <c r="S1376" s="32" t="str">
        <f aca="false">IF(R1376="","",SUMPRODUCT((I$5:I$4004=I1376)*ISNUMBER(R$5:R$4004)*(R$5:R$4004&gt;R1376))+1)</f>
        <v/>
      </c>
      <c r="T1376" s="32" t="str">
        <f aca="false">IF(S1376="","",IF(S1376&lt;=Setup!$B$5,"🏆 WINNER",""))</f>
        <v/>
      </c>
      <c r="U1376" s="31" t="str">
        <f aca="false">IF(S1376="","",I1376&amp;"|"&amp;S1376)</f>
        <v/>
      </c>
    </row>
    <row r="1377" customFormat="false" ht="15" hidden="false" customHeight="false" outlineLevel="0" collapsed="false">
      <c r="A1377" s="24" t="n">
        <v>1373</v>
      </c>
      <c r="B1377" s="25" t="str">
        <f aca="false">IF(OR(C1377="",I1377="",G1377=""),"",IFERROR(VLOOKUP(I1377,Setup!$A$9:$B$11,2,0),"???")&amp;"-"&amp;G1377&amp;"-"&amp;TEXT(COUNTIFS(I$5:I1377,I1377,G$5:G1377,G1377),"0000"))</f>
        <v/>
      </c>
      <c r="C1377" s="26"/>
      <c r="D1377" s="26"/>
      <c r="E1377" s="27"/>
      <c r="F1377" s="27"/>
      <c r="G1377" s="24" t="str">
        <f aca="false">IF(F1377="","",IF(F1377&lt;=5,"A",IF(F1377&lt;=8,"B",IF(F1377&lt;=10,"C","D"))))</f>
        <v/>
      </c>
      <c r="H1377" s="28"/>
      <c r="I1377" s="27"/>
      <c r="J1377" s="26"/>
      <c r="K1377" s="27"/>
      <c r="L1377" s="27"/>
      <c r="M1377" s="27"/>
      <c r="N1377" s="27"/>
      <c r="O1377" s="24" t="str">
        <f aca="false">IF(G1377="","",VLOOKUP(G1377,Setup!$A$14:$C$17,3,0))</f>
        <v/>
      </c>
      <c r="P1377" s="27"/>
      <c r="Q1377" s="29" t="str">
        <f aca="false">IF(OR(P1377="",M1377&lt;&gt;"Paid",O1377=""),"",P1377/O1377)</f>
        <v/>
      </c>
      <c r="R1377" s="30" t="str">
        <f aca="false">IF(Q1377="","",Q1377+N(H1377)*0.000000001)</f>
        <v/>
      </c>
      <c r="S1377" s="25" t="str">
        <f aca="false">IF(R1377="","",SUMPRODUCT((I$5:I$4004=I1377)*ISNUMBER(R$5:R$4004)*(R$5:R$4004&gt;R1377))+1)</f>
        <v/>
      </c>
      <c r="T1377" s="25" t="str">
        <f aca="false">IF(S1377="","",IF(S1377&lt;=Setup!$B$5,"🏆 WINNER",""))</f>
        <v/>
      </c>
      <c r="U1377" s="24" t="str">
        <f aca="false">IF(S1377="","",I1377&amp;"|"&amp;S1377)</f>
        <v/>
      </c>
    </row>
    <row r="1378" customFormat="false" ht="15" hidden="false" customHeight="false" outlineLevel="0" collapsed="false">
      <c r="A1378" s="31" t="n">
        <v>1374</v>
      </c>
      <c r="B1378" s="32" t="str">
        <f aca="false">IF(OR(C1378="",I1378="",G1378=""),"",IFERROR(VLOOKUP(I1378,Setup!$A$9:$B$11,2,0),"???")&amp;"-"&amp;G1378&amp;"-"&amp;TEXT(COUNTIFS(I$5:I1378,I1378,G$5:G1378,G1378),"0000"))</f>
        <v/>
      </c>
      <c r="C1378" s="26"/>
      <c r="D1378" s="26"/>
      <c r="E1378" s="27"/>
      <c r="F1378" s="27"/>
      <c r="G1378" s="31" t="str">
        <f aca="false">IF(F1378="","",IF(F1378&lt;=5,"A",IF(F1378&lt;=8,"B",IF(F1378&lt;=10,"C","D"))))</f>
        <v/>
      </c>
      <c r="H1378" s="28"/>
      <c r="I1378" s="27"/>
      <c r="J1378" s="26"/>
      <c r="K1378" s="27"/>
      <c r="L1378" s="27"/>
      <c r="M1378" s="27"/>
      <c r="N1378" s="27"/>
      <c r="O1378" s="31" t="str">
        <f aca="false">IF(G1378="","",VLOOKUP(G1378,Setup!$A$14:$C$17,3,0))</f>
        <v/>
      </c>
      <c r="P1378" s="27"/>
      <c r="Q1378" s="33" t="str">
        <f aca="false">IF(OR(P1378="",M1378&lt;&gt;"Paid",O1378=""),"",P1378/O1378)</f>
        <v/>
      </c>
      <c r="R1378" s="34" t="str">
        <f aca="false">IF(Q1378="","",Q1378+N(H1378)*0.000000001)</f>
        <v/>
      </c>
      <c r="S1378" s="32" t="str">
        <f aca="false">IF(R1378="","",SUMPRODUCT((I$5:I$4004=I1378)*ISNUMBER(R$5:R$4004)*(R$5:R$4004&gt;R1378))+1)</f>
        <v/>
      </c>
      <c r="T1378" s="32" t="str">
        <f aca="false">IF(S1378="","",IF(S1378&lt;=Setup!$B$5,"🏆 WINNER",""))</f>
        <v/>
      </c>
      <c r="U1378" s="31" t="str">
        <f aca="false">IF(S1378="","",I1378&amp;"|"&amp;S1378)</f>
        <v/>
      </c>
    </row>
    <row r="1379" customFormat="false" ht="15" hidden="false" customHeight="false" outlineLevel="0" collapsed="false">
      <c r="A1379" s="24" t="n">
        <v>1375</v>
      </c>
      <c r="B1379" s="25" t="str">
        <f aca="false">IF(OR(C1379="",I1379="",G1379=""),"",IFERROR(VLOOKUP(I1379,Setup!$A$9:$B$11,2,0),"???")&amp;"-"&amp;G1379&amp;"-"&amp;TEXT(COUNTIFS(I$5:I1379,I1379,G$5:G1379,G1379),"0000"))</f>
        <v/>
      </c>
      <c r="C1379" s="26"/>
      <c r="D1379" s="26"/>
      <c r="E1379" s="27"/>
      <c r="F1379" s="27"/>
      <c r="G1379" s="24" t="str">
        <f aca="false">IF(F1379="","",IF(F1379&lt;=5,"A",IF(F1379&lt;=8,"B",IF(F1379&lt;=10,"C","D"))))</f>
        <v/>
      </c>
      <c r="H1379" s="28"/>
      <c r="I1379" s="27"/>
      <c r="J1379" s="26"/>
      <c r="K1379" s="27"/>
      <c r="L1379" s="27"/>
      <c r="M1379" s="27"/>
      <c r="N1379" s="27"/>
      <c r="O1379" s="24" t="str">
        <f aca="false">IF(G1379="","",VLOOKUP(G1379,Setup!$A$14:$C$17,3,0))</f>
        <v/>
      </c>
      <c r="P1379" s="27"/>
      <c r="Q1379" s="29" t="str">
        <f aca="false">IF(OR(P1379="",M1379&lt;&gt;"Paid",O1379=""),"",P1379/O1379)</f>
        <v/>
      </c>
      <c r="R1379" s="30" t="str">
        <f aca="false">IF(Q1379="","",Q1379+N(H1379)*0.000000001)</f>
        <v/>
      </c>
      <c r="S1379" s="25" t="str">
        <f aca="false">IF(R1379="","",SUMPRODUCT((I$5:I$4004=I1379)*ISNUMBER(R$5:R$4004)*(R$5:R$4004&gt;R1379))+1)</f>
        <v/>
      </c>
      <c r="T1379" s="25" t="str">
        <f aca="false">IF(S1379="","",IF(S1379&lt;=Setup!$B$5,"🏆 WINNER",""))</f>
        <v/>
      </c>
      <c r="U1379" s="24" t="str">
        <f aca="false">IF(S1379="","",I1379&amp;"|"&amp;S1379)</f>
        <v/>
      </c>
    </row>
    <row r="1380" customFormat="false" ht="15" hidden="false" customHeight="false" outlineLevel="0" collapsed="false">
      <c r="A1380" s="31" t="n">
        <v>1376</v>
      </c>
      <c r="B1380" s="32" t="str">
        <f aca="false">IF(OR(C1380="",I1380="",G1380=""),"",IFERROR(VLOOKUP(I1380,Setup!$A$9:$B$11,2,0),"???")&amp;"-"&amp;G1380&amp;"-"&amp;TEXT(COUNTIFS(I$5:I1380,I1380,G$5:G1380,G1380),"0000"))</f>
        <v/>
      </c>
      <c r="C1380" s="26"/>
      <c r="D1380" s="26"/>
      <c r="E1380" s="27"/>
      <c r="F1380" s="27"/>
      <c r="G1380" s="31" t="str">
        <f aca="false">IF(F1380="","",IF(F1380&lt;=5,"A",IF(F1380&lt;=8,"B",IF(F1380&lt;=10,"C","D"))))</f>
        <v/>
      </c>
      <c r="H1380" s="28"/>
      <c r="I1380" s="27"/>
      <c r="J1380" s="26"/>
      <c r="K1380" s="27"/>
      <c r="L1380" s="27"/>
      <c r="M1380" s="27"/>
      <c r="N1380" s="27"/>
      <c r="O1380" s="31" t="str">
        <f aca="false">IF(G1380="","",VLOOKUP(G1380,Setup!$A$14:$C$17,3,0))</f>
        <v/>
      </c>
      <c r="P1380" s="27"/>
      <c r="Q1380" s="33" t="str">
        <f aca="false">IF(OR(P1380="",M1380&lt;&gt;"Paid",O1380=""),"",P1380/O1380)</f>
        <v/>
      </c>
      <c r="R1380" s="34" t="str">
        <f aca="false">IF(Q1380="","",Q1380+N(H1380)*0.000000001)</f>
        <v/>
      </c>
      <c r="S1380" s="32" t="str">
        <f aca="false">IF(R1380="","",SUMPRODUCT((I$5:I$4004=I1380)*ISNUMBER(R$5:R$4004)*(R$5:R$4004&gt;R1380))+1)</f>
        <v/>
      </c>
      <c r="T1380" s="32" t="str">
        <f aca="false">IF(S1380="","",IF(S1380&lt;=Setup!$B$5,"🏆 WINNER",""))</f>
        <v/>
      </c>
      <c r="U1380" s="31" t="str">
        <f aca="false">IF(S1380="","",I1380&amp;"|"&amp;S1380)</f>
        <v/>
      </c>
    </row>
    <row r="1381" customFormat="false" ht="15" hidden="false" customHeight="false" outlineLevel="0" collapsed="false">
      <c r="A1381" s="24" t="n">
        <v>1377</v>
      </c>
      <c r="B1381" s="25" t="str">
        <f aca="false">IF(OR(C1381="",I1381="",G1381=""),"",IFERROR(VLOOKUP(I1381,Setup!$A$9:$B$11,2,0),"???")&amp;"-"&amp;G1381&amp;"-"&amp;TEXT(COUNTIFS(I$5:I1381,I1381,G$5:G1381,G1381),"0000"))</f>
        <v/>
      </c>
      <c r="C1381" s="26"/>
      <c r="D1381" s="26"/>
      <c r="E1381" s="27"/>
      <c r="F1381" s="27"/>
      <c r="G1381" s="24" t="str">
        <f aca="false">IF(F1381="","",IF(F1381&lt;=5,"A",IF(F1381&lt;=8,"B",IF(F1381&lt;=10,"C","D"))))</f>
        <v/>
      </c>
      <c r="H1381" s="28"/>
      <c r="I1381" s="27"/>
      <c r="J1381" s="26"/>
      <c r="K1381" s="27"/>
      <c r="L1381" s="27"/>
      <c r="M1381" s="27"/>
      <c r="N1381" s="27"/>
      <c r="O1381" s="24" t="str">
        <f aca="false">IF(G1381="","",VLOOKUP(G1381,Setup!$A$14:$C$17,3,0))</f>
        <v/>
      </c>
      <c r="P1381" s="27"/>
      <c r="Q1381" s="29" t="str">
        <f aca="false">IF(OR(P1381="",M1381&lt;&gt;"Paid",O1381=""),"",P1381/O1381)</f>
        <v/>
      </c>
      <c r="R1381" s="30" t="str">
        <f aca="false">IF(Q1381="","",Q1381+N(H1381)*0.000000001)</f>
        <v/>
      </c>
      <c r="S1381" s="25" t="str">
        <f aca="false">IF(R1381="","",SUMPRODUCT((I$5:I$4004=I1381)*ISNUMBER(R$5:R$4004)*(R$5:R$4004&gt;R1381))+1)</f>
        <v/>
      </c>
      <c r="T1381" s="25" t="str">
        <f aca="false">IF(S1381="","",IF(S1381&lt;=Setup!$B$5,"🏆 WINNER",""))</f>
        <v/>
      </c>
      <c r="U1381" s="24" t="str">
        <f aca="false">IF(S1381="","",I1381&amp;"|"&amp;S1381)</f>
        <v/>
      </c>
    </row>
    <row r="1382" customFormat="false" ht="15" hidden="false" customHeight="false" outlineLevel="0" collapsed="false">
      <c r="A1382" s="31" t="n">
        <v>1378</v>
      </c>
      <c r="B1382" s="32" t="str">
        <f aca="false">IF(OR(C1382="",I1382="",G1382=""),"",IFERROR(VLOOKUP(I1382,Setup!$A$9:$B$11,2,0),"???")&amp;"-"&amp;G1382&amp;"-"&amp;TEXT(COUNTIFS(I$5:I1382,I1382,G$5:G1382,G1382),"0000"))</f>
        <v/>
      </c>
      <c r="C1382" s="26"/>
      <c r="D1382" s="26"/>
      <c r="E1382" s="27"/>
      <c r="F1382" s="27"/>
      <c r="G1382" s="31" t="str">
        <f aca="false">IF(F1382="","",IF(F1382&lt;=5,"A",IF(F1382&lt;=8,"B",IF(F1382&lt;=10,"C","D"))))</f>
        <v/>
      </c>
      <c r="H1382" s="28"/>
      <c r="I1382" s="27"/>
      <c r="J1382" s="26"/>
      <c r="K1382" s="27"/>
      <c r="L1382" s="27"/>
      <c r="M1382" s="27"/>
      <c r="N1382" s="27"/>
      <c r="O1382" s="31" t="str">
        <f aca="false">IF(G1382="","",VLOOKUP(G1382,Setup!$A$14:$C$17,3,0))</f>
        <v/>
      </c>
      <c r="P1382" s="27"/>
      <c r="Q1382" s="33" t="str">
        <f aca="false">IF(OR(P1382="",M1382&lt;&gt;"Paid",O1382=""),"",P1382/O1382)</f>
        <v/>
      </c>
      <c r="R1382" s="34" t="str">
        <f aca="false">IF(Q1382="","",Q1382+N(H1382)*0.000000001)</f>
        <v/>
      </c>
      <c r="S1382" s="32" t="str">
        <f aca="false">IF(R1382="","",SUMPRODUCT((I$5:I$4004=I1382)*ISNUMBER(R$5:R$4004)*(R$5:R$4004&gt;R1382))+1)</f>
        <v/>
      </c>
      <c r="T1382" s="32" t="str">
        <f aca="false">IF(S1382="","",IF(S1382&lt;=Setup!$B$5,"🏆 WINNER",""))</f>
        <v/>
      </c>
      <c r="U1382" s="31" t="str">
        <f aca="false">IF(S1382="","",I1382&amp;"|"&amp;S1382)</f>
        <v/>
      </c>
    </row>
    <row r="1383" customFormat="false" ht="15" hidden="false" customHeight="false" outlineLevel="0" collapsed="false">
      <c r="A1383" s="24" t="n">
        <v>1379</v>
      </c>
      <c r="B1383" s="25" t="str">
        <f aca="false">IF(OR(C1383="",I1383="",G1383=""),"",IFERROR(VLOOKUP(I1383,Setup!$A$9:$B$11,2,0),"???")&amp;"-"&amp;G1383&amp;"-"&amp;TEXT(COUNTIFS(I$5:I1383,I1383,G$5:G1383,G1383),"0000"))</f>
        <v/>
      </c>
      <c r="C1383" s="26"/>
      <c r="D1383" s="26"/>
      <c r="E1383" s="27"/>
      <c r="F1383" s="27"/>
      <c r="G1383" s="24" t="str">
        <f aca="false">IF(F1383="","",IF(F1383&lt;=5,"A",IF(F1383&lt;=8,"B",IF(F1383&lt;=10,"C","D"))))</f>
        <v/>
      </c>
      <c r="H1383" s="28"/>
      <c r="I1383" s="27"/>
      <c r="J1383" s="26"/>
      <c r="K1383" s="27"/>
      <c r="L1383" s="27"/>
      <c r="M1383" s="27"/>
      <c r="N1383" s="27"/>
      <c r="O1383" s="24" t="str">
        <f aca="false">IF(G1383="","",VLOOKUP(G1383,Setup!$A$14:$C$17,3,0))</f>
        <v/>
      </c>
      <c r="P1383" s="27"/>
      <c r="Q1383" s="29" t="str">
        <f aca="false">IF(OR(P1383="",M1383&lt;&gt;"Paid",O1383=""),"",P1383/O1383)</f>
        <v/>
      </c>
      <c r="R1383" s="30" t="str">
        <f aca="false">IF(Q1383="","",Q1383+N(H1383)*0.000000001)</f>
        <v/>
      </c>
      <c r="S1383" s="25" t="str">
        <f aca="false">IF(R1383="","",SUMPRODUCT((I$5:I$4004=I1383)*ISNUMBER(R$5:R$4004)*(R$5:R$4004&gt;R1383))+1)</f>
        <v/>
      </c>
      <c r="T1383" s="25" t="str">
        <f aca="false">IF(S1383="","",IF(S1383&lt;=Setup!$B$5,"🏆 WINNER",""))</f>
        <v/>
      </c>
      <c r="U1383" s="24" t="str">
        <f aca="false">IF(S1383="","",I1383&amp;"|"&amp;S1383)</f>
        <v/>
      </c>
    </row>
    <row r="1384" customFormat="false" ht="15" hidden="false" customHeight="false" outlineLevel="0" collapsed="false">
      <c r="A1384" s="31" t="n">
        <v>1380</v>
      </c>
      <c r="B1384" s="32" t="str">
        <f aca="false">IF(OR(C1384="",I1384="",G1384=""),"",IFERROR(VLOOKUP(I1384,Setup!$A$9:$B$11,2,0),"???")&amp;"-"&amp;G1384&amp;"-"&amp;TEXT(COUNTIFS(I$5:I1384,I1384,G$5:G1384,G1384),"0000"))</f>
        <v/>
      </c>
      <c r="C1384" s="26"/>
      <c r="D1384" s="26"/>
      <c r="E1384" s="27"/>
      <c r="F1384" s="27"/>
      <c r="G1384" s="31" t="str">
        <f aca="false">IF(F1384="","",IF(F1384&lt;=5,"A",IF(F1384&lt;=8,"B",IF(F1384&lt;=10,"C","D"))))</f>
        <v/>
      </c>
      <c r="H1384" s="28"/>
      <c r="I1384" s="27"/>
      <c r="J1384" s="26"/>
      <c r="K1384" s="27"/>
      <c r="L1384" s="27"/>
      <c r="M1384" s="27"/>
      <c r="N1384" s="27"/>
      <c r="O1384" s="31" t="str">
        <f aca="false">IF(G1384="","",VLOOKUP(G1384,Setup!$A$14:$C$17,3,0))</f>
        <v/>
      </c>
      <c r="P1384" s="27"/>
      <c r="Q1384" s="33" t="str">
        <f aca="false">IF(OR(P1384="",M1384&lt;&gt;"Paid",O1384=""),"",P1384/O1384)</f>
        <v/>
      </c>
      <c r="R1384" s="34" t="str">
        <f aca="false">IF(Q1384="","",Q1384+N(H1384)*0.000000001)</f>
        <v/>
      </c>
      <c r="S1384" s="32" t="str">
        <f aca="false">IF(R1384="","",SUMPRODUCT((I$5:I$4004=I1384)*ISNUMBER(R$5:R$4004)*(R$5:R$4004&gt;R1384))+1)</f>
        <v/>
      </c>
      <c r="T1384" s="32" t="str">
        <f aca="false">IF(S1384="","",IF(S1384&lt;=Setup!$B$5,"🏆 WINNER",""))</f>
        <v/>
      </c>
      <c r="U1384" s="31" t="str">
        <f aca="false">IF(S1384="","",I1384&amp;"|"&amp;S1384)</f>
        <v/>
      </c>
    </row>
    <row r="1385" customFormat="false" ht="15" hidden="false" customHeight="false" outlineLevel="0" collapsed="false">
      <c r="A1385" s="24" t="n">
        <v>1381</v>
      </c>
      <c r="B1385" s="25" t="str">
        <f aca="false">IF(OR(C1385="",I1385="",G1385=""),"",IFERROR(VLOOKUP(I1385,Setup!$A$9:$B$11,2,0),"???")&amp;"-"&amp;G1385&amp;"-"&amp;TEXT(COUNTIFS(I$5:I1385,I1385,G$5:G1385,G1385),"0000"))</f>
        <v/>
      </c>
      <c r="C1385" s="26"/>
      <c r="D1385" s="26"/>
      <c r="E1385" s="27"/>
      <c r="F1385" s="27"/>
      <c r="G1385" s="24" t="str">
        <f aca="false">IF(F1385="","",IF(F1385&lt;=5,"A",IF(F1385&lt;=8,"B",IF(F1385&lt;=10,"C","D"))))</f>
        <v/>
      </c>
      <c r="H1385" s="28"/>
      <c r="I1385" s="27"/>
      <c r="J1385" s="26"/>
      <c r="K1385" s="27"/>
      <c r="L1385" s="27"/>
      <c r="M1385" s="27"/>
      <c r="N1385" s="27"/>
      <c r="O1385" s="24" t="str">
        <f aca="false">IF(G1385="","",VLOOKUP(G1385,Setup!$A$14:$C$17,3,0))</f>
        <v/>
      </c>
      <c r="P1385" s="27"/>
      <c r="Q1385" s="29" t="str">
        <f aca="false">IF(OR(P1385="",M1385&lt;&gt;"Paid",O1385=""),"",P1385/O1385)</f>
        <v/>
      </c>
      <c r="R1385" s="30" t="str">
        <f aca="false">IF(Q1385="","",Q1385+N(H1385)*0.000000001)</f>
        <v/>
      </c>
      <c r="S1385" s="25" t="str">
        <f aca="false">IF(R1385="","",SUMPRODUCT((I$5:I$4004=I1385)*ISNUMBER(R$5:R$4004)*(R$5:R$4004&gt;R1385))+1)</f>
        <v/>
      </c>
      <c r="T1385" s="25" t="str">
        <f aca="false">IF(S1385="","",IF(S1385&lt;=Setup!$B$5,"🏆 WINNER",""))</f>
        <v/>
      </c>
      <c r="U1385" s="24" t="str">
        <f aca="false">IF(S1385="","",I1385&amp;"|"&amp;S1385)</f>
        <v/>
      </c>
    </row>
    <row r="1386" customFormat="false" ht="15" hidden="false" customHeight="false" outlineLevel="0" collapsed="false">
      <c r="A1386" s="31" t="n">
        <v>1382</v>
      </c>
      <c r="B1386" s="32" t="str">
        <f aca="false">IF(OR(C1386="",I1386="",G1386=""),"",IFERROR(VLOOKUP(I1386,Setup!$A$9:$B$11,2,0),"???")&amp;"-"&amp;G1386&amp;"-"&amp;TEXT(COUNTIFS(I$5:I1386,I1386,G$5:G1386,G1386),"0000"))</f>
        <v/>
      </c>
      <c r="C1386" s="26"/>
      <c r="D1386" s="26"/>
      <c r="E1386" s="27"/>
      <c r="F1386" s="27"/>
      <c r="G1386" s="31" t="str">
        <f aca="false">IF(F1386="","",IF(F1386&lt;=5,"A",IF(F1386&lt;=8,"B",IF(F1386&lt;=10,"C","D"))))</f>
        <v/>
      </c>
      <c r="H1386" s="28"/>
      <c r="I1386" s="27"/>
      <c r="J1386" s="26"/>
      <c r="K1386" s="27"/>
      <c r="L1386" s="27"/>
      <c r="M1386" s="27"/>
      <c r="N1386" s="27"/>
      <c r="O1386" s="31" t="str">
        <f aca="false">IF(G1386="","",VLOOKUP(G1386,Setup!$A$14:$C$17,3,0))</f>
        <v/>
      </c>
      <c r="P1386" s="27"/>
      <c r="Q1386" s="33" t="str">
        <f aca="false">IF(OR(P1386="",M1386&lt;&gt;"Paid",O1386=""),"",P1386/O1386)</f>
        <v/>
      </c>
      <c r="R1386" s="34" t="str">
        <f aca="false">IF(Q1386="","",Q1386+N(H1386)*0.000000001)</f>
        <v/>
      </c>
      <c r="S1386" s="32" t="str">
        <f aca="false">IF(R1386="","",SUMPRODUCT((I$5:I$4004=I1386)*ISNUMBER(R$5:R$4004)*(R$5:R$4004&gt;R1386))+1)</f>
        <v/>
      </c>
      <c r="T1386" s="32" t="str">
        <f aca="false">IF(S1386="","",IF(S1386&lt;=Setup!$B$5,"🏆 WINNER",""))</f>
        <v/>
      </c>
      <c r="U1386" s="31" t="str">
        <f aca="false">IF(S1386="","",I1386&amp;"|"&amp;S1386)</f>
        <v/>
      </c>
    </row>
    <row r="1387" customFormat="false" ht="15" hidden="false" customHeight="false" outlineLevel="0" collapsed="false">
      <c r="A1387" s="24" t="n">
        <v>1383</v>
      </c>
      <c r="B1387" s="25" t="str">
        <f aca="false">IF(OR(C1387="",I1387="",G1387=""),"",IFERROR(VLOOKUP(I1387,Setup!$A$9:$B$11,2,0),"???")&amp;"-"&amp;G1387&amp;"-"&amp;TEXT(COUNTIFS(I$5:I1387,I1387,G$5:G1387,G1387),"0000"))</f>
        <v/>
      </c>
      <c r="C1387" s="26"/>
      <c r="D1387" s="26"/>
      <c r="E1387" s="27"/>
      <c r="F1387" s="27"/>
      <c r="G1387" s="24" t="str">
        <f aca="false">IF(F1387="","",IF(F1387&lt;=5,"A",IF(F1387&lt;=8,"B",IF(F1387&lt;=10,"C","D"))))</f>
        <v/>
      </c>
      <c r="H1387" s="28"/>
      <c r="I1387" s="27"/>
      <c r="J1387" s="26"/>
      <c r="K1387" s="27"/>
      <c r="L1387" s="27"/>
      <c r="M1387" s="27"/>
      <c r="N1387" s="27"/>
      <c r="O1387" s="24" t="str">
        <f aca="false">IF(G1387="","",VLOOKUP(G1387,Setup!$A$14:$C$17,3,0))</f>
        <v/>
      </c>
      <c r="P1387" s="27"/>
      <c r="Q1387" s="29" t="str">
        <f aca="false">IF(OR(P1387="",M1387&lt;&gt;"Paid",O1387=""),"",P1387/O1387)</f>
        <v/>
      </c>
      <c r="R1387" s="30" t="str">
        <f aca="false">IF(Q1387="","",Q1387+N(H1387)*0.000000001)</f>
        <v/>
      </c>
      <c r="S1387" s="25" t="str">
        <f aca="false">IF(R1387="","",SUMPRODUCT((I$5:I$4004=I1387)*ISNUMBER(R$5:R$4004)*(R$5:R$4004&gt;R1387))+1)</f>
        <v/>
      </c>
      <c r="T1387" s="25" t="str">
        <f aca="false">IF(S1387="","",IF(S1387&lt;=Setup!$B$5,"🏆 WINNER",""))</f>
        <v/>
      </c>
      <c r="U1387" s="24" t="str">
        <f aca="false">IF(S1387="","",I1387&amp;"|"&amp;S1387)</f>
        <v/>
      </c>
    </row>
    <row r="1388" customFormat="false" ht="15" hidden="false" customHeight="false" outlineLevel="0" collapsed="false">
      <c r="A1388" s="31" t="n">
        <v>1384</v>
      </c>
      <c r="B1388" s="32" t="str">
        <f aca="false">IF(OR(C1388="",I1388="",G1388=""),"",IFERROR(VLOOKUP(I1388,Setup!$A$9:$B$11,2,0),"???")&amp;"-"&amp;G1388&amp;"-"&amp;TEXT(COUNTIFS(I$5:I1388,I1388,G$5:G1388,G1388),"0000"))</f>
        <v/>
      </c>
      <c r="C1388" s="26"/>
      <c r="D1388" s="26"/>
      <c r="E1388" s="27"/>
      <c r="F1388" s="27"/>
      <c r="G1388" s="31" t="str">
        <f aca="false">IF(F1388="","",IF(F1388&lt;=5,"A",IF(F1388&lt;=8,"B",IF(F1388&lt;=10,"C","D"))))</f>
        <v/>
      </c>
      <c r="H1388" s="28"/>
      <c r="I1388" s="27"/>
      <c r="J1388" s="26"/>
      <c r="K1388" s="27"/>
      <c r="L1388" s="27"/>
      <c r="M1388" s="27"/>
      <c r="N1388" s="27"/>
      <c r="O1388" s="31" t="str">
        <f aca="false">IF(G1388="","",VLOOKUP(G1388,Setup!$A$14:$C$17,3,0))</f>
        <v/>
      </c>
      <c r="P1388" s="27"/>
      <c r="Q1388" s="33" t="str">
        <f aca="false">IF(OR(P1388="",M1388&lt;&gt;"Paid",O1388=""),"",P1388/O1388)</f>
        <v/>
      </c>
      <c r="R1388" s="34" t="str">
        <f aca="false">IF(Q1388="","",Q1388+N(H1388)*0.000000001)</f>
        <v/>
      </c>
      <c r="S1388" s="32" t="str">
        <f aca="false">IF(R1388="","",SUMPRODUCT((I$5:I$4004=I1388)*ISNUMBER(R$5:R$4004)*(R$5:R$4004&gt;R1388))+1)</f>
        <v/>
      </c>
      <c r="T1388" s="32" t="str">
        <f aca="false">IF(S1388="","",IF(S1388&lt;=Setup!$B$5,"🏆 WINNER",""))</f>
        <v/>
      </c>
      <c r="U1388" s="31" t="str">
        <f aca="false">IF(S1388="","",I1388&amp;"|"&amp;S1388)</f>
        <v/>
      </c>
    </row>
    <row r="1389" customFormat="false" ht="15" hidden="false" customHeight="false" outlineLevel="0" collapsed="false">
      <c r="A1389" s="24" t="n">
        <v>1385</v>
      </c>
      <c r="B1389" s="25" t="str">
        <f aca="false">IF(OR(C1389="",I1389="",G1389=""),"",IFERROR(VLOOKUP(I1389,Setup!$A$9:$B$11,2,0),"???")&amp;"-"&amp;G1389&amp;"-"&amp;TEXT(COUNTIFS(I$5:I1389,I1389,G$5:G1389,G1389),"0000"))</f>
        <v/>
      </c>
      <c r="C1389" s="26"/>
      <c r="D1389" s="26"/>
      <c r="E1389" s="27"/>
      <c r="F1389" s="27"/>
      <c r="G1389" s="24" t="str">
        <f aca="false">IF(F1389="","",IF(F1389&lt;=5,"A",IF(F1389&lt;=8,"B",IF(F1389&lt;=10,"C","D"))))</f>
        <v/>
      </c>
      <c r="H1389" s="28"/>
      <c r="I1389" s="27"/>
      <c r="J1389" s="26"/>
      <c r="K1389" s="27"/>
      <c r="L1389" s="27"/>
      <c r="M1389" s="27"/>
      <c r="N1389" s="27"/>
      <c r="O1389" s="24" t="str">
        <f aca="false">IF(G1389="","",VLOOKUP(G1389,Setup!$A$14:$C$17,3,0))</f>
        <v/>
      </c>
      <c r="P1389" s="27"/>
      <c r="Q1389" s="29" t="str">
        <f aca="false">IF(OR(P1389="",M1389&lt;&gt;"Paid",O1389=""),"",P1389/O1389)</f>
        <v/>
      </c>
      <c r="R1389" s="30" t="str">
        <f aca="false">IF(Q1389="","",Q1389+N(H1389)*0.000000001)</f>
        <v/>
      </c>
      <c r="S1389" s="25" t="str">
        <f aca="false">IF(R1389="","",SUMPRODUCT((I$5:I$4004=I1389)*ISNUMBER(R$5:R$4004)*(R$5:R$4004&gt;R1389))+1)</f>
        <v/>
      </c>
      <c r="T1389" s="25" t="str">
        <f aca="false">IF(S1389="","",IF(S1389&lt;=Setup!$B$5,"🏆 WINNER",""))</f>
        <v/>
      </c>
      <c r="U1389" s="24" t="str">
        <f aca="false">IF(S1389="","",I1389&amp;"|"&amp;S1389)</f>
        <v/>
      </c>
    </row>
    <row r="1390" customFormat="false" ht="15" hidden="false" customHeight="false" outlineLevel="0" collapsed="false">
      <c r="A1390" s="31" t="n">
        <v>1386</v>
      </c>
      <c r="B1390" s="32" t="str">
        <f aca="false">IF(OR(C1390="",I1390="",G1390=""),"",IFERROR(VLOOKUP(I1390,Setup!$A$9:$B$11,2,0),"???")&amp;"-"&amp;G1390&amp;"-"&amp;TEXT(COUNTIFS(I$5:I1390,I1390,G$5:G1390,G1390),"0000"))</f>
        <v/>
      </c>
      <c r="C1390" s="26"/>
      <c r="D1390" s="26"/>
      <c r="E1390" s="27"/>
      <c r="F1390" s="27"/>
      <c r="G1390" s="31" t="str">
        <f aca="false">IF(F1390="","",IF(F1390&lt;=5,"A",IF(F1390&lt;=8,"B",IF(F1390&lt;=10,"C","D"))))</f>
        <v/>
      </c>
      <c r="H1390" s="28"/>
      <c r="I1390" s="27"/>
      <c r="J1390" s="26"/>
      <c r="K1390" s="27"/>
      <c r="L1390" s="27"/>
      <c r="M1390" s="27"/>
      <c r="N1390" s="27"/>
      <c r="O1390" s="31" t="str">
        <f aca="false">IF(G1390="","",VLOOKUP(G1390,Setup!$A$14:$C$17,3,0))</f>
        <v/>
      </c>
      <c r="P1390" s="27"/>
      <c r="Q1390" s="33" t="str">
        <f aca="false">IF(OR(P1390="",M1390&lt;&gt;"Paid",O1390=""),"",P1390/O1390)</f>
        <v/>
      </c>
      <c r="R1390" s="34" t="str">
        <f aca="false">IF(Q1390="","",Q1390+N(H1390)*0.000000001)</f>
        <v/>
      </c>
      <c r="S1390" s="32" t="str">
        <f aca="false">IF(R1390="","",SUMPRODUCT((I$5:I$4004=I1390)*ISNUMBER(R$5:R$4004)*(R$5:R$4004&gt;R1390))+1)</f>
        <v/>
      </c>
      <c r="T1390" s="32" t="str">
        <f aca="false">IF(S1390="","",IF(S1390&lt;=Setup!$B$5,"🏆 WINNER",""))</f>
        <v/>
      </c>
      <c r="U1390" s="31" t="str">
        <f aca="false">IF(S1390="","",I1390&amp;"|"&amp;S1390)</f>
        <v/>
      </c>
    </row>
    <row r="1391" customFormat="false" ht="15" hidden="false" customHeight="false" outlineLevel="0" collapsed="false">
      <c r="A1391" s="24" t="n">
        <v>1387</v>
      </c>
      <c r="B1391" s="25" t="str">
        <f aca="false">IF(OR(C1391="",I1391="",G1391=""),"",IFERROR(VLOOKUP(I1391,Setup!$A$9:$B$11,2,0),"???")&amp;"-"&amp;G1391&amp;"-"&amp;TEXT(COUNTIFS(I$5:I1391,I1391,G$5:G1391,G1391),"0000"))</f>
        <v/>
      </c>
      <c r="C1391" s="26"/>
      <c r="D1391" s="26"/>
      <c r="E1391" s="27"/>
      <c r="F1391" s="27"/>
      <c r="G1391" s="24" t="str">
        <f aca="false">IF(F1391="","",IF(F1391&lt;=5,"A",IF(F1391&lt;=8,"B",IF(F1391&lt;=10,"C","D"))))</f>
        <v/>
      </c>
      <c r="H1391" s="28"/>
      <c r="I1391" s="27"/>
      <c r="J1391" s="26"/>
      <c r="K1391" s="27"/>
      <c r="L1391" s="27"/>
      <c r="M1391" s="27"/>
      <c r="N1391" s="27"/>
      <c r="O1391" s="24" t="str">
        <f aca="false">IF(G1391="","",VLOOKUP(G1391,Setup!$A$14:$C$17,3,0))</f>
        <v/>
      </c>
      <c r="P1391" s="27"/>
      <c r="Q1391" s="29" t="str">
        <f aca="false">IF(OR(P1391="",M1391&lt;&gt;"Paid",O1391=""),"",P1391/O1391)</f>
        <v/>
      </c>
      <c r="R1391" s="30" t="str">
        <f aca="false">IF(Q1391="","",Q1391+N(H1391)*0.000000001)</f>
        <v/>
      </c>
      <c r="S1391" s="25" t="str">
        <f aca="false">IF(R1391="","",SUMPRODUCT((I$5:I$4004=I1391)*ISNUMBER(R$5:R$4004)*(R$5:R$4004&gt;R1391))+1)</f>
        <v/>
      </c>
      <c r="T1391" s="25" t="str">
        <f aca="false">IF(S1391="","",IF(S1391&lt;=Setup!$B$5,"🏆 WINNER",""))</f>
        <v/>
      </c>
      <c r="U1391" s="24" t="str">
        <f aca="false">IF(S1391="","",I1391&amp;"|"&amp;S1391)</f>
        <v/>
      </c>
    </row>
    <row r="1392" customFormat="false" ht="15" hidden="false" customHeight="false" outlineLevel="0" collapsed="false">
      <c r="A1392" s="31" t="n">
        <v>1388</v>
      </c>
      <c r="B1392" s="32" t="str">
        <f aca="false">IF(OR(C1392="",I1392="",G1392=""),"",IFERROR(VLOOKUP(I1392,Setup!$A$9:$B$11,2,0),"???")&amp;"-"&amp;G1392&amp;"-"&amp;TEXT(COUNTIFS(I$5:I1392,I1392,G$5:G1392,G1392),"0000"))</f>
        <v/>
      </c>
      <c r="C1392" s="26"/>
      <c r="D1392" s="26"/>
      <c r="E1392" s="27"/>
      <c r="F1392" s="27"/>
      <c r="G1392" s="31" t="str">
        <f aca="false">IF(F1392="","",IF(F1392&lt;=5,"A",IF(F1392&lt;=8,"B",IF(F1392&lt;=10,"C","D"))))</f>
        <v/>
      </c>
      <c r="H1392" s="28"/>
      <c r="I1392" s="27"/>
      <c r="J1392" s="26"/>
      <c r="K1392" s="27"/>
      <c r="L1392" s="27"/>
      <c r="M1392" s="27"/>
      <c r="N1392" s="27"/>
      <c r="O1392" s="31" t="str">
        <f aca="false">IF(G1392="","",VLOOKUP(G1392,Setup!$A$14:$C$17,3,0))</f>
        <v/>
      </c>
      <c r="P1392" s="27"/>
      <c r="Q1392" s="33" t="str">
        <f aca="false">IF(OR(P1392="",M1392&lt;&gt;"Paid",O1392=""),"",P1392/O1392)</f>
        <v/>
      </c>
      <c r="R1392" s="34" t="str">
        <f aca="false">IF(Q1392="","",Q1392+N(H1392)*0.000000001)</f>
        <v/>
      </c>
      <c r="S1392" s="32" t="str">
        <f aca="false">IF(R1392="","",SUMPRODUCT((I$5:I$4004=I1392)*ISNUMBER(R$5:R$4004)*(R$5:R$4004&gt;R1392))+1)</f>
        <v/>
      </c>
      <c r="T1392" s="32" t="str">
        <f aca="false">IF(S1392="","",IF(S1392&lt;=Setup!$B$5,"🏆 WINNER",""))</f>
        <v/>
      </c>
      <c r="U1392" s="31" t="str">
        <f aca="false">IF(S1392="","",I1392&amp;"|"&amp;S1392)</f>
        <v/>
      </c>
    </row>
    <row r="1393" customFormat="false" ht="15" hidden="false" customHeight="false" outlineLevel="0" collapsed="false">
      <c r="A1393" s="24" t="n">
        <v>1389</v>
      </c>
      <c r="B1393" s="25" t="str">
        <f aca="false">IF(OR(C1393="",I1393="",G1393=""),"",IFERROR(VLOOKUP(I1393,Setup!$A$9:$B$11,2,0),"???")&amp;"-"&amp;G1393&amp;"-"&amp;TEXT(COUNTIFS(I$5:I1393,I1393,G$5:G1393,G1393),"0000"))</f>
        <v/>
      </c>
      <c r="C1393" s="26"/>
      <c r="D1393" s="26"/>
      <c r="E1393" s="27"/>
      <c r="F1393" s="27"/>
      <c r="G1393" s="24" t="str">
        <f aca="false">IF(F1393="","",IF(F1393&lt;=5,"A",IF(F1393&lt;=8,"B",IF(F1393&lt;=10,"C","D"))))</f>
        <v/>
      </c>
      <c r="H1393" s="28"/>
      <c r="I1393" s="27"/>
      <c r="J1393" s="26"/>
      <c r="K1393" s="27"/>
      <c r="L1393" s="27"/>
      <c r="M1393" s="27"/>
      <c r="N1393" s="27"/>
      <c r="O1393" s="24" t="str">
        <f aca="false">IF(G1393="","",VLOOKUP(G1393,Setup!$A$14:$C$17,3,0))</f>
        <v/>
      </c>
      <c r="P1393" s="27"/>
      <c r="Q1393" s="29" t="str">
        <f aca="false">IF(OR(P1393="",M1393&lt;&gt;"Paid",O1393=""),"",P1393/O1393)</f>
        <v/>
      </c>
      <c r="R1393" s="30" t="str">
        <f aca="false">IF(Q1393="","",Q1393+N(H1393)*0.000000001)</f>
        <v/>
      </c>
      <c r="S1393" s="25" t="str">
        <f aca="false">IF(R1393="","",SUMPRODUCT((I$5:I$4004=I1393)*ISNUMBER(R$5:R$4004)*(R$5:R$4004&gt;R1393))+1)</f>
        <v/>
      </c>
      <c r="T1393" s="25" t="str">
        <f aca="false">IF(S1393="","",IF(S1393&lt;=Setup!$B$5,"🏆 WINNER",""))</f>
        <v/>
      </c>
      <c r="U1393" s="24" t="str">
        <f aca="false">IF(S1393="","",I1393&amp;"|"&amp;S1393)</f>
        <v/>
      </c>
    </row>
    <row r="1394" customFormat="false" ht="15" hidden="false" customHeight="false" outlineLevel="0" collapsed="false">
      <c r="A1394" s="31" t="n">
        <v>1390</v>
      </c>
      <c r="B1394" s="32" t="str">
        <f aca="false">IF(OR(C1394="",I1394="",G1394=""),"",IFERROR(VLOOKUP(I1394,Setup!$A$9:$B$11,2,0),"???")&amp;"-"&amp;G1394&amp;"-"&amp;TEXT(COUNTIFS(I$5:I1394,I1394,G$5:G1394,G1394),"0000"))</f>
        <v/>
      </c>
      <c r="C1394" s="26"/>
      <c r="D1394" s="26"/>
      <c r="E1394" s="27"/>
      <c r="F1394" s="27"/>
      <c r="G1394" s="31" t="str">
        <f aca="false">IF(F1394="","",IF(F1394&lt;=5,"A",IF(F1394&lt;=8,"B",IF(F1394&lt;=10,"C","D"))))</f>
        <v/>
      </c>
      <c r="H1394" s="28"/>
      <c r="I1394" s="27"/>
      <c r="J1394" s="26"/>
      <c r="K1394" s="27"/>
      <c r="L1394" s="27"/>
      <c r="M1394" s="27"/>
      <c r="N1394" s="27"/>
      <c r="O1394" s="31" t="str">
        <f aca="false">IF(G1394="","",VLOOKUP(G1394,Setup!$A$14:$C$17,3,0))</f>
        <v/>
      </c>
      <c r="P1394" s="27"/>
      <c r="Q1394" s="33" t="str">
        <f aca="false">IF(OR(P1394="",M1394&lt;&gt;"Paid",O1394=""),"",P1394/O1394)</f>
        <v/>
      </c>
      <c r="R1394" s="34" t="str">
        <f aca="false">IF(Q1394="","",Q1394+N(H1394)*0.000000001)</f>
        <v/>
      </c>
      <c r="S1394" s="32" t="str">
        <f aca="false">IF(R1394="","",SUMPRODUCT((I$5:I$4004=I1394)*ISNUMBER(R$5:R$4004)*(R$5:R$4004&gt;R1394))+1)</f>
        <v/>
      </c>
      <c r="T1394" s="32" t="str">
        <f aca="false">IF(S1394="","",IF(S1394&lt;=Setup!$B$5,"🏆 WINNER",""))</f>
        <v/>
      </c>
      <c r="U1394" s="31" t="str">
        <f aca="false">IF(S1394="","",I1394&amp;"|"&amp;S1394)</f>
        <v/>
      </c>
    </row>
    <row r="1395" customFormat="false" ht="15" hidden="false" customHeight="false" outlineLevel="0" collapsed="false">
      <c r="A1395" s="24" t="n">
        <v>1391</v>
      </c>
      <c r="B1395" s="25" t="str">
        <f aca="false">IF(OR(C1395="",I1395="",G1395=""),"",IFERROR(VLOOKUP(I1395,Setup!$A$9:$B$11,2,0),"???")&amp;"-"&amp;G1395&amp;"-"&amp;TEXT(COUNTIFS(I$5:I1395,I1395,G$5:G1395,G1395),"0000"))</f>
        <v/>
      </c>
      <c r="C1395" s="26"/>
      <c r="D1395" s="26"/>
      <c r="E1395" s="27"/>
      <c r="F1395" s="27"/>
      <c r="G1395" s="24" t="str">
        <f aca="false">IF(F1395="","",IF(F1395&lt;=5,"A",IF(F1395&lt;=8,"B",IF(F1395&lt;=10,"C","D"))))</f>
        <v/>
      </c>
      <c r="H1395" s="28"/>
      <c r="I1395" s="27"/>
      <c r="J1395" s="26"/>
      <c r="K1395" s="27"/>
      <c r="L1395" s="27"/>
      <c r="M1395" s="27"/>
      <c r="N1395" s="27"/>
      <c r="O1395" s="24" t="str">
        <f aca="false">IF(G1395="","",VLOOKUP(G1395,Setup!$A$14:$C$17,3,0))</f>
        <v/>
      </c>
      <c r="P1395" s="27"/>
      <c r="Q1395" s="29" t="str">
        <f aca="false">IF(OR(P1395="",M1395&lt;&gt;"Paid",O1395=""),"",P1395/O1395)</f>
        <v/>
      </c>
      <c r="R1395" s="30" t="str">
        <f aca="false">IF(Q1395="","",Q1395+N(H1395)*0.000000001)</f>
        <v/>
      </c>
      <c r="S1395" s="25" t="str">
        <f aca="false">IF(R1395="","",SUMPRODUCT((I$5:I$4004=I1395)*ISNUMBER(R$5:R$4004)*(R$5:R$4004&gt;R1395))+1)</f>
        <v/>
      </c>
      <c r="T1395" s="25" t="str">
        <f aca="false">IF(S1395="","",IF(S1395&lt;=Setup!$B$5,"🏆 WINNER",""))</f>
        <v/>
      </c>
      <c r="U1395" s="24" t="str">
        <f aca="false">IF(S1395="","",I1395&amp;"|"&amp;S1395)</f>
        <v/>
      </c>
    </row>
    <row r="1396" customFormat="false" ht="15" hidden="false" customHeight="false" outlineLevel="0" collapsed="false">
      <c r="A1396" s="31" t="n">
        <v>1392</v>
      </c>
      <c r="B1396" s="32" t="str">
        <f aca="false">IF(OR(C1396="",I1396="",G1396=""),"",IFERROR(VLOOKUP(I1396,Setup!$A$9:$B$11,2,0),"???")&amp;"-"&amp;G1396&amp;"-"&amp;TEXT(COUNTIFS(I$5:I1396,I1396,G$5:G1396,G1396),"0000"))</f>
        <v/>
      </c>
      <c r="C1396" s="26"/>
      <c r="D1396" s="26"/>
      <c r="E1396" s="27"/>
      <c r="F1396" s="27"/>
      <c r="G1396" s="31" t="str">
        <f aca="false">IF(F1396="","",IF(F1396&lt;=5,"A",IF(F1396&lt;=8,"B",IF(F1396&lt;=10,"C","D"))))</f>
        <v/>
      </c>
      <c r="H1396" s="28"/>
      <c r="I1396" s="27"/>
      <c r="J1396" s="26"/>
      <c r="K1396" s="27"/>
      <c r="L1396" s="27"/>
      <c r="M1396" s="27"/>
      <c r="N1396" s="27"/>
      <c r="O1396" s="31" t="str">
        <f aca="false">IF(G1396="","",VLOOKUP(G1396,Setup!$A$14:$C$17,3,0))</f>
        <v/>
      </c>
      <c r="P1396" s="27"/>
      <c r="Q1396" s="33" t="str">
        <f aca="false">IF(OR(P1396="",M1396&lt;&gt;"Paid",O1396=""),"",P1396/O1396)</f>
        <v/>
      </c>
      <c r="R1396" s="34" t="str">
        <f aca="false">IF(Q1396="","",Q1396+N(H1396)*0.000000001)</f>
        <v/>
      </c>
      <c r="S1396" s="32" t="str">
        <f aca="false">IF(R1396="","",SUMPRODUCT((I$5:I$4004=I1396)*ISNUMBER(R$5:R$4004)*(R$5:R$4004&gt;R1396))+1)</f>
        <v/>
      </c>
      <c r="T1396" s="32" t="str">
        <f aca="false">IF(S1396="","",IF(S1396&lt;=Setup!$B$5,"🏆 WINNER",""))</f>
        <v/>
      </c>
      <c r="U1396" s="31" t="str">
        <f aca="false">IF(S1396="","",I1396&amp;"|"&amp;S1396)</f>
        <v/>
      </c>
    </row>
    <row r="1397" customFormat="false" ht="15" hidden="false" customHeight="false" outlineLevel="0" collapsed="false">
      <c r="A1397" s="24" t="n">
        <v>1393</v>
      </c>
      <c r="B1397" s="25" t="str">
        <f aca="false">IF(OR(C1397="",I1397="",G1397=""),"",IFERROR(VLOOKUP(I1397,Setup!$A$9:$B$11,2,0),"???")&amp;"-"&amp;G1397&amp;"-"&amp;TEXT(COUNTIFS(I$5:I1397,I1397,G$5:G1397,G1397),"0000"))</f>
        <v/>
      </c>
      <c r="C1397" s="26"/>
      <c r="D1397" s="26"/>
      <c r="E1397" s="27"/>
      <c r="F1397" s="27"/>
      <c r="G1397" s="24" t="str">
        <f aca="false">IF(F1397="","",IF(F1397&lt;=5,"A",IF(F1397&lt;=8,"B",IF(F1397&lt;=10,"C","D"))))</f>
        <v/>
      </c>
      <c r="H1397" s="28"/>
      <c r="I1397" s="27"/>
      <c r="J1397" s="26"/>
      <c r="K1397" s="27"/>
      <c r="L1397" s="27"/>
      <c r="M1397" s="27"/>
      <c r="N1397" s="27"/>
      <c r="O1397" s="24" t="str">
        <f aca="false">IF(G1397="","",VLOOKUP(G1397,Setup!$A$14:$C$17,3,0))</f>
        <v/>
      </c>
      <c r="P1397" s="27"/>
      <c r="Q1397" s="29" t="str">
        <f aca="false">IF(OR(P1397="",M1397&lt;&gt;"Paid",O1397=""),"",P1397/O1397)</f>
        <v/>
      </c>
      <c r="R1397" s="30" t="str">
        <f aca="false">IF(Q1397="","",Q1397+N(H1397)*0.000000001)</f>
        <v/>
      </c>
      <c r="S1397" s="25" t="str">
        <f aca="false">IF(R1397="","",SUMPRODUCT((I$5:I$4004=I1397)*ISNUMBER(R$5:R$4004)*(R$5:R$4004&gt;R1397))+1)</f>
        <v/>
      </c>
      <c r="T1397" s="25" t="str">
        <f aca="false">IF(S1397="","",IF(S1397&lt;=Setup!$B$5,"🏆 WINNER",""))</f>
        <v/>
      </c>
      <c r="U1397" s="24" t="str">
        <f aca="false">IF(S1397="","",I1397&amp;"|"&amp;S1397)</f>
        <v/>
      </c>
    </row>
    <row r="1398" customFormat="false" ht="15" hidden="false" customHeight="false" outlineLevel="0" collapsed="false">
      <c r="A1398" s="31" t="n">
        <v>1394</v>
      </c>
      <c r="B1398" s="32" t="str">
        <f aca="false">IF(OR(C1398="",I1398="",G1398=""),"",IFERROR(VLOOKUP(I1398,Setup!$A$9:$B$11,2,0),"???")&amp;"-"&amp;G1398&amp;"-"&amp;TEXT(COUNTIFS(I$5:I1398,I1398,G$5:G1398,G1398),"0000"))</f>
        <v/>
      </c>
      <c r="C1398" s="26"/>
      <c r="D1398" s="26"/>
      <c r="E1398" s="27"/>
      <c r="F1398" s="27"/>
      <c r="G1398" s="31" t="str">
        <f aca="false">IF(F1398="","",IF(F1398&lt;=5,"A",IF(F1398&lt;=8,"B",IF(F1398&lt;=10,"C","D"))))</f>
        <v/>
      </c>
      <c r="H1398" s="28"/>
      <c r="I1398" s="27"/>
      <c r="J1398" s="26"/>
      <c r="K1398" s="27"/>
      <c r="L1398" s="27"/>
      <c r="M1398" s="27"/>
      <c r="N1398" s="27"/>
      <c r="O1398" s="31" t="str">
        <f aca="false">IF(G1398="","",VLOOKUP(G1398,Setup!$A$14:$C$17,3,0))</f>
        <v/>
      </c>
      <c r="P1398" s="27"/>
      <c r="Q1398" s="33" t="str">
        <f aca="false">IF(OR(P1398="",M1398&lt;&gt;"Paid",O1398=""),"",P1398/O1398)</f>
        <v/>
      </c>
      <c r="R1398" s="34" t="str">
        <f aca="false">IF(Q1398="","",Q1398+N(H1398)*0.000000001)</f>
        <v/>
      </c>
      <c r="S1398" s="32" t="str">
        <f aca="false">IF(R1398="","",SUMPRODUCT((I$5:I$4004=I1398)*ISNUMBER(R$5:R$4004)*(R$5:R$4004&gt;R1398))+1)</f>
        <v/>
      </c>
      <c r="T1398" s="32" t="str">
        <f aca="false">IF(S1398="","",IF(S1398&lt;=Setup!$B$5,"🏆 WINNER",""))</f>
        <v/>
      </c>
      <c r="U1398" s="31" t="str">
        <f aca="false">IF(S1398="","",I1398&amp;"|"&amp;S1398)</f>
        <v/>
      </c>
    </row>
    <row r="1399" customFormat="false" ht="15" hidden="false" customHeight="false" outlineLevel="0" collapsed="false">
      <c r="A1399" s="24" t="n">
        <v>1395</v>
      </c>
      <c r="B1399" s="25" t="str">
        <f aca="false">IF(OR(C1399="",I1399="",G1399=""),"",IFERROR(VLOOKUP(I1399,Setup!$A$9:$B$11,2,0),"???")&amp;"-"&amp;G1399&amp;"-"&amp;TEXT(COUNTIFS(I$5:I1399,I1399,G$5:G1399,G1399),"0000"))</f>
        <v/>
      </c>
      <c r="C1399" s="26"/>
      <c r="D1399" s="26"/>
      <c r="E1399" s="27"/>
      <c r="F1399" s="27"/>
      <c r="G1399" s="24" t="str">
        <f aca="false">IF(F1399="","",IF(F1399&lt;=5,"A",IF(F1399&lt;=8,"B",IF(F1399&lt;=10,"C","D"))))</f>
        <v/>
      </c>
      <c r="H1399" s="28"/>
      <c r="I1399" s="27"/>
      <c r="J1399" s="26"/>
      <c r="K1399" s="27"/>
      <c r="L1399" s="27"/>
      <c r="M1399" s="27"/>
      <c r="N1399" s="27"/>
      <c r="O1399" s="24" t="str">
        <f aca="false">IF(G1399="","",VLOOKUP(G1399,Setup!$A$14:$C$17,3,0))</f>
        <v/>
      </c>
      <c r="P1399" s="27"/>
      <c r="Q1399" s="29" t="str">
        <f aca="false">IF(OR(P1399="",M1399&lt;&gt;"Paid",O1399=""),"",P1399/O1399)</f>
        <v/>
      </c>
      <c r="R1399" s="30" t="str">
        <f aca="false">IF(Q1399="","",Q1399+N(H1399)*0.000000001)</f>
        <v/>
      </c>
      <c r="S1399" s="25" t="str">
        <f aca="false">IF(R1399="","",SUMPRODUCT((I$5:I$4004=I1399)*ISNUMBER(R$5:R$4004)*(R$5:R$4004&gt;R1399))+1)</f>
        <v/>
      </c>
      <c r="T1399" s="25" t="str">
        <f aca="false">IF(S1399="","",IF(S1399&lt;=Setup!$B$5,"🏆 WINNER",""))</f>
        <v/>
      </c>
      <c r="U1399" s="24" t="str">
        <f aca="false">IF(S1399="","",I1399&amp;"|"&amp;S1399)</f>
        <v/>
      </c>
    </row>
    <row r="1400" customFormat="false" ht="15" hidden="false" customHeight="false" outlineLevel="0" collapsed="false">
      <c r="A1400" s="31" t="n">
        <v>1396</v>
      </c>
      <c r="B1400" s="32" t="str">
        <f aca="false">IF(OR(C1400="",I1400="",G1400=""),"",IFERROR(VLOOKUP(I1400,Setup!$A$9:$B$11,2,0),"???")&amp;"-"&amp;G1400&amp;"-"&amp;TEXT(COUNTIFS(I$5:I1400,I1400,G$5:G1400,G1400),"0000"))</f>
        <v/>
      </c>
      <c r="C1400" s="26"/>
      <c r="D1400" s="26"/>
      <c r="E1400" s="27"/>
      <c r="F1400" s="27"/>
      <c r="G1400" s="31" t="str">
        <f aca="false">IF(F1400="","",IF(F1400&lt;=5,"A",IF(F1400&lt;=8,"B",IF(F1400&lt;=10,"C","D"))))</f>
        <v/>
      </c>
      <c r="H1400" s="28"/>
      <c r="I1400" s="27"/>
      <c r="J1400" s="26"/>
      <c r="K1400" s="27"/>
      <c r="L1400" s="27"/>
      <c r="M1400" s="27"/>
      <c r="N1400" s="27"/>
      <c r="O1400" s="31" t="str">
        <f aca="false">IF(G1400="","",VLOOKUP(G1400,Setup!$A$14:$C$17,3,0))</f>
        <v/>
      </c>
      <c r="P1400" s="27"/>
      <c r="Q1400" s="33" t="str">
        <f aca="false">IF(OR(P1400="",M1400&lt;&gt;"Paid",O1400=""),"",P1400/O1400)</f>
        <v/>
      </c>
      <c r="R1400" s="34" t="str">
        <f aca="false">IF(Q1400="","",Q1400+N(H1400)*0.000000001)</f>
        <v/>
      </c>
      <c r="S1400" s="32" t="str">
        <f aca="false">IF(R1400="","",SUMPRODUCT((I$5:I$4004=I1400)*ISNUMBER(R$5:R$4004)*(R$5:R$4004&gt;R1400))+1)</f>
        <v/>
      </c>
      <c r="T1400" s="32" t="str">
        <f aca="false">IF(S1400="","",IF(S1400&lt;=Setup!$B$5,"🏆 WINNER",""))</f>
        <v/>
      </c>
      <c r="U1400" s="31" t="str">
        <f aca="false">IF(S1400="","",I1400&amp;"|"&amp;S1400)</f>
        <v/>
      </c>
    </row>
    <row r="1401" customFormat="false" ht="15" hidden="false" customHeight="false" outlineLevel="0" collapsed="false">
      <c r="A1401" s="24" t="n">
        <v>1397</v>
      </c>
      <c r="B1401" s="25" t="str">
        <f aca="false">IF(OR(C1401="",I1401="",G1401=""),"",IFERROR(VLOOKUP(I1401,Setup!$A$9:$B$11,2,0),"???")&amp;"-"&amp;G1401&amp;"-"&amp;TEXT(COUNTIFS(I$5:I1401,I1401,G$5:G1401,G1401),"0000"))</f>
        <v/>
      </c>
      <c r="C1401" s="26"/>
      <c r="D1401" s="26"/>
      <c r="E1401" s="27"/>
      <c r="F1401" s="27"/>
      <c r="G1401" s="24" t="str">
        <f aca="false">IF(F1401="","",IF(F1401&lt;=5,"A",IF(F1401&lt;=8,"B",IF(F1401&lt;=10,"C","D"))))</f>
        <v/>
      </c>
      <c r="H1401" s="28"/>
      <c r="I1401" s="27"/>
      <c r="J1401" s="26"/>
      <c r="K1401" s="27"/>
      <c r="L1401" s="27"/>
      <c r="M1401" s="27"/>
      <c r="N1401" s="27"/>
      <c r="O1401" s="24" t="str">
        <f aca="false">IF(G1401="","",VLOOKUP(G1401,Setup!$A$14:$C$17,3,0))</f>
        <v/>
      </c>
      <c r="P1401" s="27"/>
      <c r="Q1401" s="29" t="str">
        <f aca="false">IF(OR(P1401="",M1401&lt;&gt;"Paid",O1401=""),"",P1401/O1401)</f>
        <v/>
      </c>
      <c r="R1401" s="30" t="str">
        <f aca="false">IF(Q1401="","",Q1401+N(H1401)*0.000000001)</f>
        <v/>
      </c>
      <c r="S1401" s="25" t="str">
        <f aca="false">IF(R1401="","",SUMPRODUCT((I$5:I$4004=I1401)*ISNUMBER(R$5:R$4004)*(R$5:R$4004&gt;R1401))+1)</f>
        <v/>
      </c>
      <c r="T1401" s="25" t="str">
        <f aca="false">IF(S1401="","",IF(S1401&lt;=Setup!$B$5,"🏆 WINNER",""))</f>
        <v/>
      </c>
      <c r="U1401" s="24" t="str">
        <f aca="false">IF(S1401="","",I1401&amp;"|"&amp;S1401)</f>
        <v/>
      </c>
    </row>
    <row r="1402" customFormat="false" ht="15" hidden="false" customHeight="false" outlineLevel="0" collapsed="false">
      <c r="A1402" s="31" t="n">
        <v>1398</v>
      </c>
      <c r="B1402" s="32" t="str">
        <f aca="false">IF(OR(C1402="",I1402="",G1402=""),"",IFERROR(VLOOKUP(I1402,Setup!$A$9:$B$11,2,0),"???")&amp;"-"&amp;G1402&amp;"-"&amp;TEXT(COUNTIFS(I$5:I1402,I1402,G$5:G1402,G1402),"0000"))</f>
        <v/>
      </c>
      <c r="C1402" s="26"/>
      <c r="D1402" s="26"/>
      <c r="E1402" s="27"/>
      <c r="F1402" s="27"/>
      <c r="G1402" s="31" t="str">
        <f aca="false">IF(F1402="","",IF(F1402&lt;=5,"A",IF(F1402&lt;=8,"B",IF(F1402&lt;=10,"C","D"))))</f>
        <v/>
      </c>
      <c r="H1402" s="28"/>
      <c r="I1402" s="27"/>
      <c r="J1402" s="26"/>
      <c r="K1402" s="27"/>
      <c r="L1402" s="27"/>
      <c r="M1402" s="27"/>
      <c r="N1402" s="27"/>
      <c r="O1402" s="31" t="str">
        <f aca="false">IF(G1402="","",VLOOKUP(G1402,Setup!$A$14:$C$17,3,0))</f>
        <v/>
      </c>
      <c r="P1402" s="27"/>
      <c r="Q1402" s="33" t="str">
        <f aca="false">IF(OR(P1402="",M1402&lt;&gt;"Paid",O1402=""),"",P1402/O1402)</f>
        <v/>
      </c>
      <c r="R1402" s="34" t="str">
        <f aca="false">IF(Q1402="","",Q1402+N(H1402)*0.000000001)</f>
        <v/>
      </c>
      <c r="S1402" s="32" t="str">
        <f aca="false">IF(R1402="","",SUMPRODUCT((I$5:I$4004=I1402)*ISNUMBER(R$5:R$4004)*(R$5:R$4004&gt;R1402))+1)</f>
        <v/>
      </c>
      <c r="T1402" s="32" t="str">
        <f aca="false">IF(S1402="","",IF(S1402&lt;=Setup!$B$5,"🏆 WINNER",""))</f>
        <v/>
      </c>
      <c r="U1402" s="31" t="str">
        <f aca="false">IF(S1402="","",I1402&amp;"|"&amp;S1402)</f>
        <v/>
      </c>
    </row>
    <row r="1403" customFormat="false" ht="15" hidden="false" customHeight="false" outlineLevel="0" collapsed="false">
      <c r="A1403" s="24" t="n">
        <v>1399</v>
      </c>
      <c r="B1403" s="25" t="str">
        <f aca="false">IF(OR(C1403="",I1403="",G1403=""),"",IFERROR(VLOOKUP(I1403,Setup!$A$9:$B$11,2,0),"???")&amp;"-"&amp;G1403&amp;"-"&amp;TEXT(COUNTIFS(I$5:I1403,I1403,G$5:G1403,G1403),"0000"))</f>
        <v/>
      </c>
      <c r="C1403" s="26"/>
      <c r="D1403" s="26"/>
      <c r="E1403" s="27"/>
      <c r="F1403" s="27"/>
      <c r="G1403" s="24" t="str">
        <f aca="false">IF(F1403="","",IF(F1403&lt;=5,"A",IF(F1403&lt;=8,"B",IF(F1403&lt;=10,"C","D"))))</f>
        <v/>
      </c>
      <c r="H1403" s="28"/>
      <c r="I1403" s="27"/>
      <c r="J1403" s="26"/>
      <c r="K1403" s="27"/>
      <c r="L1403" s="27"/>
      <c r="M1403" s="27"/>
      <c r="N1403" s="27"/>
      <c r="O1403" s="24" t="str">
        <f aca="false">IF(G1403="","",VLOOKUP(G1403,Setup!$A$14:$C$17,3,0))</f>
        <v/>
      </c>
      <c r="P1403" s="27"/>
      <c r="Q1403" s="29" t="str">
        <f aca="false">IF(OR(P1403="",M1403&lt;&gt;"Paid",O1403=""),"",P1403/O1403)</f>
        <v/>
      </c>
      <c r="R1403" s="30" t="str">
        <f aca="false">IF(Q1403="","",Q1403+N(H1403)*0.000000001)</f>
        <v/>
      </c>
      <c r="S1403" s="25" t="str">
        <f aca="false">IF(R1403="","",SUMPRODUCT((I$5:I$4004=I1403)*ISNUMBER(R$5:R$4004)*(R$5:R$4004&gt;R1403))+1)</f>
        <v/>
      </c>
      <c r="T1403" s="25" t="str">
        <f aca="false">IF(S1403="","",IF(S1403&lt;=Setup!$B$5,"🏆 WINNER",""))</f>
        <v/>
      </c>
      <c r="U1403" s="24" t="str">
        <f aca="false">IF(S1403="","",I1403&amp;"|"&amp;S1403)</f>
        <v/>
      </c>
    </row>
    <row r="1404" customFormat="false" ht="15" hidden="false" customHeight="false" outlineLevel="0" collapsed="false">
      <c r="A1404" s="31" t="n">
        <v>1400</v>
      </c>
      <c r="B1404" s="32" t="str">
        <f aca="false">IF(OR(C1404="",I1404="",G1404=""),"",IFERROR(VLOOKUP(I1404,Setup!$A$9:$B$11,2,0),"???")&amp;"-"&amp;G1404&amp;"-"&amp;TEXT(COUNTIFS(I$5:I1404,I1404,G$5:G1404,G1404),"0000"))</f>
        <v/>
      </c>
      <c r="C1404" s="26"/>
      <c r="D1404" s="26"/>
      <c r="E1404" s="27"/>
      <c r="F1404" s="27"/>
      <c r="G1404" s="31" t="str">
        <f aca="false">IF(F1404="","",IF(F1404&lt;=5,"A",IF(F1404&lt;=8,"B",IF(F1404&lt;=10,"C","D"))))</f>
        <v/>
      </c>
      <c r="H1404" s="28"/>
      <c r="I1404" s="27"/>
      <c r="J1404" s="26"/>
      <c r="K1404" s="27"/>
      <c r="L1404" s="27"/>
      <c r="M1404" s="27"/>
      <c r="N1404" s="27"/>
      <c r="O1404" s="31" t="str">
        <f aca="false">IF(G1404="","",VLOOKUP(G1404,Setup!$A$14:$C$17,3,0))</f>
        <v/>
      </c>
      <c r="P1404" s="27"/>
      <c r="Q1404" s="33" t="str">
        <f aca="false">IF(OR(P1404="",M1404&lt;&gt;"Paid",O1404=""),"",P1404/O1404)</f>
        <v/>
      </c>
      <c r="R1404" s="34" t="str">
        <f aca="false">IF(Q1404="","",Q1404+N(H1404)*0.000000001)</f>
        <v/>
      </c>
      <c r="S1404" s="32" t="str">
        <f aca="false">IF(R1404="","",SUMPRODUCT((I$5:I$4004=I1404)*ISNUMBER(R$5:R$4004)*(R$5:R$4004&gt;R1404))+1)</f>
        <v/>
      </c>
      <c r="T1404" s="32" t="str">
        <f aca="false">IF(S1404="","",IF(S1404&lt;=Setup!$B$5,"🏆 WINNER",""))</f>
        <v/>
      </c>
      <c r="U1404" s="31" t="str">
        <f aca="false">IF(S1404="","",I1404&amp;"|"&amp;S1404)</f>
        <v/>
      </c>
    </row>
    <row r="1405" customFormat="false" ht="15" hidden="false" customHeight="false" outlineLevel="0" collapsed="false">
      <c r="A1405" s="24" t="n">
        <v>1401</v>
      </c>
      <c r="B1405" s="25" t="str">
        <f aca="false">IF(OR(C1405="",I1405="",G1405=""),"",IFERROR(VLOOKUP(I1405,Setup!$A$9:$B$11,2,0),"???")&amp;"-"&amp;G1405&amp;"-"&amp;TEXT(COUNTIFS(I$5:I1405,I1405,G$5:G1405,G1405),"0000"))</f>
        <v/>
      </c>
      <c r="C1405" s="26"/>
      <c r="D1405" s="26"/>
      <c r="E1405" s="27"/>
      <c r="F1405" s="27"/>
      <c r="G1405" s="24" t="str">
        <f aca="false">IF(F1405="","",IF(F1405&lt;=5,"A",IF(F1405&lt;=8,"B",IF(F1405&lt;=10,"C","D"))))</f>
        <v/>
      </c>
      <c r="H1405" s="28"/>
      <c r="I1405" s="27"/>
      <c r="J1405" s="26"/>
      <c r="K1405" s="27"/>
      <c r="L1405" s="27"/>
      <c r="M1405" s="27"/>
      <c r="N1405" s="27"/>
      <c r="O1405" s="24" t="str">
        <f aca="false">IF(G1405="","",VLOOKUP(G1405,Setup!$A$14:$C$17,3,0))</f>
        <v/>
      </c>
      <c r="P1405" s="27"/>
      <c r="Q1405" s="29" t="str">
        <f aca="false">IF(OR(P1405="",M1405&lt;&gt;"Paid",O1405=""),"",P1405/O1405)</f>
        <v/>
      </c>
      <c r="R1405" s="30" t="str">
        <f aca="false">IF(Q1405="","",Q1405+N(H1405)*0.000000001)</f>
        <v/>
      </c>
      <c r="S1405" s="25" t="str">
        <f aca="false">IF(R1405="","",SUMPRODUCT((I$5:I$4004=I1405)*ISNUMBER(R$5:R$4004)*(R$5:R$4004&gt;R1405))+1)</f>
        <v/>
      </c>
      <c r="T1405" s="25" t="str">
        <f aca="false">IF(S1405="","",IF(S1405&lt;=Setup!$B$5,"🏆 WINNER",""))</f>
        <v/>
      </c>
      <c r="U1405" s="24" t="str">
        <f aca="false">IF(S1405="","",I1405&amp;"|"&amp;S1405)</f>
        <v/>
      </c>
    </row>
    <row r="1406" customFormat="false" ht="15" hidden="false" customHeight="false" outlineLevel="0" collapsed="false">
      <c r="A1406" s="31" t="n">
        <v>1402</v>
      </c>
      <c r="B1406" s="32" t="str">
        <f aca="false">IF(OR(C1406="",I1406="",G1406=""),"",IFERROR(VLOOKUP(I1406,Setup!$A$9:$B$11,2,0),"???")&amp;"-"&amp;G1406&amp;"-"&amp;TEXT(COUNTIFS(I$5:I1406,I1406,G$5:G1406,G1406),"0000"))</f>
        <v/>
      </c>
      <c r="C1406" s="26"/>
      <c r="D1406" s="26"/>
      <c r="E1406" s="27"/>
      <c r="F1406" s="27"/>
      <c r="G1406" s="31" t="str">
        <f aca="false">IF(F1406="","",IF(F1406&lt;=5,"A",IF(F1406&lt;=8,"B",IF(F1406&lt;=10,"C","D"))))</f>
        <v/>
      </c>
      <c r="H1406" s="28"/>
      <c r="I1406" s="27"/>
      <c r="J1406" s="26"/>
      <c r="K1406" s="27"/>
      <c r="L1406" s="27"/>
      <c r="M1406" s="27"/>
      <c r="N1406" s="27"/>
      <c r="O1406" s="31" t="str">
        <f aca="false">IF(G1406="","",VLOOKUP(G1406,Setup!$A$14:$C$17,3,0))</f>
        <v/>
      </c>
      <c r="P1406" s="27"/>
      <c r="Q1406" s="33" t="str">
        <f aca="false">IF(OR(P1406="",M1406&lt;&gt;"Paid",O1406=""),"",P1406/O1406)</f>
        <v/>
      </c>
      <c r="R1406" s="34" t="str">
        <f aca="false">IF(Q1406="","",Q1406+N(H1406)*0.000000001)</f>
        <v/>
      </c>
      <c r="S1406" s="32" t="str">
        <f aca="false">IF(R1406="","",SUMPRODUCT((I$5:I$4004=I1406)*ISNUMBER(R$5:R$4004)*(R$5:R$4004&gt;R1406))+1)</f>
        <v/>
      </c>
      <c r="T1406" s="32" t="str">
        <f aca="false">IF(S1406="","",IF(S1406&lt;=Setup!$B$5,"🏆 WINNER",""))</f>
        <v/>
      </c>
      <c r="U1406" s="31" t="str">
        <f aca="false">IF(S1406="","",I1406&amp;"|"&amp;S1406)</f>
        <v/>
      </c>
    </row>
    <row r="1407" customFormat="false" ht="15" hidden="false" customHeight="false" outlineLevel="0" collapsed="false">
      <c r="A1407" s="24" t="n">
        <v>1403</v>
      </c>
      <c r="B1407" s="25" t="str">
        <f aca="false">IF(OR(C1407="",I1407="",G1407=""),"",IFERROR(VLOOKUP(I1407,Setup!$A$9:$B$11,2,0),"???")&amp;"-"&amp;G1407&amp;"-"&amp;TEXT(COUNTIFS(I$5:I1407,I1407,G$5:G1407,G1407),"0000"))</f>
        <v/>
      </c>
      <c r="C1407" s="26"/>
      <c r="D1407" s="26"/>
      <c r="E1407" s="27"/>
      <c r="F1407" s="27"/>
      <c r="G1407" s="24" t="str">
        <f aca="false">IF(F1407="","",IF(F1407&lt;=5,"A",IF(F1407&lt;=8,"B",IF(F1407&lt;=10,"C","D"))))</f>
        <v/>
      </c>
      <c r="H1407" s="28"/>
      <c r="I1407" s="27"/>
      <c r="J1407" s="26"/>
      <c r="K1407" s="27"/>
      <c r="L1407" s="27"/>
      <c r="M1407" s="27"/>
      <c r="N1407" s="27"/>
      <c r="O1407" s="24" t="str">
        <f aca="false">IF(G1407="","",VLOOKUP(G1407,Setup!$A$14:$C$17,3,0))</f>
        <v/>
      </c>
      <c r="P1407" s="27"/>
      <c r="Q1407" s="29" t="str">
        <f aca="false">IF(OR(P1407="",M1407&lt;&gt;"Paid",O1407=""),"",P1407/O1407)</f>
        <v/>
      </c>
      <c r="R1407" s="30" t="str">
        <f aca="false">IF(Q1407="","",Q1407+N(H1407)*0.000000001)</f>
        <v/>
      </c>
      <c r="S1407" s="25" t="str">
        <f aca="false">IF(R1407="","",SUMPRODUCT((I$5:I$4004=I1407)*ISNUMBER(R$5:R$4004)*(R$5:R$4004&gt;R1407))+1)</f>
        <v/>
      </c>
      <c r="T1407" s="25" t="str">
        <f aca="false">IF(S1407="","",IF(S1407&lt;=Setup!$B$5,"🏆 WINNER",""))</f>
        <v/>
      </c>
      <c r="U1407" s="24" t="str">
        <f aca="false">IF(S1407="","",I1407&amp;"|"&amp;S1407)</f>
        <v/>
      </c>
    </row>
    <row r="1408" customFormat="false" ht="15" hidden="false" customHeight="false" outlineLevel="0" collapsed="false">
      <c r="A1408" s="31" t="n">
        <v>1404</v>
      </c>
      <c r="B1408" s="32" t="str">
        <f aca="false">IF(OR(C1408="",I1408="",G1408=""),"",IFERROR(VLOOKUP(I1408,Setup!$A$9:$B$11,2,0),"???")&amp;"-"&amp;G1408&amp;"-"&amp;TEXT(COUNTIFS(I$5:I1408,I1408,G$5:G1408,G1408),"0000"))</f>
        <v/>
      </c>
      <c r="C1408" s="26"/>
      <c r="D1408" s="26"/>
      <c r="E1408" s="27"/>
      <c r="F1408" s="27"/>
      <c r="G1408" s="31" t="str">
        <f aca="false">IF(F1408="","",IF(F1408&lt;=5,"A",IF(F1408&lt;=8,"B",IF(F1408&lt;=10,"C","D"))))</f>
        <v/>
      </c>
      <c r="H1408" s="28"/>
      <c r="I1408" s="27"/>
      <c r="J1408" s="26"/>
      <c r="K1408" s="27"/>
      <c r="L1408" s="27"/>
      <c r="M1408" s="27"/>
      <c r="N1408" s="27"/>
      <c r="O1408" s="31" t="str">
        <f aca="false">IF(G1408="","",VLOOKUP(G1408,Setup!$A$14:$C$17,3,0))</f>
        <v/>
      </c>
      <c r="P1408" s="27"/>
      <c r="Q1408" s="33" t="str">
        <f aca="false">IF(OR(P1408="",M1408&lt;&gt;"Paid",O1408=""),"",P1408/O1408)</f>
        <v/>
      </c>
      <c r="R1408" s="34" t="str">
        <f aca="false">IF(Q1408="","",Q1408+N(H1408)*0.000000001)</f>
        <v/>
      </c>
      <c r="S1408" s="32" t="str">
        <f aca="false">IF(R1408="","",SUMPRODUCT((I$5:I$4004=I1408)*ISNUMBER(R$5:R$4004)*(R$5:R$4004&gt;R1408))+1)</f>
        <v/>
      </c>
      <c r="T1408" s="32" t="str">
        <f aca="false">IF(S1408="","",IF(S1408&lt;=Setup!$B$5,"🏆 WINNER",""))</f>
        <v/>
      </c>
      <c r="U1408" s="31" t="str">
        <f aca="false">IF(S1408="","",I1408&amp;"|"&amp;S1408)</f>
        <v/>
      </c>
    </row>
    <row r="1409" customFormat="false" ht="15" hidden="false" customHeight="false" outlineLevel="0" collapsed="false">
      <c r="A1409" s="24" t="n">
        <v>1405</v>
      </c>
      <c r="B1409" s="25" t="str">
        <f aca="false">IF(OR(C1409="",I1409="",G1409=""),"",IFERROR(VLOOKUP(I1409,Setup!$A$9:$B$11,2,0),"???")&amp;"-"&amp;G1409&amp;"-"&amp;TEXT(COUNTIFS(I$5:I1409,I1409,G$5:G1409,G1409),"0000"))</f>
        <v/>
      </c>
      <c r="C1409" s="26"/>
      <c r="D1409" s="26"/>
      <c r="E1409" s="27"/>
      <c r="F1409" s="27"/>
      <c r="G1409" s="24" t="str">
        <f aca="false">IF(F1409="","",IF(F1409&lt;=5,"A",IF(F1409&lt;=8,"B",IF(F1409&lt;=10,"C","D"))))</f>
        <v/>
      </c>
      <c r="H1409" s="28"/>
      <c r="I1409" s="27"/>
      <c r="J1409" s="26"/>
      <c r="K1409" s="27"/>
      <c r="L1409" s="27"/>
      <c r="M1409" s="27"/>
      <c r="N1409" s="27"/>
      <c r="O1409" s="24" t="str">
        <f aca="false">IF(G1409="","",VLOOKUP(G1409,Setup!$A$14:$C$17,3,0))</f>
        <v/>
      </c>
      <c r="P1409" s="27"/>
      <c r="Q1409" s="29" t="str">
        <f aca="false">IF(OR(P1409="",M1409&lt;&gt;"Paid",O1409=""),"",P1409/O1409)</f>
        <v/>
      </c>
      <c r="R1409" s="30" t="str">
        <f aca="false">IF(Q1409="","",Q1409+N(H1409)*0.000000001)</f>
        <v/>
      </c>
      <c r="S1409" s="25" t="str">
        <f aca="false">IF(R1409="","",SUMPRODUCT((I$5:I$4004=I1409)*ISNUMBER(R$5:R$4004)*(R$5:R$4004&gt;R1409))+1)</f>
        <v/>
      </c>
      <c r="T1409" s="25" t="str">
        <f aca="false">IF(S1409="","",IF(S1409&lt;=Setup!$B$5,"🏆 WINNER",""))</f>
        <v/>
      </c>
      <c r="U1409" s="24" t="str">
        <f aca="false">IF(S1409="","",I1409&amp;"|"&amp;S1409)</f>
        <v/>
      </c>
    </row>
    <row r="1410" customFormat="false" ht="15" hidden="false" customHeight="false" outlineLevel="0" collapsed="false">
      <c r="A1410" s="31" t="n">
        <v>1406</v>
      </c>
      <c r="B1410" s="32" t="str">
        <f aca="false">IF(OR(C1410="",I1410="",G1410=""),"",IFERROR(VLOOKUP(I1410,Setup!$A$9:$B$11,2,0),"???")&amp;"-"&amp;G1410&amp;"-"&amp;TEXT(COUNTIFS(I$5:I1410,I1410,G$5:G1410,G1410),"0000"))</f>
        <v/>
      </c>
      <c r="C1410" s="26"/>
      <c r="D1410" s="26"/>
      <c r="E1410" s="27"/>
      <c r="F1410" s="27"/>
      <c r="G1410" s="31" t="str">
        <f aca="false">IF(F1410="","",IF(F1410&lt;=5,"A",IF(F1410&lt;=8,"B",IF(F1410&lt;=10,"C","D"))))</f>
        <v/>
      </c>
      <c r="H1410" s="28"/>
      <c r="I1410" s="27"/>
      <c r="J1410" s="26"/>
      <c r="K1410" s="27"/>
      <c r="L1410" s="27"/>
      <c r="M1410" s="27"/>
      <c r="N1410" s="27"/>
      <c r="O1410" s="31" t="str">
        <f aca="false">IF(G1410="","",VLOOKUP(G1410,Setup!$A$14:$C$17,3,0))</f>
        <v/>
      </c>
      <c r="P1410" s="27"/>
      <c r="Q1410" s="33" t="str">
        <f aca="false">IF(OR(P1410="",M1410&lt;&gt;"Paid",O1410=""),"",P1410/O1410)</f>
        <v/>
      </c>
      <c r="R1410" s="34" t="str">
        <f aca="false">IF(Q1410="","",Q1410+N(H1410)*0.000000001)</f>
        <v/>
      </c>
      <c r="S1410" s="32" t="str">
        <f aca="false">IF(R1410="","",SUMPRODUCT((I$5:I$4004=I1410)*ISNUMBER(R$5:R$4004)*(R$5:R$4004&gt;R1410))+1)</f>
        <v/>
      </c>
      <c r="T1410" s="32" t="str">
        <f aca="false">IF(S1410="","",IF(S1410&lt;=Setup!$B$5,"🏆 WINNER",""))</f>
        <v/>
      </c>
      <c r="U1410" s="31" t="str">
        <f aca="false">IF(S1410="","",I1410&amp;"|"&amp;S1410)</f>
        <v/>
      </c>
    </row>
    <row r="1411" customFormat="false" ht="15" hidden="false" customHeight="false" outlineLevel="0" collapsed="false">
      <c r="A1411" s="24" t="n">
        <v>1407</v>
      </c>
      <c r="B1411" s="25" t="str">
        <f aca="false">IF(OR(C1411="",I1411="",G1411=""),"",IFERROR(VLOOKUP(I1411,Setup!$A$9:$B$11,2,0),"???")&amp;"-"&amp;G1411&amp;"-"&amp;TEXT(COUNTIFS(I$5:I1411,I1411,G$5:G1411,G1411),"0000"))</f>
        <v/>
      </c>
      <c r="C1411" s="26"/>
      <c r="D1411" s="26"/>
      <c r="E1411" s="27"/>
      <c r="F1411" s="27"/>
      <c r="G1411" s="24" t="str">
        <f aca="false">IF(F1411="","",IF(F1411&lt;=5,"A",IF(F1411&lt;=8,"B",IF(F1411&lt;=10,"C","D"))))</f>
        <v/>
      </c>
      <c r="H1411" s="28"/>
      <c r="I1411" s="27"/>
      <c r="J1411" s="26"/>
      <c r="K1411" s="27"/>
      <c r="L1411" s="27"/>
      <c r="M1411" s="27"/>
      <c r="N1411" s="27"/>
      <c r="O1411" s="24" t="str">
        <f aca="false">IF(G1411="","",VLOOKUP(G1411,Setup!$A$14:$C$17,3,0))</f>
        <v/>
      </c>
      <c r="P1411" s="27"/>
      <c r="Q1411" s="29" t="str">
        <f aca="false">IF(OR(P1411="",M1411&lt;&gt;"Paid",O1411=""),"",P1411/O1411)</f>
        <v/>
      </c>
      <c r="R1411" s="30" t="str">
        <f aca="false">IF(Q1411="","",Q1411+N(H1411)*0.000000001)</f>
        <v/>
      </c>
      <c r="S1411" s="25" t="str">
        <f aca="false">IF(R1411="","",SUMPRODUCT((I$5:I$4004=I1411)*ISNUMBER(R$5:R$4004)*(R$5:R$4004&gt;R1411))+1)</f>
        <v/>
      </c>
      <c r="T1411" s="25" t="str">
        <f aca="false">IF(S1411="","",IF(S1411&lt;=Setup!$B$5,"🏆 WINNER",""))</f>
        <v/>
      </c>
      <c r="U1411" s="24" t="str">
        <f aca="false">IF(S1411="","",I1411&amp;"|"&amp;S1411)</f>
        <v/>
      </c>
    </row>
    <row r="1412" customFormat="false" ht="15" hidden="false" customHeight="false" outlineLevel="0" collapsed="false">
      <c r="A1412" s="31" t="n">
        <v>1408</v>
      </c>
      <c r="B1412" s="32" t="str">
        <f aca="false">IF(OR(C1412="",I1412="",G1412=""),"",IFERROR(VLOOKUP(I1412,Setup!$A$9:$B$11,2,0),"???")&amp;"-"&amp;G1412&amp;"-"&amp;TEXT(COUNTIFS(I$5:I1412,I1412,G$5:G1412,G1412),"0000"))</f>
        <v/>
      </c>
      <c r="C1412" s="26"/>
      <c r="D1412" s="26"/>
      <c r="E1412" s="27"/>
      <c r="F1412" s="27"/>
      <c r="G1412" s="31" t="str">
        <f aca="false">IF(F1412="","",IF(F1412&lt;=5,"A",IF(F1412&lt;=8,"B",IF(F1412&lt;=10,"C","D"))))</f>
        <v/>
      </c>
      <c r="H1412" s="28"/>
      <c r="I1412" s="27"/>
      <c r="J1412" s="26"/>
      <c r="K1412" s="27"/>
      <c r="L1412" s="27"/>
      <c r="M1412" s="27"/>
      <c r="N1412" s="27"/>
      <c r="O1412" s="31" t="str">
        <f aca="false">IF(G1412="","",VLOOKUP(G1412,Setup!$A$14:$C$17,3,0))</f>
        <v/>
      </c>
      <c r="P1412" s="27"/>
      <c r="Q1412" s="33" t="str">
        <f aca="false">IF(OR(P1412="",M1412&lt;&gt;"Paid",O1412=""),"",P1412/O1412)</f>
        <v/>
      </c>
      <c r="R1412" s="34" t="str">
        <f aca="false">IF(Q1412="","",Q1412+N(H1412)*0.000000001)</f>
        <v/>
      </c>
      <c r="S1412" s="32" t="str">
        <f aca="false">IF(R1412="","",SUMPRODUCT((I$5:I$4004=I1412)*ISNUMBER(R$5:R$4004)*(R$5:R$4004&gt;R1412))+1)</f>
        <v/>
      </c>
      <c r="T1412" s="32" t="str">
        <f aca="false">IF(S1412="","",IF(S1412&lt;=Setup!$B$5,"🏆 WINNER",""))</f>
        <v/>
      </c>
      <c r="U1412" s="31" t="str">
        <f aca="false">IF(S1412="","",I1412&amp;"|"&amp;S1412)</f>
        <v/>
      </c>
    </row>
    <row r="1413" customFormat="false" ht="15" hidden="false" customHeight="false" outlineLevel="0" collapsed="false">
      <c r="A1413" s="24" t="n">
        <v>1409</v>
      </c>
      <c r="B1413" s="25" t="str">
        <f aca="false">IF(OR(C1413="",I1413="",G1413=""),"",IFERROR(VLOOKUP(I1413,Setup!$A$9:$B$11,2,0),"???")&amp;"-"&amp;G1413&amp;"-"&amp;TEXT(COUNTIFS(I$5:I1413,I1413,G$5:G1413,G1413),"0000"))</f>
        <v/>
      </c>
      <c r="C1413" s="26"/>
      <c r="D1413" s="26"/>
      <c r="E1413" s="27"/>
      <c r="F1413" s="27"/>
      <c r="G1413" s="24" t="str">
        <f aca="false">IF(F1413="","",IF(F1413&lt;=5,"A",IF(F1413&lt;=8,"B",IF(F1413&lt;=10,"C","D"))))</f>
        <v/>
      </c>
      <c r="H1413" s="28"/>
      <c r="I1413" s="27"/>
      <c r="J1413" s="26"/>
      <c r="K1413" s="27"/>
      <c r="L1413" s="27"/>
      <c r="M1413" s="27"/>
      <c r="N1413" s="27"/>
      <c r="O1413" s="24" t="str">
        <f aca="false">IF(G1413="","",VLOOKUP(G1413,Setup!$A$14:$C$17,3,0))</f>
        <v/>
      </c>
      <c r="P1413" s="27"/>
      <c r="Q1413" s="29" t="str">
        <f aca="false">IF(OR(P1413="",M1413&lt;&gt;"Paid",O1413=""),"",P1413/O1413)</f>
        <v/>
      </c>
      <c r="R1413" s="30" t="str">
        <f aca="false">IF(Q1413="","",Q1413+N(H1413)*0.000000001)</f>
        <v/>
      </c>
      <c r="S1413" s="25" t="str">
        <f aca="false">IF(R1413="","",SUMPRODUCT((I$5:I$4004=I1413)*ISNUMBER(R$5:R$4004)*(R$5:R$4004&gt;R1413))+1)</f>
        <v/>
      </c>
      <c r="T1413" s="25" t="str">
        <f aca="false">IF(S1413="","",IF(S1413&lt;=Setup!$B$5,"🏆 WINNER",""))</f>
        <v/>
      </c>
      <c r="U1413" s="24" t="str">
        <f aca="false">IF(S1413="","",I1413&amp;"|"&amp;S1413)</f>
        <v/>
      </c>
    </row>
    <row r="1414" customFormat="false" ht="15" hidden="false" customHeight="false" outlineLevel="0" collapsed="false">
      <c r="A1414" s="31" t="n">
        <v>1410</v>
      </c>
      <c r="B1414" s="32" t="str">
        <f aca="false">IF(OR(C1414="",I1414="",G1414=""),"",IFERROR(VLOOKUP(I1414,Setup!$A$9:$B$11,2,0),"???")&amp;"-"&amp;G1414&amp;"-"&amp;TEXT(COUNTIFS(I$5:I1414,I1414,G$5:G1414,G1414),"0000"))</f>
        <v/>
      </c>
      <c r="C1414" s="26"/>
      <c r="D1414" s="26"/>
      <c r="E1414" s="27"/>
      <c r="F1414" s="27"/>
      <c r="G1414" s="31" t="str">
        <f aca="false">IF(F1414="","",IF(F1414&lt;=5,"A",IF(F1414&lt;=8,"B",IF(F1414&lt;=10,"C","D"))))</f>
        <v/>
      </c>
      <c r="H1414" s="28"/>
      <c r="I1414" s="27"/>
      <c r="J1414" s="26"/>
      <c r="K1414" s="27"/>
      <c r="L1414" s="27"/>
      <c r="M1414" s="27"/>
      <c r="N1414" s="27"/>
      <c r="O1414" s="31" t="str">
        <f aca="false">IF(G1414="","",VLOOKUP(G1414,Setup!$A$14:$C$17,3,0))</f>
        <v/>
      </c>
      <c r="P1414" s="27"/>
      <c r="Q1414" s="33" t="str">
        <f aca="false">IF(OR(P1414="",M1414&lt;&gt;"Paid",O1414=""),"",P1414/O1414)</f>
        <v/>
      </c>
      <c r="R1414" s="34" t="str">
        <f aca="false">IF(Q1414="","",Q1414+N(H1414)*0.000000001)</f>
        <v/>
      </c>
      <c r="S1414" s="32" t="str">
        <f aca="false">IF(R1414="","",SUMPRODUCT((I$5:I$4004=I1414)*ISNUMBER(R$5:R$4004)*(R$5:R$4004&gt;R1414))+1)</f>
        <v/>
      </c>
      <c r="T1414" s="32" t="str">
        <f aca="false">IF(S1414="","",IF(S1414&lt;=Setup!$B$5,"🏆 WINNER",""))</f>
        <v/>
      </c>
      <c r="U1414" s="31" t="str">
        <f aca="false">IF(S1414="","",I1414&amp;"|"&amp;S1414)</f>
        <v/>
      </c>
    </row>
    <row r="1415" customFormat="false" ht="15" hidden="false" customHeight="false" outlineLevel="0" collapsed="false">
      <c r="A1415" s="24" t="n">
        <v>1411</v>
      </c>
      <c r="B1415" s="25" t="str">
        <f aca="false">IF(OR(C1415="",I1415="",G1415=""),"",IFERROR(VLOOKUP(I1415,Setup!$A$9:$B$11,2,0),"???")&amp;"-"&amp;G1415&amp;"-"&amp;TEXT(COUNTIFS(I$5:I1415,I1415,G$5:G1415,G1415),"0000"))</f>
        <v/>
      </c>
      <c r="C1415" s="26"/>
      <c r="D1415" s="26"/>
      <c r="E1415" s="27"/>
      <c r="F1415" s="27"/>
      <c r="G1415" s="24" t="str">
        <f aca="false">IF(F1415="","",IF(F1415&lt;=5,"A",IF(F1415&lt;=8,"B",IF(F1415&lt;=10,"C","D"))))</f>
        <v/>
      </c>
      <c r="H1415" s="28"/>
      <c r="I1415" s="27"/>
      <c r="J1415" s="26"/>
      <c r="K1415" s="27"/>
      <c r="L1415" s="27"/>
      <c r="M1415" s="27"/>
      <c r="N1415" s="27"/>
      <c r="O1415" s="24" t="str">
        <f aca="false">IF(G1415="","",VLOOKUP(G1415,Setup!$A$14:$C$17,3,0))</f>
        <v/>
      </c>
      <c r="P1415" s="27"/>
      <c r="Q1415" s="29" t="str">
        <f aca="false">IF(OR(P1415="",M1415&lt;&gt;"Paid",O1415=""),"",P1415/O1415)</f>
        <v/>
      </c>
      <c r="R1415" s="30" t="str">
        <f aca="false">IF(Q1415="","",Q1415+N(H1415)*0.000000001)</f>
        <v/>
      </c>
      <c r="S1415" s="25" t="str">
        <f aca="false">IF(R1415="","",SUMPRODUCT((I$5:I$4004=I1415)*ISNUMBER(R$5:R$4004)*(R$5:R$4004&gt;R1415))+1)</f>
        <v/>
      </c>
      <c r="T1415" s="25" t="str">
        <f aca="false">IF(S1415="","",IF(S1415&lt;=Setup!$B$5,"🏆 WINNER",""))</f>
        <v/>
      </c>
      <c r="U1415" s="24" t="str">
        <f aca="false">IF(S1415="","",I1415&amp;"|"&amp;S1415)</f>
        <v/>
      </c>
    </row>
    <row r="1416" customFormat="false" ht="15" hidden="false" customHeight="false" outlineLevel="0" collapsed="false">
      <c r="A1416" s="31" t="n">
        <v>1412</v>
      </c>
      <c r="B1416" s="32" t="str">
        <f aca="false">IF(OR(C1416="",I1416="",G1416=""),"",IFERROR(VLOOKUP(I1416,Setup!$A$9:$B$11,2,0),"???")&amp;"-"&amp;G1416&amp;"-"&amp;TEXT(COUNTIFS(I$5:I1416,I1416,G$5:G1416,G1416),"0000"))</f>
        <v/>
      </c>
      <c r="C1416" s="26"/>
      <c r="D1416" s="26"/>
      <c r="E1416" s="27"/>
      <c r="F1416" s="27"/>
      <c r="G1416" s="31" t="str">
        <f aca="false">IF(F1416="","",IF(F1416&lt;=5,"A",IF(F1416&lt;=8,"B",IF(F1416&lt;=10,"C","D"))))</f>
        <v/>
      </c>
      <c r="H1416" s="28"/>
      <c r="I1416" s="27"/>
      <c r="J1416" s="26"/>
      <c r="K1416" s="27"/>
      <c r="L1416" s="27"/>
      <c r="M1416" s="27"/>
      <c r="N1416" s="27"/>
      <c r="O1416" s="31" t="str">
        <f aca="false">IF(G1416="","",VLOOKUP(G1416,Setup!$A$14:$C$17,3,0))</f>
        <v/>
      </c>
      <c r="P1416" s="27"/>
      <c r="Q1416" s="33" t="str">
        <f aca="false">IF(OR(P1416="",M1416&lt;&gt;"Paid",O1416=""),"",P1416/O1416)</f>
        <v/>
      </c>
      <c r="R1416" s="34" t="str">
        <f aca="false">IF(Q1416="","",Q1416+N(H1416)*0.000000001)</f>
        <v/>
      </c>
      <c r="S1416" s="32" t="str">
        <f aca="false">IF(R1416="","",SUMPRODUCT((I$5:I$4004=I1416)*ISNUMBER(R$5:R$4004)*(R$5:R$4004&gt;R1416))+1)</f>
        <v/>
      </c>
      <c r="T1416" s="32" t="str">
        <f aca="false">IF(S1416="","",IF(S1416&lt;=Setup!$B$5,"🏆 WINNER",""))</f>
        <v/>
      </c>
      <c r="U1416" s="31" t="str">
        <f aca="false">IF(S1416="","",I1416&amp;"|"&amp;S1416)</f>
        <v/>
      </c>
    </row>
    <row r="1417" customFormat="false" ht="15" hidden="false" customHeight="false" outlineLevel="0" collapsed="false">
      <c r="A1417" s="24" t="n">
        <v>1413</v>
      </c>
      <c r="B1417" s="25" t="str">
        <f aca="false">IF(OR(C1417="",I1417="",G1417=""),"",IFERROR(VLOOKUP(I1417,Setup!$A$9:$B$11,2,0),"???")&amp;"-"&amp;G1417&amp;"-"&amp;TEXT(COUNTIFS(I$5:I1417,I1417,G$5:G1417,G1417),"0000"))</f>
        <v/>
      </c>
      <c r="C1417" s="26"/>
      <c r="D1417" s="26"/>
      <c r="E1417" s="27"/>
      <c r="F1417" s="27"/>
      <c r="G1417" s="24" t="str">
        <f aca="false">IF(F1417="","",IF(F1417&lt;=5,"A",IF(F1417&lt;=8,"B",IF(F1417&lt;=10,"C","D"))))</f>
        <v/>
      </c>
      <c r="H1417" s="28"/>
      <c r="I1417" s="27"/>
      <c r="J1417" s="26"/>
      <c r="K1417" s="27"/>
      <c r="L1417" s="27"/>
      <c r="M1417" s="27"/>
      <c r="N1417" s="27"/>
      <c r="O1417" s="24" t="str">
        <f aca="false">IF(G1417="","",VLOOKUP(G1417,Setup!$A$14:$C$17,3,0))</f>
        <v/>
      </c>
      <c r="P1417" s="27"/>
      <c r="Q1417" s="29" t="str">
        <f aca="false">IF(OR(P1417="",M1417&lt;&gt;"Paid",O1417=""),"",P1417/O1417)</f>
        <v/>
      </c>
      <c r="R1417" s="30" t="str">
        <f aca="false">IF(Q1417="","",Q1417+N(H1417)*0.000000001)</f>
        <v/>
      </c>
      <c r="S1417" s="25" t="str">
        <f aca="false">IF(R1417="","",SUMPRODUCT((I$5:I$4004=I1417)*ISNUMBER(R$5:R$4004)*(R$5:R$4004&gt;R1417))+1)</f>
        <v/>
      </c>
      <c r="T1417" s="25" t="str">
        <f aca="false">IF(S1417="","",IF(S1417&lt;=Setup!$B$5,"🏆 WINNER",""))</f>
        <v/>
      </c>
      <c r="U1417" s="24" t="str">
        <f aca="false">IF(S1417="","",I1417&amp;"|"&amp;S1417)</f>
        <v/>
      </c>
    </row>
    <row r="1418" customFormat="false" ht="15" hidden="false" customHeight="false" outlineLevel="0" collapsed="false">
      <c r="A1418" s="31" t="n">
        <v>1414</v>
      </c>
      <c r="B1418" s="32" t="str">
        <f aca="false">IF(OR(C1418="",I1418="",G1418=""),"",IFERROR(VLOOKUP(I1418,Setup!$A$9:$B$11,2,0),"???")&amp;"-"&amp;G1418&amp;"-"&amp;TEXT(COUNTIFS(I$5:I1418,I1418,G$5:G1418,G1418),"0000"))</f>
        <v/>
      </c>
      <c r="C1418" s="26"/>
      <c r="D1418" s="26"/>
      <c r="E1418" s="27"/>
      <c r="F1418" s="27"/>
      <c r="G1418" s="31" t="str">
        <f aca="false">IF(F1418="","",IF(F1418&lt;=5,"A",IF(F1418&lt;=8,"B",IF(F1418&lt;=10,"C","D"))))</f>
        <v/>
      </c>
      <c r="H1418" s="28"/>
      <c r="I1418" s="27"/>
      <c r="J1418" s="26"/>
      <c r="K1418" s="27"/>
      <c r="L1418" s="27"/>
      <c r="M1418" s="27"/>
      <c r="N1418" s="27"/>
      <c r="O1418" s="31" t="str">
        <f aca="false">IF(G1418="","",VLOOKUP(G1418,Setup!$A$14:$C$17,3,0))</f>
        <v/>
      </c>
      <c r="P1418" s="27"/>
      <c r="Q1418" s="33" t="str">
        <f aca="false">IF(OR(P1418="",M1418&lt;&gt;"Paid",O1418=""),"",P1418/O1418)</f>
        <v/>
      </c>
      <c r="R1418" s="34" t="str">
        <f aca="false">IF(Q1418="","",Q1418+N(H1418)*0.000000001)</f>
        <v/>
      </c>
      <c r="S1418" s="32" t="str">
        <f aca="false">IF(R1418="","",SUMPRODUCT((I$5:I$4004=I1418)*ISNUMBER(R$5:R$4004)*(R$5:R$4004&gt;R1418))+1)</f>
        <v/>
      </c>
      <c r="T1418" s="32" t="str">
        <f aca="false">IF(S1418="","",IF(S1418&lt;=Setup!$B$5,"🏆 WINNER",""))</f>
        <v/>
      </c>
      <c r="U1418" s="31" t="str">
        <f aca="false">IF(S1418="","",I1418&amp;"|"&amp;S1418)</f>
        <v/>
      </c>
    </row>
    <row r="1419" customFormat="false" ht="15" hidden="false" customHeight="false" outlineLevel="0" collapsed="false">
      <c r="A1419" s="24" t="n">
        <v>1415</v>
      </c>
      <c r="B1419" s="25" t="str">
        <f aca="false">IF(OR(C1419="",I1419="",G1419=""),"",IFERROR(VLOOKUP(I1419,Setup!$A$9:$B$11,2,0),"???")&amp;"-"&amp;G1419&amp;"-"&amp;TEXT(COUNTIFS(I$5:I1419,I1419,G$5:G1419,G1419),"0000"))</f>
        <v/>
      </c>
      <c r="C1419" s="26"/>
      <c r="D1419" s="26"/>
      <c r="E1419" s="27"/>
      <c r="F1419" s="27"/>
      <c r="G1419" s="24" t="str">
        <f aca="false">IF(F1419="","",IF(F1419&lt;=5,"A",IF(F1419&lt;=8,"B",IF(F1419&lt;=10,"C","D"))))</f>
        <v/>
      </c>
      <c r="H1419" s="28"/>
      <c r="I1419" s="27"/>
      <c r="J1419" s="26"/>
      <c r="K1419" s="27"/>
      <c r="L1419" s="27"/>
      <c r="M1419" s="27"/>
      <c r="N1419" s="27"/>
      <c r="O1419" s="24" t="str">
        <f aca="false">IF(G1419="","",VLOOKUP(G1419,Setup!$A$14:$C$17,3,0))</f>
        <v/>
      </c>
      <c r="P1419" s="27"/>
      <c r="Q1419" s="29" t="str">
        <f aca="false">IF(OR(P1419="",M1419&lt;&gt;"Paid",O1419=""),"",P1419/O1419)</f>
        <v/>
      </c>
      <c r="R1419" s="30" t="str">
        <f aca="false">IF(Q1419="","",Q1419+N(H1419)*0.000000001)</f>
        <v/>
      </c>
      <c r="S1419" s="25" t="str">
        <f aca="false">IF(R1419="","",SUMPRODUCT((I$5:I$4004=I1419)*ISNUMBER(R$5:R$4004)*(R$5:R$4004&gt;R1419))+1)</f>
        <v/>
      </c>
      <c r="T1419" s="25" t="str">
        <f aca="false">IF(S1419="","",IF(S1419&lt;=Setup!$B$5,"🏆 WINNER",""))</f>
        <v/>
      </c>
      <c r="U1419" s="24" t="str">
        <f aca="false">IF(S1419="","",I1419&amp;"|"&amp;S1419)</f>
        <v/>
      </c>
    </row>
    <row r="1420" customFormat="false" ht="15" hidden="false" customHeight="false" outlineLevel="0" collapsed="false">
      <c r="A1420" s="31" t="n">
        <v>1416</v>
      </c>
      <c r="B1420" s="32" t="str">
        <f aca="false">IF(OR(C1420="",I1420="",G1420=""),"",IFERROR(VLOOKUP(I1420,Setup!$A$9:$B$11,2,0),"???")&amp;"-"&amp;G1420&amp;"-"&amp;TEXT(COUNTIFS(I$5:I1420,I1420,G$5:G1420,G1420),"0000"))</f>
        <v/>
      </c>
      <c r="C1420" s="26"/>
      <c r="D1420" s="26"/>
      <c r="E1420" s="27"/>
      <c r="F1420" s="27"/>
      <c r="G1420" s="31" t="str">
        <f aca="false">IF(F1420="","",IF(F1420&lt;=5,"A",IF(F1420&lt;=8,"B",IF(F1420&lt;=10,"C","D"))))</f>
        <v/>
      </c>
      <c r="H1420" s="28"/>
      <c r="I1420" s="27"/>
      <c r="J1420" s="26"/>
      <c r="K1420" s="27"/>
      <c r="L1420" s="27"/>
      <c r="M1420" s="27"/>
      <c r="N1420" s="27"/>
      <c r="O1420" s="31" t="str">
        <f aca="false">IF(G1420="","",VLOOKUP(G1420,Setup!$A$14:$C$17,3,0))</f>
        <v/>
      </c>
      <c r="P1420" s="27"/>
      <c r="Q1420" s="33" t="str">
        <f aca="false">IF(OR(P1420="",M1420&lt;&gt;"Paid",O1420=""),"",P1420/O1420)</f>
        <v/>
      </c>
      <c r="R1420" s="34" t="str">
        <f aca="false">IF(Q1420="","",Q1420+N(H1420)*0.000000001)</f>
        <v/>
      </c>
      <c r="S1420" s="32" t="str">
        <f aca="false">IF(R1420="","",SUMPRODUCT((I$5:I$4004=I1420)*ISNUMBER(R$5:R$4004)*(R$5:R$4004&gt;R1420))+1)</f>
        <v/>
      </c>
      <c r="T1420" s="32" t="str">
        <f aca="false">IF(S1420="","",IF(S1420&lt;=Setup!$B$5,"🏆 WINNER",""))</f>
        <v/>
      </c>
      <c r="U1420" s="31" t="str">
        <f aca="false">IF(S1420="","",I1420&amp;"|"&amp;S1420)</f>
        <v/>
      </c>
    </row>
    <row r="1421" customFormat="false" ht="15" hidden="false" customHeight="false" outlineLevel="0" collapsed="false">
      <c r="A1421" s="24" t="n">
        <v>1417</v>
      </c>
      <c r="B1421" s="25" t="str">
        <f aca="false">IF(OR(C1421="",I1421="",G1421=""),"",IFERROR(VLOOKUP(I1421,Setup!$A$9:$B$11,2,0),"???")&amp;"-"&amp;G1421&amp;"-"&amp;TEXT(COUNTIFS(I$5:I1421,I1421,G$5:G1421,G1421),"0000"))</f>
        <v/>
      </c>
      <c r="C1421" s="26"/>
      <c r="D1421" s="26"/>
      <c r="E1421" s="27"/>
      <c r="F1421" s="27"/>
      <c r="G1421" s="24" t="str">
        <f aca="false">IF(F1421="","",IF(F1421&lt;=5,"A",IF(F1421&lt;=8,"B",IF(F1421&lt;=10,"C","D"))))</f>
        <v/>
      </c>
      <c r="H1421" s="28"/>
      <c r="I1421" s="27"/>
      <c r="J1421" s="26"/>
      <c r="K1421" s="27"/>
      <c r="L1421" s="27"/>
      <c r="M1421" s="27"/>
      <c r="N1421" s="27"/>
      <c r="O1421" s="24" t="str">
        <f aca="false">IF(G1421="","",VLOOKUP(G1421,Setup!$A$14:$C$17,3,0))</f>
        <v/>
      </c>
      <c r="P1421" s="27"/>
      <c r="Q1421" s="29" t="str">
        <f aca="false">IF(OR(P1421="",M1421&lt;&gt;"Paid",O1421=""),"",P1421/O1421)</f>
        <v/>
      </c>
      <c r="R1421" s="30" t="str">
        <f aca="false">IF(Q1421="","",Q1421+N(H1421)*0.000000001)</f>
        <v/>
      </c>
      <c r="S1421" s="25" t="str">
        <f aca="false">IF(R1421="","",SUMPRODUCT((I$5:I$4004=I1421)*ISNUMBER(R$5:R$4004)*(R$5:R$4004&gt;R1421))+1)</f>
        <v/>
      </c>
      <c r="T1421" s="25" t="str">
        <f aca="false">IF(S1421="","",IF(S1421&lt;=Setup!$B$5,"🏆 WINNER",""))</f>
        <v/>
      </c>
      <c r="U1421" s="24" t="str">
        <f aca="false">IF(S1421="","",I1421&amp;"|"&amp;S1421)</f>
        <v/>
      </c>
    </row>
    <row r="1422" customFormat="false" ht="15" hidden="false" customHeight="false" outlineLevel="0" collapsed="false">
      <c r="A1422" s="31" t="n">
        <v>1418</v>
      </c>
      <c r="B1422" s="32" t="str">
        <f aca="false">IF(OR(C1422="",I1422="",G1422=""),"",IFERROR(VLOOKUP(I1422,Setup!$A$9:$B$11,2,0),"???")&amp;"-"&amp;G1422&amp;"-"&amp;TEXT(COUNTIFS(I$5:I1422,I1422,G$5:G1422,G1422),"0000"))</f>
        <v/>
      </c>
      <c r="C1422" s="26"/>
      <c r="D1422" s="26"/>
      <c r="E1422" s="27"/>
      <c r="F1422" s="27"/>
      <c r="G1422" s="31" t="str">
        <f aca="false">IF(F1422="","",IF(F1422&lt;=5,"A",IF(F1422&lt;=8,"B",IF(F1422&lt;=10,"C","D"))))</f>
        <v/>
      </c>
      <c r="H1422" s="28"/>
      <c r="I1422" s="27"/>
      <c r="J1422" s="26"/>
      <c r="K1422" s="27"/>
      <c r="L1422" s="27"/>
      <c r="M1422" s="27"/>
      <c r="N1422" s="27"/>
      <c r="O1422" s="31" t="str">
        <f aca="false">IF(G1422="","",VLOOKUP(G1422,Setup!$A$14:$C$17,3,0))</f>
        <v/>
      </c>
      <c r="P1422" s="27"/>
      <c r="Q1422" s="33" t="str">
        <f aca="false">IF(OR(P1422="",M1422&lt;&gt;"Paid",O1422=""),"",P1422/O1422)</f>
        <v/>
      </c>
      <c r="R1422" s="34" t="str">
        <f aca="false">IF(Q1422="","",Q1422+N(H1422)*0.000000001)</f>
        <v/>
      </c>
      <c r="S1422" s="32" t="str">
        <f aca="false">IF(R1422="","",SUMPRODUCT((I$5:I$4004=I1422)*ISNUMBER(R$5:R$4004)*(R$5:R$4004&gt;R1422))+1)</f>
        <v/>
      </c>
      <c r="T1422" s="32" t="str">
        <f aca="false">IF(S1422="","",IF(S1422&lt;=Setup!$B$5,"🏆 WINNER",""))</f>
        <v/>
      </c>
      <c r="U1422" s="31" t="str">
        <f aca="false">IF(S1422="","",I1422&amp;"|"&amp;S1422)</f>
        <v/>
      </c>
    </row>
    <row r="1423" customFormat="false" ht="15" hidden="false" customHeight="false" outlineLevel="0" collapsed="false">
      <c r="A1423" s="24" t="n">
        <v>1419</v>
      </c>
      <c r="B1423" s="25" t="str">
        <f aca="false">IF(OR(C1423="",I1423="",G1423=""),"",IFERROR(VLOOKUP(I1423,Setup!$A$9:$B$11,2,0),"???")&amp;"-"&amp;G1423&amp;"-"&amp;TEXT(COUNTIFS(I$5:I1423,I1423,G$5:G1423,G1423),"0000"))</f>
        <v/>
      </c>
      <c r="C1423" s="26"/>
      <c r="D1423" s="26"/>
      <c r="E1423" s="27"/>
      <c r="F1423" s="27"/>
      <c r="G1423" s="24" t="str">
        <f aca="false">IF(F1423="","",IF(F1423&lt;=5,"A",IF(F1423&lt;=8,"B",IF(F1423&lt;=10,"C","D"))))</f>
        <v/>
      </c>
      <c r="H1423" s="28"/>
      <c r="I1423" s="27"/>
      <c r="J1423" s="26"/>
      <c r="K1423" s="27"/>
      <c r="L1423" s="27"/>
      <c r="M1423" s="27"/>
      <c r="N1423" s="27"/>
      <c r="O1423" s="24" t="str">
        <f aca="false">IF(G1423="","",VLOOKUP(G1423,Setup!$A$14:$C$17,3,0))</f>
        <v/>
      </c>
      <c r="P1423" s="27"/>
      <c r="Q1423" s="29" t="str">
        <f aca="false">IF(OR(P1423="",M1423&lt;&gt;"Paid",O1423=""),"",P1423/O1423)</f>
        <v/>
      </c>
      <c r="R1423" s="30" t="str">
        <f aca="false">IF(Q1423="","",Q1423+N(H1423)*0.000000001)</f>
        <v/>
      </c>
      <c r="S1423" s="25" t="str">
        <f aca="false">IF(R1423="","",SUMPRODUCT((I$5:I$4004=I1423)*ISNUMBER(R$5:R$4004)*(R$5:R$4004&gt;R1423))+1)</f>
        <v/>
      </c>
      <c r="T1423" s="25" t="str">
        <f aca="false">IF(S1423="","",IF(S1423&lt;=Setup!$B$5,"🏆 WINNER",""))</f>
        <v/>
      </c>
      <c r="U1423" s="24" t="str">
        <f aca="false">IF(S1423="","",I1423&amp;"|"&amp;S1423)</f>
        <v/>
      </c>
    </row>
    <row r="1424" customFormat="false" ht="15" hidden="false" customHeight="false" outlineLevel="0" collapsed="false">
      <c r="A1424" s="31" t="n">
        <v>1420</v>
      </c>
      <c r="B1424" s="32" t="str">
        <f aca="false">IF(OR(C1424="",I1424="",G1424=""),"",IFERROR(VLOOKUP(I1424,Setup!$A$9:$B$11,2,0),"???")&amp;"-"&amp;G1424&amp;"-"&amp;TEXT(COUNTIFS(I$5:I1424,I1424,G$5:G1424,G1424),"0000"))</f>
        <v/>
      </c>
      <c r="C1424" s="26"/>
      <c r="D1424" s="26"/>
      <c r="E1424" s="27"/>
      <c r="F1424" s="27"/>
      <c r="G1424" s="31" t="str">
        <f aca="false">IF(F1424="","",IF(F1424&lt;=5,"A",IF(F1424&lt;=8,"B",IF(F1424&lt;=10,"C","D"))))</f>
        <v/>
      </c>
      <c r="H1424" s="28"/>
      <c r="I1424" s="27"/>
      <c r="J1424" s="26"/>
      <c r="K1424" s="27"/>
      <c r="L1424" s="27"/>
      <c r="M1424" s="27"/>
      <c r="N1424" s="27"/>
      <c r="O1424" s="31" t="str">
        <f aca="false">IF(G1424="","",VLOOKUP(G1424,Setup!$A$14:$C$17,3,0))</f>
        <v/>
      </c>
      <c r="P1424" s="27"/>
      <c r="Q1424" s="33" t="str">
        <f aca="false">IF(OR(P1424="",M1424&lt;&gt;"Paid",O1424=""),"",P1424/O1424)</f>
        <v/>
      </c>
      <c r="R1424" s="34" t="str">
        <f aca="false">IF(Q1424="","",Q1424+N(H1424)*0.000000001)</f>
        <v/>
      </c>
      <c r="S1424" s="32" t="str">
        <f aca="false">IF(R1424="","",SUMPRODUCT((I$5:I$4004=I1424)*ISNUMBER(R$5:R$4004)*(R$5:R$4004&gt;R1424))+1)</f>
        <v/>
      </c>
      <c r="T1424" s="32" t="str">
        <f aca="false">IF(S1424="","",IF(S1424&lt;=Setup!$B$5,"🏆 WINNER",""))</f>
        <v/>
      </c>
      <c r="U1424" s="31" t="str">
        <f aca="false">IF(S1424="","",I1424&amp;"|"&amp;S1424)</f>
        <v/>
      </c>
    </row>
    <row r="1425" customFormat="false" ht="15" hidden="false" customHeight="false" outlineLevel="0" collapsed="false">
      <c r="A1425" s="24" t="n">
        <v>1421</v>
      </c>
      <c r="B1425" s="25" t="str">
        <f aca="false">IF(OR(C1425="",I1425="",G1425=""),"",IFERROR(VLOOKUP(I1425,Setup!$A$9:$B$11,2,0),"???")&amp;"-"&amp;G1425&amp;"-"&amp;TEXT(COUNTIFS(I$5:I1425,I1425,G$5:G1425,G1425),"0000"))</f>
        <v/>
      </c>
      <c r="C1425" s="26"/>
      <c r="D1425" s="26"/>
      <c r="E1425" s="27"/>
      <c r="F1425" s="27"/>
      <c r="G1425" s="24" t="str">
        <f aca="false">IF(F1425="","",IF(F1425&lt;=5,"A",IF(F1425&lt;=8,"B",IF(F1425&lt;=10,"C","D"))))</f>
        <v/>
      </c>
      <c r="H1425" s="28"/>
      <c r="I1425" s="27"/>
      <c r="J1425" s="26"/>
      <c r="K1425" s="27"/>
      <c r="L1425" s="27"/>
      <c r="M1425" s="27"/>
      <c r="N1425" s="27"/>
      <c r="O1425" s="24" t="str">
        <f aca="false">IF(G1425="","",VLOOKUP(G1425,Setup!$A$14:$C$17,3,0))</f>
        <v/>
      </c>
      <c r="P1425" s="27"/>
      <c r="Q1425" s="29" t="str">
        <f aca="false">IF(OR(P1425="",M1425&lt;&gt;"Paid",O1425=""),"",P1425/O1425)</f>
        <v/>
      </c>
      <c r="R1425" s="30" t="str">
        <f aca="false">IF(Q1425="","",Q1425+N(H1425)*0.000000001)</f>
        <v/>
      </c>
      <c r="S1425" s="25" t="str">
        <f aca="false">IF(R1425="","",SUMPRODUCT((I$5:I$4004=I1425)*ISNUMBER(R$5:R$4004)*(R$5:R$4004&gt;R1425))+1)</f>
        <v/>
      </c>
      <c r="T1425" s="25" t="str">
        <f aca="false">IF(S1425="","",IF(S1425&lt;=Setup!$B$5,"🏆 WINNER",""))</f>
        <v/>
      </c>
      <c r="U1425" s="24" t="str">
        <f aca="false">IF(S1425="","",I1425&amp;"|"&amp;S1425)</f>
        <v/>
      </c>
    </row>
    <row r="1426" customFormat="false" ht="15" hidden="false" customHeight="false" outlineLevel="0" collapsed="false">
      <c r="A1426" s="31" t="n">
        <v>1422</v>
      </c>
      <c r="B1426" s="32" t="str">
        <f aca="false">IF(OR(C1426="",I1426="",G1426=""),"",IFERROR(VLOOKUP(I1426,Setup!$A$9:$B$11,2,0),"???")&amp;"-"&amp;G1426&amp;"-"&amp;TEXT(COUNTIFS(I$5:I1426,I1426,G$5:G1426,G1426),"0000"))</f>
        <v/>
      </c>
      <c r="C1426" s="26"/>
      <c r="D1426" s="26"/>
      <c r="E1426" s="27"/>
      <c r="F1426" s="27"/>
      <c r="G1426" s="31" t="str">
        <f aca="false">IF(F1426="","",IF(F1426&lt;=5,"A",IF(F1426&lt;=8,"B",IF(F1426&lt;=10,"C","D"))))</f>
        <v/>
      </c>
      <c r="H1426" s="28"/>
      <c r="I1426" s="27"/>
      <c r="J1426" s="26"/>
      <c r="K1426" s="27"/>
      <c r="L1426" s="27"/>
      <c r="M1426" s="27"/>
      <c r="N1426" s="27"/>
      <c r="O1426" s="31" t="str">
        <f aca="false">IF(G1426="","",VLOOKUP(G1426,Setup!$A$14:$C$17,3,0))</f>
        <v/>
      </c>
      <c r="P1426" s="27"/>
      <c r="Q1426" s="33" t="str">
        <f aca="false">IF(OR(P1426="",M1426&lt;&gt;"Paid",O1426=""),"",P1426/O1426)</f>
        <v/>
      </c>
      <c r="R1426" s="34" t="str">
        <f aca="false">IF(Q1426="","",Q1426+N(H1426)*0.000000001)</f>
        <v/>
      </c>
      <c r="S1426" s="32" t="str">
        <f aca="false">IF(R1426="","",SUMPRODUCT((I$5:I$4004=I1426)*ISNUMBER(R$5:R$4004)*(R$5:R$4004&gt;R1426))+1)</f>
        <v/>
      </c>
      <c r="T1426" s="32" t="str">
        <f aca="false">IF(S1426="","",IF(S1426&lt;=Setup!$B$5,"🏆 WINNER",""))</f>
        <v/>
      </c>
      <c r="U1426" s="31" t="str">
        <f aca="false">IF(S1426="","",I1426&amp;"|"&amp;S1426)</f>
        <v/>
      </c>
    </row>
    <row r="1427" customFormat="false" ht="15" hidden="false" customHeight="false" outlineLevel="0" collapsed="false">
      <c r="A1427" s="24" t="n">
        <v>1423</v>
      </c>
      <c r="B1427" s="25" t="str">
        <f aca="false">IF(OR(C1427="",I1427="",G1427=""),"",IFERROR(VLOOKUP(I1427,Setup!$A$9:$B$11,2,0),"???")&amp;"-"&amp;G1427&amp;"-"&amp;TEXT(COUNTIFS(I$5:I1427,I1427,G$5:G1427,G1427),"0000"))</f>
        <v/>
      </c>
      <c r="C1427" s="26"/>
      <c r="D1427" s="26"/>
      <c r="E1427" s="27"/>
      <c r="F1427" s="27"/>
      <c r="G1427" s="24" t="str">
        <f aca="false">IF(F1427="","",IF(F1427&lt;=5,"A",IF(F1427&lt;=8,"B",IF(F1427&lt;=10,"C","D"))))</f>
        <v/>
      </c>
      <c r="H1427" s="28"/>
      <c r="I1427" s="27"/>
      <c r="J1427" s="26"/>
      <c r="K1427" s="27"/>
      <c r="L1427" s="27"/>
      <c r="M1427" s="27"/>
      <c r="N1427" s="27"/>
      <c r="O1427" s="24" t="str">
        <f aca="false">IF(G1427="","",VLOOKUP(G1427,Setup!$A$14:$C$17,3,0))</f>
        <v/>
      </c>
      <c r="P1427" s="27"/>
      <c r="Q1427" s="29" t="str">
        <f aca="false">IF(OR(P1427="",M1427&lt;&gt;"Paid",O1427=""),"",P1427/O1427)</f>
        <v/>
      </c>
      <c r="R1427" s="30" t="str">
        <f aca="false">IF(Q1427="","",Q1427+N(H1427)*0.000000001)</f>
        <v/>
      </c>
      <c r="S1427" s="25" t="str">
        <f aca="false">IF(R1427="","",SUMPRODUCT((I$5:I$4004=I1427)*ISNUMBER(R$5:R$4004)*(R$5:R$4004&gt;R1427))+1)</f>
        <v/>
      </c>
      <c r="T1427" s="25" t="str">
        <f aca="false">IF(S1427="","",IF(S1427&lt;=Setup!$B$5,"🏆 WINNER",""))</f>
        <v/>
      </c>
      <c r="U1427" s="24" t="str">
        <f aca="false">IF(S1427="","",I1427&amp;"|"&amp;S1427)</f>
        <v/>
      </c>
    </row>
    <row r="1428" customFormat="false" ht="15" hidden="false" customHeight="false" outlineLevel="0" collapsed="false">
      <c r="A1428" s="31" t="n">
        <v>1424</v>
      </c>
      <c r="B1428" s="32" t="str">
        <f aca="false">IF(OR(C1428="",I1428="",G1428=""),"",IFERROR(VLOOKUP(I1428,Setup!$A$9:$B$11,2,0),"???")&amp;"-"&amp;G1428&amp;"-"&amp;TEXT(COUNTIFS(I$5:I1428,I1428,G$5:G1428,G1428),"0000"))</f>
        <v/>
      </c>
      <c r="C1428" s="26"/>
      <c r="D1428" s="26"/>
      <c r="E1428" s="27"/>
      <c r="F1428" s="27"/>
      <c r="G1428" s="31" t="str">
        <f aca="false">IF(F1428="","",IF(F1428&lt;=5,"A",IF(F1428&lt;=8,"B",IF(F1428&lt;=10,"C","D"))))</f>
        <v/>
      </c>
      <c r="H1428" s="28"/>
      <c r="I1428" s="27"/>
      <c r="J1428" s="26"/>
      <c r="K1428" s="27"/>
      <c r="L1428" s="27"/>
      <c r="M1428" s="27"/>
      <c r="N1428" s="27"/>
      <c r="O1428" s="31" t="str">
        <f aca="false">IF(G1428="","",VLOOKUP(G1428,Setup!$A$14:$C$17,3,0))</f>
        <v/>
      </c>
      <c r="P1428" s="27"/>
      <c r="Q1428" s="33" t="str">
        <f aca="false">IF(OR(P1428="",M1428&lt;&gt;"Paid",O1428=""),"",P1428/O1428)</f>
        <v/>
      </c>
      <c r="R1428" s="34" t="str">
        <f aca="false">IF(Q1428="","",Q1428+N(H1428)*0.000000001)</f>
        <v/>
      </c>
      <c r="S1428" s="32" t="str">
        <f aca="false">IF(R1428="","",SUMPRODUCT((I$5:I$4004=I1428)*ISNUMBER(R$5:R$4004)*(R$5:R$4004&gt;R1428))+1)</f>
        <v/>
      </c>
      <c r="T1428" s="32" t="str">
        <f aca="false">IF(S1428="","",IF(S1428&lt;=Setup!$B$5,"🏆 WINNER",""))</f>
        <v/>
      </c>
      <c r="U1428" s="31" t="str">
        <f aca="false">IF(S1428="","",I1428&amp;"|"&amp;S1428)</f>
        <v/>
      </c>
    </row>
    <row r="1429" customFormat="false" ht="15" hidden="false" customHeight="false" outlineLevel="0" collapsed="false">
      <c r="A1429" s="24" t="n">
        <v>1425</v>
      </c>
      <c r="B1429" s="25" t="str">
        <f aca="false">IF(OR(C1429="",I1429="",G1429=""),"",IFERROR(VLOOKUP(I1429,Setup!$A$9:$B$11,2,0),"???")&amp;"-"&amp;G1429&amp;"-"&amp;TEXT(COUNTIFS(I$5:I1429,I1429,G$5:G1429,G1429),"0000"))</f>
        <v/>
      </c>
      <c r="C1429" s="26"/>
      <c r="D1429" s="26"/>
      <c r="E1429" s="27"/>
      <c r="F1429" s="27"/>
      <c r="G1429" s="24" t="str">
        <f aca="false">IF(F1429="","",IF(F1429&lt;=5,"A",IF(F1429&lt;=8,"B",IF(F1429&lt;=10,"C","D"))))</f>
        <v/>
      </c>
      <c r="H1429" s="28"/>
      <c r="I1429" s="27"/>
      <c r="J1429" s="26"/>
      <c r="K1429" s="27"/>
      <c r="L1429" s="27"/>
      <c r="M1429" s="27"/>
      <c r="N1429" s="27"/>
      <c r="O1429" s="24" t="str">
        <f aca="false">IF(G1429="","",VLOOKUP(G1429,Setup!$A$14:$C$17,3,0))</f>
        <v/>
      </c>
      <c r="P1429" s="27"/>
      <c r="Q1429" s="29" t="str">
        <f aca="false">IF(OR(P1429="",M1429&lt;&gt;"Paid",O1429=""),"",P1429/O1429)</f>
        <v/>
      </c>
      <c r="R1429" s="30" t="str">
        <f aca="false">IF(Q1429="","",Q1429+N(H1429)*0.000000001)</f>
        <v/>
      </c>
      <c r="S1429" s="25" t="str">
        <f aca="false">IF(R1429="","",SUMPRODUCT((I$5:I$4004=I1429)*ISNUMBER(R$5:R$4004)*(R$5:R$4004&gt;R1429))+1)</f>
        <v/>
      </c>
      <c r="T1429" s="25" t="str">
        <f aca="false">IF(S1429="","",IF(S1429&lt;=Setup!$B$5,"🏆 WINNER",""))</f>
        <v/>
      </c>
      <c r="U1429" s="24" t="str">
        <f aca="false">IF(S1429="","",I1429&amp;"|"&amp;S1429)</f>
        <v/>
      </c>
    </row>
    <row r="1430" customFormat="false" ht="15" hidden="false" customHeight="false" outlineLevel="0" collapsed="false">
      <c r="A1430" s="31" t="n">
        <v>1426</v>
      </c>
      <c r="B1430" s="32" t="str">
        <f aca="false">IF(OR(C1430="",I1430="",G1430=""),"",IFERROR(VLOOKUP(I1430,Setup!$A$9:$B$11,2,0),"???")&amp;"-"&amp;G1430&amp;"-"&amp;TEXT(COUNTIFS(I$5:I1430,I1430,G$5:G1430,G1430),"0000"))</f>
        <v/>
      </c>
      <c r="C1430" s="26"/>
      <c r="D1430" s="26"/>
      <c r="E1430" s="27"/>
      <c r="F1430" s="27"/>
      <c r="G1430" s="31" t="str">
        <f aca="false">IF(F1430="","",IF(F1430&lt;=5,"A",IF(F1430&lt;=8,"B",IF(F1430&lt;=10,"C","D"))))</f>
        <v/>
      </c>
      <c r="H1430" s="28"/>
      <c r="I1430" s="27"/>
      <c r="J1430" s="26"/>
      <c r="K1430" s="27"/>
      <c r="L1430" s="27"/>
      <c r="M1430" s="27"/>
      <c r="N1430" s="27"/>
      <c r="O1430" s="31" t="str">
        <f aca="false">IF(G1430="","",VLOOKUP(G1430,Setup!$A$14:$C$17,3,0))</f>
        <v/>
      </c>
      <c r="P1430" s="27"/>
      <c r="Q1430" s="33" t="str">
        <f aca="false">IF(OR(P1430="",M1430&lt;&gt;"Paid",O1430=""),"",P1430/O1430)</f>
        <v/>
      </c>
      <c r="R1430" s="34" t="str">
        <f aca="false">IF(Q1430="","",Q1430+N(H1430)*0.000000001)</f>
        <v/>
      </c>
      <c r="S1430" s="32" t="str">
        <f aca="false">IF(R1430="","",SUMPRODUCT((I$5:I$4004=I1430)*ISNUMBER(R$5:R$4004)*(R$5:R$4004&gt;R1430))+1)</f>
        <v/>
      </c>
      <c r="T1430" s="32" t="str">
        <f aca="false">IF(S1430="","",IF(S1430&lt;=Setup!$B$5,"🏆 WINNER",""))</f>
        <v/>
      </c>
      <c r="U1430" s="31" t="str">
        <f aca="false">IF(S1430="","",I1430&amp;"|"&amp;S1430)</f>
        <v/>
      </c>
    </row>
    <row r="1431" customFormat="false" ht="15" hidden="false" customHeight="false" outlineLevel="0" collapsed="false">
      <c r="A1431" s="24" t="n">
        <v>1427</v>
      </c>
      <c r="B1431" s="25" t="str">
        <f aca="false">IF(OR(C1431="",I1431="",G1431=""),"",IFERROR(VLOOKUP(I1431,Setup!$A$9:$B$11,2,0),"???")&amp;"-"&amp;G1431&amp;"-"&amp;TEXT(COUNTIFS(I$5:I1431,I1431,G$5:G1431,G1431),"0000"))</f>
        <v/>
      </c>
      <c r="C1431" s="26"/>
      <c r="D1431" s="26"/>
      <c r="E1431" s="27"/>
      <c r="F1431" s="27"/>
      <c r="G1431" s="24" t="str">
        <f aca="false">IF(F1431="","",IF(F1431&lt;=5,"A",IF(F1431&lt;=8,"B",IF(F1431&lt;=10,"C","D"))))</f>
        <v/>
      </c>
      <c r="H1431" s="28"/>
      <c r="I1431" s="27"/>
      <c r="J1431" s="26"/>
      <c r="K1431" s="27"/>
      <c r="L1431" s="27"/>
      <c r="M1431" s="27"/>
      <c r="N1431" s="27"/>
      <c r="O1431" s="24" t="str">
        <f aca="false">IF(G1431="","",VLOOKUP(G1431,Setup!$A$14:$C$17,3,0))</f>
        <v/>
      </c>
      <c r="P1431" s="27"/>
      <c r="Q1431" s="29" t="str">
        <f aca="false">IF(OR(P1431="",M1431&lt;&gt;"Paid",O1431=""),"",P1431/O1431)</f>
        <v/>
      </c>
      <c r="R1431" s="30" t="str">
        <f aca="false">IF(Q1431="","",Q1431+N(H1431)*0.000000001)</f>
        <v/>
      </c>
      <c r="S1431" s="25" t="str">
        <f aca="false">IF(R1431="","",SUMPRODUCT((I$5:I$4004=I1431)*ISNUMBER(R$5:R$4004)*(R$5:R$4004&gt;R1431))+1)</f>
        <v/>
      </c>
      <c r="T1431" s="25" t="str">
        <f aca="false">IF(S1431="","",IF(S1431&lt;=Setup!$B$5,"🏆 WINNER",""))</f>
        <v/>
      </c>
      <c r="U1431" s="24" t="str">
        <f aca="false">IF(S1431="","",I1431&amp;"|"&amp;S1431)</f>
        <v/>
      </c>
    </row>
    <row r="1432" customFormat="false" ht="15" hidden="false" customHeight="false" outlineLevel="0" collapsed="false">
      <c r="A1432" s="31" t="n">
        <v>1428</v>
      </c>
      <c r="B1432" s="32" t="str">
        <f aca="false">IF(OR(C1432="",I1432="",G1432=""),"",IFERROR(VLOOKUP(I1432,Setup!$A$9:$B$11,2,0),"???")&amp;"-"&amp;G1432&amp;"-"&amp;TEXT(COUNTIFS(I$5:I1432,I1432,G$5:G1432,G1432),"0000"))</f>
        <v/>
      </c>
      <c r="C1432" s="26"/>
      <c r="D1432" s="26"/>
      <c r="E1432" s="27"/>
      <c r="F1432" s="27"/>
      <c r="G1432" s="31" t="str">
        <f aca="false">IF(F1432="","",IF(F1432&lt;=5,"A",IF(F1432&lt;=8,"B",IF(F1432&lt;=10,"C","D"))))</f>
        <v/>
      </c>
      <c r="H1432" s="28"/>
      <c r="I1432" s="27"/>
      <c r="J1432" s="26"/>
      <c r="K1432" s="27"/>
      <c r="L1432" s="27"/>
      <c r="M1432" s="27"/>
      <c r="N1432" s="27"/>
      <c r="O1432" s="31" t="str">
        <f aca="false">IF(G1432="","",VLOOKUP(G1432,Setup!$A$14:$C$17,3,0))</f>
        <v/>
      </c>
      <c r="P1432" s="27"/>
      <c r="Q1432" s="33" t="str">
        <f aca="false">IF(OR(P1432="",M1432&lt;&gt;"Paid",O1432=""),"",P1432/O1432)</f>
        <v/>
      </c>
      <c r="R1432" s="34" t="str">
        <f aca="false">IF(Q1432="","",Q1432+N(H1432)*0.000000001)</f>
        <v/>
      </c>
      <c r="S1432" s="32" t="str">
        <f aca="false">IF(R1432="","",SUMPRODUCT((I$5:I$4004=I1432)*ISNUMBER(R$5:R$4004)*(R$5:R$4004&gt;R1432))+1)</f>
        <v/>
      </c>
      <c r="T1432" s="32" t="str">
        <f aca="false">IF(S1432="","",IF(S1432&lt;=Setup!$B$5,"🏆 WINNER",""))</f>
        <v/>
      </c>
      <c r="U1432" s="31" t="str">
        <f aca="false">IF(S1432="","",I1432&amp;"|"&amp;S1432)</f>
        <v/>
      </c>
    </row>
    <row r="1433" customFormat="false" ht="15" hidden="false" customHeight="false" outlineLevel="0" collapsed="false">
      <c r="A1433" s="24" t="n">
        <v>1429</v>
      </c>
      <c r="B1433" s="25" t="str">
        <f aca="false">IF(OR(C1433="",I1433="",G1433=""),"",IFERROR(VLOOKUP(I1433,Setup!$A$9:$B$11,2,0),"???")&amp;"-"&amp;G1433&amp;"-"&amp;TEXT(COUNTIFS(I$5:I1433,I1433,G$5:G1433,G1433),"0000"))</f>
        <v/>
      </c>
      <c r="C1433" s="26"/>
      <c r="D1433" s="26"/>
      <c r="E1433" s="27"/>
      <c r="F1433" s="27"/>
      <c r="G1433" s="24" t="str">
        <f aca="false">IF(F1433="","",IF(F1433&lt;=5,"A",IF(F1433&lt;=8,"B",IF(F1433&lt;=10,"C","D"))))</f>
        <v/>
      </c>
      <c r="H1433" s="28"/>
      <c r="I1433" s="27"/>
      <c r="J1433" s="26"/>
      <c r="K1433" s="27"/>
      <c r="L1433" s="27"/>
      <c r="M1433" s="27"/>
      <c r="N1433" s="27"/>
      <c r="O1433" s="24" t="str">
        <f aca="false">IF(G1433="","",VLOOKUP(G1433,Setup!$A$14:$C$17,3,0))</f>
        <v/>
      </c>
      <c r="P1433" s="27"/>
      <c r="Q1433" s="29" t="str">
        <f aca="false">IF(OR(P1433="",M1433&lt;&gt;"Paid",O1433=""),"",P1433/O1433)</f>
        <v/>
      </c>
      <c r="R1433" s="30" t="str">
        <f aca="false">IF(Q1433="","",Q1433+N(H1433)*0.000000001)</f>
        <v/>
      </c>
      <c r="S1433" s="25" t="str">
        <f aca="false">IF(R1433="","",SUMPRODUCT((I$5:I$4004=I1433)*ISNUMBER(R$5:R$4004)*(R$5:R$4004&gt;R1433))+1)</f>
        <v/>
      </c>
      <c r="T1433" s="25" t="str">
        <f aca="false">IF(S1433="","",IF(S1433&lt;=Setup!$B$5,"🏆 WINNER",""))</f>
        <v/>
      </c>
      <c r="U1433" s="24" t="str">
        <f aca="false">IF(S1433="","",I1433&amp;"|"&amp;S1433)</f>
        <v/>
      </c>
    </row>
    <row r="1434" customFormat="false" ht="15" hidden="false" customHeight="false" outlineLevel="0" collapsed="false">
      <c r="A1434" s="31" t="n">
        <v>1430</v>
      </c>
      <c r="B1434" s="32" t="str">
        <f aca="false">IF(OR(C1434="",I1434="",G1434=""),"",IFERROR(VLOOKUP(I1434,Setup!$A$9:$B$11,2,0),"???")&amp;"-"&amp;G1434&amp;"-"&amp;TEXT(COUNTIFS(I$5:I1434,I1434,G$5:G1434,G1434),"0000"))</f>
        <v/>
      </c>
      <c r="C1434" s="26"/>
      <c r="D1434" s="26"/>
      <c r="E1434" s="27"/>
      <c r="F1434" s="27"/>
      <c r="G1434" s="31" t="str">
        <f aca="false">IF(F1434="","",IF(F1434&lt;=5,"A",IF(F1434&lt;=8,"B",IF(F1434&lt;=10,"C","D"))))</f>
        <v/>
      </c>
      <c r="H1434" s="28"/>
      <c r="I1434" s="27"/>
      <c r="J1434" s="26"/>
      <c r="K1434" s="27"/>
      <c r="L1434" s="27"/>
      <c r="M1434" s="27"/>
      <c r="N1434" s="27"/>
      <c r="O1434" s="31" t="str">
        <f aca="false">IF(G1434="","",VLOOKUP(G1434,Setup!$A$14:$C$17,3,0))</f>
        <v/>
      </c>
      <c r="P1434" s="27"/>
      <c r="Q1434" s="33" t="str">
        <f aca="false">IF(OR(P1434="",M1434&lt;&gt;"Paid",O1434=""),"",P1434/O1434)</f>
        <v/>
      </c>
      <c r="R1434" s="34" t="str">
        <f aca="false">IF(Q1434="","",Q1434+N(H1434)*0.000000001)</f>
        <v/>
      </c>
      <c r="S1434" s="32" t="str">
        <f aca="false">IF(R1434="","",SUMPRODUCT((I$5:I$4004=I1434)*ISNUMBER(R$5:R$4004)*(R$5:R$4004&gt;R1434))+1)</f>
        <v/>
      </c>
      <c r="T1434" s="32" t="str">
        <f aca="false">IF(S1434="","",IF(S1434&lt;=Setup!$B$5,"🏆 WINNER",""))</f>
        <v/>
      </c>
      <c r="U1434" s="31" t="str">
        <f aca="false">IF(S1434="","",I1434&amp;"|"&amp;S1434)</f>
        <v/>
      </c>
    </row>
    <row r="1435" customFormat="false" ht="15" hidden="false" customHeight="false" outlineLevel="0" collapsed="false">
      <c r="A1435" s="24" t="n">
        <v>1431</v>
      </c>
      <c r="B1435" s="25" t="str">
        <f aca="false">IF(OR(C1435="",I1435="",G1435=""),"",IFERROR(VLOOKUP(I1435,Setup!$A$9:$B$11,2,0),"???")&amp;"-"&amp;G1435&amp;"-"&amp;TEXT(COUNTIFS(I$5:I1435,I1435,G$5:G1435,G1435),"0000"))</f>
        <v/>
      </c>
      <c r="C1435" s="26"/>
      <c r="D1435" s="26"/>
      <c r="E1435" s="27"/>
      <c r="F1435" s="27"/>
      <c r="G1435" s="24" t="str">
        <f aca="false">IF(F1435="","",IF(F1435&lt;=5,"A",IF(F1435&lt;=8,"B",IF(F1435&lt;=10,"C","D"))))</f>
        <v/>
      </c>
      <c r="H1435" s="28"/>
      <c r="I1435" s="27"/>
      <c r="J1435" s="26"/>
      <c r="K1435" s="27"/>
      <c r="L1435" s="27"/>
      <c r="M1435" s="27"/>
      <c r="N1435" s="27"/>
      <c r="O1435" s="24" t="str">
        <f aca="false">IF(G1435="","",VLOOKUP(G1435,Setup!$A$14:$C$17,3,0))</f>
        <v/>
      </c>
      <c r="P1435" s="27"/>
      <c r="Q1435" s="29" t="str">
        <f aca="false">IF(OR(P1435="",M1435&lt;&gt;"Paid",O1435=""),"",P1435/O1435)</f>
        <v/>
      </c>
      <c r="R1435" s="30" t="str">
        <f aca="false">IF(Q1435="","",Q1435+N(H1435)*0.000000001)</f>
        <v/>
      </c>
      <c r="S1435" s="25" t="str">
        <f aca="false">IF(R1435="","",SUMPRODUCT((I$5:I$4004=I1435)*ISNUMBER(R$5:R$4004)*(R$5:R$4004&gt;R1435))+1)</f>
        <v/>
      </c>
      <c r="T1435" s="25" t="str">
        <f aca="false">IF(S1435="","",IF(S1435&lt;=Setup!$B$5,"🏆 WINNER",""))</f>
        <v/>
      </c>
      <c r="U1435" s="24" t="str">
        <f aca="false">IF(S1435="","",I1435&amp;"|"&amp;S1435)</f>
        <v/>
      </c>
    </row>
    <row r="1436" customFormat="false" ht="15" hidden="false" customHeight="false" outlineLevel="0" collapsed="false">
      <c r="A1436" s="31" t="n">
        <v>1432</v>
      </c>
      <c r="B1436" s="32" t="str">
        <f aca="false">IF(OR(C1436="",I1436="",G1436=""),"",IFERROR(VLOOKUP(I1436,Setup!$A$9:$B$11,2,0),"???")&amp;"-"&amp;G1436&amp;"-"&amp;TEXT(COUNTIFS(I$5:I1436,I1436,G$5:G1436,G1436),"0000"))</f>
        <v/>
      </c>
      <c r="C1436" s="26"/>
      <c r="D1436" s="26"/>
      <c r="E1436" s="27"/>
      <c r="F1436" s="27"/>
      <c r="G1436" s="31" t="str">
        <f aca="false">IF(F1436="","",IF(F1436&lt;=5,"A",IF(F1436&lt;=8,"B",IF(F1436&lt;=10,"C","D"))))</f>
        <v/>
      </c>
      <c r="H1436" s="28"/>
      <c r="I1436" s="27"/>
      <c r="J1436" s="26"/>
      <c r="K1436" s="27"/>
      <c r="L1436" s="27"/>
      <c r="M1436" s="27"/>
      <c r="N1436" s="27"/>
      <c r="O1436" s="31" t="str">
        <f aca="false">IF(G1436="","",VLOOKUP(G1436,Setup!$A$14:$C$17,3,0))</f>
        <v/>
      </c>
      <c r="P1436" s="27"/>
      <c r="Q1436" s="33" t="str">
        <f aca="false">IF(OR(P1436="",M1436&lt;&gt;"Paid",O1436=""),"",P1436/O1436)</f>
        <v/>
      </c>
      <c r="R1436" s="34" t="str">
        <f aca="false">IF(Q1436="","",Q1436+N(H1436)*0.000000001)</f>
        <v/>
      </c>
      <c r="S1436" s="32" t="str">
        <f aca="false">IF(R1436="","",SUMPRODUCT((I$5:I$4004=I1436)*ISNUMBER(R$5:R$4004)*(R$5:R$4004&gt;R1436))+1)</f>
        <v/>
      </c>
      <c r="T1436" s="32" t="str">
        <f aca="false">IF(S1436="","",IF(S1436&lt;=Setup!$B$5,"🏆 WINNER",""))</f>
        <v/>
      </c>
      <c r="U1436" s="31" t="str">
        <f aca="false">IF(S1436="","",I1436&amp;"|"&amp;S1436)</f>
        <v/>
      </c>
    </row>
    <row r="1437" customFormat="false" ht="15" hidden="false" customHeight="false" outlineLevel="0" collapsed="false">
      <c r="A1437" s="24" t="n">
        <v>1433</v>
      </c>
      <c r="B1437" s="25" t="str">
        <f aca="false">IF(OR(C1437="",I1437="",G1437=""),"",IFERROR(VLOOKUP(I1437,Setup!$A$9:$B$11,2,0),"???")&amp;"-"&amp;G1437&amp;"-"&amp;TEXT(COUNTIFS(I$5:I1437,I1437,G$5:G1437,G1437),"0000"))</f>
        <v/>
      </c>
      <c r="C1437" s="26"/>
      <c r="D1437" s="26"/>
      <c r="E1437" s="27"/>
      <c r="F1437" s="27"/>
      <c r="G1437" s="24" t="str">
        <f aca="false">IF(F1437="","",IF(F1437&lt;=5,"A",IF(F1437&lt;=8,"B",IF(F1437&lt;=10,"C","D"))))</f>
        <v/>
      </c>
      <c r="H1437" s="28"/>
      <c r="I1437" s="27"/>
      <c r="J1437" s="26"/>
      <c r="K1437" s="27"/>
      <c r="L1437" s="27"/>
      <c r="M1437" s="27"/>
      <c r="N1437" s="27"/>
      <c r="O1437" s="24" t="str">
        <f aca="false">IF(G1437="","",VLOOKUP(G1437,Setup!$A$14:$C$17,3,0))</f>
        <v/>
      </c>
      <c r="P1437" s="27"/>
      <c r="Q1437" s="29" t="str">
        <f aca="false">IF(OR(P1437="",M1437&lt;&gt;"Paid",O1437=""),"",P1437/O1437)</f>
        <v/>
      </c>
      <c r="R1437" s="30" t="str">
        <f aca="false">IF(Q1437="","",Q1437+N(H1437)*0.000000001)</f>
        <v/>
      </c>
      <c r="S1437" s="25" t="str">
        <f aca="false">IF(R1437="","",SUMPRODUCT((I$5:I$4004=I1437)*ISNUMBER(R$5:R$4004)*(R$5:R$4004&gt;R1437))+1)</f>
        <v/>
      </c>
      <c r="T1437" s="25" t="str">
        <f aca="false">IF(S1437="","",IF(S1437&lt;=Setup!$B$5,"🏆 WINNER",""))</f>
        <v/>
      </c>
      <c r="U1437" s="24" t="str">
        <f aca="false">IF(S1437="","",I1437&amp;"|"&amp;S1437)</f>
        <v/>
      </c>
    </row>
    <row r="1438" customFormat="false" ht="15" hidden="false" customHeight="false" outlineLevel="0" collapsed="false">
      <c r="A1438" s="31" t="n">
        <v>1434</v>
      </c>
      <c r="B1438" s="32" t="str">
        <f aca="false">IF(OR(C1438="",I1438="",G1438=""),"",IFERROR(VLOOKUP(I1438,Setup!$A$9:$B$11,2,0),"???")&amp;"-"&amp;G1438&amp;"-"&amp;TEXT(COUNTIFS(I$5:I1438,I1438,G$5:G1438,G1438),"0000"))</f>
        <v/>
      </c>
      <c r="C1438" s="26"/>
      <c r="D1438" s="26"/>
      <c r="E1438" s="27"/>
      <c r="F1438" s="27"/>
      <c r="G1438" s="31" t="str">
        <f aca="false">IF(F1438="","",IF(F1438&lt;=5,"A",IF(F1438&lt;=8,"B",IF(F1438&lt;=10,"C","D"))))</f>
        <v/>
      </c>
      <c r="H1438" s="28"/>
      <c r="I1438" s="27"/>
      <c r="J1438" s="26"/>
      <c r="K1438" s="27"/>
      <c r="L1438" s="27"/>
      <c r="M1438" s="27"/>
      <c r="N1438" s="27"/>
      <c r="O1438" s="31" t="str">
        <f aca="false">IF(G1438="","",VLOOKUP(G1438,Setup!$A$14:$C$17,3,0))</f>
        <v/>
      </c>
      <c r="P1438" s="27"/>
      <c r="Q1438" s="33" t="str">
        <f aca="false">IF(OR(P1438="",M1438&lt;&gt;"Paid",O1438=""),"",P1438/O1438)</f>
        <v/>
      </c>
      <c r="R1438" s="34" t="str">
        <f aca="false">IF(Q1438="","",Q1438+N(H1438)*0.000000001)</f>
        <v/>
      </c>
      <c r="S1438" s="32" t="str">
        <f aca="false">IF(R1438="","",SUMPRODUCT((I$5:I$4004=I1438)*ISNUMBER(R$5:R$4004)*(R$5:R$4004&gt;R1438))+1)</f>
        <v/>
      </c>
      <c r="T1438" s="32" t="str">
        <f aca="false">IF(S1438="","",IF(S1438&lt;=Setup!$B$5,"🏆 WINNER",""))</f>
        <v/>
      </c>
      <c r="U1438" s="31" t="str">
        <f aca="false">IF(S1438="","",I1438&amp;"|"&amp;S1438)</f>
        <v/>
      </c>
    </row>
    <row r="1439" customFormat="false" ht="15" hidden="false" customHeight="false" outlineLevel="0" collapsed="false">
      <c r="A1439" s="24" t="n">
        <v>1435</v>
      </c>
      <c r="B1439" s="25" t="str">
        <f aca="false">IF(OR(C1439="",I1439="",G1439=""),"",IFERROR(VLOOKUP(I1439,Setup!$A$9:$B$11,2,0),"???")&amp;"-"&amp;G1439&amp;"-"&amp;TEXT(COUNTIFS(I$5:I1439,I1439,G$5:G1439,G1439),"0000"))</f>
        <v/>
      </c>
      <c r="C1439" s="26"/>
      <c r="D1439" s="26"/>
      <c r="E1439" s="27"/>
      <c r="F1439" s="27"/>
      <c r="G1439" s="24" t="str">
        <f aca="false">IF(F1439="","",IF(F1439&lt;=5,"A",IF(F1439&lt;=8,"B",IF(F1439&lt;=10,"C","D"))))</f>
        <v/>
      </c>
      <c r="H1439" s="28"/>
      <c r="I1439" s="27"/>
      <c r="J1439" s="26"/>
      <c r="K1439" s="27"/>
      <c r="L1439" s="27"/>
      <c r="M1439" s="27"/>
      <c r="N1439" s="27"/>
      <c r="O1439" s="24" t="str">
        <f aca="false">IF(G1439="","",VLOOKUP(G1439,Setup!$A$14:$C$17,3,0))</f>
        <v/>
      </c>
      <c r="P1439" s="27"/>
      <c r="Q1439" s="29" t="str">
        <f aca="false">IF(OR(P1439="",M1439&lt;&gt;"Paid",O1439=""),"",P1439/O1439)</f>
        <v/>
      </c>
      <c r="R1439" s="30" t="str">
        <f aca="false">IF(Q1439="","",Q1439+N(H1439)*0.000000001)</f>
        <v/>
      </c>
      <c r="S1439" s="25" t="str">
        <f aca="false">IF(R1439="","",SUMPRODUCT((I$5:I$4004=I1439)*ISNUMBER(R$5:R$4004)*(R$5:R$4004&gt;R1439))+1)</f>
        <v/>
      </c>
      <c r="T1439" s="25" t="str">
        <f aca="false">IF(S1439="","",IF(S1439&lt;=Setup!$B$5,"🏆 WINNER",""))</f>
        <v/>
      </c>
      <c r="U1439" s="24" t="str">
        <f aca="false">IF(S1439="","",I1439&amp;"|"&amp;S1439)</f>
        <v/>
      </c>
    </row>
    <row r="1440" customFormat="false" ht="15" hidden="false" customHeight="false" outlineLevel="0" collapsed="false">
      <c r="A1440" s="31" t="n">
        <v>1436</v>
      </c>
      <c r="B1440" s="32" t="str">
        <f aca="false">IF(OR(C1440="",I1440="",G1440=""),"",IFERROR(VLOOKUP(I1440,Setup!$A$9:$B$11,2,0),"???")&amp;"-"&amp;G1440&amp;"-"&amp;TEXT(COUNTIFS(I$5:I1440,I1440,G$5:G1440,G1440),"0000"))</f>
        <v/>
      </c>
      <c r="C1440" s="26"/>
      <c r="D1440" s="26"/>
      <c r="E1440" s="27"/>
      <c r="F1440" s="27"/>
      <c r="G1440" s="31" t="str">
        <f aca="false">IF(F1440="","",IF(F1440&lt;=5,"A",IF(F1440&lt;=8,"B",IF(F1440&lt;=10,"C","D"))))</f>
        <v/>
      </c>
      <c r="H1440" s="28"/>
      <c r="I1440" s="27"/>
      <c r="J1440" s="26"/>
      <c r="K1440" s="27"/>
      <c r="L1440" s="27"/>
      <c r="M1440" s="27"/>
      <c r="N1440" s="27"/>
      <c r="O1440" s="31" t="str">
        <f aca="false">IF(G1440="","",VLOOKUP(G1440,Setup!$A$14:$C$17,3,0))</f>
        <v/>
      </c>
      <c r="P1440" s="27"/>
      <c r="Q1440" s="33" t="str">
        <f aca="false">IF(OR(P1440="",M1440&lt;&gt;"Paid",O1440=""),"",P1440/O1440)</f>
        <v/>
      </c>
      <c r="R1440" s="34" t="str">
        <f aca="false">IF(Q1440="","",Q1440+N(H1440)*0.000000001)</f>
        <v/>
      </c>
      <c r="S1440" s="32" t="str">
        <f aca="false">IF(R1440="","",SUMPRODUCT((I$5:I$4004=I1440)*ISNUMBER(R$5:R$4004)*(R$5:R$4004&gt;R1440))+1)</f>
        <v/>
      </c>
      <c r="T1440" s="32" t="str">
        <f aca="false">IF(S1440="","",IF(S1440&lt;=Setup!$B$5,"🏆 WINNER",""))</f>
        <v/>
      </c>
      <c r="U1440" s="31" t="str">
        <f aca="false">IF(S1440="","",I1440&amp;"|"&amp;S1440)</f>
        <v/>
      </c>
    </row>
    <row r="1441" customFormat="false" ht="15" hidden="false" customHeight="false" outlineLevel="0" collapsed="false">
      <c r="A1441" s="24" t="n">
        <v>1437</v>
      </c>
      <c r="B1441" s="25" t="str">
        <f aca="false">IF(OR(C1441="",I1441="",G1441=""),"",IFERROR(VLOOKUP(I1441,Setup!$A$9:$B$11,2,0),"???")&amp;"-"&amp;G1441&amp;"-"&amp;TEXT(COUNTIFS(I$5:I1441,I1441,G$5:G1441,G1441),"0000"))</f>
        <v/>
      </c>
      <c r="C1441" s="26"/>
      <c r="D1441" s="26"/>
      <c r="E1441" s="27"/>
      <c r="F1441" s="27"/>
      <c r="G1441" s="24" t="str">
        <f aca="false">IF(F1441="","",IF(F1441&lt;=5,"A",IF(F1441&lt;=8,"B",IF(F1441&lt;=10,"C","D"))))</f>
        <v/>
      </c>
      <c r="H1441" s="28"/>
      <c r="I1441" s="27"/>
      <c r="J1441" s="26"/>
      <c r="K1441" s="27"/>
      <c r="L1441" s="27"/>
      <c r="M1441" s="27"/>
      <c r="N1441" s="27"/>
      <c r="O1441" s="24" t="str">
        <f aca="false">IF(G1441="","",VLOOKUP(G1441,Setup!$A$14:$C$17,3,0))</f>
        <v/>
      </c>
      <c r="P1441" s="27"/>
      <c r="Q1441" s="29" t="str">
        <f aca="false">IF(OR(P1441="",M1441&lt;&gt;"Paid",O1441=""),"",P1441/O1441)</f>
        <v/>
      </c>
      <c r="R1441" s="30" t="str">
        <f aca="false">IF(Q1441="","",Q1441+N(H1441)*0.000000001)</f>
        <v/>
      </c>
      <c r="S1441" s="25" t="str">
        <f aca="false">IF(R1441="","",SUMPRODUCT((I$5:I$4004=I1441)*ISNUMBER(R$5:R$4004)*(R$5:R$4004&gt;R1441))+1)</f>
        <v/>
      </c>
      <c r="T1441" s="25" t="str">
        <f aca="false">IF(S1441="","",IF(S1441&lt;=Setup!$B$5,"🏆 WINNER",""))</f>
        <v/>
      </c>
      <c r="U1441" s="24" t="str">
        <f aca="false">IF(S1441="","",I1441&amp;"|"&amp;S1441)</f>
        <v/>
      </c>
    </row>
    <row r="1442" customFormat="false" ht="15" hidden="false" customHeight="false" outlineLevel="0" collapsed="false">
      <c r="A1442" s="31" t="n">
        <v>1438</v>
      </c>
      <c r="B1442" s="32" t="str">
        <f aca="false">IF(OR(C1442="",I1442="",G1442=""),"",IFERROR(VLOOKUP(I1442,Setup!$A$9:$B$11,2,0),"???")&amp;"-"&amp;G1442&amp;"-"&amp;TEXT(COUNTIFS(I$5:I1442,I1442,G$5:G1442,G1442),"0000"))</f>
        <v/>
      </c>
      <c r="C1442" s="26"/>
      <c r="D1442" s="26"/>
      <c r="E1442" s="27"/>
      <c r="F1442" s="27"/>
      <c r="G1442" s="31" t="str">
        <f aca="false">IF(F1442="","",IF(F1442&lt;=5,"A",IF(F1442&lt;=8,"B",IF(F1442&lt;=10,"C","D"))))</f>
        <v/>
      </c>
      <c r="H1442" s="28"/>
      <c r="I1442" s="27"/>
      <c r="J1442" s="26"/>
      <c r="K1442" s="27"/>
      <c r="L1442" s="27"/>
      <c r="M1442" s="27"/>
      <c r="N1442" s="27"/>
      <c r="O1442" s="31" t="str">
        <f aca="false">IF(G1442="","",VLOOKUP(G1442,Setup!$A$14:$C$17,3,0))</f>
        <v/>
      </c>
      <c r="P1442" s="27"/>
      <c r="Q1442" s="33" t="str">
        <f aca="false">IF(OR(P1442="",M1442&lt;&gt;"Paid",O1442=""),"",P1442/O1442)</f>
        <v/>
      </c>
      <c r="R1442" s="34" t="str">
        <f aca="false">IF(Q1442="","",Q1442+N(H1442)*0.000000001)</f>
        <v/>
      </c>
      <c r="S1442" s="32" t="str">
        <f aca="false">IF(R1442="","",SUMPRODUCT((I$5:I$4004=I1442)*ISNUMBER(R$5:R$4004)*(R$5:R$4004&gt;R1442))+1)</f>
        <v/>
      </c>
      <c r="T1442" s="32" t="str">
        <f aca="false">IF(S1442="","",IF(S1442&lt;=Setup!$B$5,"🏆 WINNER",""))</f>
        <v/>
      </c>
      <c r="U1442" s="31" t="str">
        <f aca="false">IF(S1442="","",I1442&amp;"|"&amp;S1442)</f>
        <v/>
      </c>
    </row>
    <row r="1443" customFormat="false" ht="15" hidden="false" customHeight="false" outlineLevel="0" collapsed="false">
      <c r="A1443" s="24" t="n">
        <v>1439</v>
      </c>
      <c r="B1443" s="25" t="str">
        <f aca="false">IF(OR(C1443="",I1443="",G1443=""),"",IFERROR(VLOOKUP(I1443,Setup!$A$9:$B$11,2,0),"???")&amp;"-"&amp;G1443&amp;"-"&amp;TEXT(COUNTIFS(I$5:I1443,I1443,G$5:G1443,G1443),"0000"))</f>
        <v/>
      </c>
      <c r="C1443" s="26"/>
      <c r="D1443" s="26"/>
      <c r="E1443" s="27"/>
      <c r="F1443" s="27"/>
      <c r="G1443" s="24" t="str">
        <f aca="false">IF(F1443="","",IF(F1443&lt;=5,"A",IF(F1443&lt;=8,"B",IF(F1443&lt;=10,"C","D"))))</f>
        <v/>
      </c>
      <c r="H1443" s="28"/>
      <c r="I1443" s="27"/>
      <c r="J1443" s="26"/>
      <c r="K1443" s="27"/>
      <c r="L1443" s="27"/>
      <c r="M1443" s="27"/>
      <c r="N1443" s="27"/>
      <c r="O1443" s="24" t="str">
        <f aca="false">IF(G1443="","",VLOOKUP(G1443,Setup!$A$14:$C$17,3,0))</f>
        <v/>
      </c>
      <c r="P1443" s="27"/>
      <c r="Q1443" s="29" t="str">
        <f aca="false">IF(OR(P1443="",M1443&lt;&gt;"Paid",O1443=""),"",P1443/O1443)</f>
        <v/>
      </c>
      <c r="R1443" s="30" t="str">
        <f aca="false">IF(Q1443="","",Q1443+N(H1443)*0.000000001)</f>
        <v/>
      </c>
      <c r="S1443" s="25" t="str">
        <f aca="false">IF(R1443="","",SUMPRODUCT((I$5:I$4004=I1443)*ISNUMBER(R$5:R$4004)*(R$5:R$4004&gt;R1443))+1)</f>
        <v/>
      </c>
      <c r="T1443" s="25" t="str">
        <f aca="false">IF(S1443="","",IF(S1443&lt;=Setup!$B$5,"🏆 WINNER",""))</f>
        <v/>
      </c>
      <c r="U1443" s="24" t="str">
        <f aca="false">IF(S1443="","",I1443&amp;"|"&amp;S1443)</f>
        <v/>
      </c>
    </row>
    <row r="1444" customFormat="false" ht="15" hidden="false" customHeight="false" outlineLevel="0" collapsed="false">
      <c r="A1444" s="31" t="n">
        <v>1440</v>
      </c>
      <c r="B1444" s="32" t="str">
        <f aca="false">IF(OR(C1444="",I1444="",G1444=""),"",IFERROR(VLOOKUP(I1444,Setup!$A$9:$B$11,2,0),"???")&amp;"-"&amp;G1444&amp;"-"&amp;TEXT(COUNTIFS(I$5:I1444,I1444,G$5:G1444,G1444),"0000"))</f>
        <v/>
      </c>
      <c r="C1444" s="26"/>
      <c r="D1444" s="26"/>
      <c r="E1444" s="27"/>
      <c r="F1444" s="27"/>
      <c r="G1444" s="31" t="str">
        <f aca="false">IF(F1444="","",IF(F1444&lt;=5,"A",IF(F1444&lt;=8,"B",IF(F1444&lt;=10,"C","D"))))</f>
        <v/>
      </c>
      <c r="H1444" s="28"/>
      <c r="I1444" s="27"/>
      <c r="J1444" s="26"/>
      <c r="K1444" s="27"/>
      <c r="L1444" s="27"/>
      <c r="M1444" s="27"/>
      <c r="N1444" s="27"/>
      <c r="O1444" s="31" t="str">
        <f aca="false">IF(G1444="","",VLOOKUP(G1444,Setup!$A$14:$C$17,3,0))</f>
        <v/>
      </c>
      <c r="P1444" s="27"/>
      <c r="Q1444" s="33" t="str">
        <f aca="false">IF(OR(P1444="",M1444&lt;&gt;"Paid",O1444=""),"",P1444/O1444)</f>
        <v/>
      </c>
      <c r="R1444" s="34" t="str">
        <f aca="false">IF(Q1444="","",Q1444+N(H1444)*0.000000001)</f>
        <v/>
      </c>
      <c r="S1444" s="32" t="str">
        <f aca="false">IF(R1444="","",SUMPRODUCT((I$5:I$4004=I1444)*ISNUMBER(R$5:R$4004)*(R$5:R$4004&gt;R1444))+1)</f>
        <v/>
      </c>
      <c r="T1444" s="32" t="str">
        <f aca="false">IF(S1444="","",IF(S1444&lt;=Setup!$B$5,"🏆 WINNER",""))</f>
        <v/>
      </c>
      <c r="U1444" s="31" t="str">
        <f aca="false">IF(S1444="","",I1444&amp;"|"&amp;S1444)</f>
        <v/>
      </c>
    </row>
    <row r="1445" customFormat="false" ht="15" hidden="false" customHeight="false" outlineLevel="0" collapsed="false">
      <c r="A1445" s="24" t="n">
        <v>1441</v>
      </c>
      <c r="B1445" s="25" t="str">
        <f aca="false">IF(OR(C1445="",I1445="",G1445=""),"",IFERROR(VLOOKUP(I1445,Setup!$A$9:$B$11,2,0),"???")&amp;"-"&amp;G1445&amp;"-"&amp;TEXT(COUNTIFS(I$5:I1445,I1445,G$5:G1445,G1445),"0000"))</f>
        <v/>
      </c>
      <c r="C1445" s="26"/>
      <c r="D1445" s="26"/>
      <c r="E1445" s="27"/>
      <c r="F1445" s="27"/>
      <c r="G1445" s="24" t="str">
        <f aca="false">IF(F1445="","",IF(F1445&lt;=5,"A",IF(F1445&lt;=8,"B",IF(F1445&lt;=10,"C","D"))))</f>
        <v/>
      </c>
      <c r="H1445" s="28"/>
      <c r="I1445" s="27"/>
      <c r="J1445" s="26"/>
      <c r="K1445" s="27"/>
      <c r="L1445" s="27"/>
      <c r="M1445" s="27"/>
      <c r="N1445" s="27"/>
      <c r="O1445" s="24" t="str">
        <f aca="false">IF(G1445="","",VLOOKUP(G1445,Setup!$A$14:$C$17,3,0))</f>
        <v/>
      </c>
      <c r="P1445" s="27"/>
      <c r="Q1445" s="29" t="str">
        <f aca="false">IF(OR(P1445="",M1445&lt;&gt;"Paid",O1445=""),"",P1445/O1445)</f>
        <v/>
      </c>
      <c r="R1445" s="30" t="str">
        <f aca="false">IF(Q1445="","",Q1445+N(H1445)*0.000000001)</f>
        <v/>
      </c>
      <c r="S1445" s="25" t="str">
        <f aca="false">IF(R1445="","",SUMPRODUCT((I$5:I$4004=I1445)*ISNUMBER(R$5:R$4004)*(R$5:R$4004&gt;R1445))+1)</f>
        <v/>
      </c>
      <c r="T1445" s="25" t="str">
        <f aca="false">IF(S1445="","",IF(S1445&lt;=Setup!$B$5,"🏆 WINNER",""))</f>
        <v/>
      </c>
      <c r="U1445" s="24" t="str">
        <f aca="false">IF(S1445="","",I1445&amp;"|"&amp;S1445)</f>
        <v/>
      </c>
    </row>
    <row r="1446" customFormat="false" ht="15" hidden="false" customHeight="false" outlineLevel="0" collapsed="false">
      <c r="A1446" s="31" t="n">
        <v>1442</v>
      </c>
      <c r="B1446" s="32" t="str">
        <f aca="false">IF(OR(C1446="",I1446="",G1446=""),"",IFERROR(VLOOKUP(I1446,Setup!$A$9:$B$11,2,0),"???")&amp;"-"&amp;G1446&amp;"-"&amp;TEXT(COUNTIFS(I$5:I1446,I1446,G$5:G1446,G1446),"0000"))</f>
        <v/>
      </c>
      <c r="C1446" s="26"/>
      <c r="D1446" s="26"/>
      <c r="E1446" s="27"/>
      <c r="F1446" s="27"/>
      <c r="G1446" s="31" t="str">
        <f aca="false">IF(F1446="","",IF(F1446&lt;=5,"A",IF(F1446&lt;=8,"B",IF(F1446&lt;=10,"C","D"))))</f>
        <v/>
      </c>
      <c r="H1446" s="28"/>
      <c r="I1446" s="27"/>
      <c r="J1446" s="26"/>
      <c r="K1446" s="27"/>
      <c r="L1446" s="27"/>
      <c r="M1446" s="27"/>
      <c r="N1446" s="27"/>
      <c r="O1446" s="31" t="str">
        <f aca="false">IF(G1446="","",VLOOKUP(G1446,Setup!$A$14:$C$17,3,0))</f>
        <v/>
      </c>
      <c r="P1446" s="27"/>
      <c r="Q1446" s="33" t="str">
        <f aca="false">IF(OR(P1446="",M1446&lt;&gt;"Paid",O1446=""),"",P1446/O1446)</f>
        <v/>
      </c>
      <c r="R1446" s="34" t="str">
        <f aca="false">IF(Q1446="","",Q1446+N(H1446)*0.000000001)</f>
        <v/>
      </c>
      <c r="S1446" s="32" t="str">
        <f aca="false">IF(R1446="","",SUMPRODUCT((I$5:I$4004=I1446)*ISNUMBER(R$5:R$4004)*(R$5:R$4004&gt;R1446))+1)</f>
        <v/>
      </c>
      <c r="T1446" s="32" t="str">
        <f aca="false">IF(S1446="","",IF(S1446&lt;=Setup!$B$5,"🏆 WINNER",""))</f>
        <v/>
      </c>
      <c r="U1446" s="31" t="str">
        <f aca="false">IF(S1446="","",I1446&amp;"|"&amp;S1446)</f>
        <v/>
      </c>
    </row>
    <row r="1447" customFormat="false" ht="15" hidden="false" customHeight="false" outlineLevel="0" collapsed="false">
      <c r="A1447" s="24" t="n">
        <v>1443</v>
      </c>
      <c r="B1447" s="25" t="str">
        <f aca="false">IF(OR(C1447="",I1447="",G1447=""),"",IFERROR(VLOOKUP(I1447,Setup!$A$9:$B$11,2,0),"???")&amp;"-"&amp;G1447&amp;"-"&amp;TEXT(COUNTIFS(I$5:I1447,I1447,G$5:G1447,G1447),"0000"))</f>
        <v/>
      </c>
      <c r="C1447" s="26"/>
      <c r="D1447" s="26"/>
      <c r="E1447" s="27"/>
      <c r="F1447" s="27"/>
      <c r="G1447" s="24" t="str">
        <f aca="false">IF(F1447="","",IF(F1447&lt;=5,"A",IF(F1447&lt;=8,"B",IF(F1447&lt;=10,"C","D"))))</f>
        <v/>
      </c>
      <c r="H1447" s="28"/>
      <c r="I1447" s="27"/>
      <c r="J1447" s="26"/>
      <c r="K1447" s="27"/>
      <c r="L1447" s="27"/>
      <c r="M1447" s="27"/>
      <c r="N1447" s="27"/>
      <c r="O1447" s="24" t="str">
        <f aca="false">IF(G1447="","",VLOOKUP(G1447,Setup!$A$14:$C$17,3,0))</f>
        <v/>
      </c>
      <c r="P1447" s="27"/>
      <c r="Q1447" s="29" t="str">
        <f aca="false">IF(OR(P1447="",M1447&lt;&gt;"Paid",O1447=""),"",P1447/O1447)</f>
        <v/>
      </c>
      <c r="R1447" s="30" t="str">
        <f aca="false">IF(Q1447="","",Q1447+N(H1447)*0.000000001)</f>
        <v/>
      </c>
      <c r="S1447" s="25" t="str">
        <f aca="false">IF(R1447="","",SUMPRODUCT((I$5:I$4004=I1447)*ISNUMBER(R$5:R$4004)*(R$5:R$4004&gt;R1447))+1)</f>
        <v/>
      </c>
      <c r="T1447" s="25" t="str">
        <f aca="false">IF(S1447="","",IF(S1447&lt;=Setup!$B$5,"🏆 WINNER",""))</f>
        <v/>
      </c>
      <c r="U1447" s="24" t="str">
        <f aca="false">IF(S1447="","",I1447&amp;"|"&amp;S1447)</f>
        <v/>
      </c>
    </row>
    <row r="1448" customFormat="false" ht="15" hidden="false" customHeight="false" outlineLevel="0" collapsed="false">
      <c r="A1448" s="31" t="n">
        <v>1444</v>
      </c>
      <c r="B1448" s="32" t="str">
        <f aca="false">IF(OR(C1448="",I1448="",G1448=""),"",IFERROR(VLOOKUP(I1448,Setup!$A$9:$B$11,2,0),"???")&amp;"-"&amp;G1448&amp;"-"&amp;TEXT(COUNTIFS(I$5:I1448,I1448,G$5:G1448,G1448),"0000"))</f>
        <v/>
      </c>
      <c r="C1448" s="26"/>
      <c r="D1448" s="26"/>
      <c r="E1448" s="27"/>
      <c r="F1448" s="27"/>
      <c r="G1448" s="31" t="str">
        <f aca="false">IF(F1448="","",IF(F1448&lt;=5,"A",IF(F1448&lt;=8,"B",IF(F1448&lt;=10,"C","D"))))</f>
        <v/>
      </c>
      <c r="H1448" s="28"/>
      <c r="I1448" s="27"/>
      <c r="J1448" s="26"/>
      <c r="K1448" s="27"/>
      <c r="L1448" s="27"/>
      <c r="M1448" s="27"/>
      <c r="N1448" s="27"/>
      <c r="O1448" s="31" t="str">
        <f aca="false">IF(G1448="","",VLOOKUP(G1448,Setup!$A$14:$C$17,3,0))</f>
        <v/>
      </c>
      <c r="P1448" s="27"/>
      <c r="Q1448" s="33" t="str">
        <f aca="false">IF(OR(P1448="",M1448&lt;&gt;"Paid",O1448=""),"",P1448/O1448)</f>
        <v/>
      </c>
      <c r="R1448" s="34" t="str">
        <f aca="false">IF(Q1448="","",Q1448+N(H1448)*0.000000001)</f>
        <v/>
      </c>
      <c r="S1448" s="32" t="str">
        <f aca="false">IF(R1448="","",SUMPRODUCT((I$5:I$4004=I1448)*ISNUMBER(R$5:R$4004)*(R$5:R$4004&gt;R1448))+1)</f>
        <v/>
      </c>
      <c r="T1448" s="32" t="str">
        <f aca="false">IF(S1448="","",IF(S1448&lt;=Setup!$B$5,"🏆 WINNER",""))</f>
        <v/>
      </c>
      <c r="U1448" s="31" t="str">
        <f aca="false">IF(S1448="","",I1448&amp;"|"&amp;S1448)</f>
        <v/>
      </c>
    </row>
    <row r="1449" customFormat="false" ht="15" hidden="false" customHeight="false" outlineLevel="0" collapsed="false">
      <c r="A1449" s="24" t="n">
        <v>1445</v>
      </c>
      <c r="B1449" s="25" t="str">
        <f aca="false">IF(OR(C1449="",I1449="",G1449=""),"",IFERROR(VLOOKUP(I1449,Setup!$A$9:$B$11,2,0),"???")&amp;"-"&amp;G1449&amp;"-"&amp;TEXT(COUNTIFS(I$5:I1449,I1449,G$5:G1449,G1449),"0000"))</f>
        <v/>
      </c>
      <c r="C1449" s="26"/>
      <c r="D1449" s="26"/>
      <c r="E1449" s="27"/>
      <c r="F1449" s="27"/>
      <c r="G1449" s="24" t="str">
        <f aca="false">IF(F1449="","",IF(F1449&lt;=5,"A",IF(F1449&lt;=8,"B",IF(F1449&lt;=10,"C","D"))))</f>
        <v/>
      </c>
      <c r="H1449" s="28"/>
      <c r="I1449" s="27"/>
      <c r="J1449" s="26"/>
      <c r="K1449" s="27"/>
      <c r="L1449" s="27"/>
      <c r="M1449" s="27"/>
      <c r="N1449" s="27"/>
      <c r="O1449" s="24" t="str">
        <f aca="false">IF(G1449="","",VLOOKUP(G1449,Setup!$A$14:$C$17,3,0))</f>
        <v/>
      </c>
      <c r="P1449" s="27"/>
      <c r="Q1449" s="29" t="str">
        <f aca="false">IF(OR(P1449="",M1449&lt;&gt;"Paid",O1449=""),"",P1449/O1449)</f>
        <v/>
      </c>
      <c r="R1449" s="30" t="str">
        <f aca="false">IF(Q1449="","",Q1449+N(H1449)*0.000000001)</f>
        <v/>
      </c>
      <c r="S1449" s="25" t="str">
        <f aca="false">IF(R1449="","",SUMPRODUCT((I$5:I$4004=I1449)*ISNUMBER(R$5:R$4004)*(R$5:R$4004&gt;R1449))+1)</f>
        <v/>
      </c>
      <c r="T1449" s="25" t="str">
        <f aca="false">IF(S1449="","",IF(S1449&lt;=Setup!$B$5,"🏆 WINNER",""))</f>
        <v/>
      </c>
      <c r="U1449" s="24" t="str">
        <f aca="false">IF(S1449="","",I1449&amp;"|"&amp;S1449)</f>
        <v/>
      </c>
    </row>
    <row r="1450" customFormat="false" ht="15" hidden="false" customHeight="false" outlineLevel="0" collapsed="false">
      <c r="A1450" s="31" t="n">
        <v>1446</v>
      </c>
      <c r="B1450" s="32" t="str">
        <f aca="false">IF(OR(C1450="",I1450="",G1450=""),"",IFERROR(VLOOKUP(I1450,Setup!$A$9:$B$11,2,0),"???")&amp;"-"&amp;G1450&amp;"-"&amp;TEXT(COUNTIFS(I$5:I1450,I1450,G$5:G1450,G1450),"0000"))</f>
        <v/>
      </c>
      <c r="C1450" s="26"/>
      <c r="D1450" s="26"/>
      <c r="E1450" s="27"/>
      <c r="F1450" s="27"/>
      <c r="G1450" s="31" t="str">
        <f aca="false">IF(F1450="","",IF(F1450&lt;=5,"A",IF(F1450&lt;=8,"B",IF(F1450&lt;=10,"C","D"))))</f>
        <v/>
      </c>
      <c r="H1450" s="28"/>
      <c r="I1450" s="27"/>
      <c r="J1450" s="26"/>
      <c r="K1450" s="27"/>
      <c r="L1450" s="27"/>
      <c r="M1450" s="27"/>
      <c r="N1450" s="27"/>
      <c r="O1450" s="31" t="str">
        <f aca="false">IF(G1450="","",VLOOKUP(G1450,Setup!$A$14:$C$17,3,0))</f>
        <v/>
      </c>
      <c r="P1450" s="27"/>
      <c r="Q1450" s="33" t="str">
        <f aca="false">IF(OR(P1450="",M1450&lt;&gt;"Paid",O1450=""),"",P1450/O1450)</f>
        <v/>
      </c>
      <c r="R1450" s="34" t="str">
        <f aca="false">IF(Q1450="","",Q1450+N(H1450)*0.000000001)</f>
        <v/>
      </c>
      <c r="S1450" s="32" t="str">
        <f aca="false">IF(R1450="","",SUMPRODUCT((I$5:I$4004=I1450)*ISNUMBER(R$5:R$4004)*(R$5:R$4004&gt;R1450))+1)</f>
        <v/>
      </c>
      <c r="T1450" s="32" t="str">
        <f aca="false">IF(S1450="","",IF(S1450&lt;=Setup!$B$5,"🏆 WINNER",""))</f>
        <v/>
      </c>
      <c r="U1450" s="31" t="str">
        <f aca="false">IF(S1450="","",I1450&amp;"|"&amp;S1450)</f>
        <v/>
      </c>
    </row>
    <row r="1451" customFormat="false" ht="15" hidden="false" customHeight="false" outlineLevel="0" collapsed="false">
      <c r="A1451" s="24" t="n">
        <v>1447</v>
      </c>
      <c r="B1451" s="25" t="str">
        <f aca="false">IF(OR(C1451="",I1451="",G1451=""),"",IFERROR(VLOOKUP(I1451,Setup!$A$9:$B$11,2,0),"???")&amp;"-"&amp;G1451&amp;"-"&amp;TEXT(COUNTIFS(I$5:I1451,I1451,G$5:G1451,G1451),"0000"))</f>
        <v/>
      </c>
      <c r="C1451" s="26"/>
      <c r="D1451" s="26"/>
      <c r="E1451" s="27"/>
      <c r="F1451" s="27"/>
      <c r="G1451" s="24" t="str">
        <f aca="false">IF(F1451="","",IF(F1451&lt;=5,"A",IF(F1451&lt;=8,"B",IF(F1451&lt;=10,"C","D"))))</f>
        <v/>
      </c>
      <c r="H1451" s="28"/>
      <c r="I1451" s="27"/>
      <c r="J1451" s="26"/>
      <c r="K1451" s="27"/>
      <c r="L1451" s="27"/>
      <c r="M1451" s="27"/>
      <c r="N1451" s="27"/>
      <c r="O1451" s="24" t="str">
        <f aca="false">IF(G1451="","",VLOOKUP(G1451,Setup!$A$14:$C$17,3,0))</f>
        <v/>
      </c>
      <c r="P1451" s="27"/>
      <c r="Q1451" s="29" t="str">
        <f aca="false">IF(OR(P1451="",M1451&lt;&gt;"Paid",O1451=""),"",P1451/O1451)</f>
        <v/>
      </c>
      <c r="R1451" s="30" t="str">
        <f aca="false">IF(Q1451="","",Q1451+N(H1451)*0.000000001)</f>
        <v/>
      </c>
      <c r="S1451" s="25" t="str">
        <f aca="false">IF(R1451="","",SUMPRODUCT((I$5:I$4004=I1451)*ISNUMBER(R$5:R$4004)*(R$5:R$4004&gt;R1451))+1)</f>
        <v/>
      </c>
      <c r="T1451" s="25" t="str">
        <f aca="false">IF(S1451="","",IF(S1451&lt;=Setup!$B$5,"🏆 WINNER",""))</f>
        <v/>
      </c>
      <c r="U1451" s="24" t="str">
        <f aca="false">IF(S1451="","",I1451&amp;"|"&amp;S1451)</f>
        <v/>
      </c>
    </row>
    <row r="1452" customFormat="false" ht="15" hidden="false" customHeight="false" outlineLevel="0" collapsed="false">
      <c r="A1452" s="31" t="n">
        <v>1448</v>
      </c>
      <c r="B1452" s="32" t="str">
        <f aca="false">IF(OR(C1452="",I1452="",G1452=""),"",IFERROR(VLOOKUP(I1452,Setup!$A$9:$B$11,2,0),"???")&amp;"-"&amp;G1452&amp;"-"&amp;TEXT(COUNTIFS(I$5:I1452,I1452,G$5:G1452,G1452),"0000"))</f>
        <v/>
      </c>
      <c r="C1452" s="26"/>
      <c r="D1452" s="26"/>
      <c r="E1452" s="27"/>
      <c r="F1452" s="27"/>
      <c r="G1452" s="31" t="str">
        <f aca="false">IF(F1452="","",IF(F1452&lt;=5,"A",IF(F1452&lt;=8,"B",IF(F1452&lt;=10,"C","D"))))</f>
        <v/>
      </c>
      <c r="H1452" s="28"/>
      <c r="I1452" s="27"/>
      <c r="J1452" s="26"/>
      <c r="K1452" s="27"/>
      <c r="L1452" s="27"/>
      <c r="M1452" s="27"/>
      <c r="N1452" s="27"/>
      <c r="O1452" s="31" t="str">
        <f aca="false">IF(G1452="","",VLOOKUP(G1452,Setup!$A$14:$C$17,3,0))</f>
        <v/>
      </c>
      <c r="P1452" s="27"/>
      <c r="Q1452" s="33" t="str">
        <f aca="false">IF(OR(P1452="",M1452&lt;&gt;"Paid",O1452=""),"",P1452/O1452)</f>
        <v/>
      </c>
      <c r="R1452" s="34" t="str">
        <f aca="false">IF(Q1452="","",Q1452+N(H1452)*0.000000001)</f>
        <v/>
      </c>
      <c r="S1452" s="32" t="str">
        <f aca="false">IF(R1452="","",SUMPRODUCT((I$5:I$4004=I1452)*ISNUMBER(R$5:R$4004)*(R$5:R$4004&gt;R1452))+1)</f>
        <v/>
      </c>
      <c r="T1452" s="32" t="str">
        <f aca="false">IF(S1452="","",IF(S1452&lt;=Setup!$B$5,"🏆 WINNER",""))</f>
        <v/>
      </c>
      <c r="U1452" s="31" t="str">
        <f aca="false">IF(S1452="","",I1452&amp;"|"&amp;S1452)</f>
        <v/>
      </c>
    </row>
    <row r="1453" customFormat="false" ht="15" hidden="false" customHeight="false" outlineLevel="0" collapsed="false">
      <c r="A1453" s="24" t="n">
        <v>1449</v>
      </c>
      <c r="B1453" s="25" t="str">
        <f aca="false">IF(OR(C1453="",I1453="",G1453=""),"",IFERROR(VLOOKUP(I1453,Setup!$A$9:$B$11,2,0),"???")&amp;"-"&amp;G1453&amp;"-"&amp;TEXT(COUNTIFS(I$5:I1453,I1453,G$5:G1453,G1453),"0000"))</f>
        <v/>
      </c>
      <c r="C1453" s="26"/>
      <c r="D1453" s="26"/>
      <c r="E1453" s="27"/>
      <c r="F1453" s="27"/>
      <c r="G1453" s="24" t="str">
        <f aca="false">IF(F1453="","",IF(F1453&lt;=5,"A",IF(F1453&lt;=8,"B",IF(F1453&lt;=10,"C","D"))))</f>
        <v/>
      </c>
      <c r="H1453" s="28"/>
      <c r="I1453" s="27"/>
      <c r="J1453" s="26"/>
      <c r="K1453" s="27"/>
      <c r="L1453" s="27"/>
      <c r="M1453" s="27"/>
      <c r="N1453" s="27"/>
      <c r="O1453" s="24" t="str">
        <f aca="false">IF(G1453="","",VLOOKUP(G1453,Setup!$A$14:$C$17,3,0))</f>
        <v/>
      </c>
      <c r="P1453" s="27"/>
      <c r="Q1453" s="29" t="str">
        <f aca="false">IF(OR(P1453="",M1453&lt;&gt;"Paid",O1453=""),"",P1453/O1453)</f>
        <v/>
      </c>
      <c r="R1453" s="30" t="str">
        <f aca="false">IF(Q1453="","",Q1453+N(H1453)*0.000000001)</f>
        <v/>
      </c>
      <c r="S1453" s="25" t="str">
        <f aca="false">IF(R1453="","",SUMPRODUCT((I$5:I$4004=I1453)*ISNUMBER(R$5:R$4004)*(R$5:R$4004&gt;R1453))+1)</f>
        <v/>
      </c>
      <c r="T1453" s="25" t="str">
        <f aca="false">IF(S1453="","",IF(S1453&lt;=Setup!$B$5,"🏆 WINNER",""))</f>
        <v/>
      </c>
      <c r="U1453" s="24" t="str">
        <f aca="false">IF(S1453="","",I1453&amp;"|"&amp;S1453)</f>
        <v/>
      </c>
    </row>
    <row r="1454" customFormat="false" ht="15" hidden="false" customHeight="false" outlineLevel="0" collapsed="false">
      <c r="A1454" s="31" t="n">
        <v>1450</v>
      </c>
      <c r="B1454" s="32" t="str">
        <f aca="false">IF(OR(C1454="",I1454="",G1454=""),"",IFERROR(VLOOKUP(I1454,Setup!$A$9:$B$11,2,0),"???")&amp;"-"&amp;G1454&amp;"-"&amp;TEXT(COUNTIFS(I$5:I1454,I1454,G$5:G1454,G1454),"0000"))</f>
        <v/>
      </c>
      <c r="C1454" s="26"/>
      <c r="D1454" s="26"/>
      <c r="E1454" s="27"/>
      <c r="F1454" s="27"/>
      <c r="G1454" s="31" t="str">
        <f aca="false">IF(F1454="","",IF(F1454&lt;=5,"A",IF(F1454&lt;=8,"B",IF(F1454&lt;=10,"C","D"))))</f>
        <v/>
      </c>
      <c r="H1454" s="28"/>
      <c r="I1454" s="27"/>
      <c r="J1454" s="26"/>
      <c r="K1454" s="27"/>
      <c r="L1454" s="27"/>
      <c r="M1454" s="27"/>
      <c r="N1454" s="27"/>
      <c r="O1454" s="31" t="str">
        <f aca="false">IF(G1454="","",VLOOKUP(G1454,Setup!$A$14:$C$17,3,0))</f>
        <v/>
      </c>
      <c r="P1454" s="27"/>
      <c r="Q1454" s="33" t="str">
        <f aca="false">IF(OR(P1454="",M1454&lt;&gt;"Paid",O1454=""),"",P1454/O1454)</f>
        <v/>
      </c>
      <c r="R1454" s="34" t="str">
        <f aca="false">IF(Q1454="","",Q1454+N(H1454)*0.000000001)</f>
        <v/>
      </c>
      <c r="S1454" s="32" t="str">
        <f aca="false">IF(R1454="","",SUMPRODUCT((I$5:I$4004=I1454)*ISNUMBER(R$5:R$4004)*(R$5:R$4004&gt;R1454))+1)</f>
        <v/>
      </c>
      <c r="T1454" s="32" t="str">
        <f aca="false">IF(S1454="","",IF(S1454&lt;=Setup!$B$5,"🏆 WINNER",""))</f>
        <v/>
      </c>
      <c r="U1454" s="31" t="str">
        <f aca="false">IF(S1454="","",I1454&amp;"|"&amp;S1454)</f>
        <v/>
      </c>
    </row>
    <row r="1455" customFormat="false" ht="15" hidden="false" customHeight="false" outlineLevel="0" collapsed="false">
      <c r="A1455" s="24" t="n">
        <v>1451</v>
      </c>
      <c r="B1455" s="25" t="str">
        <f aca="false">IF(OR(C1455="",I1455="",G1455=""),"",IFERROR(VLOOKUP(I1455,Setup!$A$9:$B$11,2,0),"???")&amp;"-"&amp;G1455&amp;"-"&amp;TEXT(COUNTIFS(I$5:I1455,I1455,G$5:G1455,G1455),"0000"))</f>
        <v/>
      </c>
      <c r="C1455" s="26"/>
      <c r="D1455" s="26"/>
      <c r="E1455" s="27"/>
      <c r="F1455" s="27"/>
      <c r="G1455" s="24" t="str">
        <f aca="false">IF(F1455="","",IF(F1455&lt;=5,"A",IF(F1455&lt;=8,"B",IF(F1455&lt;=10,"C","D"))))</f>
        <v/>
      </c>
      <c r="H1455" s="28"/>
      <c r="I1455" s="27"/>
      <c r="J1455" s="26"/>
      <c r="K1455" s="27"/>
      <c r="L1455" s="27"/>
      <c r="M1455" s="27"/>
      <c r="N1455" s="27"/>
      <c r="O1455" s="24" t="str">
        <f aca="false">IF(G1455="","",VLOOKUP(G1455,Setup!$A$14:$C$17,3,0))</f>
        <v/>
      </c>
      <c r="P1455" s="27"/>
      <c r="Q1455" s="29" t="str">
        <f aca="false">IF(OR(P1455="",M1455&lt;&gt;"Paid",O1455=""),"",P1455/O1455)</f>
        <v/>
      </c>
      <c r="R1455" s="30" t="str">
        <f aca="false">IF(Q1455="","",Q1455+N(H1455)*0.000000001)</f>
        <v/>
      </c>
      <c r="S1455" s="25" t="str">
        <f aca="false">IF(R1455="","",SUMPRODUCT((I$5:I$4004=I1455)*ISNUMBER(R$5:R$4004)*(R$5:R$4004&gt;R1455))+1)</f>
        <v/>
      </c>
      <c r="T1455" s="25" t="str">
        <f aca="false">IF(S1455="","",IF(S1455&lt;=Setup!$B$5,"🏆 WINNER",""))</f>
        <v/>
      </c>
      <c r="U1455" s="24" t="str">
        <f aca="false">IF(S1455="","",I1455&amp;"|"&amp;S1455)</f>
        <v/>
      </c>
    </row>
    <row r="1456" customFormat="false" ht="15" hidden="false" customHeight="false" outlineLevel="0" collapsed="false">
      <c r="A1456" s="31" t="n">
        <v>1452</v>
      </c>
      <c r="B1456" s="32" t="str">
        <f aca="false">IF(OR(C1456="",I1456="",G1456=""),"",IFERROR(VLOOKUP(I1456,Setup!$A$9:$B$11,2,0),"???")&amp;"-"&amp;G1456&amp;"-"&amp;TEXT(COUNTIFS(I$5:I1456,I1456,G$5:G1456,G1456),"0000"))</f>
        <v/>
      </c>
      <c r="C1456" s="26"/>
      <c r="D1456" s="26"/>
      <c r="E1456" s="27"/>
      <c r="F1456" s="27"/>
      <c r="G1456" s="31" t="str">
        <f aca="false">IF(F1456="","",IF(F1456&lt;=5,"A",IF(F1456&lt;=8,"B",IF(F1456&lt;=10,"C","D"))))</f>
        <v/>
      </c>
      <c r="H1456" s="28"/>
      <c r="I1456" s="27"/>
      <c r="J1456" s="26"/>
      <c r="K1456" s="27"/>
      <c r="L1456" s="27"/>
      <c r="M1456" s="27"/>
      <c r="N1456" s="27"/>
      <c r="O1456" s="31" t="str">
        <f aca="false">IF(G1456="","",VLOOKUP(G1456,Setup!$A$14:$C$17,3,0))</f>
        <v/>
      </c>
      <c r="P1456" s="27"/>
      <c r="Q1456" s="33" t="str">
        <f aca="false">IF(OR(P1456="",M1456&lt;&gt;"Paid",O1456=""),"",P1456/O1456)</f>
        <v/>
      </c>
      <c r="R1456" s="34" t="str">
        <f aca="false">IF(Q1456="","",Q1456+N(H1456)*0.000000001)</f>
        <v/>
      </c>
      <c r="S1456" s="32" t="str">
        <f aca="false">IF(R1456="","",SUMPRODUCT((I$5:I$4004=I1456)*ISNUMBER(R$5:R$4004)*(R$5:R$4004&gt;R1456))+1)</f>
        <v/>
      </c>
      <c r="T1456" s="32" t="str">
        <f aca="false">IF(S1456="","",IF(S1456&lt;=Setup!$B$5,"🏆 WINNER",""))</f>
        <v/>
      </c>
      <c r="U1456" s="31" t="str">
        <f aca="false">IF(S1456="","",I1456&amp;"|"&amp;S1456)</f>
        <v/>
      </c>
    </row>
    <row r="1457" customFormat="false" ht="15" hidden="false" customHeight="false" outlineLevel="0" collapsed="false">
      <c r="A1457" s="24" t="n">
        <v>1453</v>
      </c>
      <c r="B1457" s="25" t="str">
        <f aca="false">IF(OR(C1457="",I1457="",G1457=""),"",IFERROR(VLOOKUP(I1457,Setup!$A$9:$B$11,2,0),"???")&amp;"-"&amp;G1457&amp;"-"&amp;TEXT(COUNTIFS(I$5:I1457,I1457,G$5:G1457,G1457),"0000"))</f>
        <v/>
      </c>
      <c r="C1457" s="26"/>
      <c r="D1457" s="26"/>
      <c r="E1457" s="27"/>
      <c r="F1457" s="27"/>
      <c r="G1457" s="24" t="str">
        <f aca="false">IF(F1457="","",IF(F1457&lt;=5,"A",IF(F1457&lt;=8,"B",IF(F1457&lt;=10,"C","D"))))</f>
        <v/>
      </c>
      <c r="H1457" s="28"/>
      <c r="I1457" s="27"/>
      <c r="J1457" s="26"/>
      <c r="K1457" s="27"/>
      <c r="L1457" s="27"/>
      <c r="M1457" s="27"/>
      <c r="N1457" s="27"/>
      <c r="O1457" s="24" t="str">
        <f aca="false">IF(G1457="","",VLOOKUP(G1457,Setup!$A$14:$C$17,3,0))</f>
        <v/>
      </c>
      <c r="P1457" s="27"/>
      <c r="Q1457" s="29" t="str">
        <f aca="false">IF(OR(P1457="",M1457&lt;&gt;"Paid",O1457=""),"",P1457/O1457)</f>
        <v/>
      </c>
      <c r="R1457" s="30" t="str">
        <f aca="false">IF(Q1457="","",Q1457+N(H1457)*0.000000001)</f>
        <v/>
      </c>
      <c r="S1457" s="25" t="str">
        <f aca="false">IF(R1457="","",SUMPRODUCT((I$5:I$4004=I1457)*ISNUMBER(R$5:R$4004)*(R$5:R$4004&gt;R1457))+1)</f>
        <v/>
      </c>
      <c r="T1457" s="25" t="str">
        <f aca="false">IF(S1457="","",IF(S1457&lt;=Setup!$B$5,"🏆 WINNER",""))</f>
        <v/>
      </c>
      <c r="U1457" s="24" t="str">
        <f aca="false">IF(S1457="","",I1457&amp;"|"&amp;S1457)</f>
        <v/>
      </c>
    </row>
    <row r="1458" customFormat="false" ht="15" hidden="false" customHeight="false" outlineLevel="0" collapsed="false">
      <c r="A1458" s="31" t="n">
        <v>1454</v>
      </c>
      <c r="B1458" s="32" t="str">
        <f aca="false">IF(OR(C1458="",I1458="",G1458=""),"",IFERROR(VLOOKUP(I1458,Setup!$A$9:$B$11,2,0),"???")&amp;"-"&amp;G1458&amp;"-"&amp;TEXT(COUNTIFS(I$5:I1458,I1458,G$5:G1458,G1458),"0000"))</f>
        <v/>
      </c>
      <c r="C1458" s="26"/>
      <c r="D1458" s="26"/>
      <c r="E1458" s="27"/>
      <c r="F1458" s="27"/>
      <c r="G1458" s="31" t="str">
        <f aca="false">IF(F1458="","",IF(F1458&lt;=5,"A",IF(F1458&lt;=8,"B",IF(F1458&lt;=10,"C","D"))))</f>
        <v/>
      </c>
      <c r="H1458" s="28"/>
      <c r="I1458" s="27"/>
      <c r="J1458" s="26"/>
      <c r="K1458" s="27"/>
      <c r="L1458" s="27"/>
      <c r="M1458" s="27"/>
      <c r="N1458" s="27"/>
      <c r="O1458" s="31" t="str">
        <f aca="false">IF(G1458="","",VLOOKUP(G1458,Setup!$A$14:$C$17,3,0))</f>
        <v/>
      </c>
      <c r="P1458" s="27"/>
      <c r="Q1458" s="33" t="str">
        <f aca="false">IF(OR(P1458="",M1458&lt;&gt;"Paid",O1458=""),"",P1458/O1458)</f>
        <v/>
      </c>
      <c r="R1458" s="34" t="str">
        <f aca="false">IF(Q1458="","",Q1458+N(H1458)*0.000000001)</f>
        <v/>
      </c>
      <c r="S1458" s="32" t="str">
        <f aca="false">IF(R1458="","",SUMPRODUCT((I$5:I$4004=I1458)*ISNUMBER(R$5:R$4004)*(R$5:R$4004&gt;R1458))+1)</f>
        <v/>
      </c>
      <c r="T1458" s="32" t="str">
        <f aca="false">IF(S1458="","",IF(S1458&lt;=Setup!$B$5,"🏆 WINNER",""))</f>
        <v/>
      </c>
      <c r="U1458" s="31" t="str">
        <f aca="false">IF(S1458="","",I1458&amp;"|"&amp;S1458)</f>
        <v/>
      </c>
    </row>
    <row r="1459" customFormat="false" ht="15" hidden="false" customHeight="false" outlineLevel="0" collapsed="false">
      <c r="A1459" s="24" t="n">
        <v>1455</v>
      </c>
      <c r="B1459" s="25" t="str">
        <f aca="false">IF(OR(C1459="",I1459="",G1459=""),"",IFERROR(VLOOKUP(I1459,Setup!$A$9:$B$11,2,0),"???")&amp;"-"&amp;G1459&amp;"-"&amp;TEXT(COUNTIFS(I$5:I1459,I1459,G$5:G1459,G1459),"0000"))</f>
        <v/>
      </c>
      <c r="C1459" s="26"/>
      <c r="D1459" s="26"/>
      <c r="E1459" s="27"/>
      <c r="F1459" s="27"/>
      <c r="G1459" s="24" t="str">
        <f aca="false">IF(F1459="","",IF(F1459&lt;=5,"A",IF(F1459&lt;=8,"B",IF(F1459&lt;=10,"C","D"))))</f>
        <v/>
      </c>
      <c r="H1459" s="28"/>
      <c r="I1459" s="27"/>
      <c r="J1459" s="26"/>
      <c r="K1459" s="27"/>
      <c r="L1459" s="27"/>
      <c r="M1459" s="27"/>
      <c r="N1459" s="27"/>
      <c r="O1459" s="24" t="str">
        <f aca="false">IF(G1459="","",VLOOKUP(G1459,Setup!$A$14:$C$17,3,0))</f>
        <v/>
      </c>
      <c r="P1459" s="27"/>
      <c r="Q1459" s="29" t="str">
        <f aca="false">IF(OR(P1459="",M1459&lt;&gt;"Paid",O1459=""),"",P1459/O1459)</f>
        <v/>
      </c>
      <c r="R1459" s="30" t="str">
        <f aca="false">IF(Q1459="","",Q1459+N(H1459)*0.000000001)</f>
        <v/>
      </c>
      <c r="S1459" s="25" t="str">
        <f aca="false">IF(R1459="","",SUMPRODUCT((I$5:I$4004=I1459)*ISNUMBER(R$5:R$4004)*(R$5:R$4004&gt;R1459))+1)</f>
        <v/>
      </c>
      <c r="T1459" s="25" t="str">
        <f aca="false">IF(S1459="","",IF(S1459&lt;=Setup!$B$5,"🏆 WINNER",""))</f>
        <v/>
      </c>
      <c r="U1459" s="24" t="str">
        <f aca="false">IF(S1459="","",I1459&amp;"|"&amp;S1459)</f>
        <v/>
      </c>
    </row>
    <row r="1460" customFormat="false" ht="15" hidden="false" customHeight="false" outlineLevel="0" collapsed="false">
      <c r="A1460" s="31" t="n">
        <v>1456</v>
      </c>
      <c r="B1460" s="32" t="str">
        <f aca="false">IF(OR(C1460="",I1460="",G1460=""),"",IFERROR(VLOOKUP(I1460,Setup!$A$9:$B$11,2,0),"???")&amp;"-"&amp;G1460&amp;"-"&amp;TEXT(COUNTIFS(I$5:I1460,I1460,G$5:G1460,G1460),"0000"))</f>
        <v/>
      </c>
      <c r="C1460" s="26"/>
      <c r="D1460" s="26"/>
      <c r="E1460" s="27"/>
      <c r="F1460" s="27"/>
      <c r="G1460" s="31" t="str">
        <f aca="false">IF(F1460="","",IF(F1460&lt;=5,"A",IF(F1460&lt;=8,"B",IF(F1460&lt;=10,"C","D"))))</f>
        <v/>
      </c>
      <c r="H1460" s="28"/>
      <c r="I1460" s="27"/>
      <c r="J1460" s="26"/>
      <c r="K1460" s="27"/>
      <c r="L1460" s="27"/>
      <c r="M1460" s="27"/>
      <c r="N1460" s="27"/>
      <c r="O1460" s="31" t="str">
        <f aca="false">IF(G1460="","",VLOOKUP(G1460,Setup!$A$14:$C$17,3,0))</f>
        <v/>
      </c>
      <c r="P1460" s="27"/>
      <c r="Q1460" s="33" t="str">
        <f aca="false">IF(OR(P1460="",M1460&lt;&gt;"Paid",O1460=""),"",P1460/O1460)</f>
        <v/>
      </c>
      <c r="R1460" s="34" t="str">
        <f aca="false">IF(Q1460="","",Q1460+N(H1460)*0.000000001)</f>
        <v/>
      </c>
      <c r="S1460" s="32" t="str">
        <f aca="false">IF(R1460="","",SUMPRODUCT((I$5:I$4004=I1460)*ISNUMBER(R$5:R$4004)*(R$5:R$4004&gt;R1460))+1)</f>
        <v/>
      </c>
      <c r="T1460" s="32" t="str">
        <f aca="false">IF(S1460="","",IF(S1460&lt;=Setup!$B$5,"🏆 WINNER",""))</f>
        <v/>
      </c>
      <c r="U1460" s="31" t="str">
        <f aca="false">IF(S1460="","",I1460&amp;"|"&amp;S1460)</f>
        <v/>
      </c>
    </row>
    <row r="1461" customFormat="false" ht="15" hidden="false" customHeight="false" outlineLevel="0" collapsed="false">
      <c r="A1461" s="24" t="n">
        <v>1457</v>
      </c>
      <c r="B1461" s="25" t="str">
        <f aca="false">IF(OR(C1461="",I1461="",G1461=""),"",IFERROR(VLOOKUP(I1461,Setup!$A$9:$B$11,2,0),"???")&amp;"-"&amp;G1461&amp;"-"&amp;TEXT(COUNTIFS(I$5:I1461,I1461,G$5:G1461,G1461),"0000"))</f>
        <v/>
      </c>
      <c r="C1461" s="26"/>
      <c r="D1461" s="26"/>
      <c r="E1461" s="27"/>
      <c r="F1461" s="27"/>
      <c r="G1461" s="24" t="str">
        <f aca="false">IF(F1461="","",IF(F1461&lt;=5,"A",IF(F1461&lt;=8,"B",IF(F1461&lt;=10,"C","D"))))</f>
        <v/>
      </c>
      <c r="H1461" s="28"/>
      <c r="I1461" s="27"/>
      <c r="J1461" s="26"/>
      <c r="K1461" s="27"/>
      <c r="L1461" s="27"/>
      <c r="M1461" s="27"/>
      <c r="N1461" s="27"/>
      <c r="O1461" s="24" t="str">
        <f aca="false">IF(G1461="","",VLOOKUP(G1461,Setup!$A$14:$C$17,3,0))</f>
        <v/>
      </c>
      <c r="P1461" s="27"/>
      <c r="Q1461" s="29" t="str">
        <f aca="false">IF(OR(P1461="",M1461&lt;&gt;"Paid",O1461=""),"",P1461/O1461)</f>
        <v/>
      </c>
      <c r="R1461" s="30" t="str">
        <f aca="false">IF(Q1461="","",Q1461+N(H1461)*0.000000001)</f>
        <v/>
      </c>
      <c r="S1461" s="25" t="str">
        <f aca="false">IF(R1461="","",SUMPRODUCT((I$5:I$4004=I1461)*ISNUMBER(R$5:R$4004)*(R$5:R$4004&gt;R1461))+1)</f>
        <v/>
      </c>
      <c r="T1461" s="25" t="str">
        <f aca="false">IF(S1461="","",IF(S1461&lt;=Setup!$B$5,"🏆 WINNER",""))</f>
        <v/>
      </c>
      <c r="U1461" s="24" t="str">
        <f aca="false">IF(S1461="","",I1461&amp;"|"&amp;S1461)</f>
        <v/>
      </c>
    </row>
    <row r="1462" customFormat="false" ht="15" hidden="false" customHeight="false" outlineLevel="0" collapsed="false">
      <c r="A1462" s="31" t="n">
        <v>1458</v>
      </c>
      <c r="B1462" s="32" t="str">
        <f aca="false">IF(OR(C1462="",I1462="",G1462=""),"",IFERROR(VLOOKUP(I1462,Setup!$A$9:$B$11,2,0),"???")&amp;"-"&amp;G1462&amp;"-"&amp;TEXT(COUNTIFS(I$5:I1462,I1462,G$5:G1462,G1462),"0000"))</f>
        <v/>
      </c>
      <c r="C1462" s="26"/>
      <c r="D1462" s="26"/>
      <c r="E1462" s="27"/>
      <c r="F1462" s="27"/>
      <c r="G1462" s="31" t="str">
        <f aca="false">IF(F1462="","",IF(F1462&lt;=5,"A",IF(F1462&lt;=8,"B",IF(F1462&lt;=10,"C","D"))))</f>
        <v/>
      </c>
      <c r="H1462" s="28"/>
      <c r="I1462" s="27"/>
      <c r="J1462" s="26"/>
      <c r="K1462" s="27"/>
      <c r="L1462" s="27"/>
      <c r="M1462" s="27"/>
      <c r="N1462" s="27"/>
      <c r="O1462" s="31" t="str">
        <f aca="false">IF(G1462="","",VLOOKUP(G1462,Setup!$A$14:$C$17,3,0))</f>
        <v/>
      </c>
      <c r="P1462" s="27"/>
      <c r="Q1462" s="33" t="str">
        <f aca="false">IF(OR(P1462="",M1462&lt;&gt;"Paid",O1462=""),"",P1462/O1462)</f>
        <v/>
      </c>
      <c r="R1462" s="34" t="str">
        <f aca="false">IF(Q1462="","",Q1462+N(H1462)*0.000000001)</f>
        <v/>
      </c>
      <c r="S1462" s="32" t="str">
        <f aca="false">IF(R1462="","",SUMPRODUCT((I$5:I$4004=I1462)*ISNUMBER(R$5:R$4004)*(R$5:R$4004&gt;R1462))+1)</f>
        <v/>
      </c>
      <c r="T1462" s="32" t="str">
        <f aca="false">IF(S1462="","",IF(S1462&lt;=Setup!$B$5,"🏆 WINNER",""))</f>
        <v/>
      </c>
      <c r="U1462" s="31" t="str">
        <f aca="false">IF(S1462="","",I1462&amp;"|"&amp;S1462)</f>
        <v/>
      </c>
    </row>
    <row r="1463" customFormat="false" ht="15" hidden="false" customHeight="false" outlineLevel="0" collapsed="false">
      <c r="A1463" s="24" t="n">
        <v>1459</v>
      </c>
      <c r="B1463" s="25" t="str">
        <f aca="false">IF(OR(C1463="",I1463="",G1463=""),"",IFERROR(VLOOKUP(I1463,Setup!$A$9:$B$11,2,0),"???")&amp;"-"&amp;G1463&amp;"-"&amp;TEXT(COUNTIFS(I$5:I1463,I1463,G$5:G1463,G1463),"0000"))</f>
        <v/>
      </c>
      <c r="C1463" s="26"/>
      <c r="D1463" s="26"/>
      <c r="E1463" s="27"/>
      <c r="F1463" s="27"/>
      <c r="G1463" s="24" t="str">
        <f aca="false">IF(F1463="","",IF(F1463&lt;=5,"A",IF(F1463&lt;=8,"B",IF(F1463&lt;=10,"C","D"))))</f>
        <v/>
      </c>
      <c r="H1463" s="28"/>
      <c r="I1463" s="27"/>
      <c r="J1463" s="26"/>
      <c r="K1463" s="27"/>
      <c r="L1463" s="27"/>
      <c r="M1463" s="27"/>
      <c r="N1463" s="27"/>
      <c r="O1463" s="24" t="str">
        <f aca="false">IF(G1463="","",VLOOKUP(G1463,Setup!$A$14:$C$17,3,0))</f>
        <v/>
      </c>
      <c r="P1463" s="27"/>
      <c r="Q1463" s="29" t="str">
        <f aca="false">IF(OR(P1463="",M1463&lt;&gt;"Paid",O1463=""),"",P1463/O1463)</f>
        <v/>
      </c>
      <c r="R1463" s="30" t="str">
        <f aca="false">IF(Q1463="","",Q1463+N(H1463)*0.000000001)</f>
        <v/>
      </c>
      <c r="S1463" s="25" t="str">
        <f aca="false">IF(R1463="","",SUMPRODUCT((I$5:I$4004=I1463)*ISNUMBER(R$5:R$4004)*(R$5:R$4004&gt;R1463))+1)</f>
        <v/>
      </c>
      <c r="T1463" s="25" t="str">
        <f aca="false">IF(S1463="","",IF(S1463&lt;=Setup!$B$5,"🏆 WINNER",""))</f>
        <v/>
      </c>
      <c r="U1463" s="24" t="str">
        <f aca="false">IF(S1463="","",I1463&amp;"|"&amp;S1463)</f>
        <v/>
      </c>
    </row>
    <row r="1464" customFormat="false" ht="15" hidden="false" customHeight="false" outlineLevel="0" collapsed="false">
      <c r="A1464" s="31" t="n">
        <v>1460</v>
      </c>
      <c r="B1464" s="32" t="str">
        <f aca="false">IF(OR(C1464="",I1464="",G1464=""),"",IFERROR(VLOOKUP(I1464,Setup!$A$9:$B$11,2,0),"???")&amp;"-"&amp;G1464&amp;"-"&amp;TEXT(COUNTIFS(I$5:I1464,I1464,G$5:G1464,G1464),"0000"))</f>
        <v/>
      </c>
      <c r="C1464" s="26"/>
      <c r="D1464" s="26"/>
      <c r="E1464" s="27"/>
      <c r="F1464" s="27"/>
      <c r="G1464" s="31" t="str">
        <f aca="false">IF(F1464="","",IF(F1464&lt;=5,"A",IF(F1464&lt;=8,"B",IF(F1464&lt;=10,"C","D"))))</f>
        <v/>
      </c>
      <c r="H1464" s="28"/>
      <c r="I1464" s="27"/>
      <c r="J1464" s="26"/>
      <c r="K1464" s="27"/>
      <c r="L1464" s="27"/>
      <c r="M1464" s="27"/>
      <c r="N1464" s="27"/>
      <c r="O1464" s="31" t="str">
        <f aca="false">IF(G1464="","",VLOOKUP(G1464,Setup!$A$14:$C$17,3,0))</f>
        <v/>
      </c>
      <c r="P1464" s="27"/>
      <c r="Q1464" s="33" t="str">
        <f aca="false">IF(OR(P1464="",M1464&lt;&gt;"Paid",O1464=""),"",P1464/O1464)</f>
        <v/>
      </c>
      <c r="R1464" s="34" t="str">
        <f aca="false">IF(Q1464="","",Q1464+N(H1464)*0.000000001)</f>
        <v/>
      </c>
      <c r="S1464" s="32" t="str">
        <f aca="false">IF(R1464="","",SUMPRODUCT((I$5:I$4004=I1464)*ISNUMBER(R$5:R$4004)*(R$5:R$4004&gt;R1464))+1)</f>
        <v/>
      </c>
      <c r="T1464" s="32" t="str">
        <f aca="false">IF(S1464="","",IF(S1464&lt;=Setup!$B$5,"🏆 WINNER",""))</f>
        <v/>
      </c>
      <c r="U1464" s="31" t="str">
        <f aca="false">IF(S1464="","",I1464&amp;"|"&amp;S1464)</f>
        <v/>
      </c>
    </row>
    <row r="1465" customFormat="false" ht="15" hidden="false" customHeight="false" outlineLevel="0" collapsed="false">
      <c r="A1465" s="24" t="n">
        <v>1461</v>
      </c>
      <c r="B1465" s="25" t="str">
        <f aca="false">IF(OR(C1465="",I1465="",G1465=""),"",IFERROR(VLOOKUP(I1465,Setup!$A$9:$B$11,2,0),"???")&amp;"-"&amp;G1465&amp;"-"&amp;TEXT(COUNTIFS(I$5:I1465,I1465,G$5:G1465,G1465),"0000"))</f>
        <v/>
      </c>
      <c r="C1465" s="26"/>
      <c r="D1465" s="26"/>
      <c r="E1465" s="27"/>
      <c r="F1465" s="27"/>
      <c r="G1465" s="24" t="str">
        <f aca="false">IF(F1465="","",IF(F1465&lt;=5,"A",IF(F1465&lt;=8,"B",IF(F1465&lt;=10,"C","D"))))</f>
        <v/>
      </c>
      <c r="H1465" s="28"/>
      <c r="I1465" s="27"/>
      <c r="J1465" s="26"/>
      <c r="K1465" s="27"/>
      <c r="L1465" s="27"/>
      <c r="M1465" s="27"/>
      <c r="N1465" s="27"/>
      <c r="O1465" s="24" t="str">
        <f aca="false">IF(G1465="","",VLOOKUP(G1465,Setup!$A$14:$C$17,3,0))</f>
        <v/>
      </c>
      <c r="P1465" s="27"/>
      <c r="Q1465" s="29" t="str">
        <f aca="false">IF(OR(P1465="",M1465&lt;&gt;"Paid",O1465=""),"",P1465/O1465)</f>
        <v/>
      </c>
      <c r="R1465" s="30" t="str">
        <f aca="false">IF(Q1465="","",Q1465+N(H1465)*0.000000001)</f>
        <v/>
      </c>
      <c r="S1465" s="25" t="str">
        <f aca="false">IF(R1465="","",SUMPRODUCT((I$5:I$4004=I1465)*ISNUMBER(R$5:R$4004)*(R$5:R$4004&gt;R1465))+1)</f>
        <v/>
      </c>
      <c r="T1465" s="25" t="str">
        <f aca="false">IF(S1465="","",IF(S1465&lt;=Setup!$B$5,"🏆 WINNER",""))</f>
        <v/>
      </c>
      <c r="U1465" s="24" t="str">
        <f aca="false">IF(S1465="","",I1465&amp;"|"&amp;S1465)</f>
        <v/>
      </c>
    </row>
    <row r="1466" customFormat="false" ht="15" hidden="false" customHeight="false" outlineLevel="0" collapsed="false">
      <c r="A1466" s="31" t="n">
        <v>1462</v>
      </c>
      <c r="B1466" s="32" t="str">
        <f aca="false">IF(OR(C1466="",I1466="",G1466=""),"",IFERROR(VLOOKUP(I1466,Setup!$A$9:$B$11,2,0),"???")&amp;"-"&amp;G1466&amp;"-"&amp;TEXT(COUNTIFS(I$5:I1466,I1466,G$5:G1466,G1466),"0000"))</f>
        <v/>
      </c>
      <c r="C1466" s="26"/>
      <c r="D1466" s="26"/>
      <c r="E1466" s="27"/>
      <c r="F1466" s="27"/>
      <c r="G1466" s="31" t="str">
        <f aca="false">IF(F1466="","",IF(F1466&lt;=5,"A",IF(F1466&lt;=8,"B",IF(F1466&lt;=10,"C","D"))))</f>
        <v/>
      </c>
      <c r="H1466" s="28"/>
      <c r="I1466" s="27"/>
      <c r="J1466" s="26"/>
      <c r="K1466" s="27"/>
      <c r="L1466" s="27"/>
      <c r="M1466" s="27"/>
      <c r="N1466" s="27"/>
      <c r="O1466" s="31" t="str">
        <f aca="false">IF(G1466="","",VLOOKUP(G1466,Setup!$A$14:$C$17,3,0))</f>
        <v/>
      </c>
      <c r="P1466" s="27"/>
      <c r="Q1466" s="33" t="str">
        <f aca="false">IF(OR(P1466="",M1466&lt;&gt;"Paid",O1466=""),"",P1466/O1466)</f>
        <v/>
      </c>
      <c r="R1466" s="34" t="str">
        <f aca="false">IF(Q1466="","",Q1466+N(H1466)*0.000000001)</f>
        <v/>
      </c>
      <c r="S1466" s="32" t="str">
        <f aca="false">IF(R1466="","",SUMPRODUCT((I$5:I$4004=I1466)*ISNUMBER(R$5:R$4004)*(R$5:R$4004&gt;R1466))+1)</f>
        <v/>
      </c>
      <c r="T1466" s="32" t="str">
        <f aca="false">IF(S1466="","",IF(S1466&lt;=Setup!$B$5,"🏆 WINNER",""))</f>
        <v/>
      </c>
      <c r="U1466" s="31" t="str">
        <f aca="false">IF(S1466="","",I1466&amp;"|"&amp;S1466)</f>
        <v/>
      </c>
    </row>
    <row r="1467" customFormat="false" ht="15" hidden="false" customHeight="false" outlineLevel="0" collapsed="false">
      <c r="A1467" s="24" t="n">
        <v>1463</v>
      </c>
      <c r="B1467" s="25" t="str">
        <f aca="false">IF(OR(C1467="",I1467="",G1467=""),"",IFERROR(VLOOKUP(I1467,Setup!$A$9:$B$11,2,0),"???")&amp;"-"&amp;G1467&amp;"-"&amp;TEXT(COUNTIFS(I$5:I1467,I1467,G$5:G1467,G1467),"0000"))</f>
        <v/>
      </c>
      <c r="C1467" s="26"/>
      <c r="D1467" s="26"/>
      <c r="E1467" s="27"/>
      <c r="F1467" s="27"/>
      <c r="G1467" s="24" t="str">
        <f aca="false">IF(F1467="","",IF(F1467&lt;=5,"A",IF(F1467&lt;=8,"B",IF(F1467&lt;=10,"C","D"))))</f>
        <v/>
      </c>
      <c r="H1467" s="28"/>
      <c r="I1467" s="27"/>
      <c r="J1467" s="26"/>
      <c r="K1467" s="27"/>
      <c r="L1467" s="27"/>
      <c r="M1467" s="27"/>
      <c r="N1467" s="27"/>
      <c r="O1467" s="24" t="str">
        <f aca="false">IF(G1467="","",VLOOKUP(G1467,Setup!$A$14:$C$17,3,0))</f>
        <v/>
      </c>
      <c r="P1467" s="27"/>
      <c r="Q1467" s="29" t="str">
        <f aca="false">IF(OR(P1467="",M1467&lt;&gt;"Paid",O1467=""),"",P1467/O1467)</f>
        <v/>
      </c>
      <c r="R1467" s="30" t="str">
        <f aca="false">IF(Q1467="","",Q1467+N(H1467)*0.000000001)</f>
        <v/>
      </c>
      <c r="S1467" s="25" t="str">
        <f aca="false">IF(R1467="","",SUMPRODUCT((I$5:I$4004=I1467)*ISNUMBER(R$5:R$4004)*(R$5:R$4004&gt;R1467))+1)</f>
        <v/>
      </c>
      <c r="T1467" s="25" t="str">
        <f aca="false">IF(S1467="","",IF(S1467&lt;=Setup!$B$5,"🏆 WINNER",""))</f>
        <v/>
      </c>
      <c r="U1467" s="24" t="str">
        <f aca="false">IF(S1467="","",I1467&amp;"|"&amp;S1467)</f>
        <v/>
      </c>
    </row>
    <row r="1468" customFormat="false" ht="15" hidden="false" customHeight="false" outlineLevel="0" collapsed="false">
      <c r="A1468" s="31" t="n">
        <v>1464</v>
      </c>
      <c r="B1468" s="32" t="str">
        <f aca="false">IF(OR(C1468="",I1468="",G1468=""),"",IFERROR(VLOOKUP(I1468,Setup!$A$9:$B$11,2,0),"???")&amp;"-"&amp;G1468&amp;"-"&amp;TEXT(COUNTIFS(I$5:I1468,I1468,G$5:G1468,G1468),"0000"))</f>
        <v/>
      </c>
      <c r="C1468" s="26"/>
      <c r="D1468" s="26"/>
      <c r="E1468" s="27"/>
      <c r="F1468" s="27"/>
      <c r="G1468" s="31" t="str">
        <f aca="false">IF(F1468="","",IF(F1468&lt;=5,"A",IF(F1468&lt;=8,"B",IF(F1468&lt;=10,"C","D"))))</f>
        <v/>
      </c>
      <c r="H1468" s="28"/>
      <c r="I1468" s="27"/>
      <c r="J1468" s="26"/>
      <c r="K1468" s="27"/>
      <c r="L1468" s="27"/>
      <c r="M1468" s="27"/>
      <c r="N1468" s="27"/>
      <c r="O1468" s="31" t="str">
        <f aca="false">IF(G1468="","",VLOOKUP(G1468,Setup!$A$14:$C$17,3,0))</f>
        <v/>
      </c>
      <c r="P1468" s="27"/>
      <c r="Q1468" s="33" t="str">
        <f aca="false">IF(OR(P1468="",M1468&lt;&gt;"Paid",O1468=""),"",P1468/O1468)</f>
        <v/>
      </c>
      <c r="R1468" s="34" t="str">
        <f aca="false">IF(Q1468="","",Q1468+N(H1468)*0.000000001)</f>
        <v/>
      </c>
      <c r="S1468" s="32" t="str">
        <f aca="false">IF(R1468="","",SUMPRODUCT((I$5:I$4004=I1468)*ISNUMBER(R$5:R$4004)*(R$5:R$4004&gt;R1468))+1)</f>
        <v/>
      </c>
      <c r="T1468" s="32" t="str">
        <f aca="false">IF(S1468="","",IF(S1468&lt;=Setup!$B$5,"🏆 WINNER",""))</f>
        <v/>
      </c>
      <c r="U1468" s="31" t="str">
        <f aca="false">IF(S1468="","",I1468&amp;"|"&amp;S1468)</f>
        <v/>
      </c>
    </row>
    <row r="1469" customFormat="false" ht="15" hidden="false" customHeight="false" outlineLevel="0" collapsed="false">
      <c r="A1469" s="24" t="n">
        <v>1465</v>
      </c>
      <c r="B1469" s="25" t="str">
        <f aca="false">IF(OR(C1469="",I1469="",G1469=""),"",IFERROR(VLOOKUP(I1469,Setup!$A$9:$B$11,2,0),"???")&amp;"-"&amp;G1469&amp;"-"&amp;TEXT(COUNTIFS(I$5:I1469,I1469,G$5:G1469,G1469),"0000"))</f>
        <v/>
      </c>
      <c r="C1469" s="26"/>
      <c r="D1469" s="26"/>
      <c r="E1469" s="27"/>
      <c r="F1469" s="27"/>
      <c r="G1469" s="24" t="str">
        <f aca="false">IF(F1469="","",IF(F1469&lt;=5,"A",IF(F1469&lt;=8,"B",IF(F1469&lt;=10,"C","D"))))</f>
        <v/>
      </c>
      <c r="H1469" s="28"/>
      <c r="I1469" s="27"/>
      <c r="J1469" s="26"/>
      <c r="K1469" s="27"/>
      <c r="L1469" s="27"/>
      <c r="M1469" s="27"/>
      <c r="N1469" s="27"/>
      <c r="O1469" s="24" t="str">
        <f aca="false">IF(G1469="","",VLOOKUP(G1469,Setup!$A$14:$C$17,3,0))</f>
        <v/>
      </c>
      <c r="P1469" s="27"/>
      <c r="Q1469" s="29" t="str">
        <f aca="false">IF(OR(P1469="",M1469&lt;&gt;"Paid",O1469=""),"",P1469/O1469)</f>
        <v/>
      </c>
      <c r="R1469" s="30" t="str">
        <f aca="false">IF(Q1469="","",Q1469+N(H1469)*0.000000001)</f>
        <v/>
      </c>
      <c r="S1469" s="25" t="str">
        <f aca="false">IF(R1469="","",SUMPRODUCT((I$5:I$4004=I1469)*ISNUMBER(R$5:R$4004)*(R$5:R$4004&gt;R1469))+1)</f>
        <v/>
      </c>
      <c r="T1469" s="25" t="str">
        <f aca="false">IF(S1469="","",IF(S1469&lt;=Setup!$B$5,"🏆 WINNER",""))</f>
        <v/>
      </c>
      <c r="U1469" s="24" t="str">
        <f aca="false">IF(S1469="","",I1469&amp;"|"&amp;S1469)</f>
        <v/>
      </c>
    </row>
    <row r="1470" customFormat="false" ht="15" hidden="false" customHeight="false" outlineLevel="0" collapsed="false">
      <c r="A1470" s="31" t="n">
        <v>1466</v>
      </c>
      <c r="B1470" s="32" t="str">
        <f aca="false">IF(OR(C1470="",I1470="",G1470=""),"",IFERROR(VLOOKUP(I1470,Setup!$A$9:$B$11,2,0),"???")&amp;"-"&amp;G1470&amp;"-"&amp;TEXT(COUNTIFS(I$5:I1470,I1470,G$5:G1470,G1470),"0000"))</f>
        <v/>
      </c>
      <c r="C1470" s="26"/>
      <c r="D1470" s="26"/>
      <c r="E1470" s="27"/>
      <c r="F1470" s="27"/>
      <c r="G1470" s="31" t="str">
        <f aca="false">IF(F1470="","",IF(F1470&lt;=5,"A",IF(F1470&lt;=8,"B",IF(F1470&lt;=10,"C","D"))))</f>
        <v/>
      </c>
      <c r="H1470" s="28"/>
      <c r="I1470" s="27"/>
      <c r="J1470" s="26"/>
      <c r="K1470" s="27"/>
      <c r="L1470" s="27"/>
      <c r="M1470" s="27"/>
      <c r="N1470" s="27"/>
      <c r="O1470" s="31" t="str">
        <f aca="false">IF(G1470="","",VLOOKUP(G1470,Setup!$A$14:$C$17,3,0))</f>
        <v/>
      </c>
      <c r="P1470" s="27"/>
      <c r="Q1470" s="33" t="str">
        <f aca="false">IF(OR(P1470="",M1470&lt;&gt;"Paid",O1470=""),"",P1470/O1470)</f>
        <v/>
      </c>
      <c r="R1470" s="34" t="str">
        <f aca="false">IF(Q1470="","",Q1470+N(H1470)*0.000000001)</f>
        <v/>
      </c>
      <c r="S1470" s="32" t="str">
        <f aca="false">IF(R1470="","",SUMPRODUCT((I$5:I$4004=I1470)*ISNUMBER(R$5:R$4004)*(R$5:R$4004&gt;R1470))+1)</f>
        <v/>
      </c>
      <c r="T1470" s="32" t="str">
        <f aca="false">IF(S1470="","",IF(S1470&lt;=Setup!$B$5,"🏆 WINNER",""))</f>
        <v/>
      </c>
      <c r="U1470" s="31" t="str">
        <f aca="false">IF(S1470="","",I1470&amp;"|"&amp;S1470)</f>
        <v/>
      </c>
    </row>
    <row r="1471" customFormat="false" ht="15" hidden="false" customHeight="false" outlineLevel="0" collapsed="false">
      <c r="A1471" s="24" t="n">
        <v>1467</v>
      </c>
      <c r="B1471" s="25" t="str">
        <f aca="false">IF(OR(C1471="",I1471="",G1471=""),"",IFERROR(VLOOKUP(I1471,Setup!$A$9:$B$11,2,0),"???")&amp;"-"&amp;G1471&amp;"-"&amp;TEXT(COUNTIFS(I$5:I1471,I1471,G$5:G1471,G1471),"0000"))</f>
        <v/>
      </c>
      <c r="C1471" s="26"/>
      <c r="D1471" s="26"/>
      <c r="E1471" s="27"/>
      <c r="F1471" s="27"/>
      <c r="G1471" s="24" t="str">
        <f aca="false">IF(F1471="","",IF(F1471&lt;=5,"A",IF(F1471&lt;=8,"B",IF(F1471&lt;=10,"C","D"))))</f>
        <v/>
      </c>
      <c r="H1471" s="28"/>
      <c r="I1471" s="27"/>
      <c r="J1471" s="26"/>
      <c r="K1471" s="27"/>
      <c r="L1471" s="27"/>
      <c r="M1471" s="27"/>
      <c r="N1471" s="27"/>
      <c r="O1471" s="24" t="str">
        <f aca="false">IF(G1471="","",VLOOKUP(G1471,Setup!$A$14:$C$17,3,0))</f>
        <v/>
      </c>
      <c r="P1471" s="27"/>
      <c r="Q1471" s="29" t="str">
        <f aca="false">IF(OR(P1471="",M1471&lt;&gt;"Paid",O1471=""),"",P1471/O1471)</f>
        <v/>
      </c>
      <c r="R1471" s="30" t="str">
        <f aca="false">IF(Q1471="","",Q1471+N(H1471)*0.000000001)</f>
        <v/>
      </c>
      <c r="S1471" s="25" t="str">
        <f aca="false">IF(R1471="","",SUMPRODUCT((I$5:I$4004=I1471)*ISNUMBER(R$5:R$4004)*(R$5:R$4004&gt;R1471))+1)</f>
        <v/>
      </c>
      <c r="T1471" s="25" t="str">
        <f aca="false">IF(S1471="","",IF(S1471&lt;=Setup!$B$5,"🏆 WINNER",""))</f>
        <v/>
      </c>
      <c r="U1471" s="24" t="str">
        <f aca="false">IF(S1471="","",I1471&amp;"|"&amp;S1471)</f>
        <v/>
      </c>
    </row>
    <row r="1472" customFormat="false" ht="15" hidden="false" customHeight="false" outlineLevel="0" collapsed="false">
      <c r="A1472" s="31" t="n">
        <v>1468</v>
      </c>
      <c r="B1472" s="32" t="str">
        <f aca="false">IF(OR(C1472="",I1472="",G1472=""),"",IFERROR(VLOOKUP(I1472,Setup!$A$9:$B$11,2,0),"???")&amp;"-"&amp;G1472&amp;"-"&amp;TEXT(COUNTIFS(I$5:I1472,I1472,G$5:G1472,G1472),"0000"))</f>
        <v/>
      </c>
      <c r="C1472" s="26"/>
      <c r="D1472" s="26"/>
      <c r="E1472" s="27"/>
      <c r="F1472" s="27"/>
      <c r="G1472" s="31" t="str">
        <f aca="false">IF(F1472="","",IF(F1472&lt;=5,"A",IF(F1472&lt;=8,"B",IF(F1472&lt;=10,"C","D"))))</f>
        <v/>
      </c>
      <c r="H1472" s="28"/>
      <c r="I1472" s="27"/>
      <c r="J1472" s="26"/>
      <c r="K1472" s="27"/>
      <c r="L1472" s="27"/>
      <c r="M1472" s="27"/>
      <c r="N1472" s="27"/>
      <c r="O1472" s="31" t="str">
        <f aca="false">IF(G1472="","",VLOOKUP(G1472,Setup!$A$14:$C$17,3,0))</f>
        <v/>
      </c>
      <c r="P1472" s="27"/>
      <c r="Q1472" s="33" t="str">
        <f aca="false">IF(OR(P1472="",M1472&lt;&gt;"Paid",O1472=""),"",P1472/O1472)</f>
        <v/>
      </c>
      <c r="R1472" s="34" t="str">
        <f aca="false">IF(Q1472="","",Q1472+N(H1472)*0.000000001)</f>
        <v/>
      </c>
      <c r="S1472" s="32" t="str">
        <f aca="false">IF(R1472="","",SUMPRODUCT((I$5:I$4004=I1472)*ISNUMBER(R$5:R$4004)*(R$5:R$4004&gt;R1472))+1)</f>
        <v/>
      </c>
      <c r="T1472" s="32" t="str">
        <f aca="false">IF(S1472="","",IF(S1472&lt;=Setup!$B$5,"🏆 WINNER",""))</f>
        <v/>
      </c>
      <c r="U1472" s="31" t="str">
        <f aca="false">IF(S1472="","",I1472&amp;"|"&amp;S1472)</f>
        <v/>
      </c>
    </row>
    <row r="1473" customFormat="false" ht="15" hidden="false" customHeight="false" outlineLevel="0" collapsed="false">
      <c r="A1473" s="24" t="n">
        <v>1469</v>
      </c>
      <c r="B1473" s="25" t="str">
        <f aca="false">IF(OR(C1473="",I1473="",G1473=""),"",IFERROR(VLOOKUP(I1473,Setup!$A$9:$B$11,2,0),"???")&amp;"-"&amp;G1473&amp;"-"&amp;TEXT(COUNTIFS(I$5:I1473,I1473,G$5:G1473,G1473),"0000"))</f>
        <v/>
      </c>
      <c r="C1473" s="26"/>
      <c r="D1473" s="26"/>
      <c r="E1473" s="27"/>
      <c r="F1473" s="27"/>
      <c r="G1473" s="24" t="str">
        <f aca="false">IF(F1473="","",IF(F1473&lt;=5,"A",IF(F1473&lt;=8,"B",IF(F1473&lt;=10,"C","D"))))</f>
        <v/>
      </c>
      <c r="H1473" s="28"/>
      <c r="I1473" s="27"/>
      <c r="J1473" s="26"/>
      <c r="K1473" s="27"/>
      <c r="L1473" s="27"/>
      <c r="M1473" s="27"/>
      <c r="N1473" s="27"/>
      <c r="O1473" s="24" t="str">
        <f aca="false">IF(G1473="","",VLOOKUP(G1473,Setup!$A$14:$C$17,3,0))</f>
        <v/>
      </c>
      <c r="P1473" s="27"/>
      <c r="Q1473" s="29" t="str">
        <f aca="false">IF(OR(P1473="",M1473&lt;&gt;"Paid",O1473=""),"",P1473/O1473)</f>
        <v/>
      </c>
      <c r="R1473" s="30" t="str">
        <f aca="false">IF(Q1473="","",Q1473+N(H1473)*0.000000001)</f>
        <v/>
      </c>
      <c r="S1473" s="25" t="str">
        <f aca="false">IF(R1473="","",SUMPRODUCT((I$5:I$4004=I1473)*ISNUMBER(R$5:R$4004)*(R$5:R$4004&gt;R1473))+1)</f>
        <v/>
      </c>
      <c r="T1473" s="25" t="str">
        <f aca="false">IF(S1473="","",IF(S1473&lt;=Setup!$B$5,"🏆 WINNER",""))</f>
        <v/>
      </c>
      <c r="U1473" s="24" t="str">
        <f aca="false">IF(S1473="","",I1473&amp;"|"&amp;S1473)</f>
        <v/>
      </c>
    </row>
    <row r="1474" customFormat="false" ht="15" hidden="false" customHeight="false" outlineLevel="0" collapsed="false">
      <c r="A1474" s="31" t="n">
        <v>1470</v>
      </c>
      <c r="B1474" s="32" t="str">
        <f aca="false">IF(OR(C1474="",I1474="",G1474=""),"",IFERROR(VLOOKUP(I1474,Setup!$A$9:$B$11,2,0),"???")&amp;"-"&amp;G1474&amp;"-"&amp;TEXT(COUNTIFS(I$5:I1474,I1474,G$5:G1474,G1474),"0000"))</f>
        <v/>
      </c>
      <c r="C1474" s="26"/>
      <c r="D1474" s="26"/>
      <c r="E1474" s="27"/>
      <c r="F1474" s="27"/>
      <c r="G1474" s="31" t="str">
        <f aca="false">IF(F1474="","",IF(F1474&lt;=5,"A",IF(F1474&lt;=8,"B",IF(F1474&lt;=10,"C","D"))))</f>
        <v/>
      </c>
      <c r="H1474" s="28"/>
      <c r="I1474" s="27"/>
      <c r="J1474" s="26"/>
      <c r="K1474" s="27"/>
      <c r="L1474" s="27"/>
      <c r="M1474" s="27"/>
      <c r="N1474" s="27"/>
      <c r="O1474" s="31" t="str">
        <f aca="false">IF(G1474="","",VLOOKUP(G1474,Setup!$A$14:$C$17,3,0))</f>
        <v/>
      </c>
      <c r="P1474" s="27"/>
      <c r="Q1474" s="33" t="str">
        <f aca="false">IF(OR(P1474="",M1474&lt;&gt;"Paid",O1474=""),"",P1474/O1474)</f>
        <v/>
      </c>
      <c r="R1474" s="34" t="str">
        <f aca="false">IF(Q1474="","",Q1474+N(H1474)*0.000000001)</f>
        <v/>
      </c>
      <c r="S1474" s="32" t="str">
        <f aca="false">IF(R1474="","",SUMPRODUCT((I$5:I$4004=I1474)*ISNUMBER(R$5:R$4004)*(R$5:R$4004&gt;R1474))+1)</f>
        <v/>
      </c>
      <c r="T1474" s="32" t="str">
        <f aca="false">IF(S1474="","",IF(S1474&lt;=Setup!$B$5,"🏆 WINNER",""))</f>
        <v/>
      </c>
      <c r="U1474" s="31" t="str">
        <f aca="false">IF(S1474="","",I1474&amp;"|"&amp;S1474)</f>
        <v/>
      </c>
    </row>
    <row r="1475" customFormat="false" ht="15" hidden="false" customHeight="false" outlineLevel="0" collapsed="false">
      <c r="A1475" s="24" t="n">
        <v>1471</v>
      </c>
      <c r="B1475" s="25" t="str">
        <f aca="false">IF(OR(C1475="",I1475="",G1475=""),"",IFERROR(VLOOKUP(I1475,Setup!$A$9:$B$11,2,0),"???")&amp;"-"&amp;G1475&amp;"-"&amp;TEXT(COUNTIFS(I$5:I1475,I1475,G$5:G1475,G1475),"0000"))</f>
        <v/>
      </c>
      <c r="C1475" s="26"/>
      <c r="D1475" s="26"/>
      <c r="E1475" s="27"/>
      <c r="F1475" s="27"/>
      <c r="G1475" s="24" t="str">
        <f aca="false">IF(F1475="","",IF(F1475&lt;=5,"A",IF(F1475&lt;=8,"B",IF(F1475&lt;=10,"C","D"))))</f>
        <v/>
      </c>
      <c r="H1475" s="28"/>
      <c r="I1475" s="27"/>
      <c r="J1475" s="26"/>
      <c r="K1475" s="27"/>
      <c r="L1475" s="27"/>
      <c r="M1475" s="27"/>
      <c r="N1475" s="27"/>
      <c r="O1475" s="24" t="str">
        <f aca="false">IF(G1475="","",VLOOKUP(G1475,Setup!$A$14:$C$17,3,0))</f>
        <v/>
      </c>
      <c r="P1475" s="27"/>
      <c r="Q1475" s="29" t="str">
        <f aca="false">IF(OR(P1475="",M1475&lt;&gt;"Paid",O1475=""),"",P1475/O1475)</f>
        <v/>
      </c>
      <c r="R1475" s="30" t="str">
        <f aca="false">IF(Q1475="","",Q1475+N(H1475)*0.000000001)</f>
        <v/>
      </c>
      <c r="S1475" s="25" t="str">
        <f aca="false">IF(R1475="","",SUMPRODUCT((I$5:I$4004=I1475)*ISNUMBER(R$5:R$4004)*(R$5:R$4004&gt;R1475))+1)</f>
        <v/>
      </c>
      <c r="T1475" s="25" t="str">
        <f aca="false">IF(S1475="","",IF(S1475&lt;=Setup!$B$5,"🏆 WINNER",""))</f>
        <v/>
      </c>
      <c r="U1475" s="24" t="str">
        <f aca="false">IF(S1475="","",I1475&amp;"|"&amp;S1475)</f>
        <v/>
      </c>
    </row>
    <row r="1476" customFormat="false" ht="15" hidden="false" customHeight="false" outlineLevel="0" collapsed="false">
      <c r="A1476" s="31" t="n">
        <v>1472</v>
      </c>
      <c r="B1476" s="32" t="str">
        <f aca="false">IF(OR(C1476="",I1476="",G1476=""),"",IFERROR(VLOOKUP(I1476,Setup!$A$9:$B$11,2,0),"???")&amp;"-"&amp;G1476&amp;"-"&amp;TEXT(COUNTIFS(I$5:I1476,I1476,G$5:G1476,G1476),"0000"))</f>
        <v/>
      </c>
      <c r="C1476" s="26"/>
      <c r="D1476" s="26"/>
      <c r="E1476" s="27"/>
      <c r="F1476" s="27"/>
      <c r="G1476" s="31" t="str">
        <f aca="false">IF(F1476="","",IF(F1476&lt;=5,"A",IF(F1476&lt;=8,"B",IF(F1476&lt;=10,"C","D"))))</f>
        <v/>
      </c>
      <c r="H1476" s="28"/>
      <c r="I1476" s="27"/>
      <c r="J1476" s="26"/>
      <c r="K1476" s="27"/>
      <c r="L1476" s="27"/>
      <c r="M1476" s="27"/>
      <c r="N1476" s="27"/>
      <c r="O1476" s="31" t="str">
        <f aca="false">IF(G1476="","",VLOOKUP(G1476,Setup!$A$14:$C$17,3,0))</f>
        <v/>
      </c>
      <c r="P1476" s="27"/>
      <c r="Q1476" s="33" t="str">
        <f aca="false">IF(OR(P1476="",M1476&lt;&gt;"Paid",O1476=""),"",P1476/O1476)</f>
        <v/>
      </c>
      <c r="R1476" s="34" t="str">
        <f aca="false">IF(Q1476="","",Q1476+N(H1476)*0.000000001)</f>
        <v/>
      </c>
      <c r="S1476" s="32" t="str">
        <f aca="false">IF(R1476="","",SUMPRODUCT((I$5:I$4004=I1476)*ISNUMBER(R$5:R$4004)*(R$5:R$4004&gt;R1476))+1)</f>
        <v/>
      </c>
      <c r="T1476" s="32" t="str">
        <f aca="false">IF(S1476="","",IF(S1476&lt;=Setup!$B$5,"🏆 WINNER",""))</f>
        <v/>
      </c>
      <c r="U1476" s="31" t="str">
        <f aca="false">IF(S1476="","",I1476&amp;"|"&amp;S1476)</f>
        <v/>
      </c>
    </row>
    <row r="1477" customFormat="false" ht="15" hidden="false" customHeight="false" outlineLevel="0" collapsed="false">
      <c r="A1477" s="24" t="n">
        <v>1473</v>
      </c>
      <c r="B1477" s="25" t="str">
        <f aca="false">IF(OR(C1477="",I1477="",G1477=""),"",IFERROR(VLOOKUP(I1477,Setup!$A$9:$B$11,2,0),"???")&amp;"-"&amp;G1477&amp;"-"&amp;TEXT(COUNTIFS(I$5:I1477,I1477,G$5:G1477,G1477),"0000"))</f>
        <v/>
      </c>
      <c r="C1477" s="26"/>
      <c r="D1477" s="26"/>
      <c r="E1477" s="27"/>
      <c r="F1477" s="27"/>
      <c r="G1477" s="24" t="str">
        <f aca="false">IF(F1477="","",IF(F1477&lt;=5,"A",IF(F1477&lt;=8,"B",IF(F1477&lt;=10,"C","D"))))</f>
        <v/>
      </c>
      <c r="H1477" s="28"/>
      <c r="I1477" s="27"/>
      <c r="J1477" s="26"/>
      <c r="K1477" s="27"/>
      <c r="L1477" s="27"/>
      <c r="M1477" s="27"/>
      <c r="N1477" s="27"/>
      <c r="O1477" s="24" t="str">
        <f aca="false">IF(G1477="","",VLOOKUP(G1477,Setup!$A$14:$C$17,3,0))</f>
        <v/>
      </c>
      <c r="P1477" s="27"/>
      <c r="Q1477" s="29" t="str">
        <f aca="false">IF(OR(P1477="",M1477&lt;&gt;"Paid",O1477=""),"",P1477/O1477)</f>
        <v/>
      </c>
      <c r="R1477" s="30" t="str">
        <f aca="false">IF(Q1477="","",Q1477+N(H1477)*0.000000001)</f>
        <v/>
      </c>
      <c r="S1477" s="25" t="str">
        <f aca="false">IF(R1477="","",SUMPRODUCT((I$5:I$4004=I1477)*ISNUMBER(R$5:R$4004)*(R$5:R$4004&gt;R1477))+1)</f>
        <v/>
      </c>
      <c r="T1477" s="25" t="str">
        <f aca="false">IF(S1477="","",IF(S1477&lt;=Setup!$B$5,"🏆 WINNER",""))</f>
        <v/>
      </c>
      <c r="U1477" s="24" t="str">
        <f aca="false">IF(S1477="","",I1477&amp;"|"&amp;S1477)</f>
        <v/>
      </c>
    </row>
    <row r="1478" customFormat="false" ht="15" hidden="false" customHeight="false" outlineLevel="0" collapsed="false">
      <c r="A1478" s="31" t="n">
        <v>1474</v>
      </c>
      <c r="B1478" s="32" t="str">
        <f aca="false">IF(OR(C1478="",I1478="",G1478=""),"",IFERROR(VLOOKUP(I1478,Setup!$A$9:$B$11,2,0),"???")&amp;"-"&amp;G1478&amp;"-"&amp;TEXT(COUNTIFS(I$5:I1478,I1478,G$5:G1478,G1478),"0000"))</f>
        <v/>
      </c>
      <c r="C1478" s="26"/>
      <c r="D1478" s="26"/>
      <c r="E1478" s="27"/>
      <c r="F1478" s="27"/>
      <c r="G1478" s="31" t="str">
        <f aca="false">IF(F1478="","",IF(F1478&lt;=5,"A",IF(F1478&lt;=8,"B",IF(F1478&lt;=10,"C","D"))))</f>
        <v/>
      </c>
      <c r="H1478" s="28"/>
      <c r="I1478" s="27"/>
      <c r="J1478" s="26"/>
      <c r="K1478" s="27"/>
      <c r="L1478" s="27"/>
      <c r="M1478" s="27"/>
      <c r="N1478" s="27"/>
      <c r="O1478" s="31" t="str">
        <f aca="false">IF(G1478="","",VLOOKUP(G1478,Setup!$A$14:$C$17,3,0))</f>
        <v/>
      </c>
      <c r="P1478" s="27"/>
      <c r="Q1478" s="33" t="str">
        <f aca="false">IF(OR(P1478="",M1478&lt;&gt;"Paid",O1478=""),"",P1478/O1478)</f>
        <v/>
      </c>
      <c r="R1478" s="34" t="str">
        <f aca="false">IF(Q1478="","",Q1478+N(H1478)*0.000000001)</f>
        <v/>
      </c>
      <c r="S1478" s="32" t="str">
        <f aca="false">IF(R1478="","",SUMPRODUCT((I$5:I$4004=I1478)*ISNUMBER(R$5:R$4004)*(R$5:R$4004&gt;R1478))+1)</f>
        <v/>
      </c>
      <c r="T1478" s="32" t="str">
        <f aca="false">IF(S1478="","",IF(S1478&lt;=Setup!$B$5,"🏆 WINNER",""))</f>
        <v/>
      </c>
      <c r="U1478" s="31" t="str">
        <f aca="false">IF(S1478="","",I1478&amp;"|"&amp;S1478)</f>
        <v/>
      </c>
    </row>
    <row r="1479" customFormat="false" ht="15" hidden="false" customHeight="false" outlineLevel="0" collapsed="false">
      <c r="A1479" s="24" t="n">
        <v>1475</v>
      </c>
      <c r="B1479" s="25" t="str">
        <f aca="false">IF(OR(C1479="",I1479="",G1479=""),"",IFERROR(VLOOKUP(I1479,Setup!$A$9:$B$11,2,0),"???")&amp;"-"&amp;G1479&amp;"-"&amp;TEXT(COUNTIFS(I$5:I1479,I1479,G$5:G1479,G1479),"0000"))</f>
        <v/>
      </c>
      <c r="C1479" s="26"/>
      <c r="D1479" s="26"/>
      <c r="E1479" s="27"/>
      <c r="F1479" s="27"/>
      <c r="G1479" s="24" t="str">
        <f aca="false">IF(F1479="","",IF(F1479&lt;=5,"A",IF(F1479&lt;=8,"B",IF(F1479&lt;=10,"C","D"))))</f>
        <v/>
      </c>
      <c r="H1479" s="28"/>
      <c r="I1479" s="27"/>
      <c r="J1479" s="26"/>
      <c r="K1479" s="27"/>
      <c r="L1479" s="27"/>
      <c r="M1479" s="27"/>
      <c r="N1479" s="27"/>
      <c r="O1479" s="24" t="str">
        <f aca="false">IF(G1479="","",VLOOKUP(G1479,Setup!$A$14:$C$17,3,0))</f>
        <v/>
      </c>
      <c r="P1479" s="27"/>
      <c r="Q1479" s="29" t="str">
        <f aca="false">IF(OR(P1479="",M1479&lt;&gt;"Paid",O1479=""),"",P1479/O1479)</f>
        <v/>
      </c>
      <c r="R1479" s="30" t="str">
        <f aca="false">IF(Q1479="","",Q1479+N(H1479)*0.000000001)</f>
        <v/>
      </c>
      <c r="S1479" s="25" t="str">
        <f aca="false">IF(R1479="","",SUMPRODUCT((I$5:I$4004=I1479)*ISNUMBER(R$5:R$4004)*(R$5:R$4004&gt;R1479))+1)</f>
        <v/>
      </c>
      <c r="T1479" s="25" t="str">
        <f aca="false">IF(S1479="","",IF(S1479&lt;=Setup!$B$5,"🏆 WINNER",""))</f>
        <v/>
      </c>
      <c r="U1479" s="24" t="str">
        <f aca="false">IF(S1479="","",I1479&amp;"|"&amp;S1479)</f>
        <v/>
      </c>
    </row>
    <row r="1480" customFormat="false" ht="15" hidden="false" customHeight="false" outlineLevel="0" collapsed="false">
      <c r="A1480" s="31" t="n">
        <v>1476</v>
      </c>
      <c r="B1480" s="32" t="str">
        <f aca="false">IF(OR(C1480="",I1480="",G1480=""),"",IFERROR(VLOOKUP(I1480,Setup!$A$9:$B$11,2,0),"???")&amp;"-"&amp;G1480&amp;"-"&amp;TEXT(COUNTIFS(I$5:I1480,I1480,G$5:G1480,G1480),"0000"))</f>
        <v/>
      </c>
      <c r="C1480" s="26"/>
      <c r="D1480" s="26"/>
      <c r="E1480" s="27"/>
      <c r="F1480" s="27"/>
      <c r="G1480" s="31" t="str">
        <f aca="false">IF(F1480="","",IF(F1480&lt;=5,"A",IF(F1480&lt;=8,"B",IF(F1480&lt;=10,"C","D"))))</f>
        <v/>
      </c>
      <c r="H1480" s="28"/>
      <c r="I1480" s="27"/>
      <c r="J1480" s="26"/>
      <c r="K1480" s="27"/>
      <c r="L1480" s="27"/>
      <c r="M1480" s="27"/>
      <c r="N1480" s="27"/>
      <c r="O1480" s="31" t="str">
        <f aca="false">IF(G1480="","",VLOOKUP(G1480,Setup!$A$14:$C$17,3,0))</f>
        <v/>
      </c>
      <c r="P1480" s="27"/>
      <c r="Q1480" s="33" t="str">
        <f aca="false">IF(OR(P1480="",M1480&lt;&gt;"Paid",O1480=""),"",P1480/O1480)</f>
        <v/>
      </c>
      <c r="R1480" s="34" t="str">
        <f aca="false">IF(Q1480="","",Q1480+N(H1480)*0.000000001)</f>
        <v/>
      </c>
      <c r="S1480" s="32" t="str">
        <f aca="false">IF(R1480="","",SUMPRODUCT((I$5:I$4004=I1480)*ISNUMBER(R$5:R$4004)*(R$5:R$4004&gt;R1480))+1)</f>
        <v/>
      </c>
      <c r="T1480" s="32" t="str">
        <f aca="false">IF(S1480="","",IF(S1480&lt;=Setup!$B$5,"🏆 WINNER",""))</f>
        <v/>
      </c>
      <c r="U1480" s="31" t="str">
        <f aca="false">IF(S1480="","",I1480&amp;"|"&amp;S1480)</f>
        <v/>
      </c>
    </row>
    <row r="1481" customFormat="false" ht="15" hidden="false" customHeight="false" outlineLevel="0" collapsed="false">
      <c r="A1481" s="24" t="n">
        <v>1477</v>
      </c>
      <c r="B1481" s="25" t="str">
        <f aca="false">IF(OR(C1481="",I1481="",G1481=""),"",IFERROR(VLOOKUP(I1481,Setup!$A$9:$B$11,2,0),"???")&amp;"-"&amp;G1481&amp;"-"&amp;TEXT(COUNTIFS(I$5:I1481,I1481,G$5:G1481,G1481),"0000"))</f>
        <v/>
      </c>
      <c r="C1481" s="26"/>
      <c r="D1481" s="26"/>
      <c r="E1481" s="27"/>
      <c r="F1481" s="27"/>
      <c r="G1481" s="24" t="str">
        <f aca="false">IF(F1481="","",IF(F1481&lt;=5,"A",IF(F1481&lt;=8,"B",IF(F1481&lt;=10,"C","D"))))</f>
        <v/>
      </c>
      <c r="H1481" s="28"/>
      <c r="I1481" s="27"/>
      <c r="J1481" s="26"/>
      <c r="K1481" s="27"/>
      <c r="L1481" s="27"/>
      <c r="M1481" s="27"/>
      <c r="N1481" s="27"/>
      <c r="O1481" s="24" t="str">
        <f aca="false">IF(G1481="","",VLOOKUP(G1481,Setup!$A$14:$C$17,3,0))</f>
        <v/>
      </c>
      <c r="P1481" s="27"/>
      <c r="Q1481" s="29" t="str">
        <f aca="false">IF(OR(P1481="",M1481&lt;&gt;"Paid",O1481=""),"",P1481/O1481)</f>
        <v/>
      </c>
      <c r="R1481" s="30" t="str">
        <f aca="false">IF(Q1481="","",Q1481+N(H1481)*0.000000001)</f>
        <v/>
      </c>
      <c r="S1481" s="25" t="str">
        <f aca="false">IF(R1481="","",SUMPRODUCT((I$5:I$4004=I1481)*ISNUMBER(R$5:R$4004)*(R$5:R$4004&gt;R1481))+1)</f>
        <v/>
      </c>
      <c r="T1481" s="25" t="str">
        <f aca="false">IF(S1481="","",IF(S1481&lt;=Setup!$B$5,"🏆 WINNER",""))</f>
        <v/>
      </c>
      <c r="U1481" s="24" t="str">
        <f aca="false">IF(S1481="","",I1481&amp;"|"&amp;S1481)</f>
        <v/>
      </c>
    </row>
    <row r="1482" customFormat="false" ht="15" hidden="false" customHeight="false" outlineLevel="0" collapsed="false">
      <c r="A1482" s="31" t="n">
        <v>1478</v>
      </c>
      <c r="B1482" s="32" t="str">
        <f aca="false">IF(OR(C1482="",I1482="",G1482=""),"",IFERROR(VLOOKUP(I1482,Setup!$A$9:$B$11,2,0),"???")&amp;"-"&amp;G1482&amp;"-"&amp;TEXT(COUNTIFS(I$5:I1482,I1482,G$5:G1482,G1482),"0000"))</f>
        <v/>
      </c>
      <c r="C1482" s="26"/>
      <c r="D1482" s="26"/>
      <c r="E1482" s="27"/>
      <c r="F1482" s="27"/>
      <c r="G1482" s="31" t="str">
        <f aca="false">IF(F1482="","",IF(F1482&lt;=5,"A",IF(F1482&lt;=8,"B",IF(F1482&lt;=10,"C","D"))))</f>
        <v/>
      </c>
      <c r="H1482" s="28"/>
      <c r="I1482" s="27"/>
      <c r="J1482" s="26"/>
      <c r="K1482" s="27"/>
      <c r="L1482" s="27"/>
      <c r="M1482" s="27"/>
      <c r="N1482" s="27"/>
      <c r="O1482" s="31" t="str">
        <f aca="false">IF(G1482="","",VLOOKUP(G1482,Setup!$A$14:$C$17,3,0))</f>
        <v/>
      </c>
      <c r="P1482" s="27"/>
      <c r="Q1482" s="33" t="str">
        <f aca="false">IF(OR(P1482="",M1482&lt;&gt;"Paid",O1482=""),"",P1482/O1482)</f>
        <v/>
      </c>
      <c r="R1482" s="34" t="str">
        <f aca="false">IF(Q1482="","",Q1482+N(H1482)*0.000000001)</f>
        <v/>
      </c>
      <c r="S1482" s="32" t="str">
        <f aca="false">IF(R1482="","",SUMPRODUCT((I$5:I$4004=I1482)*ISNUMBER(R$5:R$4004)*(R$5:R$4004&gt;R1482))+1)</f>
        <v/>
      </c>
      <c r="T1482" s="32" t="str">
        <f aca="false">IF(S1482="","",IF(S1482&lt;=Setup!$B$5,"🏆 WINNER",""))</f>
        <v/>
      </c>
      <c r="U1482" s="31" t="str">
        <f aca="false">IF(S1482="","",I1482&amp;"|"&amp;S1482)</f>
        <v/>
      </c>
    </row>
    <row r="1483" customFormat="false" ht="15" hidden="false" customHeight="false" outlineLevel="0" collapsed="false">
      <c r="A1483" s="24" t="n">
        <v>1479</v>
      </c>
      <c r="B1483" s="25" t="str">
        <f aca="false">IF(OR(C1483="",I1483="",G1483=""),"",IFERROR(VLOOKUP(I1483,Setup!$A$9:$B$11,2,0),"???")&amp;"-"&amp;G1483&amp;"-"&amp;TEXT(COUNTIFS(I$5:I1483,I1483,G$5:G1483,G1483),"0000"))</f>
        <v/>
      </c>
      <c r="C1483" s="26"/>
      <c r="D1483" s="26"/>
      <c r="E1483" s="27"/>
      <c r="F1483" s="27"/>
      <c r="G1483" s="24" t="str">
        <f aca="false">IF(F1483="","",IF(F1483&lt;=5,"A",IF(F1483&lt;=8,"B",IF(F1483&lt;=10,"C","D"))))</f>
        <v/>
      </c>
      <c r="H1483" s="28"/>
      <c r="I1483" s="27"/>
      <c r="J1483" s="26"/>
      <c r="K1483" s="27"/>
      <c r="L1483" s="27"/>
      <c r="M1483" s="27"/>
      <c r="N1483" s="27"/>
      <c r="O1483" s="24" t="str">
        <f aca="false">IF(G1483="","",VLOOKUP(G1483,Setup!$A$14:$C$17,3,0))</f>
        <v/>
      </c>
      <c r="P1483" s="27"/>
      <c r="Q1483" s="29" t="str">
        <f aca="false">IF(OR(P1483="",M1483&lt;&gt;"Paid",O1483=""),"",P1483/O1483)</f>
        <v/>
      </c>
      <c r="R1483" s="30" t="str">
        <f aca="false">IF(Q1483="","",Q1483+N(H1483)*0.000000001)</f>
        <v/>
      </c>
      <c r="S1483" s="25" t="str">
        <f aca="false">IF(R1483="","",SUMPRODUCT((I$5:I$4004=I1483)*ISNUMBER(R$5:R$4004)*(R$5:R$4004&gt;R1483))+1)</f>
        <v/>
      </c>
      <c r="T1483" s="25" t="str">
        <f aca="false">IF(S1483="","",IF(S1483&lt;=Setup!$B$5,"🏆 WINNER",""))</f>
        <v/>
      </c>
      <c r="U1483" s="24" t="str">
        <f aca="false">IF(S1483="","",I1483&amp;"|"&amp;S1483)</f>
        <v/>
      </c>
    </row>
    <row r="1484" customFormat="false" ht="15" hidden="false" customHeight="false" outlineLevel="0" collapsed="false">
      <c r="A1484" s="31" t="n">
        <v>1480</v>
      </c>
      <c r="B1484" s="32" t="str">
        <f aca="false">IF(OR(C1484="",I1484="",G1484=""),"",IFERROR(VLOOKUP(I1484,Setup!$A$9:$B$11,2,0),"???")&amp;"-"&amp;G1484&amp;"-"&amp;TEXT(COUNTIFS(I$5:I1484,I1484,G$5:G1484,G1484),"0000"))</f>
        <v/>
      </c>
      <c r="C1484" s="26"/>
      <c r="D1484" s="26"/>
      <c r="E1484" s="27"/>
      <c r="F1484" s="27"/>
      <c r="G1484" s="31" t="str">
        <f aca="false">IF(F1484="","",IF(F1484&lt;=5,"A",IF(F1484&lt;=8,"B",IF(F1484&lt;=10,"C","D"))))</f>
        <v/>
      </c>
      <c r="H1484" s="28"/>
      <c r="I1484" s="27"/>
      <c r="J1484" s="26"/>
      <c r="K1484" s="27"/>
      <c r="L1484" s="27"/>
      <c r="M1484" s="27"/>
      <c r="N1484" s="27"/>
      <c r="O1484" s="31" t="str">
        <f aca="false">IF(G1484="","",VLOOKUP(G1484,Setup!$A$14:$C$17,3,0))</f>
        <v/>
      </c>
      <c r="P1484" s="27"/>
      <c r="Q1484" s="33" t="str">
        <f aca="false">IF(OR(P1484="",M1484&lt;&gt;"Paid",O1484=""),"",P1484/O1484)</f>
        <v/>
      </c>
      <c r="R1484" s="34" t="str">
        <f aca="false">IF(Q1484="","",Q1484+N(H1484)*0.000000001)</f>
        <v/>
      </c>
      <c r="S1484" s="32" t="str">
        <f aca="false">IF(R1484="","",SUMPRODUCT((I$5:I$4004=I1484)*ISNUMBER(R$5:R$4004)*(R$5:R$4004&gt;R1484))+1)</f>
        <v/>
      </c>
      <c r="T1484" s="32" t="str">
        <f aca="false">IF(S1484="","",IF(S1484&lt;=Setup!$B$5,"🏆 WINNER",""))</f>
        <v/>
      </c>
      <c r="U1484" s="31" t="str">
        <f aca="false">IF(S1484="","",I1484&amp;"|"&amp;S1484)</f>
        <v/>
      </c>
    </row>
    <row r="1485" customFormat="false" ht="15" hidden="false" customHeight="false" outlineLevel="0" collapsed="false">
      <c r="A1485" s="24" t="n">
        <v>1481</v>
      </c>
      <c r="B1485" s="25" t="str">
        <f aca="false">IF(OR(C1485="",I1485="",G1485=""),"",IFERROR(VLOOKUP(I1485,Setup!$A$9:$B$11,2,0),"???")&amp;"-"&amp;G1485&amp;"-"&amp;TEXT(COUNTIFS(I$5:I1485,I1485,G$5:G1485,G1485),"0000"))</f>
        <v/>
      </c>
      <c r="C1485" s="26"/>
      <c r="D1485" s="26"/>
      <c r="E1485" s="27"/>
      <c r="F1485" s="27"/>
      <c r="G1485" s="24" t="str">
        <f aca="false">IF(F1485="","",IF(F1485&lt;=5,"A",IF(F1485&lt;=8,"B",IF(F1485&lt;=10,"C","D"))))</f>
        <v/>
      </c>
      <c r="H1485" s="28"/>
      <c r="I1485" s="27"/>
      <c r="J1485" s="26"/>
      <c r="K1485" s="27"/>
      <c r="L1485" s="27"/>
      <c r="M1485" s="27"/>
      <c r="N1485" s="27"/>
      <c r="O1485" s="24" t="str">
        <f aca="false">IF(G1485="","",VLOOKUP(G1485,Setup!$A$14:$C$17,3,0))</f>
        <v/>
      </c>
      <c r="P1485" s="27"/>
      <c r="Q1485" s="29" t="str">
        <f aca="false">IF(OR(P1485="",M1485&lt;&gt;"Paid",O1485=""),"",P1485/O1485)</f>
        <v/>
      </c>
      <c r="R1485" s="30" t="str">
        <f aca="false">IF(Q1485="","",Q1485+N(H1485)*0.000000001)</f>
        <v/>
      </c>
      <c r="S1485" s="25" t="str">
        <f aca="false">IF(R1485="","",SUMPRODUCT((I$5:I$4004=I1485)*ISNUMBER(R$5:R$4004)*(R$5:R$4004&gt;R1485))+1)</f>
        <v/>
      </c>
      <c r="T1485" s="25" t="str">
        <f aca="false">IF(S1485="","",IF(S1485&lt;=Setup!$B$5,"🏆 WINNER",""))</f>
        <v/>
      </c>
      <c r="U1485" s="24" t="str">
        <f aca="false">IF(S1485="","",I1485&amp;"|"&amp;S1485)</f>
        <v/>
      </c>
    </row>
    <row r="1486" customFormat="false" ht="15" hidden="false" customHeight="false" outlineLevel="0" collapsed="false">
      <c r="A1486" s="31" t="n">
        <v>1482</v>
      </c>
      <c r="B1486" s="32" t="str">
        <f aca="false">IF(OR(C1486="",I1486="",G1486=""),"",IFERROR(VLOOKUP(I1486,Setup!$A$9:$B$11,2,0),"???")&amp;"-"&amp;G1486&amp;"-"&amp;TEXT(COUNTIFS(I$5:I1486,I1486,G$5:G1486,G1486),"0000"))</f>
        <v/>
      </c>
      <c r="C1486" s="26"/>
      <c r="D1486" s="26"/>
      <c r="E1486" s="27"/>
      <c r="F1486" s="27"/>
      <c r="G1486" s="31" t="str">
        <f aca="false">IF(F1486="","",IF(F1486&lt;=5,"A",IF(F1486&lt;=8,"B",IF(F1486&lt;=10,"C","D"))))</f>
        <v/>
      </c>
      <c r="H1486" s="28"/>
      <c r="I1486" s="27"/>
      <c r="J1486" s="26"/>
      <c r="K1486" s="27"/>
      <c r="L1486" s="27"/>
      <c r="M1486" s="27"/>
      <c r="N1486" s="27"/>
      <c r="O1486" s="31" t="str">
        <f aca="false">IF(G1486="","",VLOOKUP(G1486,Setup!$A$14:$C$17,3,0))</f>
        <v/>
      </c>
      <c r="P1486" s="27"/>
      <c r="Q1486" s="33" t="str">
        <f aca="false">IF(OR(P1486="",M1486&lt;&gt;"Paid",O1486=""),"",P1486/O1486)</f>
        <v/>
      </c>
      <c r="R1486" s="34" t="str">
        <f aca="false">IF(Q1486="","",Q1486+N(H1486)*0.000000001)</f>
        <v/>
      </c>
      <c r="S1486" s="32" t="str">
        <f aca="false">IF(R1486="","",SUMPRODUCT((I$5:I$4004=I1486)*ISNUMBER(R$5:R$4004)*(R$5:R$4004&gt;R1486))+1)</f>
        <v/>
      </c>
      <c r="T1486" s="32" t="str">
        <f aca="false">IF(S1486="","",IF(S1486&lt;=Setup!$B$5,"🏆 WINNER",""))</f>
        <v/>
      </c>
      <c r="U1486" s="31" t="str">
        <f aca="false">IF(S1486="","",I1486&amp;"|"&amp;S1486)</f>
        <v/>
      </c>
    </row>
    <row r="1487" customFormat="false" ht="15" hidden="false" customHeight="false" outlineLevel="0" collapsed="false">
      <c r="A1487" s="24" t="n">
        <v>1483</v>
      </c>
      <c r="B1487" s="25" t="str">
        <f aca="false">IF(OR(C1487="",I1487="",G1487=""),"",IFERROR(VLOOKUP(I1487,Setup!$A$9:$B$11,2,0),"???")&amp;"-"&amp;G1487&amp;"-"&amp;TEXT(COUNTIFS(I$5:I1487,I1487,G$5:G1487,G1487),"0000"))</f>
        <v/>
      </c>
      <c r="C1487" s="26"/>
      <c r="D1487" s="26"/>
      <c r="E1487" s="27"/>
      <c r="F1487" s="27"/>
      <c r="G1487" s="24" t="str">
        <f aca="false">IF(F1487="","",IF(F1487&lt;=5,"A",IF(F1487&lt;=8,"B",IF(F1487&lt;=10,"C","D"))))</f>
        <v/>
      </c>
      <c r="H1487" s="28"/>
      <c r="I1487" s="27"/>
      <c r="J1487" s="26"/>
      <c r="K1487" s="27"/>
      <c r="L1487" s="27"/>
      <c r="M1487" s="27"/>
      <c r="N1487" s="27"/>
      <c r="O1487" s="24" t="str">
        <f aca="false">IF(G1487="","",VLOOKUP(G1487,Setup!$A$14:$C$17,3,0))</f>
        <v/>
      </c>
      <c r="P1487" s="27"/>
      <c r="Q1487" s="29" t="str">
        <f aca="false">IF(OR(P1487="",M1487&lt;&gt;"Paid",O1487=""),"",P1487/O1487)</f>
        <v/>
      </c>
      <c r="R1487" s="30" t="str">
        <f aca="false">IF(Q1487="","",Q1487+N(H1487)*0.000000001)</f>
        <v/>
      </c>
      <c r="S1487" s="25" t="str">
        <f aca="false">IF(R1487="","",SUMPRODUCT((I$5:I$4004=I1487)*ISNUMBER(R$5:R$4004)*(R$5:R$4004&gt;R1487))+1)</f>
        <v/>
      </c>
      <c r="T1487" s="25" t="str">
        <f aca="false">IF(S1487="","",IF(S1487&lt;=Setup!$B$5,"🏆 WINNER",""))</f>
        <v/>
      </c>
      <c r="U1487" s="24" t="str">
        <f aca="false">IF(S1487="","",I1487&amp;"|"&amp;S1487)</f>
        <v/>
      </c>
    </row>
    <row r="1488" customFormat="false" ht="15" hidden="false" customHeight="false" outlineLevel="0" collapsed="false">
      <c r="A1488" s="31" t="n">
        <v>1484</v>
      </c>
      <c r="B1488" s="32" t="str">
        <f aca="false">IF(OR(C1488="",I1488="",G1488=""),"",IFERROR(VLOOKUP(I1488,Setup!$A$9:$B$11,2,0),"???")&amp;"-"&amp;G1488&amp;"-"&amp;TEXT(COUNTIFS(I$5:I1488,I1488,G$5:G1488,G1488),"0000"))</f>
        <v/>
      </c>
      <c r="C1488" s="26"/>
      <c r="D1488" s="26"/>
      <c r="E1488" s="27"/>
      <c r="F1488" s="27"/>
      <c r="G1488" s="31" t="str">
        <f aca="false">IF(F1488="","",IF(F1488&lt;=5,"A",IF(F1488&lt;=8,"B",IF(F1488&lt;=10,"C","D"))))</f>
        <v/>
      </c>
      <c r="H1488" s="28"/>
      <c r="I1488" s="27"/>
      <c r="J1488" s="26"/>
      <c r="K1488" s="27"/>
      <c r="L1488" s="27"/>
      <c r="M1488" s="27"/>
      <c r="N1488" s="27"/>
      <c r="O1488" s="31" t="str">
        <f aca="false">IF(G1488="","",VLOOKUP(G1488,Setup!$A$14:$C$17,3,0))</f>
        <v/>
      </c>
      <c r="P1488" s="27"/>
      <c r="Q1488" s="33" t="str">
        <f aca="false">IF(OR(P1488="",M1488&lt;&gt;"Paid",O1488=""),"",P1488/O1488)</f>
        <v/>
      </c>
      <c r="R1488" s="34" t="str">
        <f aca="false">IF(Q1488="","",Q1488+N(H1488)*0.000000001)</f>
        <v/>
      </c>
      <c r="S1488" s="32" t="str">
        <f aca="false">IF(R1488="","",SUMPRODUCT((I$5:I$4004=I1488)*ISNUMBER(R$5:R$4004)*(R$5:R$4004&gt;R1488))+1)</f>
        <v/>
      </c>
      <c r="T1488" s="32" t="str">
        <f aca="false">IF(S1488="","",IF(S1488&lt;=Setup!$B$5,"🏆 WINNER",""))</f>
        <v/>
      </c>
      <c r="U1488" s="31" t="str">
        <f aca="false">IF(S1488="","",I1488&amp;"|"&amp;S1488)</f>
        <v/>
      </c>
    </row>
    <row r="1489" customFormat="false" ht="15" hidden="false" customHeight="false" outlineLevel="0" collapsed="false">
      <c r="A1489" s="24" t="n">
        <v>1485</v>
      </c>
      <c r="B1489" s="25" t="str">
        <f aca="false">IF(OR(C1489="",I1489="",G1489=""),"",IFERROR(VLOOKUP(I1489,Setup!$A$9:$B$11,2,0),"???")&amp;"-"&amp;G1489&amp;"-"&amp;TEXT(COUNTIFS(I$5:I1489,I1489,G$5:G1489,G1489),"0000"))</f>
        <v/>
      </c>
      <c r="C1489" s="26"/>
      <c r="D1489" s="26"/>
      <c r="E1489" s="27"/>
      <c r="F1489" s="27"/>
      <c r="G1489" s="24" t="str">
        <f aca="false">IF(F1489="","",IF(F1489&lt;=5,"A",IF(F1489&lt;=8,"B",IF(F1489&lt;=10,"C","D"))))</f>
        <v/>
      </c>
      <c r="H1489" s="28"/>
      <c r="I1489" s="27"/>
      <c r="J1489" s="26"/>
      <c r="K1489" s="27"/>
      <c r="L1489" s="27"/>
      <c r="M1489" s="27"/>
      <c r="N1489" s="27"/>
      <c r="O1489" s="24" t="str">
        <f aca="false">IF(G1489="","",VLOOKUP(G1489,Setup!$A$14:$C$17,3,0))</f>
        <v/>
      </c>
      <c r="P1489" s="27"/>
      <c r="Q1489" s="29" t="str">
        <f aca="false">IF(OR(P1489="",M1489&lt;&gt;"Paid",O1489=""),"",P1489/O1489)</f>
        <v/>
      </c>
      <c r="R1489" s="30" t="str">
        <f aca="false">IF(Q1489="","",Q1489+N(H1489)*0.000000001)</f>
        <v/>
      </c>
      <c r="S1489" s="25" t="str">
        <f aca="false">IF(R1489="","",SUMPRODUCT((I$5:I$4004=I1489)*ISNUMBER(R$5:R$4004)*(R$5:R$4004&gt;R1489))+1)</f>
        <v/>
      </c>
      <c r="T1489" s="25" t="str">
        <f aca="false">IF(S1489="","",IF(S1489&lt;=Setup!$B$5,"🏆 WINNER",""))</f>
        <v/>
      </c>
      <c r="U1489" s="24" t="str">
        <f aca="false">IF(S1489="","",I1489&amp;"|"&amp;S1489)</f>
        <v/>
      </c>
    </row>
    <row r="1490" customFormat="false" ht="15" hidden="false" customHeight="false" outlineLevel="0" collapsed="false">
      <c r="A1490" s="31" t="n">
        <v>1486</v>
      </c>
      <c r="B1490" s="32" t="str">
        <f aca="false">IF(OR(C1490="",I1490="",G1490=""),"",IFERROR(VLOOKUP(I1490,Setup!$A$9:$B$11,2,0),"???")&amp;"-"&amp;G1490&amp;"-"&amp;TEXT(COUNTIFS(I$5:I1490,I1490,G$5:G1490,G1490),"0000"))</f>
        <v/>
      </c>
      <c r="C1490" s="26"/>
      <c r="D1490" s="26"/>
      <c r="E1490" s="27"/>
      <c r="F1490" s="27"/>
      <c r="G1490" s="31" t="str">
        <f aca="false">IF(F1490="","",IF(F1490&lt;=5,"A",IF(F1490&lt;=8,"B",IF(F1490&lt;=10,"C","D"))))</f>
        <v/>
      </c>
      <c r="H1490" s="28"/>
      <c r="I1490" s="27"/>
      <c r="J1490" s="26"/>
      <c r="K1490" s="27"/>
      <c r="L1490" s="27"/>
      <c r="M1490" s="27"/>
      <c r="N1490" s="27"/>
      <c r="O1490" s="31" t="str">
        <f aca="false">IF(G1490="","",VLOOKUP(G1490,Setup!$A$14:$C$17,3,0))</f>
        <v/>
      </c>
      <c r="P1490" s="27"/>
      <c r="Q1490" s="33" t="str">
        <f aca="false">IF(OR(P1490="",M1490&lt;&gt;"Paid",O1490=""),"",P1490/O1490)</f>
        <v/>
      </c>
      <c r="R1490" s="34" t="str">
        <f aca="false">IF(Q1490="","",Q1490+N(H1490)*0.000000001)</f>
        <v/>
      </c>
      <c r="S1490" s="32" t="str">
        <f aca="false">IF(R1490="","",SUMPRODUCT((I$5:I$4004=I1490)*ISNUMBER(R$5:R$4004)*(R$5:R$4004&gt;R1490))+1)</f>
        <v/>
      </c>
      <c r="T1490" s="32" t="str">
        <f aca="false">IF(S1490="","",IF(S1490&lt;=Setup!$B$5,"🏆 WINNER",""))</f>
        <v/>
      </c>
      <c r="U1490" s="31" t="str">
        <f aca="false">IF(S1490="","",I1490&amp;"|"&amp;S1490)</f>
        <v/>
      </c>
    </row>
    <row r="1491" customFormat="false" ht="15" hidden="false" customHeight="false" outlineLevel="0" collapsed="false">
      <c r="A1491" s="24" t="n">
        <v>1487</v>
      </c>
      <c r="B1491" s="25" t="str">
        <f aca="false">IF(OR(C1491="",I1491="",G1491=""),"",IFERROR(VLOOKUP(I1491,Setup!$A$9:$B$11,2,0),"???")&amp;"-"&amp;G1491&amp;"-"&amp;TEXT(COUNTIFS(I$5:I1491,I1491,G$5:G1491,G1491),"0000"))</f>
        <v/>
      </c>
      <c r="C1491" s="26"/>
      <c r="D1491" s="26"/>
      <c r="E1491" s="27"/>
      <c r="F1491" s="27"/>
      <c r="G1491" s="24" t="str">
        <f aca="false">IF(F1491="","",IF(F1491&lt;=5,"A",IF(F1491&lt;=8,"B",IF(F1491&lt;=10,"C","D"))))</f>
        <v/>
      </c>
      <c r="H1491" s="28"/>
      <c r="I1491" s="27"/>
      <c r="J1491" s="26"/>
      <c r="K1491" s="27"/>
      <c r="L1491" s="27"/>
      <c r="M1491" s="27"/>
      <c r="N1491" s="27"/>
      <c r="O1491" s="24" t="str">
        <f aca="false">IF(G1491="","",VLOOKUP(G1491,Setup!$A$14:$C$17,3,0))</f>
        <v/>
      </c>
      <c r="P1491" s="27"/>
      <c r="Q1491" s="29" t="str">
        <f aca="false">IF(OR(P1491="",M1491&lt;&gt;"Paid",O1491=""),"",P1491/O1491)</f>
        <v/>
      </c>
      <c r="R1491" s="30" t="str">
        <f aca="false">IF(Q1491="","",Q1491+N(H1491)*0.000000001)</f>
        <v/>
      </c>
      <c r="S1491" s="25" t="str">
        <f aca="false">IF(R1491="","",SUMPRODUCT((I$5:I$4004=I1491)*ISNUMBER(R$5:R$4004)*(R$5:R$4004&gt;R1491))+1)</f>
        <v/>
      </c>
      <c r="T1491" s="25" t="str">
        <f aca="false">IF(S1491="","",IF(S1491&lt;=Setup!$B$5,"🏆 WINNER",""))</f>
        <v/>
      </c>
      <c r="U1491" s="24" t="str">
        <f aca="false">IF(S1491="","",I1491&amp;"|"&amp;S1491)</f>
        <v/>
      </c>
    </row>
    <row r="1492" customFormat="false" ht="15" hidden="false" customHeight="false" outlineLevel="0" collapsed="false">
      <c r="A1492" s="31" t="n">
        <v>1488</v>
      </c>
      <c r="B1492" s="32" t="str">
        <f aca="false">IF(OR(C1492="",I1492="",G1492=""),"",IFERROR(VLOOKUP(I1492,Setup!$A$9:$B$11,2,0),"???")&amp;"-"&amp;G1492&amp;"-"&amp;TEXT(COUNTIFS(I$5:I1492,I1492,G$5:G1492,G1492),"0000"))</f>
        <v/>
      </c>
      <c r="C1492" s="26"/>
      <c r="D1492" s="26"/>
      <c r="E1492" s="27"/>
      <c r="F1492" s="27"/>
      <c r="G1492" s="31" t="str">
        <f aca="false">IF(F1492="","",IF(F1492&lt;=5,"A",IF(F1492&lt;=8,"B",IF(F1492&lt;=10,"C","D"))))</f>
        <v/>
      </c>
      <c r="H1492" s="28"/>
      <c r="I1492" s="27"/>
      <c r="J1492" s="26"/>
      <c r="K1492" s="27"/>
      <c r="L1492" s="27"/>
      <c r="M1492" s="27"/>
      <c r="N1492" s="27"/>
      <c r="O1492" s="31" t="str">
        <f aca="false">IF(G1492="","",VLOOKUP(G1492,Setup!$A$14:$C$17,3,0))</f>
        <v/>
      </c>
      <c r="P1492" s="27"/>
      <c r="Q1492" s="33" t="str">
        <f aca="false">IF(OR(P1492="",M1492&lt;&gt;"Paid",O1492=""),"",P1492/O1492)</f>
        <v/>
      </c>
      <c r="R1492" s="34" t="str">
        <f aca="false">IF(Q1492="","",Q1492+N(H1492)*0.000000001)</f>
        <v/>
      </c>
      <c r="S1492" s="32" t="str">
        <f aca="false">IF(R1492="","",SUMPRODUCT((I$5:I$4004=I1492)*ISNUMBER(R$5:R$4004)*(R$5:R$4004&gt;R1492))+1)</f>
        <v/>
      </c>
      <c r="T1492" s="32" t="str">
        <f aca="false">IF(S1492="","",IF(S1492&lt;=Setup!$B$5,"🏆 WINNER",""))</f>
        <v/>
      </c>
      <c r="U1492" s="31" t="str">
        <f aca="false">IF(S1492="","",I1492&amp;"|"&amp;S1492)</f>
        <v/>
      </c>
    </row>
    <row r="1493" customFormat="false" ht="15" hidden="false" customHeight="false" outlineLevel="0" collapsed="false">
      <c r="A1493" s="24" t="n">
        <v>1489</v>
      </c>
      <c r="B1493" s="25" t="str">
        <f aca="false">IF(OR(C1493="",I1493="",G1493=""),"",IFERROR(VLOOKUP(I1493,Setup!$A$9:$B$11,2,0),"???")&amp;"-"&amp;G1493&amp;"-"&amp;TEXT(COUNTIFS(I$5:I1493,I1493,G$5:G1493,G1493),"0000"))</f>
        <v/>
      </c>
      <c r="C1493" s="26"/>
      <c r="D1493" s="26"/>
      <c r="E1493" s="27"/>
      <c r="F1493" s="27"/>
      <c r="G1493" s="24" t="str">
        <f aca="false">IF(F1493="","",IF(F1493&lt;=5,"A",IF(F1493&lt;=8,"B",IF(F1493&lt;=10,"C","D"))))</f>
        <v/>
      </c>
      <c r="H1493" s="28"/>
      <c r="I1493" s="27"/>
      <c r="J1493" s="26"/>
      <c r="K1493" s="27"/>
      <c r="L1493" s="27"/>
      <c r="M1493" s="27"/>
      <c r="N1493" s="27"/>
      <c r="O1493" s="24" t="str">
        <f aca="false">IF(G1493="","",VLOOKUP(G1493,Setup!$A$14:$C$17,3,0))</f>
        <v/>
      </c>
      <c r="P1493" s="27"/>
      <c r="Q1493" s="29" t="str">
        <f aca="false">IF(OR(P1493="",M1493&lt;&gt;"Paid",O1493=""),"",P1493/O1493)</f>
        <v/>
      </c>
      <c r="R1493" s="30" t="str">
        <f aca="false">IF(Q1493="","",Q1493+N(H1493)*0.000000001)</f>
        <v/>
      </c>
      <c r="S1493" s="25" t="str">
        <f aca="false">IF(R1493="","",SUMPRODUCT((I$5:I$4004=I1493)*ISNUMBER(R$5:R$4004)*(R$5:R$4004&gt;R1493))+1)</f>
        <v/>
      </c>
      <c r="T1493" s="25" t="str">
        <f aca="false">IF(S1493="","",IF(S1493&lt;=Setup!$B$5,"🏆 WINNER",""))</f>
        <v/>
      </c>
      <c r="U1493" s="24" t="str">
        <f aca="false">IF(S1493="","",I1493&amp;"|"&amp;S1493)</f>
        <v/>
      </c>
    </row>
    <row r="1494" customFormat="false" ht="15" hidden="false" customHeight="false" outlineLevel="0" collapsed="false">
      <c r="A1494" s="31" t="n">
        <v>1490</v>
      </c>
      <c r="B1494" s="32" t="str">
        <f aca="false">IF(OR(C1494="",I1494="",G1494=""),"",IFERROR(VLOOKUP(I1494,Setup!$A$9:$B$11,2,0),"???")&amp;"-"&amp;G1494&amp;"-"&amp;TEXT(COUNTIFS(I$5:I1494,I1494,G$5:G1494,G1494),"0000"))</f>
        <v/>
      </c>
      <c r="C1494" s="26"/>
      <c r="D1494" s="26"/>
      <c r="E1494" s="27"/>
      <c r="F1494" s="27"/>
      <c r="G1494" s="31" t="str">
        <f aca="false">IF(F1494="","",IF(F1494&lt;=5,"A",IF(F1494&lt;=8,"B",IF(F1494&lt;=10,"C","D"))))</f>
        <v/>
      </c>
      <c r="H1494" s="28"/>
      <c r="I1494" s="27"/>
      <c r="J1494" s="26"/>
      <c r="K1494" s="27"/>
      <c r="L1494" s="27"/>
      <c r="M1494" s="27"/>
      <c r="N1494" s="27"/>
      <c r="O1494" s="31" t="str">
        <f aca="false">IF(G1494="","",VLOOKUP(G1494,Setup!$A$14:$C$17,3,0))</f>
        <v/>
      </c>
      <c r="P1494" s="27"/>
      <c r="Q1494" s="33" t="str">
        <f aca="false">IF(OR(P1494="",M1494&lt;&gt;"Paid",O1494=""),"",P1494/O1494)</f>
        <v/>
      </c>
      <c r="R1494" s="34" t="str">
        <f aca="false">IF(Q1494="","",Q1494+N(H1494)*0.000000001)</f>
        <v/>
      </c>
      <c r="S1494" s="32" t="str">
        <f aca="false">IF(R1494="","",SUMPRODUCT((I$5:I$4004=I1494)*ISNUMBER(R$5:R$4004)*(R$5:R$4004&gt;R1494))+1)</f>
        <v/>
      </c>
      <c r="T1494" s="32" t="str">
        <f aca="false">IF(S1494="","",IF(S1494&lt;=Setup!$B$5,"🏆 WINNER",""))</f>
        <v/>
      </c>
      <c r="U1494" s="31" t="str">
        <f aca="false">IF(S1494="","",I1494&amp;"|"&amp;S1494)</f>
        <v/>
      </c>
    </row>
    <row r="1495" customFormat="false" ht="15" hidden="false" customHeight="false" outlineLevel="0" collapsed="false">
      <c r="A1495" s="24" t="n">
        <v>1491</v>
      </c>
      <c r="B1495" s="25" t="str">
        <f aca="false">IF(OR(C1495="",I1495="",G1495=""),"",IFERROR(VLOOKUP(I1495,Setup!$A$9:$B$11,2,0),"???")&amp;"-"&amp;G1495&amp;"-"&amp;TEXT(COUNTIFS(I$5:I1495,I1495,G$5:G1495,G1495),"0000"))</f>
        <v/>
      </c>
      <c r="C1495" s="26"/>
      <c r="D1495" s="26"/>
      <c r="E1495" s="27"/>
      <c r="F1495" s="27"/>
      <c r="G1495" s="24" t="str">
        <f aca="false">IF(F1495="","",IF(F1495&lt;=5,"A",IF(F1495&lt;=8,"B",IF(F1495&lt;=10,"C","D"))))</f>
        <v/>
      </c>
      <c r="H1495" s="28"/>
      <c r="I1495" s="27"/>
      <c r="J1495" s="26"/>
      <c r="K1495" s="27"/>
      <c r="L1495" s="27"/>
      <c r="M1495" s="27"/>
      <c r="N1495" s="27"/>
      <c r="O1495" s="24" t="str">
        <f aca="false">IF(G1495="","",VLOOKUP(G1495,Setup!$A$14:$C$17,3,0))</f>
        <v/>
      </c>
      <c r="P1495" s="27"/>
      <c r="Q1495" s="29" t="str">
        <f aca="false">IF(OR(P1495="",M1495&lt;&gt;"Paid",O1495=""),"",P1495/O1495)</f>
        <v/>
      </c>
      <c r="R1495" s="30" t="str">
        <f aca="false">IF(Q1495="","",Q1495+N(H1495)*0.000000001)</f>
        <v/>
      </c>
      <c r="S1495" s="25" t="str">
        <f aca="false">IF(R1495="","",SUMPRODUCT((I$5:I$4004=I1495)*ISNUMBER(R$5:R$4004)*(R$5:R$4004&gt;R1495))+1)</f>
        <v/>
      </c>
      <c r="T1495" s="25" t="str">
        <f aca="false">IF(S1495="","",IF(S1495&lt;=Setup!$B$5,"🏆 WINNER",""))</f>
        <v/>
      </c>
      <c r="U1495" s="24" t="str">
        <f aca="false">IF(S1495="","",I1495&amp;"|"&amp;S1495)</f>
        <v/>
      </c>
    </row>
    <row r="1496" customFormat="false" ht="15" hidden="false" customHeight="false" outlineLevel="0" collapsed="false">
      <c r="A1496" s="31" t="n">
        <v>1492</v>
      </c>
      <c r="B1496" s="32" t="str">
        <f aca="false">IF(OR(C1496="",I1496="",G1496=""),"",IFERROR(VLOOKUP(I1496,Setup!$A$9:$B$11,2,0),"???")&amp;"-"&amp;G1496&amp;"-"&amp;TEXT(COUNTIFS(I$5:I1496,I1496,G$5:G1496,G1496),"0000"))</f>
        <v/>
      </c>
      <c r="C1496" s="26"/>
      <c r="D1496" s="26"/>
      <c r="E1496" s="27"/>
      <c r="F1496" s="27"/>
      <c r="G1496" s="31" t="str">
        <f aca="false">IF(F1496="","",IF(F1496&lt;=5,"A",IF(F1496&lt;=8,"B",IF(F1496&lt;=10,"C","D"))))</f>
        <v/>
      </c>
      <c r="H1496" s="28"/>
      <c r="I1496" s="27"/>
      <c r="J1496" s="26"/>
      <c r="K1496" s="27"/>
      <c r="L1496" s="27"/>
      <c r="M1496" s="27"/>
      <c r="N1496" s="27"/>
      <c r="O1496" s="31" t="str">
        <f aca="false">IF(G1496="","",VLOOKUP(G1496,Setup!$A$14:$C$17,3,0))</f>
        <v/>
      </c>
      <c r="P1496" s="27"/>
      <c r="Q1496" s="33" t="str">
        <f aca="false">IF(OR(P1496="",M1496&lt;&gt;"Paid",O1496=""),"",P1496/O1496)</f>
        <v/>
      </c>
      <c r="R1496" s="34" t="str">
        <f aca="false">IF(Q1496="","",Q1496+N(H1496)*0.000000001)</f>
        <v/>
      </c>
      <c r="S1496" s="32" t="str">
        <f aca="false">IF(R1496="","",SUMPRODUCT((I$5:I$4004=I1496)*ISNUMBER(R$5:R$4004)*(R$5:R$4004&gt;R1496))+1)</f>
        <v/>
      </c>
      <c r="T1496" s="32" t="str">
        <f aca="false">IF(S1496="","",IF(S1496&lt;=Setup!$B$5,"🏆 WINNER",""))</f>
        <v/>
      </c>
      <c r="U1496" s="31" t="str">
        <f aca="false">IF(S1496="","",I1496&amp;"|"&amp;S1496)</f>
        <v/>
      </c>
    </row>
    <row r="1497" customFormat="false" ht="15" hidden="false" customHeight="false" outlineLevel="0" collapsed="false">
      <c r="A1497" s="24" t="n">
        <v>1493</v>
      </c>
      <c r="B1497" s="25" t="str">
        <f aca="false">IF(OR(C1497="",I1497="",G1497=""),"",IFERROR(VLOOKUP(I1497,Setup!$A$9:$B$11,2,0),"???")&amp;"-"&amp;G1497&amp;"-"&amp;TEXT(COUNTIFS(I$5:I1497,I1497,G$5:G1497,G1497),"0000"))</f>
        <v/>
      </c>
      <c r="C1497" s="26"/>
      <c r="D1497" s="26"/>
      <c r="E1497" s="27"/>
      <c r="F1497" s="27"/>
      <c r="G1497" s="24" t="str">
        <f aca="false">IF(F1497="","",IF(F1497&lt;=5,"A",IF(F1497&lt;=8,"B",IF(F1497&lt;=10,"C","D"))))</f>
        <v/>
      </c>
      <c r="H1497" s="28"/>
      <c r="I1497" s="27"/>
      <c r="J1497" s="26"/>
      <c r="K1497" s="27"/>
      <c r="L1497" s="27"/>
      <c r="M1497" s="27"/>
      <c r="N1497" s="27"/>
      <c r="O1497" s="24" t="str">
        <f aca="false">IF(G1497="","",VLOOKUP(G1497,Setup!$A$14:$C$17,3,0))</f>
        <v/>
      </c>
      <c r="P1497" s="27"/>
      <c r="Q1497" s="29" t="str">
        <f aca="false">IF(OR(P1497="",M1497&lt;&gt;"Paid",O1497=""),"",P1497/O1497)</f>
        <v/>
      </c>
      <c r="R1497" s="30" t="str">
        <f aca="false">IF(Q1497="","",Q1497+N(H1497)*0.000000001)</f>
        <v/>
      </c>
      <c r="S1497" s="25" t="str">
        <f aca="false">IF(R1497="","",SUMPRODUCT((I$5:I$4004=I1497)*ISNUMBER(R$5:R$4004)*(R$5:R$4004&gt;R1497))+1)</f>
        <v/>
      </c>
      <c r="T1497" s="25" t="str">
        <f aca="false">IF(S1497="","",IF(S1497&lt;=Setup!$B$5,"🏆 WINNER",""))</f>
        <v/>
      </c>
      <c r="U1497" s="24" t="str">
        <f aca="false">IF(S1497="","",I1497&amp;"|"&amp;S1497)</f>
        <v/>
      </c>
    </row>
    <row r="1498" customFormat="false" ht="15" hidden="false" customHeight="false" outlineLevel="0" collapsed="false">
      <c r="A1498" s="31" t="n">
        <v>1494</v>
      </c>
      <c r="B1498" s="32" t="str">
        <f aca="false">IF(OR(C1498="",I1498="",G1498=""),"",IFERROR(VLOOKUP(I1498,Setup!$A$9:$B$11,2,0),"???")&amp;"-"&amp;G1498&amp;"-"&amp;TEXT(COUNTIFS(I$5:I1498,I1498,G$5:G1498,G1498),"0000"))</f>
        <v/>
      </c>
      <c r="C1498" s="26"/>
      <c r="D1498" s="26"/>
      <c r="E1498" s="27"/>
      <c r="F1498" s="27"/>
      <c r="G1498" s="31" t="str">
        <f aca="false">IF(F1498="","",IF(F1498&lt;=5,"A",IF(F1498&lt;=8,"B",IF(F1498&lt;=10,"C","D"))))</f>
        <v/>
      </c>
      <c r="H1498" s="28"/>
      <c r="I1498" s="27"/>
      <c r="J1498" s="26"/>
      <c r="K1498" s="27"/>
      <c r="L1498" s="27"/>
      <c r="M1498" s="27"/>
      <c r="N1498" s="27"/>
      <c r="O1498" s="31" t="str">
        <f aca="false">IF(G1498="","",VLOOKUP(G1498,Setup!$A$14:$C$17,3,0))</f>
        <v/>
      </c>
      <c r="P1498" s="27"/>
      <c r="Q1498" s="33" t="str">
        <f aca="false">IF(OR(P1498="",M1498&lt;&gt;"Paid",O1498=""),"",P1498/O1498)</f>
        <v/>
      </c>
      <c r="R1498" s="34" t="str">
        <f aca="false">IF(Q1498="","",Q1498+N(H1498)*0.000000001)</f>
        <v/>
      </c>
      <c r="S1498" s="32" t="str">
        <f aca="false">IF(R1498="","",SUMPRODUCT((I$5:I$4004=I1498)*ISNUMBER(R$5:R$4004)*(R$5:R$4004&gt;R1498))+1)</f>
        <v/>
      </c>
      <c r="T1498" s="32" t="str">
        <f aca="false">IF(S1498="","",IF(S1498&lt;=Setup!$B$5,"🏆 WINNER",""))</f>
        <v/>
      </c>
      <c r="U1498" s="31" t="str">
        <f aca="false">IF(S1498="","",I1498&amp;"|"&amp;S1498)</f>
        <v/>
      </c>
    </row>
    <row r="1499" customFormat="false" ht="15" hidden="false" customHeight="false" outlineLevel="0" collapsed="false">
      <c r="A1499" s="24" t="n">
        <v>1495</v>
      </c>
      <c r="B1499" s="25" t="str">
        <f aca="false">IF(OR(C1499="",I1499="",G1499=""),"",IFERROR(VLOOKUP(I1499,Setup!$A$9:$B$11,2,0),"???")&amp;"-"&amp;G1499&amp;"-"&amp;TEXT(COUNTIFS(I$5:I1499,I1499,G$5:G1499,G1499),"0000"))</f>
        <v/>
      </c>
      <c r="C1499" s="26"/>
      <c r="D1499" s="26"/>
      <c r="E1499" s="27"/>
      <c r="F1499" s="27"/>
      <c r="G1499" s="24" t="str">
        <f aca="false">IF(F1499="","",IF(F1499&lt;=5,"A",IF(F1499&lt;=8,"B",IF(F1499&lt;=10,"C","D"))))</f>
        <v/>
      </c>
      <c r="H1499" s="28"/>
      <c r="I1499" s="27"/>
      <c r="J1499" s="26"/>
      <c r="K1499" s="27"/>
      <c r="L1499" s="27"/>
      <c r="M1499" s="27"/>
      <c r="N1499" s="27"/>
      <c r="O1499" s="24" t="str">
        <f aca="false">IF(G1499="","",VLOOKUP(G1499,Setup!$A$14:$C$17,3,0))</f>
        <v/>
      </c>
      <c r="P1499" s="27"/>
      <c r="Q1499" s="29" t="str">
        <f aca="false">IF(OR(P1499="",M1499&lt;&gt;"Paid",O1499=""),"",P1499/O1499)</f>
        <v/>
      </c>
      <c r="R1499" s="30" t="str">
        <f aca="false">IF(Q1499="","",Q1499+N(H1499)*0.000000001)</f>
        <v/>
      </c>
      <c r="S1499" s="25" t="str">
        <f aca="false">IF(R1499="","",SUMPRODUCT((I$5:I$4004=I1499)*ISNUMBER(R$5:R$4004)*(R$5:R$4004&gt;R1499))+1)</f>
        <v/>
      </c>
      <c r="T1499" s="25" t="str">
        <f aca="false">IF(S1499="","",IF(S1499&lt;=Setup!$B$5,"🏆 WINNER",""))</f>
        <v/>
      </c>
      <c r="U1499" s="24" t="str">
        <f aca="false">IF(S1499="","",I1499&amp;"|"&amp;S1499)</f>
        <v/>
      </c>
    </row>
    <row r="1500" customFormat="false" ht="15" hidden="false" customHeight="false" outlineLevel="0" collapsed="false">
      <c r="A1500" s="31" t="n">
        <v>1496</v>
      </c>
      <c r="B1500" s="32" t="str">
        <f aca="false">IF(OR(C1500="",I1500="",G1500=""),"",IFERROR(VLOOKUP(I1500,Setup!$A$9:$B$11,2,0),"???")&amp;"-"&amp;G1500&amp;"-"&amp;TEXT(COUNTIFS(I$5:I1500,I1500,G$5:G1500,G1500),"0000"))</f>
        <v/>
      </c>
      <c r="C1500" s="26"/>
      <c r="D1500" s="26"/>
      <c r="E1500" s="27"/>
      <c r="F1500" s="27"/>
      <c r="G1500" s="31" t="str">
        <f aca="false">IF(F1500="","",IF(F1500&lt;=5,"A",IF(F1500&lt;=8,"B",IF(F1500&lt;=10,"C","D"))))</f>
        <v/>
      </c>
      <c r="H1500" s="28"/>
      <c r="I1500" s="27"/>
      <c r="J1500" s="26"/>
      <c r="K1500" s="27"/>
      <c r="L1500" s="27"/>
      <c r="M1500" s="27"/>
      <c r="N1500" s="27"/>
      <c r="O1500" s="31" t="str">
        <f aca="false">IF(G1500="","",VLOOKUP(G1500,Setup!$A$14:$C$17,3,0))</f>
        <v/>
      </c>
      <c r="P1500" s="27"/>
      <c r="Q1500" s="33" t="str">
        <f aca="false">IF(OR(P1500="",M1500&lt;&gt;"Paid",O1500=""),"",P1500/O1500)</f>
        <v/>
      </c>
      <c r="R1500" s="34" t="str">
        <f aca="false">IF(Q1500="","",Q1500+N(H1500)*0.000000001)</f>
        <v/>
      </c>
      <c r="S1500" s="32" t="str">
        <f aca="false">IF(R1500="","",SUMPRODUCT((I$5:I$4004=I1500)*ISNUMBER(R$5:R$4004)*(R$5:R$4004&gt;R1500))+1)</f>
        <v/>
      </c>
      <c r="T1500" s="32" t="str">
        <f aca="false">IF(S1500="","",IF(S1500&lt;=Setup!$B$5,"🏆 WINNER",""))</f>
        <v/>
      </c>
      <c r="U1500" s="31" t="str">
        <f aca="false">IF(S1500="","",I1500&amp;"|"&amp;S1500)</f>
        <v/>
      </c>
    </row>
    <row r="1501" customFormat="false" ht="15" hidden="false" customHeight="false" outlineLevel="0" collapsed="false">
      <c r="A1501" s="24" t="n">
        <v>1497</v>
      </c>
      <c r="B1501" s="25" t="str">
        <f aca="false">IF(OR(C1501="",I1501="",G1501=""),"",IFERROR(VLOOKUP(I1501,Setup!$A$9:$B$11,2,0),"???")&amp;"-"&amp;G1501&amp;"-"&amp;TEXT(COUNTIFS(I$5:I1501,I1501,G$5:G1501,G1501),"0000"))</f>
        <v/>
      </c>
      <c r="C1501" s="26"/>
      <c r="D1501" s="26"/>
      <c r="E1501" s="27"/>
      <c r="F1501" s="27"/>
      <c r="G1501" s="24" t="str">
        <f aca="false">IF(F1501="","",IF(F1501&lt;=5,"A",IF(F1501&lt;=8,"B",IF(F1501&lt;=10,"C","D"))))</f>
        <v/>
      </c>
      <c r="H1501" s="28"/>
      <c r="I1501" s="27"/>
      <c r="J1501" s="26"/>
      <c r="K1501" s="27"/>
      <c r="L1501" s="27"/>
      <c r="M1501" s="27"/>
      <c r="N1501" s="27"/>
      <c r="O1501" s="24" t="str">
        <f aca="false">IF(G1501="","",VLOOKUP(G1501,Setup!$A$14:$C$17,3,0))</f>
        <v/>
      </c>
      <c r="P1501" s="27"/>
      <c r="Q1501" s="29" t="str">
        <f aca="false">IF(OR(P1501="",M1501&lt;&gt;"Paid",O1501=""),"",P1501/O1501)</f>
        <v/>
      </c>
      <c r="R1501" s="30" t="str">
        <f aca="false">IF(Q1501="","",Q1501+N(H1501)*0.000000001)</f>
        <v/>
      </c>
      <c r="S1501" s="25" t="str">
        <f aca="false">IF(R1501="","",SUMPRODUCT((I$5:I$4004=I1501)*ISNUMBER(R$5:R$4004)*(R$5:R$4004&gt;R1501))+1)</f>
        <v/>
      </c>
      <c r="T1501" s="25" t="str">
        <f aca="false">IF(S1501="","",IF(S1501&lt;=Setup!$B$5,"🏆 WINNER",""))</f>
        <v/>
      </c>
      <c r="U1501" s="24" t="str">
        <f aca="false">IF(S1501="","",I1501&amp;"|"&amp;S1501)</f>
        <v/>
      </c>
    </row>
    <row r="1502" customFormat="false" ht="15" hidden="false" customHeight="false" outlineLevel="0" collapsed="false">
      <c r="A1502" s="31" t="n">
        <v>1498</v>
      </c>
      <c r="B1502" s="32" t="str">
        <f aca="false">IF(OR(C1502="",I1502="",G1502=""),"",IFERROR(VLOOKUP(I1502,Setup!$A$9:$B$11,2,0),"???")&amp;"-"&amp;G1502&amp;"-"&amp;TEXT(COUNTIFS(I$5:I1502,I1502,G$5:G1502,G1502),"0000"))</f>
        <v/>
      </c>
      <c r="C1502" s="26"/>
      <c r="D1502" s="26"/>
      <c r="E1502" s="27"/>
      <c r="F1502" s="27"/>
      <c r="G1502" s="31" t="str">
        <f aca="false">IF(F1502="","",IF(F1502&lt;=5,"A",IF(F1502&lt;=8,"B",IF(F1502&lt;=10,"C","D"))))</f>
        <v/>
      </c>
      <c r="H1502" s="28"/>
      <c r="I1502" s="27"/>
      <c r="J1502" s="26"/>
      <c r="K1502" s="27"/>
      <c r="L1502" s="27"/>
      <c r="M1502" s="27"/>
      <c r="N1502" s="27"/>
      <c r="O1502" s="31" t="str">
        <f aca="false">IF(G1502="","",VLOOKUP(G1502,Setup!$A$14:$C$17,3,0))</f>
        <v/>
      </c>
      <c r="P1502" s="27"/>
      <c r="Q1502" s="33" t="str">
        <f aca="false">IF(OR(P1502="",M1502&lt;&gt;"Paid",O1502=""),"",P1502/O1502)</f>
        <v/>
      </c>
      <c r="R1502" s="34" t="str">
        <f aca="false">IF(Q1502="","",Q1502+N(H1502)*0.000000001)</f>
        <v/>
      </c>
      <c r="S1502" s="32" t="str">
        <f aca="false">IF(R1502="","",SUMPRODUCT((I$5:I$4004=I1502)*ISNUMBER(R$5:R$4004)*(R$5:R$4004&gt;R1502))+1)</f>
        <v/>
      </c>
      <c r="T1502" s="32" t="str">
        <f aca="false">IF(S1502="","",IF(S1502&lt;=Setup!$B$5,"🏆 WINNER",""))</f>
        <v/>
      </c>
      <c r="U1502" s="31" t="str">
        <f aca="false">IF(S1502="","",I1502&amp;"|"&amp;S1502)</f>
        <v/>
      </c>
    </row>
    <row r="1503" customFormat="false" ht="15" hidden="false" customHeight="false" outlineLevel="0" collapsed="false">
      <c r="A1503" s="24" t="n">
        <v>1499</v>
      </c>
      <c r="B1503" s="25" t="str">
        <f aca="false">IF(OR(C1503="",I1503="",G1503=""),"",IFERROR(VLOOKUP(I1503,Setup!$A$9:$B$11,2,0),"???")&amp;"-"&amp;G1503&amp;"-"&amp;TEXT(COUNTIFS(I$5:I1503,I1503,G$5:G1503,G1503),"0000"))</f>
        <v/>
      </c>
      <c r="C1503" s="26"/>
      <c r="D1503" s="26"/>
      <c r="E1503" s="27"/>
      <c r="F1503" s="27"/>
      <c r="G1503" s="24" t="str">
        <f aca="false">IF(F1503="","",IF(F1503&lt;=5,"A",IF(F1503&lt;=8,"B",IF(F1503&lt;=10,"C","D"))))</f>
        <v/>
      </c>
      <c r="H1503" s="28"/>
      <c r="I1503" s="27"/>
      <c r="J1503" s="26"/>
      <c r="K1503" s="27"/>
      <c r="L1503" s="27"/>
      <c r="M1503" s="27"/>
      <c r="N1503" s="27"/>
      <c r="O1503" s="24" t="str">
        <f aca="false">IF(G1503="","",VLOOKUP(G1503,Setup!$A$14:$C$17,3,0))</f>
        <v/>
      </c>
      <c r="P1503" s="27"/>
      <c r="Q1503" s="29" t="str">
        <f aca="false">IF(OR(P1503="",M1503&lt;&gt;"Paid",O1503=""),"",P1503/O1503)</f>
        <v/>
      </c>
      <c r="R1503" s="30" t="str">
        <f aca="false">IF(Q1503="","",Q1503+N(H1503)*0.000000001)</f>
        <v/>
      </c>
      <c r="S1503" s="25" t="str">
        <f aca="false">IF(R1503="","",SUMPRODUCT((I$5:I$4004=I1503)*ISNUMBER(R$5:R$4004)*(R$5:R$4004&gt;R1503))+1)</f>
        <v/>
      </c>
      <c r="T1503" s="25" t="str">
        <f aca="false">IF(S1503="","",IF(S1503&lt;=Setup!$B$5,"🏆 WINNER",""))</f>
        <v/>
      </c>
      <c r="U1503" s="24" t="str">
        <f aca="false">IF(S1503="","",I1503&amp;"|"&amp;S1503)</f>
        <v/>
      </c>
    </row>
    <row r="1504" customFormat="false" ht="15" hidden="false" customHeight="false" outlineLevel="0" collapsed="false">
      <c r="A1504" s="31" t="n">
        <v>1500</v>
      </c>
      <c r="B1504" s="32" t="str">
        <f aca="false">IF(OR(C1504="",I1504="",G1504=""),"",IFERROR(VLOOKUP(I1504,Setup!$A$9:$B$11,2,0),"???")&amp;"-"&amp;G1504&amp;"-"&amp;TEXT(COUNTIFS(I$5:I1504,I1504,G$5:G1504,G1504),"0000"))</f>
        <v/>
      </c>
      <c r="C1504" s="26"/>
      <c r="D1504" s="26"/>
      <c r="E1504" s="27"/>
      <c r="F1504" s="27"/>
      <c r="G1504" s="31" t="str">
        <f aca="false">IF(F1504="","",IF(F1504&lt;=5,"A",IF(F1504&lt;=8,"B",IF(F1504&lt;=10,"C","D"))))</f>
        <v/>
      </c>
      <c r="H1504" s="28"/>
      <c r="I1504" s="27"/>
      <c r="J1504" s="26"/>
      <c r="K1504" s="27"/>
      <c r="L1504" s="27"/>
      <c r="M1504" s="27"/>
      <c r="N1504" s="27"/>
      <c r="O1504" s="31" t="str">
        <f aca="false">IF(G1504="","",VLOOKUP(G1504,Setup!$A$14:$C$17,3,0))</f>
        <v/>
      </c>
      <c r="P1504" s="27"/>
      <c r="Q1504" s="33" t="str">
        <f aca="false">IF(OR(P1504="",M1504&lt;&gt;"Paid",O1504=""),"",P1504/O1504)</f>
        <v/>
      </c>
      <c r="R1504" s="34" t="str">
        <f aca="false">IF(Q1504="","",Q1504+N(H1504)*0.000000001)</f>
        <v/>
      </c>
      <c r="S1504" s="32" t="str">
        <f aca="false">IF(R1504="","",SUMPRODUCT((I$5:I$4004=I1504)*ISNUMBER(R$5:R$4004)*(R$5:R$4004&gt;R1504))+1)</f>
        <v/>
      </c>
      <c r="T1504" s="32" t="str">
        <f aca="false">IF(S1504="","",IF(S1504&lt;=Setup!$B$5,"🏆 WINNER",""))</f>
        <v/>
      </c>
      <c r="U1504" s="31" t="str">
        <f aca="false">IF(S1504="","",I1504&amp;"|"&amp;S1504)</f>
        <v/>
      </c>
    </row>
    <row r="1505" customFormat="false" ht="15" hidden="false" customHeight="false" outlineLevel="0" collapsed="false">
      <c r="A1505" s="24" t="n">
        <v>1501</v>
      </c>
      <c r="B1505" s="25" t="str">
        <f aca="false">IF(OR(C1505="",I1505="",G1505=""),"",IFERROR(VLOOKUP(I1505,Setup!$A$9:$B$11,2,0),"???")&amp;"-"&amp;G1505&amp;"-"&amp;TEXT(COUNTIFS(I$5:I1505,I1505,G$5:G1505,G1505),"0000"))</f>
        <v/>
      </c>
      <c r="C1505" s="26"/>
      <c r="D1505" s="26"/>
      <c r="E1505" s="27"/>
      <c r="F1505" s="27"/>
      <c r="G1505" s="24" t="str">
        <f aca="false">IF(F1505="","",IF(F1505&lt;=5,"A",IF(F1505&lt;=8,"B",IF(F1505&lt;=10,"C","D"))))</f>
        <v/>
      </c>
      <c r="H1505" s="28"/>
      <c r="I1505" s="27"/>
      <c r="J1505" s="26"/>
      <c r="K1505" s="27"/>
      <c r="L1505" s="27"/>
      <c r="M1505" s="27"/>
      <c r="N1505" s="27"/>
      <c r="O1505" s="24" t="str">
        <f aca="false">IF(G1505="","",VLOOKUP(G1505,Setup!$A$14:$C$17,3,0))</f>
        <v/>
      </c>
      <c r="P1505" s="27"/>
      <c r="Q1505" s="29" t="str">
        <f aca="false">IF(OR(P1505="",M1505&lt;&gt;"Paid",O1505=""),"",P1505/O1505)</f>
        <v/>
      </c>
      <c r="R1505" s="30" t="str">
        <f aca="false">IF(Q1505="","",Q1505+N(H1505)*0.000000001)</f>
        <v/>
      </c>
      <c r="S1505" s="25" t="str">
        <f aca="false">IF(R1505="","",SUMPRODUCT((I$5:I$4004=I1505)*ISNUMBER(R$5:R$4004)*(R$5:R$4004&gt;R1505))+1)</f>
        <v/>
      </c>
      <c r="T1505" s="25" t="str">
        <f aca="false">IF(S1505="","",IF(S1505&lt;=Setup!$B$5,"🏆 WINNER",""))</f>
        <v/>
      </c>
      <c r="U1505" s="24" t="str">
        <f aca="false">IF(S1505="","",I1505&amp;"|"&amp;S1505)</f>
        <v/>
      </c>
    </row>
    <row r="1506" customFormat="false" ht="15" hidden="false" customHeight="false" outlineLevel="0" collapsed="false">
      <c r="A1506" s="31" t="n">
        <v>1502</v>
      </c>
      <c r="B1506" s="32" t="str">
        <f aca="false">IF(OR(C1506="",I1506="",G1506=""),"",IFERROR(VLOOKUP(I1506,Setup!$A$9:$B$11,2,0),"???")&amp;"-"&amp;G1506&amp;"-"&amp;TEXT(COUNTIFS(I$5:I1506,I1506,G$5:G1506,G1506),"0000"))</f>
        <v/>
      </c>
      <c r="C1506" s="26"/>
      <c r="D1506" s="26"/>
      <c r="E1506" s="27"/>
      <c r="F1506" s="27"/>
      <c r="G1506" s="31" t="str">
        <f aca="false">IF(F1506="","",IF(F1506&lt;=5,"A",IF(F1506&lt;=8,"B",IF(F1506&lt;=10,"C","D"))))</f>
        <v/>
      </c>
      <c r="H1506" s="28"/>
      <c r="I1506" s="27"/>
      <c r="J1506" s="26"/>
      <c r="K1506" s="27"/>
      <c r="L1506" s="27"/>
      <c r="M1506" s="27"/>
      <c r="N1506" s="27"/>
      <c r="O1506" s="31" t="str">
        <f aca="false">IF(G1506="","",VLOOKUP(G1506,Setup!$A$14:$C$17,3,0))</f>
        <v/>
      </c>
      <c r="P1506" s="27"/>
      <c r="Q1506" s="33" t="str">
        <f aca="false">IF(OR(P1506="",M1506&lt;&gt;"Paid",O1506=""),"",P1506/O1506)</f>
        <v/>
      </c>
      <c r="R1506" s="34" t="str">
        <f aca="false">IF(Q1506="","",Q1506+N(H1506)*0.000000001)</f>
        <v/>
      </c>
      <c r="S1506" s="32" t="str">
        <f aca="false">IF(R1506="","",SUMPRODUCT((I$5:I$4004=I1506)*ISNUMBER(R$5:R$4004)*(R$5:R$4004&gt;R1506))+1)</f>
        <v/>
      </c>
      <c r="T1506" s="32" t="str">
        <f aca="false">IF(S1506="","",IF(S1506&lt;=Setup!$B$5,"🏆 WINNER",""))</f>
        <v/>
      </c>
      <c r="U1506" s="31" t="str">
        <f aca="false">IF(S1506="","",I1506&amp;"|"&amp;S1506)</f>
        <v/>
      </c>
    </row>
    <row r="1507" customFormat="false" ht="15" hidden="false" customHeight="false" outlineLevel="0" collapsed="false">
      <c r="A1507" s="24" t="n">
        <v>1503</v>
      </c>
      <c r="B1507" s="25" t="str">
        <f aca="false">IF(OR(C1507="",I1507="",G1507=""),"",IFERROR(VLOOKUP(I1507,Setup!$A$9:$B$11,2,0),"???")&amp;"-"&amp;G1507&amp;"-"&amp;TEXT(COUNTIFS(I$5:I1507,I1507,G$5:G1507,G1507),"0000"))</f>
        <v/>
      </c>
      <c r="C1507" s="26"/>
      <c r="D1507" s="26"/>
      <c r="E1507" s="27"/>
      <c r="F1507" s="27"/>
      <c r="G1507" s="24" t="str">
        <f aca="false">IF(F1507="","",IF(F1507&lt;=5,"A",IF(F1507&lt;=8,"B",IF(F1507&lt;=10,"C","D"))))</f>
        <v/>
      </c>
      <c r="H1507" s="28"/>
      <c r="I1507" s="27"/>
      <c r="J1507" s="26"/>
      <c r="K1507" s="27"/>
      <c r="L1507" s="27"/>
      <c r="M1507" s="27"/>
      <c r="N1507" s="27"/>
      <c r="O1507" s="24" t="str">
        <f aca="false">IF(G1507="","",VLOOKUP(G1507,Setup!$A$14:$C$17,3,0))</f>
        <v/>
      </c>
      <c r="P1507" s="27"/>
      <c r="Q1507" s="29" t="str">
        <f aca="false">IF(OR(P1507="",M1507&lt;&gt;"Paid",O1507=""),"",P1507/O1507)</f>
        <v/>
      </c>
      <c r="R1507" s="30" t="str">
        <f aca="false">IF(Q1507="","",Q1507+N(H1507)*0.000000001)</f>
        <v/>
      </c>
      <c r="S1507" s="25" t="str">
        <f aca="false">IF(R1507="","",SUMPRODUCT((I$5:I$4004=I1507)*ISNUMBER(R$5:R$4004)*(R$5:R$4004&gt;R1507))+1)</f>
        <v/>
      </c>
      <c r="T1507" s="25" t="str">
        <f aca="false">IF(S1507="","",IF(S1507&lt;=Setup!$B$5,"🏆 WINNER",""))</f>
        <v/>
      </c>
      <c r="U1507" s="24" t="str">
        <f aca="false">IF(S1507="","",I1507&amp;"|"&amp;S1507)</f>
        <v/>
      </c>
    </row>
    <row r="1508" customFormat="false" ht="15" hidden="false" customHeight="false" outlineLevel="0" collapsed="false">
      <c r="A1508" s="31" t="n">
        <v>1504</v>
      </c>
      <c r="B1508" s="32" t="str">
        <f aca="false">IF(OR(C1508="",I1508="",G1508=""),"",IFERROR(VLOOKUP(I1508,Setup!$A$9:$B$11,2,0),"???")&amp;"-"&amp;G1508&amp;"-"&amp;TEXT(COUNTIFS(I$5:I1508,I1508,G$5:G1508,G1508),"0000"))</f>
        <v/>
      </c>
      <c r="C1508" s="26"/>
      <c r="D1508" s="26"/>
      <c r="E1508" s="27"/>
      <c r="F1508" s="27"/>
      <c r="G1508" s="31" t="str">
        <f aca="false">IF(F1508="","",IF(F1508&lt;=5,"A",IF(F1508&lt;=8,"B",IF(F1508&lt;=10,"C","D"))))</f>
        <v/>
      </c>
      <c r="H1508" s="28"/>
      <c r="I1508" s="27"/>
      <c r="J1508" s="26"/>
      <c r="K1508" s="27"/>
      <c r="L1508" s="27"/>
      <c r="M1508" s="27"/>
      <c r="N1508" s="27"/>
      <c r="O1508" s="31" t="str">
        <f aca="false">IF(G1508="","",VLOOKUP(G1508,Setup!$A$14:$C$17,3,0))</f>
        <v/>
      </c>
      <c r="P1508" s="27"/>
      <c r="Q1508" s="33" t="str">
        <f aca="false">IF(OR(P1508="",M1508&lt;&gt;"Paid",O1508=""),"",P1508/O1508)</f>
        <v/>
      </c>
      <c r="R1508" s="34" t="str">
        <f aca="false">IF(Q1508="","",Q1508+N(H1508)*0.000000001)</f>
        <v/>
      </c>
      <c r="S1508" s="32" t="str">
        <f aca="false">IF(R1508="","",SUMPRODUCT((I$5:I$4004=I1508)*ISNUMBER(R$5:R$4004)*(R$5:R$4004&gt;R1508))+1)</f>
        <v/>
      </c>
      <c r="T1508" s="32" t="str">
        <f aca="false">IF(S1508="","",IF(S1508&lt;=Setup!$B$5,"🏆 WINNER",""))</f>
        <v/>
      </c>
      <c r="U1508" s="31" t="str">
        <f aca="false">IF(S1508="","",I1508&amp;"|"&amp;S1508)</f>
        <v/>
      </c>
    </row>
    <row r="1509" customFormat="false" ht="15" hidden="false" customHeight="false" outlineLevel="0" collapsed="false">
      <c r="A1509" s="24" t="n">
        <v>1505</v>
      </c>
      <c r="B1509" s="25" t="str">
        <f aca="false">IF(OR(C1509="",I1509="",G1509=""),"",IFERROR(VLOOKUP(I1509,Setup!$A$9:$B$11,2,0),"???")&amp;"-"&amp;G1509&amp;"-"&amp;TEXT(COUNTIFS(I$5:I1509,I1509,G$5:G1509,G1509),"0000"))</f>
        <v/>
      </c>
      <c r="C1509" s="26"/>
      <c r="D1509" s="26"/>
      <c r="E1509" s="27"/>
      <c r="F1509" s="27"/>
      <c r="G1509" s="24" t="str">
        <f aca="false">IF(F1509="","",IF(F1509&lt;=5,"A",IF(F1509&lt;=8,"B",IF(F1509&lt;=10,"C","D"))))</f>
        <v/>
      </c>
      <c r="H1509" s="28"/>
      <c r="I1509" s="27"/>
      <c r="J1509" s="26"/>
      <c r="K1509" s="27"/>
      <c r="L1509" s="27"/>
      <c r="M1509" s="27"/>
      <c r="N1509" s="27"/>
      <c r="O1509" s="24" t="str">
        <f aca="false">IF(G1509="","",VLOOKUP(G1509,Setup!$A$14:$C$17,3,0))</f>
        <v/>
      </c>
      <c r="P1509" s="27"/>
      <c r="Q1509" s="29" t="str">
        <f aca="false">IF(OR(P1509="",M1509&lt;&gt;"Paid",O1509=""),"",P1509/O1509)</f>
        <v/>
      </c>
      <c r="R1509" s="30" t="str">
        <f aca="false">IF(Q1509="","",Q1509+N(H1509)*0.000000001)</f>
        <v/>
      </c>
      <c r="S1509" s="25" t="str">
        <f aca="false">IF(R1509="","",SUMPRODUCT((I$5:I$4004=I1509)*ISNUMBER(R$5:R$4004)*(R$5:R$4004&gt;R1509))+1)</f>
        <v/>
      </c>
      <c r="T1509" s="25" t="str">
        <f aca="false">IF(S1509="","",IF(S1509&lt;=Setup!$B$5,"🏆 WINNER",""))</f>
        <v/>
      </c>
      <c r="U1509" s="24" t="str">
        <f aca="false">IF(S1509="","",I1509&amp;"|"&amp;S1509)</f>
        <v/>
      </c>
    </row>
    <row r="1510" customFormat="false" ht="15" hidden="false" customHeight="false" outlineLevel="0" collapsed="false">
      <c r="A1510" s="31" t="n">
        <v>1506</v>
      </c>
      <c r="B1510" s="32" t="str">
        <f aca="false">IF(OR(C1510="",I1510="",G1510=""),"",IFERROR(VLOOKUP(I1510,Setup!$A$9:$B$11,2,0),"???")&amp;"-"&amp;G1510&amp;"-"&amp;TEXT(COUNTIFS(I$5:I1510,I1510,G$5:G1510,G1510),"0000"))</f>
        <v/>
      </c>
      <c r="C1510" s="26"/>
      <c r="D1510" s="26"/>
      <c r="E1510" s="27"/>
      <c r="F1510" s="27"/>
      <c r="G1510" s="31" t="str">
        <f aca="false">IF(F1510="","",IF(F1510&lt;=5,"A",IF(F1510&lt;=8,"B",IF(F1510&lt;=10,"C","D"))))</f>
        <v/>
      </c>
      <c r="H1510" s="28"/>
      <c r="I1510" s="27"/>
      <c r="J1510" s="26"/>
      <c r="K1510" s="27"/>
      <c r="L1510" s="27"/>
      <c r="M1510" s="27"/>
      <c r="N1510" s="27"/>
      <c r="O1510" s="31" t="str">
        <f aca="false">IF(G1510="","",VLOOKUP(G1510,Setup!$A$14:$C$17,3,0))</f>
        <v/>
      </c>
      <c r="P1510" s="27"/>
      <c r="Q1510" s="33" t="str">
        <f aca="false">IF(OR(P1510="",M1510&lt;&gt;"Paid",O1510=""),"",P1510/O1510)</f>
        <v/>
      </c>
      <c r="R1510" s="34" t="str">
        <f aca="false">IF(Q1510="","",Q1510+N(H1510)*0.000000001)</f>
        <v/>
      </c>
      <c r="S1510" s="32" t="str">
        <f aca="false">IF(R1510="","",SUMPRODUCT((I$5:I$4004=I1510)*ISNUMBER(R$5:R$4004)*(R$5:R$4004&gt;R1510))+1)</f>
        <v/>
      </c>
      <c r="T1510" s="32" t="str">
        <f aca="false">IF(S1510="","",IF(S1510&lt;=Setup!$B$5,"🏆 WINNER",""))</f>
        <v/>
      </c>
      <c r="U1510" s="31" t="str">
        <f aca="false">IF(S1510="","",I1510&amp;"|"&amp;S1510)</f>
        <v/>
      </c>
    </row>
    <row r="1511" customFormat="false" ht="15" hidden="false" customHeight="false" outlineLevel="0" collapsed="false">
      <c r="A1511" s="24" t="n">
        <v>1507</v>
      </c>
      <c r="B1511" s="25" t="str">
        <f aca="false">IF(OR(C1511="",I1511="",G1511=""),"",IFERROR(VLOOKUP(I1511,Setup!$A$9:$B$11,2,0),"???")&amp;"-"&amp;G1511&amp;"-"&amp;TEXT(COUNTIFS(I$5:I1511,I1511,G$5:G1511,G1511),"0000"))</f>
        <v/>
      </c>
      <c r="C1511" s="26"/>
      <c r="D1511" s="26"/>
      <c r="E1511" s="27"/>
      <c r="F1511" s="27"/>
      <c r="G1511" s="24" t="str">
        <f aca="false">IF(F1511="","",IF(F1511&lt;=5,"A",IF(F1511&lt;=8,"B",IF(F1511&lt;=10,"C","D"))))</f>
        <v/>
      </c>
      <c r="H1511" s="28"/>
      <c r="I1511" s="27"/>
      <c r="J1511" s="26"/>
      <c r="K1511" s="27"/>
      <c r="L1511" s="27"/>
      <c r="M1511" s="27"/>
      <c r="N1511" s="27"/>
      <c r="O1511" s="24" t="str">
        <f aca="false">IF(G1511="","",VLOOKUP(G1511,Setup!$A$14:$C$17,3,0))</f>
        <v/>
      </c>
      <c r="P1511" s="27"/>
      <c r="Q1511" s="29" t="str">
        <f aca="false">IF(OR(P1511="",M1511&lt;&gt;"Paid",O1511=""),"",P1511/O1511)</f>
        <v/>
      </c>
      <c r="R1511" s="30" t="str">
        <f aca="false">IF(Q1511="","",Q1511+N(H1511)*0.000000001)</f>
        <v/>
      </c>
      <c r="S1511" s="25" t="str">
        <f aca="false">IF(R1511="","",SUMPRODUCT((I$5:I$4004=I1511)*ISNUMBER(R$5:R$4004)*(R$5:R$4004&gt;R1511))+1)</f>
        <v/>
      </c>
      <c r="T1511" s="25" t="str">
        <f aca="false">IF(S1511="","",IF(S1511&lt;=Setup!$B$5,"🏆 WINNER",""))</f>
        <v/>
      </c>
      <c r="U1511" s="24" t="str">
        <f aca="false">IF(S1511="","",I1511&amp;"|"&amp;S1511)</f>
        <v/>
      </c>
    </row>
    <row r="1512" customFormat="false" ht="15" hidden="false" customHeight="false" outlineLevel="0" collapsed="false">
      <c r="A1512" s="31" t="n">
        <v>1508</v>
      </c>
      <c r="B1512" s="32" t="str">
        <f aca="false">IF(OR(C1512="",I1512="",G1512=""),"",IFERROR(VLOOKUP(I1512,Setup!$A$9:$B$11,2,0),"???")&amp;"-"&amp;G1512&amp;"-"&amp;TEXT(COUNTIFS(I$5:I1512,I1512,G$5:G1512,G1512),"0000"))</f>
        <v/>
      </c>
      <c r="C1512" s="26"/>
      <c r="D1512" s="26"/>
      <c r="E1512" s="27"/>
      <c r="F1512" s="27"/>
      <c r="G1512" s="31" t="str">
        <f aca="false">IF(F1512="","",IF(F1512&lt;=5,"A",IF(F1512&lt;=8,"B",IF(F1512&lt;=10,"C","D"))))</f>
        <v/>
      </c>
      <c r="H1512" s="28"/>
      <c r="I1512" s="27"/>
      <c r="J1512" s="26"/>
      <c r="K1512" s="27"/>
      <c r="L1512" s="27"/>
      <c r="M1512" s="27"/>
      <c r="N1512" s="27"/>
      <c r="O1512" s="31" t="str">
        <f aca="false">IF(G1512="","",VLOOKUP(G1512,Setup!$A$14:$C$17,3,0))</f>
        <v/>
      </c>
      <c r="P1512" s="27"/>
      <c r="Q1512" s="33" t="str">
        <f aca="false">IF(OR(P1512="",M1512&lt;&gt;"Paid",O1512=""),"",P1512/O1512)</f>
        <v/>
      </c>
      <c r="R1512" s="34" t="str">
        <f aca="false">IF(Q1512="","",Q1512+N(H1512)*0.000000001)</f>
        <v/>
      </c>
      <c r="S1512" s="32" t="str">
        <f aca="false">IF(R1512="","",SUMPRODUCT((I$5:I$4004=I1512)*ISNUMBER(R$5:R$4004)*(R$5:R$4004&gt;R1512))+1)</f>
        <v/>
      </c>
      <c r="T1512" s="32" t="str">
        <f aca="false">IF(S1512="","",IF(S1512&lt;=Setup!$B$5,"🏆 WINNER",""))</f>
        <v/>
      </c>
      <c r="U1512" s="31" t="str">
        <f aca="false">IF(S1512="","",I1512&amp;"|"&amp;S1512)</f>
        <v/>
      </c>
    </row>
    <row r="1513" customFormat="false" ht="15" hidden="false" customHeight="false" outlineLevel="0" collapsed="false">
      <c r="A1513" s="24" t="n">
        <v>1509</v>
      </c>
      <c r="B1513" s="25" t="str">
        <f aca="false">IF(OR(C1513="",I1513="",G1513=""),"",IFERROR(VLOOKUP(I1513,Setup!$A$9:$B$11,2,0),"???")&amp;"-"&amp;G1513&amp;"-"&amp;TEXT(COUNTIFS(I$5:I1513,I1513,G$5:G1513,G1513),"0000"))</f>
        <v/>
      </c>
      <c r="C1513" s="26"/>
      <c r="D1513" s="26"/>
      <c r="E1513" s="27"/>
      <c r="F1513" s="27"/>
      <c r="G1513" s="24" t="str">
        <f aca="false">IF(F1513="","",IF(F1513&lt;=5,"A",IF(F1513&lt;=8,"B",IF(F1513&lt;=10,"C","D"))))</f>
        <v/>
      </c>
      <c r="H1513" s="28"/>
      <c r="I1513" s="27"/>
      <c r="J1513" s="26"/>
      <c r="K1513" s="27"/>
      <c r="L1513" s="27"/>
      <c r="M1513" s="27"/>
      <c r="N1513" s="27"/>
      <c r="O1513" s="24" t="str">
        <f aca="false">IF(G1513="","",VLOOKUP(G1513,Setup!$A$14:$C$17,3,0))</f>
        <v/>
      </c>
      <c r="P1513" s="27"/>
      <c r="Q1513" s="29" t="str">
        <f aca="false">IF(OR(P1513="",M1513&lt;&gt;"Paid",O1513=""),"",P1513/O1513)</f>
        <v/>
      </c>
      <c r="R1513" s="30" t="str">
        <f aca="false">IF(Q1513="","",Q1513+N(H1513)*0.000000001)</f>
        <v/>
      </c>
      <c r="S1513" s="25" t="str">
        <f aca="false">IF(R1513="","",SUMPRODUCT((I$5:I$4004=I1513)*ISNUMBER(R$5:R$4004)*(R$5:R$4004&gt;R1513))+1)</f>
        <v/>
      </c>
      <c r="T1513" s="25" t="str">
        <f aca="false">IF(S1513="","",IF(S1513&lt;=Setup!$B$5,"🏆 WINNER",""))</f>
        <v/>
      </c>
      <c r="U1513" s="24" t="str">
        <f aca="false">IF(S1513="","",I1513&amp;"|"&amp;S1513)</f>
        <v/>
      </c>
    </row>
    <row r="1514" customFormat="false" ht="15" hidden="false" customHeight="false" outlineLevel="0" collapsed="false">
      <c r="A1514" s="31" t="n">
        <v>1510</v>
      </c>
      <c r="B1514" s="32" t="str">
        <f aca="false">IF(OR(C1514="",I1514="",G1514=""),"",IFERROR(VLOOKUP(I1514,Setup!$A$9:$B$11,2,0),"???")&amp;"-"&amp;G1514&amp;"-"&amp;TEXT(COUNTIFS(I$5:I1514,I1514,G$5:G1514,G1514),"0000"))</f>
        <v/>
      </c>
      <c r="C1514" s="26"/>
      <c r="D1514" s="26"/>
      <c r="E1514" s="27"/>
      <c r="F1514" s="27"/>
      <c r="G1514" s="31" t="str">
        <f aca="false">IF(F1514="","",IF(F1514&lt;=5,"A",IF(F1514&lt;=8,"B",IF(F1514&lt;=10,"C","D"))))</f>
        <v/>
      </c>
      <c r="H1514" s="28"/>
      <c r="I1514" s="27"/>
      <c r="J1514" s="26"/>
      <c r="K1514" s="27"/>
      <c r="L1514" s="27"/>
      <c r="M1514" s="27"/>
      <c r="N1514" s="27"/>
      <c r="O1514" s="31" t="str">
        <f aca="false">IF(G1514="","",VLOOKUP(G1514,Setup!$A$14:$C$17,3,0))</f>
        <v/>
      </c>
      <c r="P1514" s="27"/>
      <c r="Q1514" s="33" t="str">
        <f aca="false">IF(OR(P1514="",M1514&lt;&gt;"Paid",O1514=""),"",P1514/O1514)</f>
        <v/>
      </c>
      <c r="R1514" s="34" t="str">
        <f aca="false">IF(Q1514="","",Q1514+N(H1514)*0.000000001)</f>
        <v/>
      </c>
      <c r="S1514" s="32" t="str">
        <f aca="false">IF(R1514="","",SUMPRODUCT((I$5:I$4004=I1514)*ISNUMBER(R$5:R$4004)*(R$5:R$4004&gt;R1514))+1)</f>
        <v/>
      </c>
      <c r="T1514" s="32" t="str">
        <f aca="false">IF(S1514="","",IF(S1514&lt;=Setup!$B$5,"🏆 WINNER",""))</f>
        <v/>
      </c>
      <c r="U1514" s="31" t="str">
        <f aca="false">IF(S1514="","",I1514&amp;"|"&amp;S1514)</f>
        <v/>
      </c>
    </row>
    <row r="1515" customFormat="false" ht="15" hidden="false" customHeight="false" outlineLevel="0" collapsed="false">
      <c r="A1515" s="24" t="n">
        <v>1511</v>
      </c>
      <c r="B1515" s="25" t="str">
        <f aca="false">IF(OR(C1515="",I1515="",G1515=""),"",IFERROR(VLOOKUP(I1515,Setup!$A$9:$B$11,2,0),"???")&amp;"-"&amp;G1515&amp;"-"&amp;TEXT(COUNTIFS(I$5:I1515,I1515,G$5:G1515,G1515),"0000"))</f>
        <v/>
      </c>
      <c r="C1515" s="26"/>
      <c r="D1515" s="26"/>
      <c r="E1515" s="27"/>
      <c r="F1515" s="27"/>
      <c r="G1515" s="24" t="str">
        <f aca="false">IF(F1515="","",IF(F1515&lt;=5,"A",IF(F1515&lt;=8,"B",IF(F1515&lt;=10,"C","D"))))</f>
        <v/>
      </c>
      <c r="H1515" s="28"/>
      <c r="I1515" s="27"/>
      <c r="J1515" s="26"/>
      <c r="K1515" s="27"/>
      <c r="L1515" s="27"/>
      <c r="M1515" s="27"/>
      <c r="N1515" s="27"/>
      <c r="O1515" s="24" t="str">
        <f aca="false">IF(G1515="","",VLOOKUP(G1515,Setup!$A$14:$C$17,3,0))</f>
        <v/>
      </c>
      <c r="P1515" s="27"/>
      <c r="Q1515" s="29" t="str">
        <f aca="false">IF(OR(P1515="",M1515&lt;&gt;"Paid",O1515=""),"",P1515/O1515)</f>
        <v/>
      </c>
      <c r="R1515" s="30" t="str">
        <f aca="false">IF(Q1515="","",Q1515+N(H1515)*0.000000001)</f>
        <v/>
      </c>
      <c r="S1515" s="25" t="str">
        <f aca="false">IF(R1515="","",SUMPRODUCT((I$5:I$4004=I1515)*ISNUMBER(R$5:R$4004)*(R$5:R$4004&gt;R1515))+1)</f>
        <v/>
      </c>
      <c r="T1515" s="25" t="str">
        <f aca="false">IF(S1515="","",IF(S1515&lt;=Setup!$B$5,"🏆 WINNER",""))</f>
        <v/>
      </c>
      <c r="U1515" s="24" t="str">
        <f aca="false">IF(S1515="","",I1515&amp;"|"&amp;S1515)</f>
        <v/>
      </c>
    </row>
    <row r="1516" customFormat="false" ht="15" hidden="false" customHeight="false" outlineLevel="0" collapsed="false">
      <c r="A1516" s="31" t="n">
        <v>1512</v>
      </c>
      <c r="B1516" s="32" t="str">
        <f aca="false">IF(OR(C1516="",I1516="",G1516=""),"",IFERROR(VLOOKUP(I1516,Setup!$A$9:$B$11,2,0),"???")&amp;"-"&amp;G1516&amp;"-"&amp;TEXT(COUNTIFS(I$5:I1516,I1516,G$5:G1516,G1516),"0000"))</f>
        <v/>
      </c>
      <c r="C1516" s="26"/>
      <c r="D1516" s="26"/>
      <c r="E1516" s="27"/>
      <c r="F1516" s="27"/>
      <c r="G1516" s="31" t="str">
        <f aca="false">IF(F1516="","",IF(F1516&lt;=5,"A",IF(F1516&lt;=8,"B",IF(F1516&lt;=10,"C","D"))))</f>
        <v/>
      </c>
      <c r="H1516" s="28"/>
      <c r="I1516" s="27"/>
      <c r="J1516" s="26"/>
      <c r="K1516" s="27"/>
      <c r="L1516" s="27"/>
      <c r="M1516" s="27"/>
      <c r="N1516" s="27"/>
      <c r="O1516" s="31" t="str">
        <f aca="false">IF(G1516="","",VLOOKUP(G1516,Setup!$A$14:$C$17,3,0))</f>
        <v/>
      </c>
      <c r="P1516" s="27"/>
      <c r="Q1516" s="33" t="str">
        <f aca="false">IF(OR(P1516="",M1516&lt;&gt;"Paid",O1516=""),"",P1516/O1516)</f>
        <v/>
      </c>
      <c r="R1516" s="34" t="str">
        <f aca="false">IF(Q1516="","",Q1516+N(H1516)*0.000000001)</f>
        <v/>
      </c>
      <c r="S1516" s="32" t="str">
        <f aca="false">IF(R1516="","",SUMPRODUCT((I$5:I$4004=I1516)*ISNUMBER(R$5:R$4004)*(R$5:R$4004&gt;R1516))+1)</f>
        <v/>
      </c>
      <c r="T1516" s="32" t="str">
        <f aca="false">IF(S1516="","",IF(S1516&lt;=Setup!$B$5,"🏆 WINNER",""))</f>
        <v/>
      </c>
      <c r="U1516" s="31" t="str">
        <f aca="false">IF(S1516="","",I1516&amp;"|"&amp;S1516)</f>
        <v/>
      </c>
    </row>
    <row r="1517" customFormat="false" ht="15" hidden="false" customHeight="false" outlineLevel="0" collapsed="false">
      <c r="A1517" s="24" t="n">
        <v>1513</v>
      </c>
      <c r="B1517" s="25" t="str">
        <f aca="false">IF(OR(C1517="",I1517="",G1517=""),"",IFERROR(VLOOKUP(I1517,Setup!$A$9:$B$11,2,0),"???")&amp;"-"&amp;G1517&amp;"-"&amp;TEXT(COUNTIFS(I$5:I1517,I1517,G$5:G1517,G1517),"0000"))</f>
        <v/>
      </c>
      <c r="C1517" s="26"/>
      <c r="D1517" s="26"/>
      <c r="E1517" s="27"/>
      <c r="F1517" s="27"/>
      <c r="G1517" s="24" t="str">
        <f aca="false">IF(F1517="","",IF(F1517&lt;=5,"A",IF(F1517&lt;=8,"B",IF(F1517&lt;=10,"C","D"))))</f>
        <v/>
      </c>
      <c r="H1517" s="28"/>
      <c r="I1517" s="27"/>
      <c r="J1517" s="26"/>
      <c r="K1517" s="27"/>
      <c r="L1517" s="27"/>
      <c r="M1517" s="27"/>
      <c r="N1517" s="27"/>
      <c r="O1517" s="24" t="str">
        <f aca="false">IF(G1517="","",VLOOKUP(G1517,Setup!$A$14:$C$17,3,0))</f>
        <v/>
      </c>
      <c r="P1517" s="27"/>
      <c r="Q1517" s="29" t="str">
        <f aca="false">IF(OR(P1517="",M1517&lt;&gt;"Paid",O1517=""),"",P1517/O1517)</f>
        <v/>
      </c>
      <c r="R1517" s="30" t="str">
        <f aca="false">IF(Q1517="","",Q1517+N(H1517)*0.000000001)</f>
        <v/>
      </c>
      <c r="S1517" s="25" t="str">
        <f aca="false">IF(R1517="","",SUMPRODUCT((I$5:I$4004=I1517)*ISNUMBER(R$5:R$4004)*(R$5:R$4004&gt;R1517))+1)</f>
        <v/>
      </c>
      <c r="T1517" s="25" t="str">
        <f aca="false">IF(S1517="","",IF(S1517&lt;=Setup!$B$5,"🏆 WINNER",""))</f>
        <v/>
      </c>
      <c r="U1517" s="24" t="str">
        <f aca="false">IF(S1517="","",I1517&amp;"|"&amp;S1517)</f>
        <v/>
      </c>
    </row>
    <row r="1518" customFormat="false" ht="15" hidden="false" customHeight="false" outlineLevel="0" collapsed="false">
      <c r="A1518" s="31" t="n">
        <v>1514</v>
      </c>
      <c r="B1518" s="32" t="str">
        <f aca="false">IF(OR(C1518="",I1518="",G1518=""),"",IFERROR(VLOOKUP(I1518,Setup!$A$9:$B$11,2,0),"???")&amp;"-"&amp;G1518&amp;"-"&amp;TEXT(COUNTIFS(I$5:I1518,I1518,G$5:G1518,G1518),"0000"))</f>
        <v/>
      </c>
      <c r="C1518" s="26"/>
      <c r="D1518" s="26"/>
      <c r="E1518" s="27"/>
      <c r="F1518" s="27"/>
      <c r="G1518" s="31" t="str">
        <f aca="false">IF(F1518="","",IF(F1518&lt;=5,"A",IF(F1518&lt;=8,"B",IF(F1518&lt;=10,"C","D"))))</f>
        <v/>
      </c>
      <c r="H1518" s="28"/>
      <c r="I1518" s="27"/>
      <c r="J1518" s="26"/>
      <c r="K1518" s="27"/>
      <c r="L1518" s="27"/>
      <c r="M1518" s="27"/>
      <c r="N1518" s="27"/>
      <c r="O1518" s="31" t="str">
        <f aca="false">IF(G1518="","",VLOOKUP(G1518,Setup!$A$14:$C$17,3,0))</f>
        <v/>
      </c>
      <c r="P1518" s="27"/>
      <c r="Q1518" s="33" t="str">
        <f aca="false">IF(OR(P1518="",M1518&lt;&gt;"Paid",O1518=""),"",P1518/O1518)</f>
        <v/>
      </c>
      <c r="R1518" s="34" t="str">
        <f aca="false">IF(Q1518="","",Q1518+N(H1518)*0.000000001)</f>
        <v/>
      </c>
      <c r="S1518" s="32" t="str">
        <f aca="false">IF(R1518="","",SUMPRODUCT((I$5:I$4004=I1518)*ISNUMBER(R$5:R$4004)*(R$5:R$4004&gt;R1518))+1)</f>
        <v/>
      </c>
      <c r="T1518" s="32" t="str">
        <f aca="false">IF(S1518="","",IF(S1518&lt;=Setup!$B$5,"🏆 WINNER",""))</f>
        <v/>
      </c>
      <c r="U1518" s="31" t="str">
        <f aca="false">IF(S1518="","",I1518&amp;"|"&amp;S1518)</f>
        <v/>
      </c>
    </row>
    <row r="1519" customFormat="false" ht="15" hidden="false" customHeight="false" outlineLevel="0" collapsed="false">
      <c r="A1519" s="24" t="n">
        <v>1515</v>
      </c>
      <c r="B1519" s="25" t="str">
        <f aca="false">IF(OR(C1519="",I1519="",G1519=""),"",IFERROR(VLOOKUP(I1519,Setup!$A$9:$B$11,2,0),"???")&amp;"-"&amp;G1519&amp;"-"&amp;TEXT(COUNTIFS(I$5:I1519,I1519,G$5:G1519,G1519),"0000"))</f>
        <v/>
      </c>
      <c r="C1519" s="26"/>
      <c r="D1519" s="26"/>
      <c r="E1519" s="27"/>
      <c r="F1519" s="27"/>
      <c r="G1519" s="24" t="str">
        <f aca="false">IF(F1519="","",IF(F1519&lt;=5,"A",IF(F1519&lt;=8,"B",IF(F1519&lt;=10,"C","D"))))</f>
        <v/>
      </c>
      <c r="H1519" s="28"/>
      <c r="I1519" s="27"/>
      <c r="J1519" s="26"/>
      <c r="K1519" s="27"/>
      <c r="L1519" s="27"/>
      <c r="M1519" s="27"/>
      <c r="N1519" s="27"/>
      <c r="O1519" s="24" t="str">
        <f aca="false">IF(G1519="","",VLOOKUP(G1519,Setup!$A$14:$C$17,3,0))</f>
        <v/>
      </c>
      <c r="P1519" s="27"/>
      <c r="Q1519" s="29" t="str">
        <f aca="false">IF(OR(P1519="",M1519&lt;&gt;"Paid",O1519=""),"",P1519/O1519)</f>
        <v/>
      </c>
      <c r="R1519" s="30" t="str">
        <f aca="false">IF(Q1519="","",Q1519+N(H1519)*0.000000001)</f>
        <v/>
      </c>
      <c r="S1519" s="25" t="str">
        <f aca="false">IF(R1519="","",SUMPRODUCT((I$5:I$4004=I1519)*ISNUMBER(R$5:R$4004)*(R$5:R$4004&gt;R1519))+1)</f>
        <v/>
      </c>
      <c r="T1519" s="25" t="str">
        <f aca="false">IF(S1519="","",IF(S1519&lt;=Setup!$B$5,"🏆 WINNER",""))</f>
        <v/>
      </c>
      <c r="U1519" s="24" t="str">
        <f aca="false">IF(S1519="","",I1519&amp;"|"&amp;S1519)</f>
        <v/>
      </c>
    </row>
    <row r="1520" customFormat="false" ht="15" hidden="false" customHeight="false" outlineLevel="0" collapsed="false">
      <c r="A1520" s="31" t="n">
        <v>1516</v>
      </c>
      <c r="B1520" s="32" t="str">
        <f aca="false">IF(OR(C1520="",I1520="",G1520=""),"",IFERROR(VLOOKUP(I1520,Setup!$A$9:$B$11,2,0),"???")&amp;"-"&amp;G1520&amp;"-"&amp;TEXT(COUNTIFS(I$5:I1520,I1520,G$5:G1520,G1520),"0000"))</f>
        <v/>
      </c>
      <c r="C1520" s="26"/>
      <c r="D1520" s="26"/>
      <c r="E1520" s="27"/>
      <c r="F1520" s="27"/>
      <c r="G1520" s="31" t="str">
        <f aca="false">IF(F1520="","",IF(F1520&lt;=5,"A",IF(F1520&lt;=8,"B",IF(F1520&lt;=10,"C","D"))))</f>
        <v/>
      </c>
      <c r="H1520" s="28"/>
      <c r="I1520" s="27"/>
      <c r="J1520" s="26"/>
      <c r="K1520" s="27"/>
      <c r="L1520" s="27"/>
      <c r="M1520" s="27"/>
      <c r="N1520" s="27"/>
      <c r="O1520" s="31" t="str">
        <f aca="false">IF(G1520="","",VLOOKUP(G1520,Setup!$A$14:$C$17,3,0))</f>
        <v/>
      </c>
      <c r="P1520" s="27"/>
      <c r="Q1520" s="33" t="str">
        <f aca="false">IF(OR(P1520="",M1520&lt;&gt;"Paid",O1520=""),"",P1520/O1520)</f>
        <v/>
      </c>
      <c r="R1520" s="34" t="str">
        <f aca="false">IF(Q1520="","",Q1520+N(H1520)*0.000000001)</f>
        <v/>
      </c>
      <c r="S1520" s="32" t="str">
        <f aca="false">IF(R1520="","",SUMPRODUCT((I$5:I$4004=I1520)*ISNUMBER(R$5:R$4004)*(R$5:R$4004&gt;R1520))+1)</f>
        <v/>
      </c>
      <c r="T1520" s="32" t="str">
        <f aca="false">IF(S1520="","",IF(S1520&lt;=Setup!$B$5,"🏆 WINNER",""))</f>
        <v/>
      </c>
      <c r="U1520" s="31" t="str">
        <f aca="false">IF(S1520="","",I1520&amp;"|"&amp;S1520)</f>
        <v/>
      </c>
    </row>
    <row r="1521" customFormat="false" ht="15" hidden="false" customHeight="false" outlineLevel="0" collapsed="false">
      <c r="A1521" s="24" t="n">
        <v>1517</v>
      </c>
      <c r="B1521" s="25" t="str">
        <f aca="false">IF(OR(C1521="",I1521="",G1521=""),"",IFERROR(VLOOKUP(I1521,Setup!$A$9:$B$11,2,0),"???")&amp;"-"&amp;G1521&amp;"-"&amp;TEXT(COUNTIFS(I$5:I1521,I1521,G$5:G1521,G1521),"0000"))</f>
        <v/>
      </c>
      <c r="C1521" s="26"/>
      <c r="D1521" s="26"/>
      <c r="E1521" s="27"/>
      <c r="F1521" s="27"/>
      <c r="G1521" s="24" t="str">
        <f aca="false">IF(F1521="","",IF(F1521&lt;=5,"A",IF(F1521&lt;=8,"B",IF(F1521&lt;=10,"C","D"))))</f>
        <v/>
      </c>
      <c r="H1521" s="28"/>
      <c r="I1521" s="27"/>
      <c r="J1521" s="26"/>
      <c r="K1521" s="27"/>
      <c r="L1521" s="27"/>
      <c r="M1521" s="27"/>
      <c r="N1521" s="27"/>
      <c r="O1521" s="24" t="str">
        <f aca="false">IF(G1521="","",VLOOKUP(G1521,Setup!$A$14:$C$17,3,0))</f>
        <v/>
      </c>
      <c r="P1521" s="27"/>
      <c r="Q1521" s="29" t="str">
        <f aca="false">IF(OR(P1521="",M1521&lt;&gt;"Paid",O1521=""),"",P1521/O1521)</f>
        <v/>
      </c>
      <c r="R1521" s="30" t="str">
        <f aca="false">IF(Q1521="","",Q1521+N(H1521)*0.000000001)</f>
        <v/>
      </c>
      <c r="S1521" s="25" t="str">
        <f aca="false">IF(R1521="","",SUMPRODUCT((I$5:I$4004=I1521)*ISNUMBER(R$5:R$4004)*(R$5:R$4004&gt;R1521))+1)</f>
        <v/>
      </c>
      <c r="T1521" s="25" t="str">
        <f aca="false">IF(S1521="","",IF(S1521&lt;=Setup!$B$5,"🏆 WINNER",""))</f>
        <v/>
      </c>
      <c r="U1521" s="24" t="str">
        <f aca="false">IF(S1521="","",I1521&amp;"|"&amp;S1521)</f>
        <v/>
      </c>
    </row>
    <row r="1522" customFormat="false" ht="15" hidden="false" customHeight="false" outlineLevel="0" collapsed="false">
      <c r="A1522" s="31" t="n">
        <v>1518</v>
      </c>
      <c r="B1522" s="32" t="str">
        <f aca="false">IF(OR(C1522="",I1522="",G1522=""),"",IFERROR(VLOOKUP(I1522,Setup!$A$9:$B$11,2,0),"???")&amp;"-"&amp;G1522&amp;"-"&amp;TEXT(COUNTIFS(I$5:I1522,I1522,G$5:G1522,G1522),"0000"))</f>
        <v/>
      </c>
      <c r="C1522" s="26"/>
      <c r="D1522" s="26"/>
      <c r="E1522" s="27"/>
      <c r="F1522" s="27"/>
      <c r="G1522" s="31" t="str">
        <f aca="false">IF(F1522="","",IF(F1522&lt;=5,"A",IF(F1522&lt;=8,"B",IF(F1522&lt;=10,"C","D"))))</f>
        <v/>
      </c>
      <c r="H1522" s="28"/>
      <c r="I1522" s="27"/>
      <c r="J1522" s="26"/>
      <c r="K1522" s="27"/>
      <c r="L1522" s="27"/>
      <c r="M1522" s="27"/>
      <c r="N1522" s="27"/>
      <c r="O1522" s="31" t="str">
        <f aca="false">IF(G1522="","",VLOOKUP(G1522,Setup!$A$14:$C$17,3,0))</f>
        <v/>
      </c>
      <c r="P1522" s="27"/>
      <c r="Q1522" s="33" t="str">
        <f aca="false">IF(OR(P1522="",M1522&lt;&gt;"Paid",O1522=""),"",P1522/O1522)</f>
        <v/>
      </c>
      <c r="R1522" s="34" t="str">
        <f aca="false">IF(Q1522="","",Q1522+N(H1522)*0.000000001)</f>
        <v/>
      </c>
      <c r="S1522" s="32" t="str">
        <f aca="false">IF(R1522="","",SUMPRODUCT((I$5:I$4004=I1522)*ISNUMBER(R$5:R$4004)*(R$5:R$4004&gt;R1522))+1)</f>
        <v/>
      </c>
      <c r="T1522" s="32" t="str">
        <f aca="false">IF(S1522="","",IF(S1522&lt;=Setup!$B$5,"🏆 WINNER",""))</f>
        <v/>
      </c>
      <c r="U1522" s="31" t="str">
        <f aca="false">IF(S1522="","",I1522&amp;"|"&amp;S1522)</f>
        <v/>
      </c>
    </row>
    <row r="1523" customFormat="false" ht="15" hidden="false" customHeight="false" outlineLevel="0" collapsed="false">
      <c r="A1523" s="24" t="n">
        <v>1519</v>
      </c>
      <c r="B1523" s="25" t="str">
        <f aca="false">IF(OR(C1523="",I1523="",G1523=""),"",IFERROR(VLOOKUP(I1523,Setup!$A$9:$B$11,2,0),"???")&amp;"-"&amp;G1523&amp;"-"&amp;TEXT(COUNTIFS(I$5:I1523,I1523,G$5:G1523,G1523),"0000"))</f>
        <v/>
      </c>
      <c r="C1523" s="26"/>
      <c r="D1523" s="26"/>
      <c r="E1523" s="27"/>
      <c r="F1523" s="27"/>
      <c r="G1523" s="24" t="str">
        <f aca="false">IF(F1523="","",IF(F1523&lt;=5,"A",IF(F1523&lt;=8,"B",IF(F1523&lt;=10,"C","D"))))</f>
        <v/>
      </c>
      <c r="H1523" s="28"/>
      <c r="I1523" s="27"/>
      <c r="J1523" s="26"/>
      <c r="K1523" s="27"/>
      <c r="L1523" s="27"/>
      <c r="M1523" s="27"/>
      <c r="N1523" s="27"/>
      <c r="O1523" s="24" t="str">
        <f aca="false">IF(G1523="","",VLOOKUP(G1523,Setup!$A$14:$C$17,3,0))</f>
        <v/>
      </c>
      <c r="P1523" s="27"/>
      <c r="Q1523" s="29" t="str">
        <f aca="false">IF(OR(P1523="",M1523&lt;&gt;"Paid",O1523=""),"",P1523/O1523)</f>
        <v/>
      </c>
      <c r="R1523" s="30" t="str">
        <f aca="false">IF(Q1523="","",Q1523+N(H1523)*0.000000001)</f>
        <v/>
      </c>
      <c r="S1523" s="25" t="str">
        <f aca="false">IF(R1523="","",SUMPRODUCT((I$5:I$4004=I1523)*ISNUMBER(R$5:R$4004)*(R$5:R$4004&gt;R1523))+1)</f>
        <v/>
      </c>
      <c r="T1523" s="25" t="str">
        <f aca="false">IF(S1523="","",IF(S1523&lt;=Setup!$B$5,"🏆 WINNER",""))</f>
        <v/>
      </c>
      <c r="U1523" s="24" t="str">
        <f aca="false">IF(S1523="","",I1523&amp;"|"&amp;S1523)</f>
        <v/>
      </c>
    </row>
    <row r="1524" customFormat="false" ht="15" hidden="false" customHeight="false" outlineLevel="0" collapsed="false">
      <c r="A1524" s="31" t="n">
        <v>1520</v>
      </c>
      <c r="B1524" s="32" t="str">
        <f aca="false">IF(OR(C1524="",I1524="",G1524=""),"",IFERROR(VLOOKUP(I1524,Setup!$A$9:$B$11,2,0),"???")&amp;"-"&amp;G1524&amp;"-"&amp;TEXT(COUNTIFS(I$5:I1524,I1524,G$5:G1524,G1524),"0000"))</f>
        <v/>
      </c>
      <c r="C1524" s="26"/>
      <c r="D1524" s="26"/>
      <c r="E1524" s="27"/>
      <c r="F1524" s="27"/>
      <c r="G1524" s="31" t="str">
        <f aca="false">IF(F1524="","",IF(F1524&lt;=5,"A",IF(F1524&lt;=8,"B",IF(F1524&lt;=10,"C","D"))))</f>
        <v/>
      </c>
      <c r="H1524" s="28"/>
      <c r="I1524" s="27"/>
      <c r="J1524" s="26"/>
      <c r="K1524" s="27"/>
      <c r="L1524" s="27"/>
      <c r="M1524" s="27"/>
      <c r="N1524" s="27"/>
      <c r="O1524" s="31" t="str">
        <f aca="false">IF(G1524="","",VLOOKUP(G1524,Setup!$A$14:$C$17,3,0))</f>
        <v/>
      </c>
      <c r="P1524" s="27"/>
      <c r="Q1524" s="33" t="str">
        <f aca="false">IF(OR(P1524="",M1524&lt;&gt;"Paid",O1524=""),"",P1524/O1524)</f>
        <v/>
      </c>
      <c r="R1524" s="34" t="str">
        <f aca="false">IF(Q1524="","",Q1524+N(H1524)*0.000000001)</f>
        <v/>
      </c>
      <c r="S1524" s="32" t="str">
        <f aca="false">IF(R1524="","",SUMPRODUCT((I$5:I$4004=I1524)*ISNUMBER(R$5:R$4004)*(R$5:R$4004&gt;R1524))+1)</f>
        <v/>
      </c>
      <c r="T1524" s="32" t="str">
        <f aca="false">IF(S1524="","",IF(S1524&lt;=Setup!$B$5,"🏆 WINNER",""))</f>
        <v/>
      </c>
      <c r="U1524" s="31" t="str">
        <f aca="false">IF(S1524="","",I1524&amp;"|"&amp;S1524)</f>
        <v/>
      </c>
    </row>
    <row r="1525" customFormat="false" ht="15" hidden="false" customHeight="false" outlineLevel="0" collapsed="false">
      <c r="A1525" s="24" t="n">
        <v>1521</v>
      </c>
      <c r="B1525" s="25" t="str">
        <f aca="false">IF(OR(C1525="",I1525="",G1525=""),"",IFERROR(VLOOKUP(I1525,Setup!$A$9:$B$11,2,0),"???")&amp;"-"&amp;G1525&amp;"-"&amp;TEXT(COUNTIFS(I$5:I1525,I1525,G$5:G1525,G1525),"0000"))</f>
        <v/>
      </c>
      <c r="C1525" s="26"/>
      <c r="D1525" s="26"/>
      <c r="E1525" s="27"/>
      <c r="F1525" s="27"/>
      <c r="G1525" s="24" t="str">
        <f aca="false">IF(F1525="","",IF(F1525&lt;=5,"A",IF(F1525&lt;=8,"B",IF(F1525&lt;=10,"C","D"))))</f>
        <v/>
      </c>
      <c r="H1525" s="28"/>
      <c r="I1525" s="27"/>
      <c r="J1525" s="26"/>
      <c r="K1525" s="27"/>
      <c r="L1525" s="27"/>
      <c r="M1525" s="27"/>
      <c r="N1525" s="27"/>
      <c r="O1525" s="24" t="str">
        <f aca="false">IF(G1525="","",VLOOKUP(G1525,Setup!$A$14:$C$17,3,0))</f>
        <v/>
      </c>
      <c r="P1525" s="27"/>
      <c r="Q1525" s="29" t="str">
        <f aca="false">IF(OR(P1525="",M1525&lt;&gt;"Paid",O1525=""),"",P1525/O1525)</f>
        <v/>
      </c>
      <c r="R1525" s="30" t="str">
        <f aca="false">IF(Q1525="","",Q1525+N(H1525)*0.000000001)</f>
        <v/>
      </c>
      <c r="S1525" s="25" t="str">
        <f aca="false">IF(R1525="","",SUMPRODUCT((I$5:I$4004=I1525)*ISNUMBER(R$5:R$4004)*(R$5:R$4004&gt;R1525))+1)</f>
        <v/>
      </c>
      <c r="T1525" s="25" t="str">
        <f aca="false">IF(S1525="","",IF(S1525&lt;=Setup!$B$5,"🏆 WINNER",""))</f>
        <v/>
      </c>
      <c r="U1525" s="24" t="str">
        <f aca="false">IF(S1525="","",I1525&amp;"|"&amp;S1525)</f>
        <v/>
      </c>
    </row>
    <row r="1526" customFormat="false" ht="15" hidden="false" customHeight="false" outlineLevel="0" collapsed="false">
      <c r="A1526" s="31" t="n">
        <v>1522</v>
      </c>
      <c r="B1526" s="32" t="str">
        <f aca="false">IF(OR(C1526="",I1526="",G1526=""),"",IFERROR(VLOOKUP(I1526,Setup!$A$9:$B$11,2,0),"???")&amp;"-"&amp;G1526&amp;"-"&amp;TEXT(COUNTIFS(I$5:I1526,I1526,G$5:G1526,G1526),"0000"))</f>
        <v/>
      </c>
      <c r="C1526" s="26"/>
      <c r="D1526" s="26"/>
      <c r="E1526" s="27"/>
      <c r="F1526" s="27"/>
      <c r="G1526" s="31" t="str">
        <f aca="false">IF(F1526="","",IF(F1526&lt;=5,"A",IF(F1526&lt;=8,"B",IF(F1526&lt;=10,"C","D"))))</f>
        <v/>
      </c>
      <c r="H1526" s="28"/>
      <c r="I1526" s="27"/>
      <c r="J1526" s="26"/>
      <c r="K1526" s="27"/>
      <c r="L1526" s="27"/>
      <c r="M1526" s="27"/>
      <c r="N1526" s="27"/>
      <c r="O1526" s="31" t="str">
        <f aca="false">IF(G1526="","",VLOOKUP(G1526,Setup!$A$14:$C$17,3,0))</f>
        <v/>
      </c>
      <c r="P1526" s="27"/>
      <c r="Q1526" s="33" t="str">
        <f aca="false">IF(OR(P1526="",M1526&lt;&gt;"Paid",O1526=""),"",P1526/O1526)</f>
        <v/>
      </c>
      <c r="R1526" s="34" t="str">
        <f aca="false">IF(Q1526="","",Q1526+N(H1526)*0.000000001)</f>
        <v/>
      </c>
      <c r="S1526" s="32" t="str">
        <f aca="false">IF(R1526="","",SUMPRODUCT((I$5:I$4004=I1526)*ISNUMBER(R$5:R$4004)*(R$5:R$4004&gt;R1526))+1)</f>
        <v/>
      </c>
      <c r="T1526" s="32" t="str">
        <f aca="false">IF(S1526="","",IF(S1526&lt;=Setup!$B$5,"🏆 WINNER",""))</f>
        <v/>
      </c>
      <c r="U1526" s="31" t="str">
        <f aca="false">IF(S1526="","",I1526&amp;"|"&amp;S1526)</f>
        <v/>
      </c>
    </row>
    <row r="1527" customFormat="false" ht="15" hidden="false" customHeight="false" outlineLevel="0" collapsed="false">
      <c r="A1527" s="24" t="n">
        <v>1523</v>
      </c>
      <c r="B1527" s="25" t="str">
        <f aca="false">IF(OR(C1527="",I1527="",G1527=""),"",IFERROR(VLOOKUP(I1527,Setup!$A$9:$B$11,2,0),"???")&amp;"-"&amp;G1527&amp;"-"&amp;TEXT(COUNTIFS(I$5:I1527,I1527,G$5:G1527,G1527),"0000"))</f>
        <v/>
      </c>
      <c r="C1527" s="26"/>
      <c r="D1527" s="26"/>
      <c r="E1527" s="27"/>
      <c r="F1527" s="27"/>
      <c r="G1527" s="24" t="str">
        <f aca="false">IF(F1527="","",IF(F1527&lt;=5,"A",IF(F1527&lt;=8,"B",IF(F1527&lt;=10,"C","D"))))</f>
        <v/>
      </c>
      <c r="H1527" s="28"/>
      <c r="I1527" s="27"/>
      <c r="J1527" s="26"/>
      <c r="K1527" s="27"/>
      <c r="L1527" s="27"/>
      <c r="M1527" s="27"/>
      <c r="N1527" s="27"/>
      <c r="O1527" s="24" t="str">
        <f aca="false">IF(G1527="","",VLOOKUP(G1527,Setup!$A$14:$C$17,3,0))</f>
        <v/>
      </c>
      <c r="P1527" s="27"/>
      <c r="Q1527" s="29" t="str">
        <f aca="false">IF(OR(P1527="",M1527&lt;&gt;"Paid",O1527=""),"",P1527/O1527)</f>
        <v/>
      </c>
      <c r="R1527" s="30" t="str">
        <f aca="false">IF(Q1527="","",Q1527+N(H1527)*0.000000001)</f>
        <v/>
      </c>
      <c r="S1527" s="25" t="str">
        <f aca="false">IF(R1527="","",SUMPRODUCT((I$5:I$4004=I1527)*ISNUMBER(R$5:R$4004)*(R$5:R$4004&gt;R1527))+1)</f>
        <v/>
      </c>
      <c r="T1527" s="25" t="str">
        <f aca="false">IF(S1527="","",IF(S1527&lt;=Setup!$B$5,"🏆 WINNER",""))</f>
        <v/>
      </c>
      <c r="U1527" s="24" t="str">
        <f aca="false">IF(S1527="","",I1527&amp;"|"&amp;S1527)</f>
        <v/>
      </c>
    </row>
    <row r="1528" customFormat="false" ht="15" hidden="false" customHeight="false" outlineLevel="0" collapsed="false">
      <c r="A1528" s="31" t="n">
        <v>1524</v>
      </c>
      <c r="B1528" s="32" t="str">
        <f aca="false">IF(OR(C1528="",I1528="",G1528=""),"",IFERROR(VLOOKUP(I1528,Setup!$A$9:$B$11,2,0),"???")&amp;"-"&amp;G1528&amp;"-"&amp;TEXT(COUNTIFS(I$5:I1528,I1528,G$5:G1528,G1528),"0000"))</f>
        <v/>
      </c>
      <c r="C1528" s="26"/>
      <c r="D1528" s="26"/>
      <c r="E1528" s="27"/>
      <c r="F1528" s="27"/>
      <c r="G1528" s="31" t="str">
        <f aca="false">IF(F1528="","",IF(F1528&lt;=5,"A",IF(F1528&lt;=8,"B",IF(F1528&lt;=10,"C","D"))))</f>
        <v/>
      </c>
      <c r="H1528" s="28"/>
      <c r="I1528" s="27"/>
      <c r="J1528" s="26"/>
      <c r="K1528" s="27"/>
      <c r="L1528" s="27"/>
      <c r="M1528" s="27"/>
      <c r="N1528" s="27"/>
      <c r="O1528" s="31" t="str">
        <f aca="false">IF(G1528="","",VLOOKUP(G1528,Setup!$A$14:$C$17,3,0))</f>
        <v/>
      </c>
      <c r="P1528" s="27"/>
      <c r="Q1528" s="33" t="str">
        <f aca="false">IF(OR(P1528="",M1528&lt;&gt;"Paid",O1528=""),"",P1528/O1528)</f>
        <v/>
      </c>
      <c r="R1528" s="34" t="str">
        <f aca="false">IF(Q1528="","",Q1528+N(H1528)*0.000000001)</f>
        <v/>
      </c>
      <c r="S1528" s="32" t="str">
        <f aca="false">IF(R1528="","",SUMPRODUCT((I$5:I$4004=I1528)*ISNUMBER(R$5:R$4004)*(R$5:R$4004&gt;R1528))+1)</f>
        <v/>
      </c>
      <c r="T1528" s="32" t="str">
        <f aca="false">IF(S1528="","",IF(S1528&lt;=Setup!$B$5,"🏆 WINNER",""))</f>
        <v/>
      </c>
      <c r="U1528" s="31" t="str">
        <f aca="false">IF(S1528="","",I1528&amp;"|"&amp;S1528)</f>
        <v/>
      </c>
    </row>
    <row r="1529" customFormat="false" ht="15" hidden="false" customHeight="false" outlineLevel="0" collapsed="false">
      <c r="A1529" s="24" t="n">
        <v>1525</v>
      </c>
      <c r="B1529" s="25" t="str">
        <f aca="false">IF(OR(C1529="",I1529="",G1529=""),"",IFERROR(VLOOKUP(I1529,Setup!$A$9:$B$11,2,0),"???")&amp;"-"&amp;G1529&amp;"-"&amp;TEXT(COUNTIFS(I$5:I1529,I1529,G$5:G1529,G1529),"0000"))</f>
        <v/>
      </c>
      <c r="C1529" s="26"/>
      <c r="D1529" s="26"/>
      <c r="E1529" s="27"/>
      <c r="F1529" s="27"/>
      <c r="G1529" s="24" t="str">
        <f aca="false">IF(F1529="","",IF(F1529&lt;=5,"A",IF(F1529&lt;=8,"B",IF(F1529&lt;=10,"C","D"))))</f>
        <v/>
      </c>
      <c r="H1529" s="28"/>
      <c r="I1529" s="27"/>
      <c r="J1529" s="26"/>
      <c r="K1529" s="27"/>
      <c r="L1529" s="27"/>
      <c r="M1529" s="27"/>
      <c r="N1529" s="27"/>
      <c r="O1529" s="24" t="str">
        <f aca="false">IF(G1529="","",VLOOKUP(G1529,Setup!$A$14:$C$17,3,0))</f>
        <v/>
      </c>
      <c r="P1529" s="27"/>
      <c r="Q1529" s="29" t="str">
        <f aca="false">IF(OR(P1529="",M1529&lt;&gt;"Paid",O1529=""),"",P1529/O1529)</f>
        <v/>
      </c>
      <c r="R1529" s="30" t="str">
        <f aca="false">IF(Q1529="","",Q1529+N(H1529)*0.000000001)</f>
        <v/>
      </c>
      <c r="S1529" s="25" t="str">
        <f aca="false">IF(R1529="","",SUMPRODUCT((I$5:I$4004=I1529)*ISNUMBER(R$5:R$4004)*(R$5:R$4004&gt;R1529))+1)</f>
        <v/>
      </c>
      <c r="T1529" s="25" t="str">
        <f aca="false">IF(S1529="","",IF(S1529&lt;=Setup!$B$5,"🏆 WINNER",""))</f>
        <v/>
      </c>
      <c r="U1529" s="24" t="str">
        <f aca="false">IF(S1529="","",I1529&amp;"|"&amp;S1529)</f>
        <v/>
      </c>
    </row>
    <row r="1530" customFormat="false" ht="15" hidden="false" customHeight="false" outlineLevel="0" collapsed="false">
      <c r="A1530" s="31" t="n">
        <v>1526</v>
      </c>
      <c r="B1530" s="32" t="str">
        <f aca="false">IF(OR(C1530="",I1530="",G1530=""),"",IFERROR(VLOOKUP(I1530,Setup!$A$9:$B$11,2,0),"???")&amp;"-"&amp;G1530&amp;"-"&amp;TEXT(COUNTIFS(I$5:I1530,I1530,G$5:G1530,G1530),"0000"))</f>
        <v/>
      </c>
      <c r="C1530" s="26"/>
      <c r="D1530" s="26"/>
      <c r="E1530" s="27"/>
      <c r="F1530" s="27"/>
      <c r="G1530" s="31" t="str">
        <f aca="false">IF(F1530="","",IF(F1530&lt;=5,"A",IF(F1530&lt;=8,"B",IF(F1530&lt;=10,"C","D"))))</f>
        <v/>
      </c>
      <c r="H1530" s="28"/>
      <c r="I1530" s="27"/>
      <c r="J1530" s="26"/>
      <c r="K1530" s="27"/>
      <c r="L1530" s="27"/>
      <c r="M1530" s="27"/>
      <c r="N1530" s="27"/>
      <c r="O1530" s="31" t="str">
        <f aca="false">IF(G1530="","",VLOOKUP(G1530,Setup!$A$14:$C$17,3,0))</f>
        <v/>
      </c>
      <c r="P1530" s="27"/>
      <c r="Q1530" s="33" t="str">
        <f aca="false">IF(OR(P1530="",M1530&lt;&gt;"Paid",O1530=""),"",P1530/O1530)</f>
        <v/>
      </c>
      <c r="R1530" s="34" t="str">
        <f aca="false">IF(Q1530="","",Q1530+N(H1530)*0.000000001)</f>
        <v/>
      </c>
      <c r="S1530" s="32" t="str">
        <f aca="false">IF(R1530="","",SUMPRODUCT((I$5:I$4004=I1530)*ISNUMBER(R$5:R$4004)*(R$5:R$4004&gt;R1530))+1)</f>
        <v/>
      </c>
      <c r="T1530" s="32" t="str">
        <f aca="false">IF(S1530="","",IF(S1530&lt;=Setup!$B$5,"🏆 WINNER",""))</f>
        <v/>
      </c>
      <c r="U1530" s="31" t="str">
        <f aca="false">IF(S1530="","",I1530&amp;"|"&amp;S1530)</f>
        <v/>
      </c>
    </row>
    <row r="1531" customFormat="false" ht="15" hidden="false" customHeight="false" outlineLevel="0" collapsed="false">
      <c r="A1531" s="24" t="n">
        <v>1527</v>
      </c>
      <c r="B1531" s="25" t="str">
        <f aca="false">IF(OR(C1531="",I1531="",G1531=""),"",IFERROR(VLOOKUP(I1531,Setup!$A$9:$B$11,2,0),"???")&amp;"-"&amp;G1531&amp;"-"&amp;TEXT(COUNTIFS(I$5:I1531,I1531,G$5:G1531,G1531),"0000"))</f>
        <v/>
      </c>
      <c r="C1531" s="26"/>
      <c r="D1531" s="26"/>
      <c r="E1531" s="27"/>
      <c r="F1531" s="27"/>
      <c r="G1531" s="24" t="str">
        <f aca="false">IF(F1531="","",IF(F1531&lt;=5,"A",IF(F1531&lt;=8,"B",IF(F1531&lt;=10,"C","D"))))</f>
        <v/>
      </c>
      <c r="H1531" s="28"/>
      <c r="I1531" s="27"/>
      <c r="J1531" s="26"/>
      <c r="K1531" s="27"/>
      <c r="L1531" s="27"/>
      <c r="M1531" s="27"/>
      <c r="N1531" s="27"/>
      <c r="O1531" s="24" t="str">
        <f aca="false">IF(G1531="","",VLOOKUP(G1531,Setup!$A$14:$C$17,3,0))</f>
        <v/>
      </c>
      <c r="P1531" s="27"/>
      <c r="Q1531" s="29" t="str">
        <f aca="false">IF(OR(P1531="",M1531&lt;&gt;"Paid",O1531=""),"",P1531/O1531)</f>
        <v/>
      </c>
      <c r="R1531" s="30" t="str">
        <f aca="false">IF(Q1531="","",Q1531+N(H1531)*0.000000001)</f>
        <v/>
      </c>
      <c r="S1531" s="25" t="str">
        <f aca="false">IF(R1531="","",SUMPRODUCT((I$5:I$4004=I1531)*ISNUMBER(R$5:R$4004)*(R$5:R$4004&gt;R1531))+1)</f>
        <v/>
      </c>
      <c r="T1531" s="25" t="str">
        <f aca="false">IF(S1531="","",IF(S1531&lt;=Setup!$B$5,"🏆 WINNER",""))</f>
        <v/>
      </c>
      <c r="U1531" s="24" t="str">
        <f aca="false">IF(S1531="","",I1531&amp;"|"&amp;S1531)</f>
        <v/>
      </c>
    </row>
    <row r="1532" customFormat="false" ht="15" hidden="false" customHeight="false" outlineLevel="0" collapsed="false">
      <c r="A1532" s="31" t="n">
        <v>1528</v>
      </c>
      <c r="B1532" s="32" t="str">
        <f aca="false">IF(OR(C1532="",I1532="",G1532=""),"",IFERROR(VLOOKUP(I1532,Setup!$A$9:$B$11,2,0),"???")&amp;"-"&amp;G1532&amp;"-"&amp;TEXT(COUNTIFS(I$5:I1532,I1532,G$5:G1532,G1532),"0000"))</f>
        <v/>
      </c>
      <c r="C1532" s="26"/>
      <c r="D1532" s="26"/>
      <c r="E1532" s="27"/>
      <c r="F1532" s="27"/>
      <c r="G1532" s="31" t="str">
        <f aca="false">IF(F1532="","",IF(F1532&lt;=5,"A",IF(F1532&lt;=8,"B",IF(F1532&lt;=10,"C","D"))))</f>
        <v/>
      </c>
      <c r="H1532" s="28"/>
      <c r="I1532" s="27"/>
      <c r="J1532" s="26"/>
      <c r="K1532" s="27"/>
      <c r="L1532" s="27"/>
      <c r="M1532" s="27"/>
      <c r="N1532" s="27"/>
      <c r="O1532" s="31" t="str">
        <f aca="false">IF(G1532="","",VLOOKUP(G1532,Setup!$A$14:$C$17,3,0))</f>
        <v/>
      </c>
      <c r="P1532" s="27"/>
      <c r="Q1532" s="33" t="str">
        <f aca="false">IF(OR(P1532="",M1532&lt;&gt;"Paid",O1532=""),"",P1532/O1532)</f>
        <v/>
      </c>
      <c r="R1532" s="34" t="str">
        <f aca="false">IF(Q1532="","",Q1532+N(H1532)*0.000000001)</f>
        <v/>
      </c>
      <c r="S1532" s="32" t="str">
        <f aca="false">IF(R1532="","",SUMPRODUCT((I$5:I$4004=I1532)*ISNUMBER(R$5:R$4004)*(R$5:R$4004&gt;R1532))+1)</f>
        <v/>
      </c>
      <c r="T1532" s="32" t="str">
        <f aca="false">IF(S1532="","",IF(S1532&lt;=Setup!$B$5,"🏆 WINNER",""))</f>
        <v/>
      </c>
      <c r="U1532" s="31" t="str">
        <f aca="false">IF(S1532="","",I1532&amp;"|"&amp;S1532)</f>
        <v/>
      </c>
    </row>
    <row r="1533" customFormat="false" ht="15" hidden="false" customHeight="false" outlineLevel="0" collapsed="false">
      <c r="A1533" s="24" t="n">
        <v>1529</v>
      </c>
      <c r="B1533" s="25" t="str">
        <f aca="false">IF(OR(C1533="",I1533="",G1533=""),"",IFERROR(VLOOKUP(I1533,Setup!$A$9:$B$11,2,0),"???")&amp;"-"&amp;G1533&amp;"-"&amp;TEXT(COUNTIFS(I$5:I1533,I1533,G$5:G1533,G1533),"0000"))</f>
        <v/>
      </c>
      <c r="C1533" s="26"/>
      <c r="D1533" s="26"/>
      <c r="E1533" s="27"/>
      <c r="F1533" s="27"/>
      <c r="G1533" s="24" t="str">
        <f aca="false">IF(F1533="","",IF(F1533&lt;=5,"A",IF(F1533&lt;=8,"B",IF(F1533&lt;=10,"C","D"))))</f>
        <v/>
      </c>
      <c r="H1533" s="28"/>
      <c r="I1533" s="27"/>
      <c r="J1533" s="26"/>
      <c r="K1533" s="27"/>
      <c r="L1533" s="27"/>
      <c r="M1533" s="27"/>
      <c r="N1533" s="27"/>
      <c r="O1533" s="24" t="str">
        <f aca="false">IF(G1533="","",VLOOKUP(G1533,Setup!$A$14:$C$17,3,0))</f>
        <v/>
      </c>
      <c r="P1533" s="27"/>
      <c r="Q1533" s="29" t="str">
        <f aca="false">IF(OR(P1533="",M1533&lt;&gt;"Paid",O1533=""),"",P1533/O1533)</f>
        <v/>
      </c>
      <c r="R1533" s="30" t="str">
        <f aca="false">IF(Q1533="","",Q1533+N(H1533)*0.000000001)</f>
        <v/>
      </c>
      <c r="S1533" s="25" t="str">
        <f aca="false">IF(R1533="","",SUMPRODUCT((I$5:I$4004=I1533)*ISNUMBER(R$5:R$4004)*(R$5:R$4004&gt;R1533))+1)</f>
        <v/>
      </c>
      <c r="T1533" s="25" t="str">
        <f aca="false">IF(S1533="","",IF(S1533&lt;=Setup!$B$5,"🏆 WINNER",""))</f>
        <v/>
      </c>
      <c r="U1533" s="24" t="str">
        <f aca="false">IF(S1533="","",I1533&amp;"|"&amp;S1533)</f>
        <v/>
      </c>
    </row>
    <row r="1534" customFormat="false" ht="15" hidden="false" customHeight="false" outlineLevel="0" collapsed="false">
      <c r="A1534" s="31" t="n">
        <v>1530</v>
      </c>
      <c r="B1534" s="32" t="str">
        <f aca="false">IF(OR(C1534="",I1534="",G1534=""),"",IFERROR(VLOOKUP(I1534,Setup!$A$9:$B$11,2,0),"???")&amp;"-"&amp;G1534&amp;"-"&amp;TEXT(COUNTIFS(I$5:I1534,I1534,G$5:G1534,G1534),"0000"))</f>
        <v/>
      </c>
      <c r="C1534" s="26"/>
      <c r="D1534" s="26"/>
      <c r="E1534" s="27"/>
      <c r="F1534" s="27"/>
      <c r="G1534" s="31" t="str">
        <f aca="false">IF(F1534="","",IF(F1534&lt;=5,"A",IF(F1534&lt;=8,"B",IF(F1534&lt;=10,"C","D"))))</f>
        <v/>
      </c>
      <c r="H1534" s="28"/>
      <c r="I1534" s="27"/>
      <c r="J1534" s="26"/>
      <c r="K1534" s="27"/>
      <c r="L1534" s="27"/>
      <c r="M1534" s="27"/>
      <c r="N1534" s="27"/>
      <c r="O1534" s="31" t="str">
        <f aca="false">IF(G1534="","",VLOOKUP(G1534,Setup!$A$14:$C$17,3,0))</f>
        <v/>
      </c>
      <c r="P1534" s="27"/>
      <c r="Q1534" s="33" t="str">
        <f aca="false">IF(OR(P1534="",M1534&lt;&gt;"Paid",O1534=""),"",P1534/O1534)</f>
        <v/>
      </c>
      <c r="R1534" s="34" t="str">
        <f aca="false">IF(Q1534="","",Q1534+N(H1534)*0.000000001)</f>
        <v/>
      </c>
      <c r="S1534" s="32" t="str">
        <f aca="false">IF(R1534="","",SUMPRODUCT((I$5:I$4004=I1534)*ISNUMBER(R$5:R$4004)*(R$5:R$4004&gt;R1534))+1)</f>
        <v/>
      </c>
      <c r="T1534" s="32" t="str">
        <f aca="false">IF(S1534="","",IF(S1534&lt;=Setup!$B$5,"🏆 WINNER",""))</f>
        <v/>
      </c>
      <c r="U1534" s="31" t="str">
        <f aca="false">IF(S1534="","",I1534&amp;"|"&amp;S1534)</f>
        <v/>
      </c>
    </row>
    <row r="1535" customFormat="false" ht="15" hidden="false" customHeight="false" outlineLevel="0" collapsed="false">
      <c r="A1535" s="24" t="n">
        <v>1531</v>
      </c>
      <c r="B1535" s="25" t="str">
        <f aca="false">IF(OR(C1535="",I1535="",G1535=""),"",IFERROR(VLOOKUP(I1535,Setup!$A$9:$B$11,2,0),"???")&amp;"-"&amp;G1535&amp;"-"&amp;TEXT(COUNTIFS(I$5:I1535,I1535,G$5:G1535,G1535),"0000"))</f>
        <v/>
      </c>
      <c r="C1535" s="26"/>
      <c r="D1535" s="26"/>
      <c r="E1535" s="27"/>
      <c r="F1535" s="27"/>
      <c r="G1535" s="24" t="str">
        <f aca="false">IF(F1535="","",IF(F1535&lt;=5,"A",IF(F1535&lt;=8,"B",IF(F1535&lt;=10,"C","D"))))</f>
        <v/>
      </c>
      <c r="H1535" s="28"/>
      <c r="I1535" s="27"/>
      <c r="J1535" s="26"/>
      <c r="K1535" s="27"/>
      <c r="L1535" s="27"/>
      <c r="M1535" s="27"/>
      <c r="N1535" s="27"/>
      <c r="O1535" s="24" t="str">
        <f aca="false">IF(G1535="","",VLOOKUP(G1535,Setup!$A$14:$C$17,3,0))</f>
        <v/>
      </c>
      <c r="P1535" s="27"/>
      <c r="Q1535" s="29" t="str">
        <f aca="false">IF(OR(P1535="",M1535&lt;&gt;"Paid",O1535=""),"",P1535/O1535)</f>
        <v/>
      </c>
      <c r="R1535" s="30" t="str">
        <f aca="false">IF(Q1535="","",Q1535+N(H1535)*0.000000001)</f>
        <v/>
      </c>
      <c r="S1535" s="25" t="str">
        <f aca="false">IF(R1535="","",SUMPRODUCT((I$5:I$4004=I1535)*ISNUMBER(R$5:R$4004)*(R$5:R$4004&gt;R1535))+1)</f>
        <v/>
      </c>
      <c r="T1535" s="25" t="str">
        <f aca="false">IF(S1535="","",IF(S1535&lt;=Setup!$B$5,"🏆 WINNER",""))</f>
        <v/>
      </c>
      <c r="U1535" s="24" t="str">
        <f aca="false">IF(S1535="","",I1535&amp;"|"&amp;S1535)</f>
        <v/>
      </c>
    </row>
    <row r="1536" customFormat="false" ht="15" hidden="false" customHeight="false" outlineLevel="0" collapsed="false">
      <c r="A1536" s="31" t="n">
        <v>1532</v>
      </c>
      <c r="B1536" s="32" t="str">
        <f aca="false">IF(OR(C1536="",I1536="",G1536=""),"",IFERROR(VLOOKUP(I1536,Setup!$A$9:$B$11,2,0),"???")&amp;"-"&amp;G1536&amp;"-"&amp;TEXT(COUNTIFS(I$5:I1536,I1536,G$5:G1536,G1536),"0000"))</f>
        <v/>
      </c>
      <c r="C1536" s="26"/>
      <c r="D1536" s="26"/>
      <c r="E1536" s="27"/>
      <c r="F1536" s="27"/>
      <c r="G1536" s="31" t="str">
        <f aca="false">IF(F1536="","",IF(F1536&lt;=5,"A",IF(F1536&lt;=8,"B",IF(F1536&lt;=10,"C","D"))))</f>
        <v/>
      </c>
      <c r="H1536" s="28"/>
      <c r="I1536" s="27"/>
      <c r="J1536" s="26"/>
      <c r="K1536" s="27"/>
      <c r="L1536" s="27"/>
      <c r="M1536" s="27"/>
      <c r="N1536" s="27"/>
      <c r="O1536" s="31" t="str">
        <f aca="false">IF(G1536="","",VLOOKUP(G1536,Setup!$A$14:$C$17,3,0))</f>
        <v/>
      </c>
      <c r="P1536" s="27"/>
      <c r="Q1536" s="33" t="str">
        <f aca="false">IF(OR(P1536="",M1536&lt;&gt;"Paid",O1536=""),"",P1536/O1536)</f>
        <v/>
      </c>
      <c r="R1536" s="34" t="str">
        <f aca="false">IF(Q1536="","",Q1536+N(H1536)*0.000000001)</f>
        <v/>
      </c>
      <c r="S1536" s="32" t="str">
        <f aca="false">IF(R1536="","",SUMPRODUCT((I$5:I$4004=I1536)*ISNUMBER(R$5:R$4004)*(R$5:R$4004&gt;R1536))+1)</f>
        <v/>
      </c>
      <c r="T1536" s="32" t="str">
        <f aca="false">IF(S1536="","",IF(S1536&lt;=Setup!$B$5,"🏆 WINNER",""))</f>
        <v/>
      </c>
      <c r="U1536" s="31" t="str">
        <f aca="false">IF(S1536="","",I1536&amp;"|"&amp;S1536)</f>
        <v/>
      </c>
    </row>
    <row r="1537" customFormat="false" ht="15" hidden="false" customHeight="false" outlineLevel="0" collapsed="false">
      <c r="A1537" s="24" t="n">
        <v>1533</v>
      </c>
      <c r="B1537" s="25" t="str">
        <f aca="false">IF(OR(C1537="",I1537="",G1537=""),"",IFERROR(VLOOKUP(I1537,Setup!$A$9:$B$11,2,0),"???")&amp;"-"&amp;G1537&amp;"-"&amp;TEXT(COUNTIFS(I$5:I1537,I1537,G$5:G1537,G1537),"0000"))</f>
        <v/>
      </c>
      <c r="C1537" s="26"/>
      <c r="D1537" s="26"/>
      <c r="E1537" s="27"/>
      <c r="F1537" s="27"/>
      <c r="G1537" s="24" t="str">
        <f aca="false">IF(F1537="","",IF(F1537&lt;=5,"A",IF(F1537&lt;=8,"B",IF(F1537&lt;=10,"C","D"))))</f>
        <v/>
      </c>
      <c r="H1537" s="28"/>
      <c r="I1537" s="27"/>
      <c r="J1537" s="26"/>
      <c r="K1537" s="27"/>
      <c r="L1537" s="27"/>
      <c r="M1537" s="27"/>
      <c r="N1537" s="27"/>
      <c r="O1537" s="24" t="str">
        <f aca="false">IF(G1537="","",VLOOKUP(G1537,Setup!$A$14:$C$17,3,0))</f>
        <v/>
      </c>
      <c r="P1537" s="27"/>
      <c r="Q1537" s="29" t="str">
        <f aca="false">IF(OR(P1537="",M1537&lt;&gt;"Paid",O1537=""),"",P1537/O1537)</f>
        <v/>
      </c>
      <c r="R1537" s="30" t="str">
        <f aca="false">IF(Q1537="","",Q1537+N(H1537)*0.000000001)</f>
        <v/>
      </c>
      <c r="S1537" s="25" t="str">
        <f aca="false">IF(R1537="","",SUMPRODUCT((I$5:I$4004=I1537)*ISNUMBER(R$5:R$4004)*(R$5:R$4004&gt;R1537))+1)</f>
        <v/>
      </c>
      <c r="T1537" s="25" t="str">
        <f aca="false">IF(S1537="","",IF(S1537&lt;=Setup!$B$5,"🏆 WINNER",""))</f>
        <v/>
      </c>
      <c r="U1537" s="24" t="str">
        <f aca="false">IF(S1537="","",I1537&amp;"|"&amp;S1537)</f>
        <v/>
      </c>
    </row>
    <row r="1538" customFormat="false" ht="15" hidden="false" customHeight="false" outlineLevel="0" collapsed="false">
      <c r="A1538" s="31" t="n">
        <v>1534</v>
      </c>
      <c r="B1538" s="32" t="str">
        <f aca="false">IF(OR(C1538="",I1538="",G1538=""),"",IFERROR(VLOOKUP(I1538,Setup!$A$9:$B$11,2,0),"???")&amp;"-"&amp;G1538&amp;"-"&amp;TEXT(COUNTIFS(I$5:I1538,I1538,G$5:G1538,G1538),"0000"))</f>
        <v/>
      </c>
      <c r="C1538" s="26"/>
      <c r="D1538" s="26"/>
      <c r="E1538" s="27"/>
      <c r="F1538" s="27"/>
      <c r="G1538" s="31" t="str">
        <f aca="false">IF(F1538="","",IF(F1538&lt;=5,"A",IF(F1538&lt;=8,"B",IF(F1538&lt;=10,"C","D"))))</f>
        <v/>
      </c>
      <c r="H1538" s="28"/>
      <c r="I1538" s="27"/>
      <c r="J1538" s="26"/>
      <c r="K1538" s="27"/>
      <c r="L1538" s="27"/>
      <c r="M1538" s="27"/>
      <c r="N1538" s="27"/>
      <c r="O1538" s="31" t="str">
        <f aca="false">IF(G1538="","",VLOOKUP(G1538,Setup!$A$14:$C$17,3,0))</f>
        <v/>
      </c>
      <c r="P1538" s="27"/>
      <c r="Q1538" s="33" t="str">
        <f aca="false">IF(OR(P1538="",M1538&lt;&gt;"Paid",O1538=""),"",P1538/O1538)</f>
        <v/>
      </c>
      <c r="R1538" s="34" t="str">
        <f aca="false">IF(Q1538="","",Q1538+N(H1538)*0.000000001)</f>
        <v/>
      </c>
      <c r="S1538" s="32" t="str">
        <f aca="false">IF(R1538="","",SUMPRODUCT((I$5:I$4004=I1538)*ISNUMBER(R$5:R$4004)*(R$5:R$4004&gt;R1538))+1)</f>
        <v/>
      </c>
      <c r="T1538" s="32" t="str">
        <f aca="false">IF(S1538="","",IF(S1538&lt;=Setup!$B$5,"🏆 WINNER",""))</f>
        <v/>
      </c>
      <c r="U1538" s="31" t="str">
        <f aca="false">IF(S1538="","",I1538&amp;"|"&amp;S1538)</f>
        <v/>
      </c>
    </row>
    <row r="1539" customFormat="false" ht="15" hidden="false" customHeight="false" outlineLevel="0" collapsed="false">
      <c r="A1539" s="24" t="n">
        <v>1535</v>
      </c>
      <c r="B1539" s="25" t="str">
        <f aca="false">IF(OR(C1539="",I1539="",G1539=""),"",IFERROR(VLOOKUP(I1539,Setup!$A$9:$B$11,2,0),"???")&amp;"-"&amp;G1539&amp;"-"&amp;TEXT(COUNTIFS(I$5:I1539,I1539,G$5:G1539,G1539),"0000"))</f>
        <v/>
      </c>
      <c r="C1539" s="26"/>
      <c r="D1539" s="26"/>
      <c r="E1539" s="27"/>
      <c r="F1539" s="27"/>
      <c r="G1539" s="24" t="str">
        <f aca="false">IF(F1539="","",IF(F1539&lt;=5,"A",IF(F1539&lt;=8,"B",IF(F1539&lt;=10,"C","D"))))</f>
        <v/>
      </c>
      <c r="H1539" s="28"/>
      <c r="I1539" s="27"/>
      <c r="J1539" s="26"/>
      <c r="K1539" s="27"/>
      <c r="L1539" s="27"/>
      <c r="M1539" s="27"/>
      <c r="N1539" s="27"/>
      <c r="O1539" s="24" t="str">
        <f aca="false">IF(G1539="","",VLOOKUP(G1539,Setup!$A$14:$C$17,3,0))</f>
        <v/>
      </c>
      <c r="P1539" s="27"/>
      <c r="Q1539" s="29" t="str">
        <f aca="false">IF(OR(P1539="",M1539&lt;&gt;"Paid",O1539=""),"",P1539/O1539)</f>
        <v/>
      </c>
      <c r="R1539" s="30" t="str">
        <f aca="false">IF(Q1539="","",Q1539+N(H1539)*0.000000001)</f>
        <v/>
      </c>
      <c r="S1539" s="25" t="str">
        <f aca="false">IF(R1539="","",SUMPRODUCT((I$5:I$4004=I1539)*ISNUMBER(R$5:R$4004)*(R$5:R$4004&gt;R1539))+1)</f>
        <v/>
      </c>
      <c r="T1539" s="25" t="str">
        <f aca="false">IF(S1539="","",IF(S1539&lt;=Setup!$B$5,"🏆 WINNER",""))</f>
        <v/>
      </c>
      <c r="U1539" s="24" t="str">
        <f aca="false">IF(S1539="","",I1539&amp;"|"&amp;S1539)</f>
        <v/>
      </c>
    </row>
    <row r="1540" customFormat="false" ht="15" hidden="false" customHeight="false" outlineLevel="0" collapsed="false">
      <c r="A1540" s="31" t="n">
        <v>1536</v>
      </c>
      <c r="B1540" s="32" t="str">
        <f aca="false">IF(OR(C1540="",I1540="",G1540=""),"",IFERROR(VLOOKUP(I1540,Setup!$A$9:$B$11,2,0),"???")&amp;"-"&amp;G1540&amp;"-"&amp;TEXT(COUNTIFS(I$5:I1540,I1540,G$5:G1540,G1540),"0000"))</f>
        <v/>
      </c>
      <c r="C1540" s="26"/>
      <c r="D1540" s="26"/>
      <c r="E1540" s="27"/>
      <c r="F1540" s="27"/>
      <c r="G1540" s="31" t="str">
        <f aca="false">IF(F1540="","",IF(F1540&lt;=5,"A",IF(F1540&lt;=8,"B",IF(F1540&lt;=10,"C","D"))))</f>
        <v/>
      </c>
      <c r="H1540" s="28"/>
      <c r="I1540" s="27"/>
      <c r="J1540" s="26"/>
      <c r="K1540" s="27"/>
      <c r="L1540" s="27"/>
      <c r="M1540" s="27"/>
      <c r="N1540" s="27"/>
      <c r="O1540" s="31" t="str">
        <f aca="false">IF(G1540="","",VLOOKUP(G1540,Setup!$A$14:$C$17,3,0))</f>
        <v/>
      </c>
      <c r="P1540" s="27"/>
      <c r="Q1540" s="33" t="str">
        <f aca="false">IF(OR(P1540="",M1540&lt;&gt;"Paid",O1540=""),"",P1540/O1540)</f>
        <v/>
      </c>
      <c r="R1540" s="34" t="str">
        <f aca="false">IF(Q1540="","",Q1540+N(H1540)*0.000000001)</f>
        <v/>
      </c>
      <c r="S1540" s="32" t="str">
        <f aca="false">IF(R1540="","",SUMPRODUCT((I$5:I$4004=I1540)*ISNUMBER(R$5:R$4004)*(R$5:R$4004&gt;R1540))+1)</f>
        <v/>
      </c>
      <c r="T1540" s="32" t="str">
        <f aca="false">IF(S1540="","",IF(S1540&lt;=Setup!$B$5,"🏆 WINNER",""))</f>
        <v/>
      </c>
      <c r="U1540" s="31" t="str">
        <f aca="false">IF(S1540="","",I1540&amp;"|"&amp;S1540)</f>
        <v/>
      </c>
    </row>
    <row r="1541" customFormat="false" ht="15" hidden="false" customHeight="false" outlineLevel="0" collapsed="false">
      <c r="A1541" s="24" t="n">
        <v>1537</v>
      </c>
      <c r="B1541" s="25" t="str">
        <f aca="false">IF(OR(C1541="",I1541="",G1541=""),"",IFERROR(VLOOKUP(I1541,Setup!$A$9:$B$11,2,0),"???")&amp;"-"&amp;G1541&amp;"-"&amp;TEXT(COUNTIFS(I$5:I1541,I1541,G$5:G1541,G1541),"0000"))</f>
        <v/>
      </c>
      <c r="C1541" s="26"/>
      <c r="D1541" s="26"/>
      <c r="E1541" s="27"/>
      <c r="F1541" s="27"/>
      <c r="G1541" s="24" t="str">
        <f aca="false">IF(F1541="","",IF(F1541&lt;=5,"A",IF(F1541&lt;=8,"B",IF(F1541&lt;=10,"C","D"))))</f>
        <v/>
      </c>
      <c r="H1541" s="28"/>
      <c r="I1541" s="27"/>
      <c r="J1541" s="26"/>
      <c r="K1541" s="27"/>
      <c r="L1541" s="27"/>
      <c r="M1541" s="27"/>
      <c r="N1541" s="27"/>
      <c r="O1541" s="24" t="str">
        <f aca="false">IF(G1541="","",VLOOKUP(G1541,Setup!$A$14:$C$17,3,0))</f>
        <v/>
      </c>
      <c r="P1541" s="27"/>
      <c r="Q1541" s="29" t="str">
        <f aca="false">IF(OR(P1541="",M1541&lt;&gt;"Paid",O1541=""),"",P1541/O1541)</f>
        <v/>
      </c>
      <c r="R1541" s="30" t="str">
        <f aca="false">IF(Q1541="","",Q1541+N(H1541)*0.000000001)</f>
        <v/>
      </c>
      <c r="S1541" s="25" t="str">
        <f aca="false">IF(R1541="","",SUMPRODUCT((I$5:I$4004=I1541)*ISNUMBER(R$5:R$4004)*(R$5:R$4004&gt;R1541))+1)</f>
        <v/>
      </c>
      <c r="T1541" s="25" t="str">
        <f aca="false">IF(S1541="","",IF(S1541&lt;=Setup!$B$5,"🏆 WINNER",""))</f>
        <v/>
      </c>
      <c r="U1541" s="24" t="str">
        <f aca="false">IF(S1541="","",I1541&amp;"|"&amp;S1541)</f>
        <v/>
      </c>
    </row>
    <row r="1542" customFormat="false" ht="15" hidden="false" customHeight="false" outlineLevel="0" collapsed="false">
      <c r="A1542" s="31" t="n">
        <v>1538</v>
      </c>
      <c r="B1542" s="32" t="str">
        <f aca="false">IF(OR(C1542="",I1542="",G1542=""),"",IFERROR(VLOOKUP(I1542,Setup!$A$9:$B$11,2,0),"???")&amp;"-"&amp;G1542&amp;"-"&amp;TEXT(COUNTIFS(I$5:I1542,I1542,G$5:G1542,G1542),"0000"))</f>
        <v/>
      </c>
      <c r="C1542" s="26"/>
      <c r="D1542" s="26"/>
      <c r="E1542" s="27"/>
      <c r="F1542" s="27"/>
      <c r="G1542" s="31" t="str">
        <f aca="false">IF(F1542="","",IF(F1542&lt;=5,"A",IF(F1542&lt;=8,"B",IF(F1542&lt;=10,"C","D"))))</f>
        <v/>
      </c>
      <c r="H1542" s="28"/>
      <c r="I1542" s="27"/>
      <c r="J1542" s="26"/>
      <c r="K1542" s="27"/>
      <c r="L1542" s="27"/>
      <c r="M1542" s="27"/>
      <c r="N1542" s="27"/>
      <c r="O1542" s="31" t="str">
        <f aca="false">IF(G1542="","",VLOOKUP(G1542,Setup!$A$14:$C$17,3,0))</f>
        <v/>
      </c>
      <c r="P1542" s="27"/>
      <c r="Q1542" s="33" t="str">
        <f aca="false">IF(OR(P1542="",M1542&lt;&gt;"Paid",O1542=""),"",P1542/O1542)</f>
        <v/>
      </c>
      <c r="R1542" s="34" t="str">
        <f aca="false">IF(Q1542="","",Q1542+N(H1542)*0.000000001)</f>
        <v/>
      </c>
      <c r="S1542" s="32" t="str">
        <f aca="false">IF(R1542="","",SUMPRODUCT((I$5:I$4004=I1542)*ISNUMBER(R$5:R$4004)*(R$5:R$4004&gt;R1542))+1)</f>
        <v/>
      </c>
      <c r="T1542" s="32" t="str">
        <f aca="false">IF(S1542="","",IF(S1542&lt;=Setup!$B$5,"🏆 WINNER",""))</f>
        <v/>
      </c>
      <c r="U1542" s="31" t="str">
        <f aca="false">IF(S1542="","",I1542&amp;"|"&amp;S1542)</f>
        <v/>
      </c>
    </row>
    <row r="1543" customFormat="false" ht="15" hidden="false" customHeight="false" outlineLevel="0" collapsed="false">
      <c r="A1543" s="24" t="n">
        <v>1539</v>
      </c>
      <c r="B1543" s="25" t="str">
        <f aca="false">IF(OR(C1543="",I1543="",G1543=""),"",IFERROR(VLOOKUP(I1543,Setup!$A$9:$B$11,2,0),"???")&amp;"-"&amp;G1543&amp;"-"&amp;TEXT(COUNTIFS(I$5:I1543,I1543,G$5:G1543,G1543),"0000"))</f>
        <v/>
      </c>
      <c r="C1543" s="26"/>
      <c r="D1543" s="26"/>
      <c r="E1543" s="27"/>
      <c r="F1543" s="27"/>
      <c r="G1543" s="24" t="str">
        <f aca="false">IF(F1543="","",IF(F1543&lt;=5,"A",IF(F1543&lt;=8,"B",IF(F1543&lt;=10,"C","D"))))</f>
        <v/>
      </c>
      <c r="H1543" s="28"/>
      <c r="I1543" s="27"/>
      <c r="J1543" s="26"/>
      <c r="K1543" s="27"/>
      <c r="L1543" s="27"/>
      <c r="M1543" s="27"/>
      <c r="N1543" s="27"/>
      <c r="O1543" s="24" t="str">
        <f aca="false">IF(G1543="","",VLOOKUP(G1543,Setup!$A$14:$C$17,3,0))</f>
        <v/>
      </c>
      <c r="P1543" s="27"/>
      <c r="Q1543" s="29" t="str">
        <f aca="false">IF(OR(P1543="",M1543&lt;&gt;"Paid",O1543=""),"",P1543/O1543)</f>
        <v/>
      </c>
      <c r="R1543" s="30" t="str">
        <f aca="false">IF(Q1543="","",Q1543+N(H1543)*0.000000001)</f>
        <v/>
      </c>
      <c r="S1543" s="25" t="str">
        <f aca="false">IF(R1543="","",SUMPRODUCT((I$5:I$4004=I1543)*ISNUMBER(R$5:R$4004)*(R$5:R$4004&gt;R1543))+1)</f>
        <v/>
      </c>
      <c r="T1543" s="25" t="str">
        <f aca="false">IF(S1543="","",IF(S1543&lt;=Setup!$B$5,"🏆 WINNER",""))</f>
        <v/>
      </c>
      <c r="U1543" s="24" t="str">
        <f aca="false">IF(S1543="","",I1543&amp;"|"&amp;S1543)</f>
        <v/>
      </c>
    </row>
    <row r="1544" customFormat="false" ht="15" hidden="false" customHeight="false" outlineLevel="0" collapsed="false">
      <c r="A1544" s="31" t="n">
        <v>1540</v>
      </c>
      <c r="B1544" s="32" t="str">
        <f aca="false">IF(OR(C1544="",I1544="",G1544=""),"",IFERROR(VLOOKUP(I1544,Setup!$A$9:$B$11,2,0),"???")&amp;"-"&amp;G1544&amp;"-"&amp;TEXT(COUNTIFS(I$5:I1544,I1544,G$5:G1544,G1544),"0000"))</f>
        <v/>
      </c>
      <c r="C1544" s="26"/>
      <c r="D1544" s="26"/>
      <c r="E1544" s="27"/>
      <c r="F1544" s="27"/>
      <c r="G1544" s="31" t="str">
        <f aca="false">IF(F1544="","",IF(F1544&lt;=5,"A",IF(F1544&lt;=8,"B",IF(F1544&lt;=10,"C","D"))))</f>
        <v/>
      </c>
      <c r="H1544" s="28"/>
      <c r="I1544" s="27"/>
      <c r="J1544" s="26"/>
      <c r="K1544" s="27"/>
      <c r="L1544" s="27"/>
      <c r="M1544" s="27"/>
      <c r="N1544" s="27"/>
      <c r="O1544" s="31" t="str">
        <f aca="false">IF(G1544="","",VLOOKUP(G1544,Setup!$A$14:$C$17,3,0))</f>
        <v/>
      </c>
      <c r="P1544" s="27"/>
      <c r="Q1544" s="33" t="str">
        <f aca="false">IF(OR(P1544="",M1544&lt;&gt;"Paid",O1544=""),"",P1544/O1544)</f>
        <v/>
      </c>
      <c r="R1544" s="34" t="str">
        <f aca="false">IF(Q1544="","",Q1544+N(H1544)*0.000000001)</f>
        <v/>
      </c>
      <c r="S1544" s="32" t="str">
        <f aca="false">IF(R1544="","",SUMPRODUCT((I$5:I$4004=I1544)*ISNUMBER(R$5:R$4004)*(R$5:R$4004&gt;R1544))+1)</f>
        <v/>
      </c>
      <c r="T1544" s="32" t="str">
        <f aca="false">IF(S1544="","",IF(S1544&lt;=Setup!$B$5,"🏆 WINNER",""))</f>
        <v/>
      </c>
      <c r="U1544" s="31" t="str">
        <f aca="false">IF(S1544="","",I1544&amp;"|"&amp;S1544)</f>
        <v/>
      </c>
    </row>
    <row r="1545" customFormat="false" ht="15" hidden="false" customHeight="false" outlineLevel="0" collapsed="false">
      <c r="A1545" s="24" t="n">
        <v>1541</v>
      </c>
      <c r="B1545" s="25" t="str">
        <f aca="false">IF(OR(C1545="",I1545="",G1545=""),"",IFERROR(VLOOKUP(I1545,Setup!$A$9:$B$11,2,0),"???")&amp;"-"&amp;G1545&amp;"-"&amp;TEXT(COUNTIFS(I$5:I1545,I1545,G$5:G1545,G1545),"0000"))</f>
        <v/>
      </c>
      <c r="C1545" s="26"/>
      <c r="D1545" s="26"/>
      <c r="E1545" s="27"/>
      <c r="F1545" s="27"/>
      <c r="G1545" s="24" t="str">
        <f aca="false">IF(F1545="","",IF(F1545&lt;=5,"A",IF(F1545&lt;=8,"B",IF(F1545&lt;=10,"C","D"))))</f>
        <v/>
      </c>
      <c r="H1545" s="28"/>
      <c r="I1545" s="27"/>
      <c r="J1545" s="26"/>
      <c r="K1545" s="27"/>
      <c r="L1545" s="27"/>
      <c r="M1545" s="27"/>
      <c r="N1545" s="27"/>
      <c r="O1545" s="24" t="str">
        <f aca="false">IF(G1545="","",VLOOKUP(G1545,Setup!$A$14:$C$17,3,0))</f>
        <v/>
      </c>
      <c r="P1545" s="27"/>
      <c r="Q1545" s="29" t="str">
        <f aca="false">IF(OR(P1545="",M1545&lt;&gt;"Paid",O1545=""),"",P1545/O1545)</f>
        <v/>
      </c>
      <c r="R1545" s="30" t="str">
        <f aca="false">IF(Q1545="","",Q1545+N(H1545)*0.000000001)</f>
        <v/>
      </c>
      <c r="S1545" s="25" t="str">
        <f aca="false">IF(R1545="","",SUMPRODUCT((I$5:I$4004=I1545)*ISNUMBER(R$5:R$4004)*(R$5:R$4004&gt;R1545))+1)</f>
        <v/>
      </c>
      <c r="T1545" s="25" t="str">
        <f aca="false">IF(S1545="","",IF(S1545&lt;=Setup!$B$5,"🏆 WINNER",""))</f>
        <v/>
      </c>
      <c r="U1545" s="24" t="str">
        <f aca="false">IF(S1545="","",I1545&amp;"|"&amp;S1545)</f>
        <v/>
      </c>
    </row>
    <row r="1546" customFormat="false" ht="15" hidden="false" customHeight="false" outlineLevel="0" collapsed="false">
      <c r="A1546" s="31" t="n">
        <v>1542</v>
      </c>
      <c r="B1546" s="32" t="str">
        <f aca="false">IF(OR(C1546="",I1546="",G1546=""),"",IFERROR(VLOOKUP(I1546,Setup!$A$9:$B$11,2,0),"???")&amp;"-"&amp;G1546&amp;"-"&amp;TEXT(COUNTIFS(I$5:I1546,I1546,G$5:G1546,G1546),"0000"))</f>
        <v/>
      </c>
      <c r="C1546" s="26"/>
      <c r="D1546" s="26"/>
      <c r="E1546" s="27"/>
      <c r="F1546" s="27"/>
      <c r="G1546" s="31" t="str">
        <f aca="false">IF(F1546="","",IF(F1546&lt;=5,"A",IF(F1546&lt;=8,"B",IF(F1546&lt;=10,"C","D"))))</f>
        <v/>
      </c>
      <c r="H1546" s="28"/>
      <c r="I1546" s="27"/>
      <c r="J1546" s="26"/>
      <c r="K1546" s="27"/>
      <c r="L1546" s="27"/>
      <c r="M1546" s="27"/>
      <c r="N1546" s="27"/>
      <c r="O1546" s="31" t="str">
        <f aca="false">IF(G1546="","",VLOOKUP(G1546,Setup!$A$14:$C$17,3,0))</f>
        <v/>
      </c>
      <c r="P1546" s="27"/>
      <c r="Q1546" s="33" t="str">
        <f aca="false">IF(OR(P1546="",M1546&lt;&gt;"Paid",O1546=""),"",P1546/O1546)</f>
        <v/>
      </c>
      <c r="R1546" s="34" t="str">
        <f aca="false">IF(Q1546="","",Q1546+N(H1546)*0.000000001)</f>
        <v/>
      </c>
      <c r="S1546" s="32" t="str">
        <f aca="false">IF(R1546="","",SUMPRODUCT((I$5:I$4004=I1546)*ISNUMBER(R$5:R$4004)*(R$5:R$4004&gt;R1546))+1)</f>
        <v/>
      </c>
      <c r="T1546" s="32" t="str">
        <f aca="false">IF(S1546="","",IF(S1546&lt;=Setup!$B$5,"🏆 WINNER",""))</f>
        <v/>
      </c>
      <c r="U1546" s="31" t="str">
        <f aca="false">IF(S1546="","",I1546&amp;"|"&amp;S1546)</f>
        <v/>
      </c>
    </row>
    <row r="1547" customFormat="false" ht="15" hidden="false" customHeight="false" outlineLevel="0" collapsed="false">
      <c r="A1547" s="24" t="n">
        <v>1543</v>
      </c>
      <c r="B1547" s="25" t="str">
        <f aca="false">IF(OR(C1547="",I1547="",G1547=""),"",IFERROR(VLOOKUP(I1547,Setup!$A$9:$B$11,2,0),"???")&amp;"-"&amp;G1547&amp;"-"&amp;TEXT(COUNTIFS(I$5:I1547,I1547,G$5:G1547,G1547),"0000"))</f>
        <v/>
      </c>
      <c r="C1547" s="26"/>
      <c r="D1547" s="26"/>
      <c r="E1547" s="27"/>
      <c r="F1547" s="27"/>
      <c r="G1547" s="24" t="str">
        <f aca="false">IF(F1547="","",IF(F1547&lt;=5,"A",IF(F1547&lt;=8,"B",IF(F1547&lt;=10,"C","D"))))</f>
        <v/>
      </c>
      <c r="H1547" s="28"/>
      <c r="I1547" s="27"/>
      <c r="J1547" s="26"/>
      <c r="K1547" s="27"/>
      <c r="L1547" s="27"/>
      <c r="M1547" s="27"/>
      <c r="N1547" s="27"/>
      <c r="O1547" s="24" t="str">
        <f aca="false">IF(G1547="","",VLOOKUP(G1547,Setup!$A$14:$C$17,3,0))</f>
        <v/>
      </c>
      <c r="P1547" s="27"/>
      <c r="Q1547" s="29" t="str">
        <f aca="false">IF(OR(P1547="",M1547&lt;&gt;"Paid",O1547=""),"",P1547/O1547)</f>
        <v/>
      </c>
      <c r="R1547" s="30" t="str">
        <f aca="false">IF(Q1547="","",Q1547+N(H1547)*0.000000001)</f>
        <v/>
      </c>
      <c r="S1547" s="25" t="str">
        <f aca="false">IF(R1547="","",SUMPRODUCT((I$5:I$4004=I1547)*ISNUMBER(R$5:R$4004)*(R$5:R$4004&gt;R1547))+1)</f>
        <v/>
      </c>
      <c r="T1547" s="25" t="str">
        <f aca="false">IF(S1547="","",IF(S1547&lt;=Setup!$B$5,"🏆 WINNER",""))</f>
        <v/>
      </c>
      <c r="U1547" s="24" t="str">
        <f aca="false">IF(S1547="","",I1547&amp;"|"&amp;S1547)</f>
        <v/>
      </c>
    </row>
    <row r="1548" customFormat="false" ht="15" hidden="false" customHeight="false" outlineLevel="0" collapsed="false">
      <c r="A1548" s="31" t="n">
        <v>1544</v>
      </c>
      <c r="B1548" s="32" t="str">
        <f aca="false">IF(OR(C1548="",I1548="",G1548=""),"",IFERROR(VLOOKUP(I1548,Setup!$A$9:$B$11,2,0),"???")&amp;"-"&amp;G1548&amp;"-"&amp;TEXT(COUNTIFS(I$5:I1548,I1548,G$5:G1548,G1548),"0000"))</f>
        <v/>
      </c>
      <c r="C1548" s="26"/>
      <c r="D1548" s="26"/>
      <c r="E1548" s="27"/>
      <c r="F1548" s="27"/>
      <c r="G1548" s="31" t="str">
        <f aca="false">IF(F1548="","",IF(F1548&lt;=5,"A",IF(F1548&lt;=8,"B",IF(F1548&lt;=10,"C","D"))))</f>
        <v/>
      </c>
      <c r="H1548" s="28"/>
      <c r="I1548" s="27"/>
      <c r="J1548" s="26"/>
      <c r="K1548" s="27"/>
      <c r="L1548" s="27"/>
      <c r="M1548" s="27"/>
      <c r="N1548" s="27"/>
      <c r="O1548" s="31" t="str">
        <f aca="false">IF(G1548="","",VLOOKUP(G1548,Setup!$A$14:$C$17,3,0))</f>
        <v/>
      </c>
      <c r="P1548" s="27"/>
      <c r="Q1548" s="33" t="str">
        <f aca="false">IF(OR(P1548="",M1548&lt;&gt;"Paid",O1548=""),"",P1548/O1548)</f>
        <v/>
      </c>
      <c r="R1548" s="34" t="str">
        <f aca="false">IF(Q1548="","",Q1548+N(H1548)*0.000000001)</f>
        <v/>
      </c>
      <c r="S1548" s="32" t="str">
        <f aca="false">IF(R1548="","",SUMPRODUCT((I$5:I$4004=I1548)*ISNUMBER(R$5:R$4004)*(R$5:R$4004&gt;R1548))+1)</f>
        <v/>
      </c>
      <c r="T1548" s="32" t="str">
        <f aca="false">IF(S1548="","",IF(S1548&lt;=Setup!$B$5,"🏆 WINNER",""))</f>
        <v/>
      </c>
      <c r="U1548" s="31" t="str">
        <f aca="false">IF(S1548="","",I1548&amp;"|"&amp;S1548)</f>
        <v/>
      </c>
    </row>
    <row r="1549" customFormat="false" ht="15" hidden="false" customHeight="false" outlineLevel="0" collapsed="false">
      <c r="A1549" s="24" t="n">
        <v>1545</v>
      </c>
      <c r="B1549" s="25" t="str">
        <f aca="false">IF(OR(C1549="",I1549="",G1549=""),"",IFERROR(VLOOKUP(I1549,Setup!$A$9:$B$11,2,0),"???")&amp;"-"&amp;G1549&amp;"-"&amp;TEXT(COUNTIFS(I$5:I1549,I1549,G$5:G1549,G1549),"0000"))</f>
        <v/>
      </c>
      <c r="C1549" s="26"/>
      <c r="D1549" s="26"/>
      <c r="E1549" s="27"/>
      <c r="F1549" s="27"/>
      <c r="G1549" s="24" t="str">
        <f aca="false">IF(F1549="","",IF(F1549&lt;=5,"A",IF(F1549&lt;=8,"B",IF(F1549&lt;=10,"C","D"))))</f>
        <v/>
      </c>
      <c r="H1549" s="28"/>
      <c r="I1549" s="27"/>
      <c r="J1549" s="26"/>
      <c r="K1549" s="27"/>
      <c r="L1549" s="27"/>
      <c r="M1549" s="27"/>
      <c r="N1549" s="27"/>
      <c r="O1549" s="24" t="str">
        <f aca="false">IF(G1549="","",VLOOKUP(G1549,Setup!$A$14:$C$17,3,0))</f>
        <v/>
      </c>
      <c r="P1549" s="27"/>
      <c r="Q1549" s="29" t="str">
        <f aca="false">IF(OR(P1549="",M1549&lt;&gt;"Paid",O1549=""),"",P1549/O1549)</f>
        <v/>
      </c>
      <c r="R1549" s="30" t="str">
        <f aca="false">IF(Q1549="","",Q1549+N(H1549)*0.000000001)</f>
        <v/>
      </c>
      <c r="S1549" s="25" t="str">
        <f aca="false">IF(R1549="","",SUMPRODUCT((I$5:I$4004=I1549)*ISNUMBER(R$5:R$4004)*(R$5:R$4004&gt;R1549))+1)</f>
        <v/>
      </c>
      <c r="T1549" s="25" t="str">
        <f aca="false">IF(S1549="","",IF(S1549&lt;=Setup!$B$5,"🏆 WINNER",""))</f>
        <v/>
      </c>
      <c r="U1549" s="24" t="str">
        <f aca="false">IF(S1549="","",I1549&amp;"|"&amp;S1549)</f>
        <v/>
      </c>
    </row>
    <row r="1550" customFormat="false" ht="15" hidden="false" customHeight="false" outlineLevel="0" collapsed="false">
      <c r="A1550" s="31" t="n">
        <v>1546</v>
      </c>
      <c r="B1550" s="32" t="str">
        <f aca="false">IF(OR(C1550="",I1550="",G1550=""),"",IFERROR(VLOOKUP(I1550,Setup!$A$9:$B$11,2,0),"???")&amp;"-"&amp;G1550&amp;"-"&amp;TEXT(COUNTIFS(I$5:I1550,I1550,G$5:G1550,G1550),"0000"))</f>
        <v/>
      </c>
      <c r="C1550" s="26"/>
      <c r="D1550" s="26"/>
      <c r="E1550" s="27"/>
      <c r="F1550" s="27"/>
      <c r="G1550" s="31" t="str">
        <f aca="false">IF(F1550="","",IF(F1550&lt;=5,"A",IF(F1550&lt;=8,"B",IF(F1550&lt;=10,"C","D"))))</f>
        <v/>
      </c>
      <c r="H1550" s="28"/>
      <c r="I1550" s="27"/>
      <c r="J1550" s="26"/>
      <c r="K1550" s="27"/>
      <c r="L1550" s="27"/>
      <c r="M1550" s="27"/>
      <c r="N1550" s="27"/>
      <c r="O1550" s="31" t="str">
        <f aca="false">IF(G1550="","",VLOOKUP(G1550,Setup!$A$14:$C$17,3,0))</f>
        <v/>
      </c>
      <c r="P1550" s="27"/>
      <c r="Q1550" s="33" t="str">
        <f aca="false">IF(OR(P1550="",M1550&lt;&gt;"Paid",O1550=""),"",P1550/O1550)</f>
        <v/>
      </c>
      <c r="R1550" s="34" t="str">
        <f aca="false">IF(Q1550="","",Q1550+N(H1550)*0.000000001)</f>
        <v/>
      </c>
      <c r="S1550" s="32" t="str">
        <f aca="false">IF(R1550="","",SUMPRODUCT((I$5:I$4004=I1550)*ISNUMBER(R$5:R$4004)*(R$5:R$4004&gt;R1550))+1)</f>
        <v/>
      </c>
      <c r="T1550" s="32" t="str">
        <f aca="false">IF(S1550="","",IF(S1550&lt;=Setup!$B$5,"🏆 WINNER",""))</f>
        <v/>
      </c>
      <c r="U1550" s="31" t="str">
        <f aca="false">IF(S1550="","",I1550&amp;"|"&amp;S1550)</f>
        <v/>
      </c>
    </row>
    <row r="1551" customFormat="false" ht="15" hidden="false" customHeight="false" outlineLevel="0" collapsed="false">
      <c r="A1551" s="24" t="n">
        <v>1547</v>
      </c>
      <c r="B1551" s="25" t="str">
        <f aca="false">IF(OR(C1551="",I1551="",G1551=""),"",IFERROR(VLOOKUP(I1551,Setup!$A$9:$B$11,2,0),"???")&amp;"-"&amp;G1551&amp;"-"&amp;TEXT(COUNTIFS(I$5:I1551,I1551,G$5:G1551,G1551),"0000"))</f>
        <v/>
      </c>
      <c r="C1551" s="26"/>
      <c r="D1551" s="26"/>
      <c r="E1551" s="27"/>
      <c r="F1551" s="27"/>
      <c r="G1551" s="24" t="str">
        <f aca="false">IF(F1551="","",IF(F1551&lt;=5,"A",IF(F1551&lt;=8,"B",IF(F1551&lt;=10,"C","D"))))</f>
        <v/>
      </c>
      <c r="H1551" s="28"/>
      <c r="I1551" s="27"/>
      <c r="J1551" s="26"/>
      <c r="K1551" s="27"/>
      <c r="L1551" s="27"/>
      <c r="M1551" s="27"/>
      <c r="N1551" s="27"/>
      <c r="O1551" s="24" t="str">
        <f aca="false">IF(G1551="","",VLOOKUP(G1551,Setup!$A$14:$C$17,3,0))</f>
        <v/>
      </c>
      <c r="P1551" s="27"/>
      <c r="Q1551" s="29" t="str">
        <f aca="false">IF(OR(P1551="",M1551&lt;&gt;"Paid",O1551=""),"",P1551/O1551)</f>
        <v/>
      </c>
      <c r="R1551" s="30" t="str">
        <f aca="false">IF(Q1551="","",Q1551+N(H1551)*0.000000001)</f>
        <v/>
      </c>
      <c r="S1551" s="25" t="str">
        <f aca="false">IF(R1551="","",SUMPRODUCT((I$5:I$4004=I1551)*ISNUMBER(R$5:R$4004)*(R$5:R$4004&gt;R1551))+1)</f>
        <v/>
      </c>
      <c r="T1551" s="25" t="str">
        <f aca="false">IF(S1551="","",IF(S1551&lt;=Setup!$B$5,"🏆 WINNER",""))</f>
        <v/>
      </c>
      <c r="U1551" s="24" t="str">
        <f aca="false">IF(S1551="","",I1551&amp;"|"&amp;S1551)</f>
        <v/>
      </c>
    </row>
    <row r="1552" customFormat="false" ht="15" hidden="false" customHeight="false" outlineLevel="0" collapsed="false">
      <c r="A1552" s="31" t="n">
        <v>1548</v>
      </c>
      <c r="B1552" s="32" t="str">
        <f aca="false">IF(OR(C1552="",I1552="",G1552=""),"",IFERROR(VLOOKUP(I1552,Setup!$A$9:$B$11,2,0),"???")&amp;"-"&amp;G1552&amp;"-"&amp;TEXT(COUNTIFS(I$5:I1552,I1552,G$5:G1552,G1552),"0000"))</f>
        <v/>
      </c>
      <c r="C1552" s="26"/>
      <c r="D1552" s="26"/>
      <c r="E1552" s="27"/>
      <c r="F1552" s="27"/>
      <c r="G1552" s="31" t="str">
        <f aca="false">IF(F1552="","",IF(F1552&lt;=5,"A",IF(F1552&lt;=8,"B",IF(F1552&lt;=10,"C","D"))))</f>
        <v/>
      </c>
      <c r="H1552" s="28"/>
      <c r="I1552" s="27"/>
      <c r="J1552" s="26"/>
      <c r="K1552" s="27"/>
      <c r="L1552" s="27"/>
      <c r="M1552" s="27"/>
      <c r="N1552" s="27"/>
      <c r="O1552" s="31" t="str">
        <f aca="false">IF(G1552="","",VLOOKUP(G1552,Setup!$A$14:$C$17,3,0))</f>
        <v/>
      </c>
      <c r="P1552" s="27"/>
      <c r="Q1552" s="33" t="str">
        <f aca="false">IF(OR(P1552="",M1552&lt;&gt;"Paid",O1552=""),"",P1552/O1552)</f>
        <v/>
      </c>
      <c r="R1552" s="34" t="str">
        <f aca="false">IF(Q1552="","",Q1552+N(H1552)*0.000000001)</f>
        <v/>
      </c>
      <c r="S1552" s="32" t="str">
        <f aca="false">IF(R1552="","",SUMPRODUCT((I$5:I$4004=I1552)*ISNUMBER(R$5:R$4004)*(R$5:R$4004&gt;R1552))+1)</f>
        <v/>
      </c>
      <c r="T1552" s="32" t="str">
        <f aca="false">IF(S1552="","",IF(S1552&lt;=Setup!$B$5,"🏆 WINNER",""))</f>
        <v/>
      </c>
      <c r="U1552" s="31" t="str">
        <f aca="false">IF(S1552="","",I1552&amp;"|"&amp;S1552)</f>
        <v/>
      </c>
    </row>
    <row r="1553" customFormat="false" ht="15" hidden="false" customHeight="false" outlineLevel="0" collapsed="false">
      <c r="A1553" s="24" t="n">
        <v>1549</v>
      </c>
      <c r="B1553" s="25" t="str">
        <f aca="false">IF(OR(C1553="",I1553="",G1553=""),"",IFERROR(VLOOKUP(I1553,Setup!$A$9:$B$11,2,0),"???")&amp;"-"&amp;G1553&amp;"-"&amp;TEXT(COUNTIFS(I$5:I1553,I1553,G$5:G1553,G1553),"0000"))</f>
        <v/>
      </c>
      <c r="C1553" s="26"/>
      <c r="D1553" s="26"/>
      <c r="E1553" s="27"/>
      <c r="F1553" s="27"/>
      <c r="G1553" s="24" t="str">
        <f aca="false">IF(F1553="","",IF(F1553&lt;=5,"A",IF(F1553&lt;=8,"B",IF(F1553&lt;=10,"C","D"))))</f>
        <v/>
      </c>
      <c r="H1553" s="28"/>
      <c r="I1553" s="27"/>
      <c r="J1553" s="26"/>
      <c r="K1553" s="27"/>
      <c r="L1553" s="27"/>
      <c r="M1553" s="27"/>
      <c r="N1553" s="27"/>
      <c r="O1553" s="24" t="str">
        <f aca="false">IF(G1553="","",VLOOKUP(G1553,Setup!$A$14:$C$17,3,0))</f>
        <v/>
      </c>
      <c r="P1553" s="27"/>
      <c r="Q1553" s="29" t="str">
        <f aca="false">IF(OR(P1553="",M1553&lt;&gt;"Paid",O1553=""),"",P1553/O1553)</f>
        <v/>
      </c>
      <c r="R1553" s="30" t="str">
        <f aca="false">IF(Q1553="","",Q1553+N(H1553)*0.000000001)</f>
        <v/>
      </c>
      <c r="S1553" s="25" t="str">
        <f aca="false">IF(R1553="","",SUMPRODUCT((I$5:I$4004=I1553)*ISNUMBER(R$5:R$4004)*(R$5:R$4004&gt;R1553))+1)</f>
        <v/>
      </c>
      <c r="T1553" s="25" t="str">
        <f aca="false">IF(S1553="","",IF(S1553&lt;=Setup!$B$5,"🏆 WINNER",""))</f>
        <v/>
      </c>
      <c r="U1553" s="24" t="str">
        <f aca="false">IF(S1553="","",I1553&amp;"|"&amp;S1553)</f>
        <v/>
      </c>
    </row>
    <row r="1554" customFormat="false" ht="15" hidden="false" customHeight="false" outlineLevel="0" collapsed="false">
      <c r="A1554" s="31" t="n">
        <v>1550</v>
      </c>
      <c r="B1554" s="32" t="str">
        <f aca="false">IF(OR(C1554="",I1554="",G1554=""),"",IFERROR(VLOOKUP(I1554,Setup!$A$9:$B$11,2,0),"???")&amp;"-"&amp;G1554&amp;"-"&amp;TEXT(COUNTIFS(I$5:I1554,I1554,G$5:G1554,G1554),"0000"))</f>
        <v/>
      </c>
      <c r="C1554" s="26"/>
      <c r="D1554" s="26"/>
      <c r="E1554" s="27"/>
      <c r="F1554" s="27"/>
      <c r="G1554" s="31" t="str">
        <f aca="false">IF(F1554="","",IF(F1554&lt;=5,"A",IF(F1554&lt;=8,"B",IF(F1554&lt;=10,"C","D"))))</f>
        <v/>
      </c>
      <c r="H1554" s="28"/>
      <c r="I1554" s="27"/>
      <c r="J1554" s="26"/>
      <c r="K1554" s="27"/>
      <c r="L1554" s="27"/>
      <c r="M1554" s="27"/>
      <c r="N1554" s="27"/>
      <c r="O1554" s="31" t="str">
        <f aca="false">IF(G1554="","",VLOOKUP(G1554,Setup!$A$14:$C$17,3,0))</f>
        <v/>
      </c>
      <c r="P1554" s="27"/>
      <c r="Q1554" s="33" t="str">
        <f aca="false">IF(OR(P1554="",M1554&lt;&gt;"Paid",O1554=""),"",P1554/O1554)</f>
        <v/>
      </c>
      <c r="R1554" s="34" t="str">
        <f aca="false">IF(Q1554="","",Q1554+N(H1554)*0.000000001)</f>
        <v/>
      </c>
      <c r="S1554" s="32" t="str">
        <f aca="false">IF(R1554="","",SUMPRODUCT((I$5:I$4004=I1554)*ISNUMBER(R$5:R$4004)*(R$5:R$4004&gt;R1554))+1)</f>
        <v/>
      </c>
      <c r="T1554" s="32" t="str">
        <f aca="false">IF(S1554="","",IF(S1554&lt;=Setup!$B$5,"🏆 WINNER",""))</f>
        <v/>
      </c>
      <c r="U1554" s="31" t="str">
        <f aca="false">IF(S1554="","",I1554&amp;"|"&amp;S1554)</f>
        <v/>
      </c>
    </row>
    <row r="1555" customFormat="false" ht="15" hidden="false" customHeight="false" outlineLevel="0" collapsed="false">
      <c r="A1555" s="24" t="n">
        <v>1551</v>
      </c>
      <c r="B1555" s="25" t="str">
        <f aca="false">IF(OR(C1555="",I1555="",G1555=""),"",IFERROR(VLOOKUP(I1555,Setup!$A$9:$B$11,2,0),"???")&amp;"-"&amp;G1555&amp;"-"&amp;TEXT(COUNTIFS(I$5:I1555,I1555,G$5:G1555,G1555),"0000"))</f>
        <v/>
      </c>
      <c r="C1555" s="26"/>
      <c r="D1555" s="26"/>
      <c r="E1555" s="27"/>
      <c r="F1555" s="27"/>
      <c r="G1555" s="24" t="str">
        <f aca="false">IF(F1555="","",IF(F1555&lt;=5,"A",IF(F1555&lt;=8,"B",IF(F1555&lt;=10,"C","D"))))</f>
        <v/>
      </c>
      <c r="H1555" s="28"/>
      <c r="I1555" s="27"/>
      <c r="J1555" s="26"/>
      <c r="K1555" s="27"/>
      <c r="L1555" s="27"/>
      <c r="M1555" s="27"/>
      <c r="N1555" s="27"/>
      <c r="O1555" s="24" t="str">
        <f aca="false">IF(G1555="","",VLOOKUP(G1555,Setup!$A$14:$C$17,3,0))</f>
        <v/>
      </c>
      <c r="P1555" s="27"/>
      <c r="Q1555" s="29" t="str">
        <f aca="false">IF(OR(P1555="",M1555&lt;&gt;"Paid",O1555=""),"",P1555/O1555)</f>
        <v/>
      </c>
      <c r="R1555" s="30" t="str">
        <f aca="false">IF(Q1555="","",Q1555+N(H1555)*0.000000001)</f>
        <v/>
      </c>
      <c r="S1555" s="25" t="str">
        <f aca="false">IF(R1555="","",SUMPRODUCT((I$5:I$4004=I1555)*ISNUMBER(R$5:R$4004)*(R$5:R$4004&gt;R1555))+1)</f>
        <v/>
      </c>
      <c r="T1555" s="25" t="str">
        <f aca="false">IF(S1555="","",IF(S1555&lt;=Setup!$B$5,"🏆 WINNER",""))</f>
        <v/>
      </c>
      <c r="U1555" s="24" t="str">
        <f aca="false">IF(S1555="","",I1555&amp;"|"&amp;S1555)</f>
        <v/>
      </c>
    </row>
    <row r="1556" customFormat="false" ht="15" hidden="false" customHeight="false" outlineLevel="0" collapsed="false">
      <c r="A1556" s="31" t="n">
        <v>1552</v>
      </c>
      <c r="B1556" s="32" t="str">
        <f aca="false">IF(OR(C1556="",I1556="",G1556=""),"",IFERROR(VLOOKUP(I1556,Setup!$A$9:$B$11,2,0),"???")&amp;"-"&amp;G1556&amp;"-"&amp;TEXT(COUNTIFS(I$5:I1556,I1556,G$5:G1556,G1556),"0000"))</f>
        <v/>
      </c>
      <c r="C1556" s="26"/>
      <c r="D1556" s="26"/>
      <c r="E1556" s="27"/>
      <c r="F1556" s="27"/>
      <c r="G1556" s="31" t="str">
        <f aca="false">IF(F1556="","",IF(F1556&lt;=5,"A",IF(F1556&lt;=8,"B",IF(F1556&lt;=10,"C","D"))))</f>
        <v/>
      </c>
      <c r="H1556" s="28"/>
      <c r="I1556" s="27"/>
      <c r="J1556" s="26"/>
      <c r="K1556" s="27"/>
      <c r="L1556" s="27"/>
      <c r="M1556" s="27"/>
      <c r="N1556" s="27"/>
      <c r="O1556" s="31" t="str">
        <f aca="false">IF(G1556="","",VLOOKUP(G1556,Setup!$A$14:$C$17,3,0))</f>
        <v/>
      </c>
      <c r="P1556" s="27"/>
      <c r="Q1556" s="33" t="str">
        <f aca="false">IF(OR(P1556="",M1556&lt;&gt;"Paid",O1556=""),"",P1556/O1556)</f>
        <v/>
      </c>
      <c r="R1556" s="34" t="str">
        <f aca="false">IF(Q1556="","",Q1556+N(H1556)*0.000000001)</f>
        <v/>
      </c>
      <c r="S1556" s="32" t="str">
        <f aca="false">IF(R1556="","",SUMPRODUCT((I$5:I$4004=I1556)*ISNUMBER(R$5:R$4004)*(R$5:R$4004&gt;R1556))+1)</f>
        <v/>
      </c>
      <c r="T1556" s="32" t="str">
        <f aca="false">IF(S1556="","",IF(S1556&lt;=Setup!$B$5,"🏆 WINNER",""))</f>
        <v/>
      </c>
      <c r="U1556" s="31" t="str">
        <f aca="false">IF(S1556="","",I1556&amp;"|"&amp;S1556)</f>
        <v/>
      </c>
    </row>
    <row r="1557" customFormat="false" ht="15" hidden="false" customHeight="false" outlineLevel="0" collapsed="false">
      <c r="A1557" s="24" t="n">
        <v>1553</v>
      </c>
      <c r="B1557" s="25" t="str">
        <f aca="false">IF(OR(C1557="",I1557="",G1557=""),"",IFERROR(VLOOKUP(I1557,Setup!$A$9:$B$11,2,0),"???")&amp;"-"&amp;G1557&amp;"-"&amp;TEXT(COUNTIFS(I$5:I1557,I1557,G$5:G1557,G1557),"0000"))</f>
        <v/>
      </c>
      <c r="C1557" s="26"/>
      <c r="D1557" s="26"/>
      <c r="E1557" s="27"/>
      <c r="F1557" s="27"/>
      <c r="G1557" s="24" t="str">
        <f aca="false">IF(F1557="","",IF(F1557&lt;=5,"A",IF(F1557&lt;=8,"B",IF(F1557&lt;=10,"C","D"))))</f>
        <v/>
      </c>
      <c r="H1557" s="28"/>
      <c r="I1557" s="27"/>
      <c r="J1557" s="26"/>
      <c r="K1557" s="27"/>
      <c r="L1557" s="27"/>
      <c r="M1557" s="27"/>
      <c r="N1557" s="27"/>
      <c r="O1557" s="24" t="str">
        <f aca="false">IF(G1557="","",VLOOKUP(G1557,Setup!$A$14:$C$17,3,0))</f>
        <v/>
      </c>
      <c r="P1557" s="27"/>
      <c r="Q1557" s="29" t="str">
        <f aca="false">IF(OR(P1557="",M1557&lt;&gt;"Paid",O1557=""),"",P1557/O1557)</f>
        <v/>
      </c>
      <c r="R1557" s="30" t="str">
        <f aca="false">IF(Q1557="","",Q1557+N(H1557)*0.000000001)</f>
        <v/>
      </c>
      <c r="S1557" s="25" t="str">
        <f aca="false">IF(R1557="","",SUMPRODUCT((I$5:I$4004=I1557)*ISNUMBER(R$5:R$4004)*(R$5:R$4004&gt;R1557))+1)</f>
        <v/>
      </c>
      <c r="T1557" s="25" t="str">
        <f aca="false">IF(S1557="","",IF(S1557&lt;=Setup!$B$5,"🏆 WINNER",""))</f>
        <v/>
      </c>
      <c r="U1557" s="24" t="str">
        <f aca="false">IF(S1557="","",I1557&amp;"|"&amp;S1557)</f>
        <v/>
      </c>
    </row>
    <row r="1558" customFormat="false" ht="15" hidden="false" customHeight="false" outlineLevel="0" collapsed="false">
      <c r="A1558" s="31" t="n">
        <v>1554</v>
      </c>
      <c r="B1558" s="32" t="str">
        <f aca="false">IF(OR(C1558="",I1558="",G1558=""),"",IFERROR(VLOOKUP(I1558,Setup!$A$9:$B$11,2,0),"???")&amp;"-"&amp;G1558&amp;"-"&amp;TEXT(COUNTIFS(I$5:I1558,I1558,G$5:G1558,G1558),"0000"))</f>
        <v/>
      </c>
      <c r="C1558" s="26"/>
      <c r="D1558" s="26"/>
      <c r="E1558" s="27"/>
      <c r="F1558" s="27"/>
      <c r="G1558" s="31" t="str">
        <f aca="false">IF(F1558="","",IF(F1558&lt;=5,"A",IF(F1558&lt;=8,"B",IF(F1558&lt;=10,"C","D"))))</f>
        <v/>
      </c>
      <c r="H1558" s="28"/>
      <c r="I1558" s="27"/>
      <c r="J1558" s="26"/>
      <c r="K1558" s="27"/>
      <c r="L1558" s="27"/>
      <c r="M1558" s="27"/>
      <c r="N1558" s="27"/>
      <c r="O1558" s="31" t="str">
        <f aca="false">IF(G1558="","",VLOOKUP(G1558,Setup!$A$14:$C$17,3,0))</f>
        <v/>
      </c>
      <c r="P1558" s="27"/>
      <c r="Q1558" s="33" t="str">
        <f aca="false">IF(OR(P1558="",M1558&lt;&gt;"Paid",O1558=""),"",P1558/O1558)</f>
        <v/>
      </c>
      <c r="R1558" s="34" t="str">
        <f aca="false">IF(Q1558="","",Q1558+N(H1558)*0.000000001)</f>
        <v/>
      </c>
      <c r="S1558" s="32" t="str">
        <f aca="false">IF(R1558="","",SUMPRODUCT((I$5:I$4004=I1558)*ISNUMBER(R$5:R$4004)*(R$5:R$4004&gt;R1558))+1)</f>
        <v/>
      </c>
      <c r="T1558" s="32" t="str">
        <f aca="false">IF(S1558="","",IF(S1558&lt;=Setup!$B$5,"🏆 WINNER",""))</f>
        <v/>
      </c>
      <c r="U1558" s="31" t="str">
        <f aca="false">IF(S1558="","",I1558&amp;"|"&amp;S1558)</f>
        <v/>
      </c>
    </row>
    <row r="1559" customFormat="false" ht="15" hidden="false" customHeight="false" outlineLevel="0" collapsed="false">
      <c r="A1559" s="24" t="n">
        <v>1555</v>
      </c>
      <c r="B1559" s="25" t="str">
        <f aca="false">IF(OR(C1559="",I1559="",G1559=""),"",IFERROR(VLOOKUP(I1559,Setup!$A$9:$B$11,2,0),"???")&amp;"-"&amp;G1559&amp;"-"&amp;TEXT(COUNTIFS(I$5:I1559,I1559,G$5:G1559,G1559),"0000"))</f>
        <v/>
      </c>
      <c r="C1559" s="26"/>
      <c r="D1559" s="26"/>
      <c r="E1559" s="27"/>
      <c r="F1559" s="27"/>
      <c r="G1559" s="24" t="str">
        <f aca="false">IF(F1559="","",IF(F1559&lt;=5,"A",IF(F1559&lt;=8,"B",IF(F1559&lt;=10,"C","D"))))</f>
        <v/>
      </c>
      <c r="H1559" s="28"/>
      <c r="I1559" s="27"/>
      <c r="J1559" s="26"/>
      <c r="K1559" s="27"/>
      <c r="L1559" s="27"/>
      <c r="M1559" s="27"/>
      <c r="N1559" s="27"/>
      <c r="O1559" s="24" t="str">
        <f aca="false">IF(G1559="","",VLOOKUP(G1559,Setup!$A$14:$C$17,3,0))</f>
        <v/>
      </c>
      <c r="P1559" s="27"/>
      <c r="Q1559" s="29" t="str">
        <f aca="false">IF(OR(P1559="",M1559&lt;&gt;"Paid",O1559=""),"",P1559/O1559)</f>
        <v/>
      </c>
      <c r="R1559" s="30" t="str">
        <f aca="false">IF(Q1559="","",Q1559+N(H1559)*0.000000001)</f>
        <v/>
      </c>
      <c r="S1559" s="25" t="str">
        <f aca="false">IF(R1559="","",SUMPRODUCT((I$5:I$4004=I1559)*ISNUMBER(R$5:R$4004)*(R$5:R$4004&gt;R1559))+1)</f>
        <v/>
      </c>
      <c r="T1559" s="25" t="str">
        <f aca="false">IF(S1559="","",IF(S1559&lt;=Setup!$B$5,"🏆 WINNER",""))</f>
        <v/>
      </c>
      <c r="U1559" s="24" t="str">
        <f aca="false">IF(S1559="","",I1559&amp;"|"&amp;S1559)</f>
        <v/>
      </c>
    </row>
    <row r="1560" customFormat="false" ht="15" hidden="false" customHeight="false" outlineLevel="0" collapsed="false">
      <c r="A1560" s="31" t="n">
        <v>1556</v>
      </c>
      <c r="B1560" s="32" t="str">
        <f aca="false">IF(OR(C1560="",I1560="",G1560=""),"",IFERROR(VLOOKUP(I1560,Setup!$A$9:$B$11,2,0),"???")&amp;"-"&amp;G1560&amp;"-"&amp;TEXT(COUNTIFS(I$5:I1560,I1560,G$5:G1560,G1560),"0000"))</f>
        <v/>
      </c>
      <c r="C1560" s="26"/>
      <c r="D1560" s="26"/>
      <c r="E1560" s="27"/>
      <c r="F1560" s="27"/>
      <c r="G1560" s="31" t="str">
        <f aca="false">IF(F1560="","",IF(F1560&lt;=5,"A",IF(F1560&lt;=8,"B",IF(F1560&lt;=10,"C","D"))))</f>
        <v/>
      </c>
      <c r="H1560" s="28"/>
      <c r="I1560" s="27"/>
      <c r="J1560" s="26"/>
      <c r="K1560" s="27"/>
      <c r="L1560" s="27"/>
      <c r="M1560" s="27"/>
      <c r="N1560" s="27"/>
      <c r="O1560" s="31" t="str">
        <f aca="false">IF(G1560="","",VLOOKUP(G1560,Setup!$A$14:$C$17,3,0))</f>
        <v/>
      </c>
      <c r="P1560" s="27"/>
      <c r="Q1560" s="33" t="str">
        <f aca="false">IF(OR(P1560="",M1560&lt;&gt;"Paid",O1560=""),"",P1560/O1560)</f>
        <v/>
      </c>
      <c r="R1560" s="34" t="str">
        <f aca="false">IF(Q1560="","",Q1560+N(H1560)*0.000000001)</f>
        <v/>
      </c>
      <c r="S1560" s="32" t="str">
        <f aca="false">IF(R1560="","",SUMPRODUCT((I$5:I$4004=I1560)*ISNUMBER(R$5:R$4004)*(R$5:R$4004&gt;R1560))+1)</f>
        <v/>
      </c>
      <c r="T1560" s="32" t="str">
        <f aca="false">IF(S1560="","",IF(S1560&lt;=Setup!$B$5,"🏆 WINNER",""))</f>
        <v/>
      </c>
      <c r="U1560" s="31" t="str">
        <f aca="false">IF(S1560="","",I1560&amp;"|"&amp;S1560)</f>
        <v/>
      </c>
    </row>
    <row r="1561" customFormat="false" ht="15" hidden="false" customHeight="false" outlineLevel="0" collapsed="false">
      <c r="A1561" s="24" t="n">
        <v>1557</v>
      </c>
      <c r="B1561" s="25" t="str">
        <f aca="false">IF(OR(C1561="",I1561="",G1561=""),"",IFERROR(VLOOKUP(I1561,Setup!$A$9:$B$11,2,0),"???")&amp;"-"&amp;G1561&amp;"-"&amp;TEXT(COUNTIFS(I$5:I1561,I1561,G$5:G1561,G1561),"0000"))</f>
        <v/>
      </c>
      <c r="C1561" s="26"/>
      <c r="D1561" s="26"/>
      <c r="E1561" s="27"/>
      <c r="F1561" s="27"/>
      <c r="G1561" s="24" t="str">
        <f aca="false">IF(F1561="","",IF(F1561&lt;=5,"A",IF(F1561&lt;=8,"B",IF(F1561&lt;=10,"C","D"))))</f>
        <v/>
      </c>
      <c r="H1561" s="28"/>
      <c r="I1561" s="27"/>
      <c r="J1561" s="26"/>
      <c r="K1561" s="27"/>
      <c r="L1561" s="27"/>
      <c r="M1561" s="27"/>
      <c r="N1561" s="27"/>
      <c r="O1561" s="24" t="str">
        <f aca="false">IF(G1561="","",VLOOKUP(G1561,Setup!$A$14:$C$17,3,0))</f>
        <v/>
      </c>
      <c r="P1561" s="27"/>
      <c r="Q1561" s="29" t="str">
        <f aca="false">IF(OR(P1561="",M1561&lt;&gt;"Paid",O1561=""),"",P1561/O1561)</f>
        <v/>
      </c>
      <c r="R1561" s="30" t="str">
        <f aca="false">IF(Q1561="","",Q1561+N(H1561)*0.000000001)</f>
        <v/>
      </c>
      <c r="S1561" s="25" t="str">
        <f aca="false">IF(R1561="","",SUMPRODUCT((I$5:I$4004=I1561)*ISNUMBER(R$5:R$4004)*(R$5:R$4004&gt;R1561))+1)</f>
        <v/>
      </c>
      <c r="T1561" s="25" t="str">
        <f aca="false">IF(S1561="","",IF(S1561&lt;=Setup!$B$5,"🏆 WINNER",""))</f>
        <v/>
      </c>
      <c r="U1561" s="24" t="str">
        <f aca="false">IF(S1561="","",I1561&amp;"|"&amp;S1561)</f>
        <v/>
      </c>
    </row>
    <row r="1562" customFormat="false" ht="15" hidden="false" customHeight="false" outlineLevel="0" collapsed="false">
      <c r="A1562" s="31" t="n">
        <v>1558</v>
      </c>
      <c r="B1562" s="32" t="str">
        <f aca="false">IF(OR(C1562="",I1562="",G1562=""),"",IFERROR(VLOOKUP(I1562,Setup!$A$9:$B$11,2,0),"???")&amp;"-"&amp;G1562&amp;"-"&amp;TEXT(COUNTIFS(I$5:I1562,I1562,G$5:G1562,G1562),"0000"))</f>
        <v/>
      </c>
      <c r="C1562" s="26"/>
      <c r="D1562" s="26"/>
      <c r="E1562" s="27"/>
      <c r="F1562" s="27"/>
      <c r="G1562" s="31" t="str">
        <f aca="false">IF(F1562="","",IF(F1562&lt;=5,"A",IF(F1562&lt;=8,"B",IF(F1562&lt;=10,"C","D"))))</f>
        <v/>
      </c>
      <c r="H1562" s="28"/>
      <c r="I1562" s="27"/>
      <c r="J1562" s="26"/>
      <c r="K1562" s="27"/>
      <c r="L1562" s="27"/>
      <c r="M1562" s="27"/>
      <c r="N1562" s="27"/>
      <c r="O1562" s="31" t="str">
        <f aca="false">IF(G1562="","",VLOOKUP(G1562,Setup!$A$14:$C$17,3,0))</f>
        <v/>
      </c>
      <c r="P1562" s="27"/>
      <c r="Q1562" s="33" t="str">
        <f aca="false">IF(OR(P1562="",M1562&lt;&gt;"Paid",O1562=""),"",P1562/O1562)</f>
        <v/>
      </c>
      <c r="R1562" s="34" t="str">
        <f aca="false">IF(Q1562="","",Q1562+N(H1562)*0.000000001)</f>
        <v/>
      </c>
      <c r="S1562" s="32" t="str">
        <f aca="false">IF(R1562="","",SUMPRODUCT((I$5:I$4004=I1562)*ISNUMBER(R$5:R$4004)*(R$5:R$4004&gt;R1562))+1)</f>
        <v/>
      </c>
      <c r="T1562" s="32" t="str">
        <f aca="false">IF(S1562="","",IF(S1562&lt;=Setup!$B$5,"🏆 WINNER",""))</f>
        <v/>
      </c>
      <c r="U1562" s="31" t="str">
        <f aca="false">IF(S1562="","",I1562&amp;"|"&amp;S1562)</f>
        <v/>
      </c>
    </row>
    <row r="1563" customFormat="false" ht="15" hidden="false" customHeight="false" outlineLevel="0" collapsed="false">
      <c r="A1563" s="24" t="n">
        <v>1559</v>
      </c>
      <c r="B1563" s="25" t="str">
        <f aca="false">IF(OR(C1563="",I1563="",G1563=""),"",IFERROR(VLOOKUP(I1563,Setup!$A$9:$B$11,2,0),"???")&amp;"-"&amp;G1563&amp;"-"&amp;TEXT(COUNTIFS(I$5:I1563,I1563,G$5:G1563,G1563),"0000"))</f>
        <v/>
      </c>
      <c r="C1563" s="26"/>
      <c r="D1563" s="26"/>
      <c r="E1563" s="27"/>
      <c r="F1563" s="27"/>
      <c r="G1563" s="24" t="str">
        <f aca="false">IF(F1563="","",IF(F1563&lt;=5,"A",IF(F1563&lt;=8,"B",IF(F1563&lt;=10,"C","D"))))</f>
        <v/>
      </c>
      <c r="H1563" s="28"/>
      <c r="I1563" s="27"/>
      <c r="J1563" s="26"/>
      <c r="K1563" s="27"/>
      <c r="L1563" s="27"/>
      <c r="M1563" s="27"/>
      <c r="N1563" s="27"/>
      <c r="O1563" s="24" t="str">
        <f aca="false">IF(G1563="","",VLOOKUP(G1563,Setup!$A$14:$C$17,3,0))</f>
        <v/>
      </c>
      <c r="P1563" s="27"/>
      <c r="Q1563" s="29" t="str">
        <f aca="false">IF(OR(P1563="",M1563&lt;&gt;"Paid",O1563=""),"",P1563/O1563)</f>
        <v/>
      </c>
      <c r="R1563" s="30" t="str">
        <f aca="false">IF(Q1563="","",Q1563+N(H1563)*0.000000001)</f>
        <v/>
      </c>
      <c r="S1563" s="25" t="str">
        <f aca="false">IF(R1563="","",SUMPRODUCT((I$5:I$4004=I1563)*ISNUMBER(R$5:R$4004)*(R$5:R$4004&gt;R1563))+1)</f>
        <v/>
      </c>
      <c r="T1563" s="25" t="str">
        <f aca="false">IF(S1563="","",IF(S1563&lt;=Setup!$B$5,"🏆 WINNER",""))</f>
        <v/>
      </c>
      <c r="U1563" s="24" t="str">
        <f aca="false">IF(S1563="","",I1563&amp;"|"&amp;S1563)</f>
        <v/>
      </c>
    </row>
    <row r="1564" customFormat="false" ht="15" hidden="false" customHeight="false" outlineLevel="0" collapsed="false">
      <c r="A1564" s="31" t="n">
        <v>1560</v>
      </c>
      <c r="B1564" s="32" t="str">
        <f aca="false">IF(OR(C1564="",I1564="",G1564=""),"",IFERROR(VLOOKUP(I1564,Setup!$A$9:$B$11,2,0),"???")&amp;"-"&amp;G1564&amp;"-"&amp;TEXT(COUNTIFS(I$5:I1564,I1564,G$5:G1564,G1564),"0000"))</f>
        <v/>
      </c>
      <c r="C1564" s="26"/>
      <c r="D1564" s="26"/>
      <c r="E1564" s="27"/>
      <c r="F1564" s="27"/>
      <c r="G1564" s="31" t="str">
        <f aca="false">IF(F1564="","",IF(F1564&lt;=5,"A",IF(F1564&lt;=8,"B",IF(F1564&lt;=10,"C","D"))))</f>
        <v/>
      </c>
      <c r="H1564" s="28"/>
      <c r="I1564" s="27"/>
      <c r="J1564" s="26"/>
      <c r="K1564" s="27"/>
      <c r="L1564" s="27"/>
      <c r="M1564" s="27"/>
      <c r="N1564" s="27"/>
      <c r="O1564" s="31" t="str">
        <f aca="false">IF(G1564="","",VLOOKUP(G1564,Setup!$A$14:$C$17,3,0))</f>
        <v/>
      </c>
      <c r="P1564" s="27"/>
      <c r="Q1564" s="33" t="str">
        <f aca="false">IF(OR(P1564="",M1564&lt;&gt;"Paid",O1564=""),"",P1564/O1564)</f>
        <v/>
      </c>
      <c r="R1564" s="34" t="str">
        <f aca="false">IF(Q1564="","",Q1564+N(H1564)*0.000000001)</f>
        <v/>
      </c>
      <c r="S1564" s="32" t="str">
        <f aca="false">IF(R1564="","",SUMPRODUCT((I$5:I$4004=I1564)*ISNUMBER(R$5:R$4004)*(R$5:R$4004&gt;R1564))+1)</f>
        <v/>
      </c>
      <c r="T1564" s="32" t="str">
        <f aca="false">IF(S1564="","",IF(S1564&lt;=Setup!$B$5,"🏆 WINNER",""))</f>
        <v/>
      </c>
      <c r="U1564" s="31" t="str">
        <f aca="false">IF(S1564="","",I1564&amp;"|"&amp;S1564)</f>
        <v/>
      </c>
    </row>
    <row r="1565" customFormat="false" ht="15" hidden="false" customHeight="false" outlineLevel="0" collapsed="false">
      <c r="A1565" s="24" t="n">
        <v>1561</v>
      </c>
      <c r="B1565" s="25" t="str">
        <f aca="false">IF(OR(C1565="",I1565="",G1565=""),"",IFERROR(VLOOKUP(I1565,Setup!$A$9:$B$11,2,0),"???")&amp;"-"&amp;G1565&amp;"-"&amp;TEXT(COUNTIFS(I$5:I1565,I1565,G$5:G1565,G1565),"0000"))</f>
        <v/>
      </c>
      <c r="C1565" s="26"/>
      <c r="D1565" s="26"/>
      <c r="E1565" s="27"/>
      <c r="F1565" s="27"/>
      <c r="G1565" s="24" t="str">
        <f aca="false">IF(F1565="","",IF(F1565&lt;=5,"A",IF(F1565&lt;=8,"B",IF(F1565&lt;=10,"C","D"))))</f>
        <v/>
      </c>
      <c r="H1565" s="28"/>
      <c r="I1565" s="27"/>
      <c r="J1565" s="26"/>
      <c r="K1565" s="27"/>
      <c r="L1565" s="27"/>
      <c r="M1565" s="27"/>
      <c r="N1565" s="27"/>
      <c r="O1565" s="24" t="str">
        <f aca="false">IF(G1565="","",VLOOKUP(G1565,Setup!$A$14:$C$17,3,0))</f>
        <v/>
      </c>
      <c r="P1565" s="27"/>
      <c r="Q1565" s="29" t="str">
        <f aca="false">IF(OR(P1565="",M1565&lt;&gt;"Paid",O1565=""),"",P1565/O1565)</f>
        <v/>
      </c>
      <c r="R1565" s="30" t="str">
        <f aca="false">IF(Q1565="","",Q1565+N(H1565)*0.000000001)</f>
        <v/>
      </c>
      <c r="S1565" s="25" t="str">
        <f aca="false">IF(R1565="","",SUMPRODUCT((I$5:I$4004=I1565)*ISNUMBER(R$5:R$4004)*(R$5:R$4004&gt;R1565))+1)</f>
        <v/>
      </c>
      <c r="T1565" s="25" t="str">
        <f aca="false">IF(S1565="","",IF(S1565&lt;=Setup!$B$5,"🏆 WINNER",""))</f>
        <v/>
      </c>
      <c r="U1565" s="24" t="str">
        <f aca="false">IF(S1565="","",I1565&amp;"|"&amp;S1565)</f>
        <v/>
      </c>
    </row>
    <row r="1566" customFormat="false" ht="15" hidden="false" customHeight="false" outlineLevel="0" collapsed="false">
      <c r="A1566" s="31" t="n">
        <v>1562</v>
      </c>
      <c r="B1566" s="32" t="str">
        <f aca="false">IF(OR(C1566="",I1566="",G1566=""),"",IFERROR(VLOOKUP(I1566,Setup!$A$9:$B$11,2,0),"???")&amp;"-"&amp;G1566&amp;"-"&amp;TEXT(COUNTIFS(I$5:I1566,I1566,G$5:G1566,G1566),"0000"))</f>
        <v/>
      </c>
      <c r="C1566" s="26"/>
      <c r="D1566" s="26"/>
      <c r="E1566" s="27"/>
      <c r="F1566" s="27"/>
      <c r="G1566" s="31" t="str">
        <f aca="false">IF(F1566="","",IF(F1566&lt;=5,"A",IF(F1566&lt;=8,"B",IF(F1566&lt;=10,"C","D"))))</f>
        <v/>
      </c>
      <c r="H1566" s="28"/>
      <c r="I1566" s="27"/>
      <c r="J1566" s="26"/>
      <c r="K1566" s="27"/>
      <c r="L1566" s="27"/>
      <c r="M1566" s="27"/>
      <c r="N1566" s="27"/>
      <c r="O1566" s="31" t="str">
        <f aca="false">IF(G1566="","",VLOOKUP(G1566,Setup!$A$14:$C$17,3,0))</f>
        <v/>
      </c>
      <c r="P1566" s="27"/>
      <c r="Q1566" s="33" t="str">
        <f aca="false">IF(OR(P1566="",M1566&lt;&gt;"Paid",O1566=""),"",P1566/O1566)</f>
        <v/>
      </c>
      <c r="R1566" s="34" t="str">
        <f aca="false">IF(Q1566="","",Q1566+N(H1566)*0.000000001)</f>
        <v/>
      </c>
      <c r="S1566" s="32" t="str">
        <f aca="false">IF(R1566="","",SUMPRODUCT((I$5:I$4004=I1566)*ISNUMBER(R$5:R$4004)*(R$5:R$4004&gt;R1566))+1)</f>
        <v/>
      </c>
      <c r="T1566" s="32" t="str">
        <f aca="false">IF(S1566="","",IF(S1566&lt;=Setup!$B$5,"🏆 WINNER",""))</f>
        <v/>
      </c>
      <c r="U1566" s="31" t="str">
        <f aca="false">IF(S1566="","",I1566&amp;"|"&amp;S1566)</f>
        <v/>
      </c>
    </row>
    <row r="1567" customFormat="false" ht="15" hidden="false" customHeight="false" outlineLevel="0" collapsed="false">
      <c r="A1567" s="24" t="n">
        <v>1563</v>
      </c>
      <c r="B1567" s="25" t="str">
        <f aca="false">IF(OR(C1567="",I1567="",G1567=""),"",IFERROR(VLOOKUP(I1567,Setup!$A$9:$B$11,2,0),"???")&amp;"-"&amp;G1567&amp;"-"&amp;TEXT(COUNTIFS(I$5:I1567,I1567,G$5:G1567,G1567),"0000"))</f>
        <v/>
      </c>
      <c r="C1567" s="26"/>
      <c r="D1567" s="26"/>
      <c r="E1567" s="27"/>
      <c r="F1567" s="27"/>
      <c r="G1567" s="24" t="str">
        <f aca="false">IF(F1567="","",IF(F1567&lt;=5,"A",IF(F1567&lt;=8,"B",IF(F1567&lt;=10,"C","D"))))</f>
        <v/>
      </c>
      <c r="H1567" s="28"/>
      <c r="I1567" s="27"/>
      <c r="J1567" s="26"/>
      <c r="K1567" s="27"/>
      <c r="L1567" s="27"/>
      <c r="M1567" s="27"/>
      <c r="N1567" s="27"/>
      <c r="O1567" s="24" t="str">
        <f aca="false">IF(G1567="","",VLOOKUP(G1567,Setup!$A$14:$C$17,3,0))</f>
        <v/>
      </c>
      <c r="P1567" s="27"/>
      <c r="Q1567" s="29" t="str">
        <f aca="false">IF(OR(P1567="",M1567&lt;&gt;"Paid",O1567=""),"",P1567/O1567)</f>
        <v/>
      </c>
      <c r="R1567" s="30" t="str">
        <f aca="false">IF(Q1567="","",Q1567+N(H1567)*0.000000001)</f>
        <v/>
      </c>
      <c r="S1567" s="25" t="str">
        <f aca="false">IF(R1567="","",SUMPRODUCT((I$5:I$4004=I1567)*ISNUMBER(R$5:R$4004)*(R$5:R$4004&gt;R1567))+1)</f>
        <v/>
      </c>
      <c r="T1567" s="25" t="str">
        <f aca="false">IF(S1567="","",IF(S1567&lt;=Setup!$B$5,"🏆 WINNER",""))</f>
        <v/>
      </c>
      <c r="U1567" s="24" t="str">
        <f aca="false">IF(S1567="","",I1567&amp;"|"&amp;S1567)</f>
        <v/>
      </c>
    </row>
    <row r="1568" customFormat="false" ht="15" hidden="false" customHeight="false" outlineLevel="0" collapsed="false">
      <c r="A1568" s="31" t="n">
        <v>1564</v>
      </c>
      <c r="B1568" s="32" t="str">
        <f aca="false">IF(OR(C1568="",I1568="",G1568=""),"",IFERROR(VLOOKUP(I1568,Setup!$A$9:$B$11,2,0),"???")&amp;"-"&amp;G1568&amp;"-"&amp;TEXT(COUNTIFS(I$5:I1568,I1568,G$5:G1568,G1568),"0000"))</f>
        <v/>
      </c>
      <c r="C1568" s="26"/>
      <c r="D1568" s="26"/>
      <c r="E1568" s="27"/>
      <c r="F1568" s="27"/>
      <c r="G1568" s="31" t="str">
        <f aca="false">IF(F1568="","",IF(F1568&lt;=5,"A",IF(F1568&lt;=8,"B",IF(F1568&lt;=10,"C","D"))))</f>
        <v/>
      </c>
      <c r="H1568" s="28"/>
      <c r="I1568" s="27"/>
      <c r="J1568" s="26"/>
      <c r="K1568" s="27"/>
      <c r="L1568" s="27"/>
      <c r="M1568" s="27"/>
      <c r="N1568" s="27"/>
      <c r="O1568" s="31" t="str">
        <f aca="false">IF(G1568="","",VLOOKUP(G1568,Setup!$A$14:$C$17,3,0))</f>
        <v/>
      </c>
      <c r="P1568" s="27"/>
      <c r="Q1568" s="33" t="str">
        <f aca="false">IF(OR(P1568="",M1568&lt;&gt;"Paid",O1568=""),"",P1568/O1568)</f>
        <v/>
      </c>
      <c r="R1568" s="34" t="str">
        <f aca="false">IF(Q1568="","",Q1568+N(H1568)*0.000000001)</f>
        <v/>
      </c>
      <c r="S1568" s="32" t="str">
        <f aca="false">IF(R1568="","",SUMPRODUCT((I$5:I$4004=I1568)*ISNUMBER(R$5:R$4004)*(R$5:R$4004&gt;R1568))+1)</f>
        <v/>
      </c>
      <c r="T1568" s="32" t="str">
        <f aca="false">IF(S1568="","",IF(S1568&lt;=Setup!$B$5,"🏆 WINNER",""))</f>
        <v/>
      </c>
      <c r="U1568" s="31" t="str">
        <f aca="false">IF(S1568="","",I1568&amp;"|"&amp;S1568)</f>
        <v/>
      </c>
    </row>
    <row r="1569" customFormat="false" ht="15" hidden="false" customHeight="false" outlineLevel="0" collapsed="false">
      <c r="A1569" s="24" t="n">
        <v>1565</v>
      </c>
      <c r="B1569" s="25" t="str">
        <f aca="false">IF(OR(C1569="",I1569="",G1569=""),"",IFERROR(VLOOKUP(I1569,Setup!$A$9:$B$11,2,0),"???")&amp;"-"&amp;G1569&amp;"-"&amp;TEXT(COUNTIFS(I$5:I1569,I1569,G$5:G1569,G1569),"0000"))</f>
        <v/>
      </c>
      <c r="C1569" s="26"/>
      <c r="D1569" s="26"/>
      <c r="E1569" s="27"/>
      <c r="F1569" s="27"/>
      <c r="G1569" s="24" t="str">
        <f aca="false">IF(F1569="","",IF(F1569&lt;=5,"A",IF(F1569&lt;=8,"B",IF(F1569&lt;=10,"C","D"))))</f>
        <v/>
      </c>
      <c r="H1569" s="28"/>
      <c r="I1569" s="27"/>
      <c r="J1569" s="26"/>
      <c r="K1569" s="27"/>
      <c r="L1569" s="27"/>
      <c r="M1569" s="27"/>
      <c r="N1569" s="27"/>
      <c r="O1569" s="24" t="str">
        <f aca="false">IF(G1569="","",VLOOKUP(G1569,Setup!$A$14:$C$17,3,0))</f>
        <v/>
      </c>
      <c r="P1569" s="27"/>
      <c r="Q1569" s="29" t="str">
        <f aca="false">IF(OR(P1569="",M1569&lt;&gt;"Paid",O1569=""),"",P1569/O1569)</f>
        <v/>
      </c>
      <c r="R1569" s="30" t="str">
        <f aca="false">IF(Q1569="","",Q1569+N(H1569)*0.000000001)</f>
        <v/>
      </c>
      <c r="S1569" s="25" t="str">
        <f aca="false">IF(R1569="","",SUMPRODUCT((I$5:I$4004=I1569)*ISNUMBER(R$5:R$4004)*(R$5:R$4004&gt;R1569))+1)</f>
        <v/>
      </c>
      <c r="T1569" s="25" t="str">
        <f aca="false">IF(S1569="","",IF(S1569&lt;=Setup!$B$5,"🏆 WINNER",""))</f>
        <v/>
      </c>
      <c r="U1569" s="24" t="str">
        <f aca="false">IF(S1569="","",I1569&amp;"|"&amp;S1569)</f>
        <v/>
      </c>
    </row>
    <row r="1570" customFormat="false" ht="15" hidden="false" customHeight="false" outlineLevel="0" collapsed="false">
      <c r="A1570" s="31" t="n">
        <v>1566</v>
      </c>
      <c r="B1570" s="32" t="str">
        <f aca="false">IF(OR(C1570="",I1570="",G1570=""),"",IFERROR(VLOOKUP(I1570,Setup!$A$9:$B$11,2,0),"???")&amp;"-"&amp;G1570&amp;"-"&amp;TEXT(COUNTIFS(I$5:I1570,I1570,G$5:G1570,G1570),"0000"))</f>
        <v/>
      </c>
      <c r="C1570" s="26"/>
      <c r="D1570" s="26"/>
      <c r="E1570" s="27"/>
      <c r="F1570" s="27"/>
      <c r="G1570" s="31" t="str">
        <f aca="false">IF(F1570="","",IF(F1570&lt;=5,"A",IF(F1570&lt;=8,"B",IF(F1570&lt;=10,"C","D"))))</f>
        <v/>
      </c>
      <c r="H1570" s="28"/>
      <c r="I1570" s="27"/>
      <c r="J1570" s="26"/>
      <c r="K1570" s="27"/>
      <c r="L1570" s="27"/>
      <c r="M1570" s="27"/>
      <c r="N1570" s="27"/>
      <c r="O1570" s="31" t="str">
        <f aca="false">IF(G1570="","",VLOOKUP(G1570,Setup!$A$14:$C$17,3,0))</f>
        <v/>
      </c>
      <c r="P1570" s="27"/>
      <c r="Q1570" s="33" t="str">
        <f aca="false">IF(OR(P1570="",M1570&lt;&gt;"Paid",O1570=""),"",P1570/O1570)</f>
        <v/>
      </c>
      <c r="R1570" s="34" t="str">
        <f aca="false">IF(Q1570="","",Q1570+N(H1570)*0.000000001)</f>
        <v/>
      </c>
      <c r="S1570" s="32" t="str">
        <f aca="false">IF(R1570="","",SUMPRODUCT((I$5:I$4004=I1570)*ISNUMBER(R$5:R$4004)*(R$5:R$4004&gt;R1570))+1)</f>
        <v/>
      </c>
      <c r="T1570" s="32" t="str">
        <f aca="false">IF(S1570="","",IF(S1570&lt;=Setup!$B$5,"🏆 WINNER",""))</f>
        <v/>
      </c>
      <c r="U1570" s="31" t="str">
        <f aca="false">IF(S1570="","",I1570&amp;"|"&amp;S1570)</f>
        <v/>
      </c>
    </row>
    <row r="1571" customFormat="false" ht="15" hidden="false" customHeight="false" outlineLevel="0" collapsed="false">
      <c r="A1571" s="24" t="n">
        <v>1567</v>
      </c>
      <c r="B1571" s="25" t="str">
        <f aca="false">IF(OR(C1571="",I1571="",G1571=""),"",IFERROR(VLOOKUP(I1571,Setup!$A$9:$B$11,2,0),"???")&amp;"-"&amp;G1571&amp;"-"&amp;TEXT(COUNTIFS(I$5:I1571,I1571,G$5:G1571,G1571),"0000"))</f>
        <v/>
      </c>
      <c r="C1571" s="26"/>
      <c r="D1571" s="26"/>
      <c r="E1571" s="27"/>
      <c r="F1571" s="27"/>
      <c r="G1571" s="24" t="str">
        <f aca="false">IF(F1571="","",IF(F1571&lt;=5,"A",IF(F1571&lt;=8,"B",IF(F1571&lt;=10,"C","D"))))</f>
        <v/>
      </c>
      <c r="H1571" s="28"/>
      <c r="I1571" s="27"/>
      <c r="J1571" s="26"/>
      <c r="K1571" s="27"/>
      <c r="L1571" s="27"/>
      <c r="M1571" s="27"/>
      <c r="N1571" s="27"/>
      <c r="O1571" s="24" t="str">
        <f aca="false">IF(G1571="","",VLOOKUP(G1571,Setup!$A$14:$C$17,3,0))</f>
        <v/>
      </c>
      <c r="P1571" s="27"/>
      <c r="Q1571" s="29" t="str">
        <f aca="false">IF(OR(P1571="",M1571&lt;&gt;"Paid",O1571=""),"",P1571/O1571)</f>
        <v/>
      </c>
      <c r="R1571" s="30" t="str">
        <f aca="false">IF(Q1571="","",Q1571+N(H1571)*0.000000001)</f>
        <v/>
      </c>
      <c r="S1571" s="25" t="str">
        <f aca="false">IF(R1571="","",SUMPRODUCT((I$5:I$4004=I1571)*ISNUMBER(R$5:R$4004)*(R$5:R$4004&gt;R1571))+1)</f>
        <v/>
      </c>
      <c r="T1571" s="25" t="str">
        <f aca="false">IF(S1571="","",IF(S1571&lt;=Setup!$B$5,"🏆 WINNER",""))</f>
        <v/>
      </c>
      <c r="U1571" s="24" t="str">
        <f aca="false">IF(S1571="","",I1571&amp;"|"&amp;S1571)</f>
        <v/>
      </c>
    </row>
    <row r="1572" customFormat="false" ht="15" hidden="false" customHeight="false" outlineLevel="0" collapsed="false">
      <c r="A1572" s="31" t="n">
        <v>1568</v>
      </c>
      <c r="B1572" s="32" t="str">
        <f aca="false">IF(OR(C1572="",I1572="",G1572=""),"",IFERROR(VLOOKUP(I1572,Setup!$A$9:$B$11,2,0),"???")&amp;"-"&amp;G1572&amp;"-"&amp;TEXT(COUNTIFS(I$5:I1572,I1572,G$5:G1572,G1572),"0000"))</f>
        <v/>
      </c>
      <c r="C1572" s="26"/>
      <c r="D1572" s="26"/>
      <c r="E1572" s="27"/>
      <c r="F1572" s="27"/>
      <c r="G1572" s="31" t="str">
        <f aca="false">IF(F1572="","",IF(F1572&lt;=5,"A",IF(F1572&lt;=8,"B",IF(F1572&lt;=10,"C","D"))))</f>
        <v/>
      </c>
      <c r="H1572" s="28"/>
      <c r="I1572" s="27"/>
      <c r="J1572" s="26"/>
      <c r="K1572" s="27"/>
      <c r="L1572" s="27"/>
      <c r="M1572" s="27"/>
      <c r="N1572" s="27"/>
      <c r="O1572" s="31" t="str">
        <f aca="false">IF(G1572="","",VLOOKUP(G1572,Setup!$A$14:$C$17,3,0))</f>
        <v/>
      </c>
      <c r="P1572" s="27"/>
      <c r="Q1572" s="33" t="str">
        <f aca="false">IF(OR(P1572="",M1572&lt;&gt;"Paid",O1572=""),"",P1572/O1572)</f>
        <v/>
      </c>
      <c r="R1572" s="34" t="str">
        <f aca="false">IF(Q1572="","",Q1572+N(H1572)*0.000000001)</f>
        <v/>
      </c>
      <c r="S1572" s="32" t="str">
        <f aca="false">IF(R1572="","",SUMPRODUCT((I$5:I$4004=I1572)*ISNUMBER(R$5:R$4004)*(R$5:R$4004&gt;R1572))+1)</f>
        <v/>
      </c>
      <c r="T1572" s="32" t="str">
        <f aca="false">IF(S1572="","",IF(S1572&lt;=Setup!$B$5,"🏆 WINNER",""))</f>
        <v/>
      </c>
      <c r="U1572" s="31" t="str">
        <f aca="false">IF(S1572="","",I1572&amp;"|"&amp;S1572)</f>
        <v/>
      </c>
    </row>
    <row r="1573" customFormat="false" ht="15" hidden="false" customHeight="false" outlineLevel="0" collapsed="false">
      <c r="A1573" s="24" t="n">
        <v>1569</v>
      </c>
      <c r="B1573" s="25" t="str">
        <f aca="false">IF(OR(C1573="",I1573="",G1573=""),"",IFERROR(VLOOKUP(I1573,Setup!$A$9:$B$11,2,0),"???")&amp;"-"&amp;G1573&amp;"-"&amp;TEXT(COUNTIFS(I$5:I1573,I1573,G$5:G1573,G1573),"0000"))</f>
        <v/>
      </c>
      <c r="C1573" s="26"/>
      <c r="D1573" s="26"/>
      <c r="E1573" s="27"/>
      <c r="F1573" s="27"/>
      <c r="G1573" s="24" t="str">
        <f aca="false">IF(F1573="","",IF(F1573&lt;=5,"A",IF(F1573&lt;=8,"B",IF(F1573&lt;=10,"C","D"))))</f>
        <v/>
      </c>
      <c r="H1573" s="28"/>
      <c r="I1573" s="27"/>
      <c r="J1573" s="26"/>
      <c r="K1573" s="27"/>
      <c r="L1573" s="27"/>
      <c r="M1573" s="27"/>
      <c r="N1573" s="27"/>
      <c r="O1573" s="24" t="str">
        <f aca="false">IF(G1573="","",VLOOKUP(G1573,Setup!$A$14:$C$17,3,0))</f>
        <v/>
      </c>
      <c r="P1573" s="27"/>
      <c r="Q1573" s="29" t="str">
        <f aca="false">IF(OR(P1573="",M1573&lt;&gt;"Paid",O1573=""),"",P1573/O1573)</f>
        <v/>
      </c>
      <c r="R1573" s="30" t="str">
        <f aca="false">IF(Q1573="","",Q1573+N(H1573)*0.000000001)</f>
        <v/>
      </c>
      <c r="S1573" s="25" t="str">
        <f aca="false">IF(R1573="","",SUMPRODUCT((I$5:I$4004=I1573)*ISNUMBER(R$5:R$4004)*(R$5:R$4004&gt;R1573))+1)</f>
        <v/>
      </c>
      <c r="T1573" s="25" t="str">
        <f aca="false">IF(S1573="","",IF(S1573&lt;=Setup!$B$5,"🏆 WINNER",""))</f>
        <v/>
      </c>
      <c r="U1573" s="24" t="str">
        <f aca="false">IF(S1573="","",I1573&amp;"|"&amp;S1573)</f>
        <v/>
      </c>
    </row>
    <row r="1574" customFormat="false" ht="15" hidden="false" customHeight="false" outlineLevel="0" collapsed="false">
      <c r="A1574" s="31" t="n">
        <v>1570</v>
      </c>
      <c r="B1574" s="32" t="str">
        <f aca="false">IF(OR(C1574="",I1574="",G1574=""),"",IFERROR(VLOOKUP(I1574,Setup!$A$9:$B$11,2,0),"???")&amp;"-"&amp;G1574&amp;"-"&amp;TEXT(COUNTIFS(I$5:I1574,I1574,G$5:G1574,G1574),"0000"))</f>
        <v/>
      </c>
      <c r="C1574" s="26"/>
      <c r="D1574" s="26"/>
      <c r="E1574" s="27"/>
      <c r="F1574" s="27"/>
      <c r="G1574" s="31" t="str">
        <f aca="false">IF(F1574="","",IF(F1574&lt;=5,"A",IF(F1574&lt;=8,"B",IF(F1574&lt;=10,"C","D"))))</f>
        <v/>
      </c>
      <c r="H1574" s="28"/>
      <c r="I1574" s="27"/>
      <c r="J1574" s="26"/>
      <c r="K1574" s="27"/>
      <c r="L1574" s="27"/>
      <c r="M1574" s="27"/>
      <c r="N1574" s="27"/>
      <c r="O1574" s="31" t="str">
        <f aca="false">IF(G1574="","",VLOOKUP(G1574,Setup!$A$14:$C$17,3,0))</f>
        <v/>
      </c>
      <c r="P1574" s="27"/>
      <c r="Q1574" s="33" t="str">
        <f aca="false">IF(OR(P1574="",M1574&lt;&gt;"Paid",O1574=""),"",P1574/O1574)</f>
        <v/>
      </c>
      <c r="R1574" s="34" t="str">
        <f aca="false">IF(Q1574="","",Q1574+N(H1574)*0.000000001)</f>
        <v/>
      </c>
      <c r="S1574" s="32" t="str">
        <f aca="false">IF(R1574="","",SUMPRODUCT((I$5:I$4004=I1574)*ISNUMBER(R$5:R$4004)*(R$5:R$4004&gt;R1574))+1)</f>
        <v/>
      </c>
      <c r="T1574" s="32" t="str">
        <f aca="false">IF(S1574="","",IF(S1574&lt;=Setup!$B$5,"🏆 WINNER",""))</f>
        <v/>
      </c>
      <c r="U1574" s="31" t="str">
        <f aca="false">IF(S1574="","",I1574&amp;"|"&amp;S1574)</f>
        <v/>
      </c>
    </row>
    <row r="1575" customFormat="false" ht="15" hidden="false" customHeight="false" outlineLevel="0" collapsed="false">
      <c r="A1575" s="24" t="n">
        <v>1571</v>
      </c>
      <c r="B1575" s="25" t="str">
        <f aca="false">IF(OR(C1575="",I1575="",G1575=""),"",IFERROR(VLOOKUP(I1575,Setup!$A$9:$B$11,2,0),"???")&amp;"-"&amp;G1575&amp;"-"&amp;TEXT(COUNTIFS(I$5:I1575,I1575,G$5:G1575,G1575),"0000"))</f>
        <v/>
      </c>
      <c r="C1575" s="26"/>
      <c r="D1575" s="26"/>
      <c r="E1575" s="27"/>
      <c r="F1575" s="27"/>
      <c r="G1575" s="24" t="str">
        <f aca="false">IF(F1575="","",IF(F1575&lt;=5,"A",IF(F1575&lt;=8,"B",IF(F1575&lt;=10,"C","D"))))</f>
        <v/>
      </c>
      <c r="H1575" s="28"/>
      <c r="I1575" s="27"/>
      <c r="J1575" s="26"/>
      <c r="K1575" s="27"/>
      <c r="L1575" s="27"/>
      <c r="M1575" s="27"/>
      <c r="N1575" s="27"/>
      <c r="O1575" s="24" t="str">
        <f aca="false">IF(G1575="","",VLOOKUP(G1575,Setup!$A$14:$C$17,3,0))</f>
        <v/>
      </c>
      <c r="P1575" s="27"/>
      <c r="Q1575" s="29" t="str">
        <f aca="false">IF(OR(P1575="",M1575&lt;&gt;"Paid",O1575=""),"",P1575/O1575)</f>
        <v/>
      </c>
      <c r="R1575" s="30" t="str">
        <f aca="false">IF(Q1575="","",Q1575+N(H1575)*0.000000001)</f>
        <v/>
      </c>
      <c r="S1575" s="25" t="str">
        <f aca="false">IF(R1575="","",SUMPRODUCT((I$5:I$4004=I1575)*ISNUMBER(R$5:R$4004)*(R$5:R$4004&gt;R1575))+1)</f>
        <v/>
      </c>
      <c r="T1575" s="25" t="str">
        <f aca="false">IF(S1575="","",IF(S1575&lt;=Setup!$B$5,"🏆 WINNER",""))</f>
        <v/>
      </c>
      <c r="U1575" s="24" t="str">
        <f aca="false">IF(S1575="","",I1575&amp;"|"&amp;S1575)</f>
        <v/>
      </c>
    </row>
    <row r="1576" customFormat="false" ht="15" hidden="false" customHeight="false" outlineLevel="0" collapsed="false">
      <c r="A1576" s="31" t="n">
        <v>1572</v>
      </c>
      <c r="B1576" s="32" t="str">
        <f aca="false">IF(OR(C1576="",I1576="",G1576=""),"",IFERROR(VLOOKUP(I1576,Setup!$A$9:$B$11,2,0),"???")&amp;"-"&amp;G1576&amp;"-"&amp;TEXT(COUNTIFS(I$5:I1576,I1576,G$5:G1576,G1576),"0000"))</f>
        <v/>
      </c>
      <c r="C1576" s="26"/>
      <c r="D1576" s="26"/>
      <c r="E1576" s="27"/>
      <c r="F1576" s="27"/>
      <c r="G1576" s="31" t="str">
        <f aca="false">IF(F1576="","",IF(F1576&lt;=5,"A",IF(F1576&lt;=8,"B",IF(F1576&lt;=10,"C","D"))))</f>
        <v/>
      </c>
      <c r="H1576" s="28"/>
      <c r="I1576" s="27"/>
      <c r="J1576" s="26"/>
      <c r="K1576" s="27"/>
      <c r="L1576" s="27"/>
      <c r="M1576" s="27"/>
      <c r="N1576" s="27"/>
      <c r="O1576" s="31" t="str">
        <f aca="false">IF(G1576="","",VLOOKUP(G1576,Setup!$A$14:$C$17,3,0))</f>
        <v/>
      </c>
      <c r="P1576" s="27"/>
      <c r="Q1576" s="33" t="str">
        <f aca="false">IF(OR(P1576="",M1576&lt;&gt;"Paid",O1576=""),"",P1576/O1576)</f>
        <v/>
      </c>
      <c r="R1576" s="34" t="str">
        <f aca="false">IF(Q1576="","",Q1576+N(H1576)*0.000000001)</f>
        <v/>
      </c>
      <c r="S1576" s="32" t="str">
        <f aca="false">IF(R1576="","",SUMPRODUCT((I$5:I$4004=I1576)*ISNUMBER(R$5:R$4004)*(R$5:R$4004&gt;R1576))+1)</f>
        <v/>
      </c>
      <c r="T1576" s="32" t="str">
        <f aca="false">IF(S1576="","",IF(S1576&lt;=Setup!$B$5,"🏆 WINNER",""))</f>
        <v/>
      </c>
      <c r="U1576" s="31" t="str">
        <f aca="false">IF(S1576="","",I1576&amp;"|"&amp;S1576)</f>
        <v/>
      </c>
    </row>
    <row r="1577" customFormat="false" ht="15" hidden="false" customHeight="false" outlineLevel="0" collapsed="false">
      <c r="A1577" s="24" t="n">
        <v>1573</v>
      </c>
      <c r="B1577" s="25" t="str">
        <f aca="false">IF(OR(C1577="",I1577="",G1577=""),"",IFERROR(VLOOKUP(I1577,Setup!$A$9:$B$11,2,0),"???")&amp;"-"&amp;G1577&amp;"-"&amp;TEXT(COUNTIFS(I$5:I1577,I1577,G$5:G1577,G1577),"0000"))</f>
        <v/>
      </c>
      <c r="C1577" s="26"/>
      <c r="D1577" s="26"/>
      <c r="E1577" s="27"/>
      <c r="F1577" s="27"/>
      <c r="G1577" s="24" t="str">
        <f aca="false">IF(F1577="","",IF(F1577&lt;=5,"A",IF(F1577&lt;=8,"B",IF(F1577&lt;=10,"C","D"))))</f>
        <v/>
      </c>
      <c r="H1577" s="28"/>
      <c r="I1577" s="27"/>
      <c r="J1577" s="26"/>
      <c r="K1577" s="27"/>
      <c r="L1577" s="27"/>
      <c r="M1577" s="27"/>
      <c r="N1577" s="27"/>
      <c r="O1577" s="24" t="str">
        <f aca="false">IF(G1577="","",VLOOKUP(G1577,Setup!$A$14:$C$17,3,0))</f>
        <v/>
      </c>
      <c r="P1577" s="27"/>
      <c r="Q1577" s="29" t="str">
        <f aca="false">IF(OR(P1577="",M1577&lt;&gt;"Paid",O1577=""),"",P1577/O1577)</f>
        <v/>
      </c>
      <c r="R1577" s="30" t="str">
        <f aca="false">IF(Q1577="","",Q1577+N(H1577)*0.000000001)</f>
        <v/>
      </c>
      <c r="S1577" s="25" t="str">
        <f aca="false">IF(R1577="","",SUMPRODUCT((I$5:I$4004=I1577)*ISNUMBER(R$5:R$4004)*(R$5:R$4004&gt;R1577))+1)</f>
        <v/>
      </c>
      <c r="T1577" s="25" t="str">
        <f aca="false">IF(S1577="","",IF(S1577&lt;=Setup!$B$5,"🏆 WINNER",""))</f>
        <v/>
      </c>
      <c r="U1577" s="24" t="str">
        <f aca="false">IF(S1577="","",I1577&amp;"|"&amp;S1577)</f>
        <v/>
      </c>
    </row>
    <row r="1578" customFormat="false" ht="15" hidden="false" customHeight="false" outlineLevel="0" collapsed="false">
      <c r="A1578" s="31" t="n">
        <v>1574</v>
      </c>
      <c r="B1578" s="32" t="str">
        <f aca="false">IF(OR(C1578="",I1578="",G1578=""),"",IFERROR(VLOOKUP(I1578,Setup!$A$9:$B$11,2,0),"???")&amp;"-"&amp;G1578&amp;"-"&amp;TEXT(COUNTIFS(I$5:I1578,I1578,G$5:G1578,G1578),"0000"))</f>
        <v/>
      </c>
      <c r="C1578" s="26"/>
      <c r="D1578" s="26"/>
      <c r="E1578" s="27"/>
      <c r="F1578" s="27"/>
      <c r="G1578" s="31" t="str">
        <f aca="false">IF(F1578="","",IF(F1578&lt;=5,"A",IF(F1578&lt;=8,"B",IF(F1578&lt;=10,"C","D"))))</f>
        <v/>
      </c>
      <c r="H1578" s="28"/>
      <c r="I1578" s="27"/>
      <c r="J1578" s="26"/>
      <c r="K1578" s="27"/>
      <c r="L1578" s="27"/>
      <c r="M1578" s="27"/>
      <c r="N1578" s="27"/>
      <c r="O1578" s="31" t="str">
        <f aca="false">IF(G1578="","",VLOOKUP(G1578,Setup!$A$14:$C$17,3,0))</f>
        <v/>
      </c>
      <c r="P1578" s="27"/>
      <c r="Q1578" s="33" t="str">
        <f aca="false">IF(OR(P1578="",M1578&lt;&gt;"Paid",O1578=""),"",P1578/O1578)</f>
        <v/>
      </c>
      <c r="R1578" s="34" t="str">
        <f aca="false">IF(Q1578="","",Q1578+N(H1578)*0.000000001)</f>
        <v/>
      </c>
      <c r="S1578" s="32" t="str">
        <f aca="false">IF(R1578="","",SUMPRODUCT((I$5:I$4004=I1578)*ISNUMBER(R$5:R$4004)*(R$5:R$4004&gt;R1578))+1)</f>
        <v/>
      </c>
      <c r="T1578" s="32" t="str">
        <f aca="false">IF(S1578="","",IF(S1578&lt;=Setup!$B$5,"🏆 WINNER",""))</f>
        <v/>
      </c>
      <c r="U1578" s="31" t="str">
        <f aca="false">IF(S1578="","",I1578&amp;"|"&amp;S1578)</f>
        <v/>
      </c>
    </row>
    <row r="1579" customFormat="false" ht="15" hidden="false" customHeight="false" outlineLevel="0" collapsed="false">
      <c r="A1579" s="24" t="n">
        <v>1575</v>
      </c>
      <c r="B1579" s="25" t="str">
        <f aca="false">IF(OR(C1579="",I1579="",G1579=""),"",IFERROR(VLOOKUP(I1579,Setup!$A$9:$B$11,2,0),"???")&amp;"-"&amp;G1579&amp;"-"&amp;TEXT(COUNTIFS(I$5:I1579,I1579,G$5:G1579,G1579),"0000"))</f>
        <v/>
      </c>
      <c r="C1579" s="26"/>
      <c r="D1579" s="26"/>
      <c r="E1579" s="27"/>
      <c r="F1579" s="27"/>
      <c r="G1579" s="24" t="str">
        <f aca="false">IF(F1579="","",IF(F1579&lt;=5,"A",IF(F1579&lt;=8,"B",IF(F1579&lt;=10,"C","D"))))</f>
        <v/>
      </c>
      <c r="H1579" s="28"/>
      <c r="I1579" s="27"/>
      <c r="J1579" s="26"/>
      <c r="K1579" s="27"/>
      <c r="L1579" s="27"/>
      <c r="M1579" s="27"/>
      <c r="N1579" s="27"/>
      <c r="O1579" s="24" t="str">
        <f aca="false">IF(G1579="","",VLOOKUP(G1579,Setup!$A$14:$C$17,3,0))</f>
        <v/>
      </c>
      <c r="P1579" s="27"/>
      <c r="Q1579" s="29" t="str">
        <f aca="false">IF(OR(P1579="",M1579&lt;&gt;"Paid",O1579=""),"",P1579/O1579)</f>
        <v/>
      </c>
      <c r="R1579" s="30" t="str">
        <f aca="false">IF(Q1579="","",Q1579+N(H1579)*0.000000001)</f>
        <v/>
      </c>
      <c r="S1579" s="25" t="str">
        <f aca="false">IF(R1579="","",SUMPRODUCT((I$5:I$4004=I1579)*ISNUMBER(R$5:R$4004)*(R$5:R$4004&gt;R1579))+1)</f>
        <v/>
      </c>
      <c r="T1579" s="25" t="str">
        <f aca="false">IF(S1579="","",IF(S1579&lt;=Setup!$B$5,"🏆 WINNER",""))</f>
        <v/>
      </c>
      <c r="U1579" s="24" t="str">
        <f aca="false">IF(S1579="","",I1579&amp;"|"&amp;S1579)</f>
        <v/>
      </c>
    </row>
    <row r="1580" customFormat="false" ht="15" hidden="false" customHeight="false" outlineLevel="0" collapsed="false">
      <c r="A1580" s="31" t="n">
        <v>1576</v>
      </c>
      <c r="B1580" s="32" t="str">
        <f aca="false">IF(OR(C1580="",I1580="",G1580=""),"",IFERROR(VLOOKUP(I1580,Setup!$A$9:$B$11,2,0),"???")&amp;"-"&amp;G1580&amp;"-"&amp;TEXT(COUNTIFS(I$5:I1580,I1580,G$5:G1580,G1580),"0000"))</f>
        <v/>
      </c>
      <c r="C1580" s="26"/>
      <c r="D1580" s="26"/>
      <c r="E1580" s="27"/>
      <c r="F1580" s="27"/>
      <c r="G1580" s="31" t="str">
        <f aca="false">IF(F1580="","",IF(F1580&lt;=5,"A",IF(F1580&lt;=8,"B",IF(F1580&lt;=10,"C","D"))))</f>
        <v/>
      </c>
      <c r="H1580" s="28"/>
      <c r="I1580" s="27"/>
      <c r="J1580" s="26"/>
      <c r="K1580" s="27"/>
      <c r="L1580" s="27"/>
      <c r="M1580" s="27"/>
      <c r="N1580" s="27"/>
      <c r="O1580" s="31" t="str">
        <f aca="false">IF(G1580="","",VLOOKUP(G1580,Setup!$A$14:$C$17,3,0))</f>
        <v/>
      </c>
      <c r="P1580" s="27"/>
      <c r="Q1580" s="33" t="str">
        <f aca="false">IF(OR(P1580="",M1580&lt;&gt;"Paid",O1580=""),"",P1580/O1580)</f>
        <v/>
      </c>
      <c r="R1580" s="34" t="str">
        <f aca="false">IF(Q1580="","",Q1580+N(H1580)*0.000000001)</f>
        <v/>
      </c>
      <c r="S1580" s="32" t="str">
        <f aca="false">IF(R1580="","",SUMPRODUCT((I$5:I$4004=I1580)*ISNUMBER(R$5:R$4004)*(R$5:R$4004&gt;R1580))+1)</f>
        <v/>
      </c>
      <c r="T1580" s="32" t="str">
        <f aca="false">IF(S1580="","",IF(S1580&lt;=Setup!$B$5,"🏆 WINNER",""))</f>
        <v/>
      </c>
      <c r="U1580" s="31" t="str">
        <f aca="false">IF(S1580="","",I1580&amp;"|"&amp;S1580)</f>
        <v/>
      </c>
    </row>
    <row r="1581" customFormat="false" ht="15" hidden="false" customHeight="false" outlineLevel="0" collapsed="false">
      <c r="A1581" s="24" t="n">
        <v>1577</v>
      </c>
      <c r="B1581" s="25" t="str">
        <f aca="false">IF(OR(C1581="",I1581="",G1581=""),"",IFERROR(VLOOKUP(I1581,Setup!$A$9:$B$11,2,0),"???")&amp;"-"&amp;G1581&amp;"-"&amp;TEXT(COUNTIFS(I$5:I1581,I1581,G$5:G1581,G1581),"0000"))</f>
        <v/>
      </c>
      <c r="C1581" s="26"/>
      <c r="D1581" s="26"/>
      <c r="E1581" s="27"/>
      <c r="F1581" s="27"/>
      <c r="G1581" s="24" t="str">
        <f aca="false">IF(F1581="","",IF(F1581&lt;=5,"A",IF(F1581&lt;=8,"B",IF(F1581&lt;=10,"C","D"))))</f>
        <v/>
      </c>
      <c r="H1581" s="28"/>
      <c r="I1581" s="27"/>
      <c r="J1581" s="26"/>
      <c r="K1581" s="27"/>
      <c r="L1581" s="27"/>
      <c r="M1581" s="27"/>
      <c r="N1581" s="27"/>
      <c r="O1581" s="24" t="str">
        <f aca="false">IF(G1581="","",VLOOKUP(G1581,Setup!$A$14:$C$17,3,0))</f>
        <v/>
      </c>
      <c r="P1581" s="27"/>
      <c r="Q1581" s="29" t="str">
        <f aca="false">IF(OR(P1581="",M1581&lt;&gt;"Paid",O1581=""),"",P1581/O1581)</f>
        <v/>
      </c>
      <c r="R1581" s="30" t="str">
        <f aca="false">IF(Q1581="","",Q1581+N(H1581)*0.000000001)</f>
        <v/>
      </c>
      <c r="S1581" s="25" t="str">
        <f aca="false">IF(R1581="","",SUMPRODUCT((I$5:I$4004=I1581)*ISNUMBER(R$5:R$4004)*(R$5:R$4004&gt;R1581))+1)</f>
        <v/>
      </c>
      <c r="T1581" s="25" t="str">
        <f aca="false">IF(S1581="","",IF(S1581&lt;=Setup!$B$5,"🏆 WINNER",""))</f>
        <v/>
      </c>
      <c r="U1581" s="24" t="str">
        <f aca="false">IF(S1581="","",I1581&amp;"|"&amp;S1581)</f>
        <v/>
      </c>
    </row>
    <row r="1582" customFormat="false" ht="15" hidden="false" customHeight="false" outlineLevel="0" collapsed="false">
      <c r="A1582" s="31" t="n">
        <v>1578</v>
      </c>
      <c r="B1582" s="32" t="str">
        <f aca="false">IF(OR(C1582="",I1582="",G1582=""),"",IFERROR(VLOOKUP(I1582,Setup!$A$9:$B$11,2,0),"???")&amp;"-"&amp;G1582&amp;"-"&amp;TEXT(COUNTIFS(I$5:I1582,I1582,G$5:G1582,G1582),"0000"))</f>
        <v/>
      </c>
      <c r="C1582" s="26"/>
      <c r="D1582" s="26"/>
      <c r="E1582" s="27"/>
      <c r="F1582" s="27"/>
      <c r="G1582" s="31" t="str">
        <f aca="false">IF(F1582="","",IF(F1582&lt;=5,"A",IF(F1582&lt;=8,"B",IF(F1582&lt;=10,"C","D"))))</f>
        <v/>
      </c>
      <c r="H1582" s="28"/>
      <c r="I1582" s="27"/>
      <c r="J1582" s="26"/>
      <c r="K1582" s="27"/>
      <c r="L1582" s="27"/>
      <c r="M1582" s="27"/>
      <c r="N1582" s="27"/>
      <c r="O1582" s="31" t="str">
        <f aca="false">IF(G1582="","",VLOOKUP(G1582,Setup!$A$14:$C$17,3,0))</f>
        <v/>
      </c>
      <c r="P1582" s="27"/>
      <c r="Q1582" s="33" t="str">
        <f aca="false">IF(OR(P1582="",M1582&lt;&gt;"Paid",O1582=""),"",P1582/O1582)</f>
        <v/>
      </c>
      <c r="R1582" s="34" t="str">
        <f aca="false">IF(Q1582="","",Q1582+N(H1582)*0.000000001)</f>
        <v/>
      </c>
      <c r="S1582" s="32" t="str">
        <f aca="false">IF(R1582="","",SUMPRODUCT((I$5:I$4004=I1582)*ISNUMBER(R$5:R$4004)*(R$5:R$4004&gt;R1582))+1)</f>
        <v/>
      </c>
      <c r="T1582" s="32" t="str">
        <f aca="false">IF(S1582="","",IF(S1582&lt;=Setup!$B$5,"🏆 WINNER",""))</f>
        <v/>
      </c>
      <c r="U1582" s="31" t="str">
        <f aca="false">IF(S1582="","",I1582&amp;"|"&amp;S1582)</f>
        <v/>
      </c>
    </row>
    <row r="1583" customFormat="false" ht="15" hidden="false" customHeight="false" outlineLevel="0" collapsed="false">
      <c r="A1583" s="24" t="n">
        <v>1579</v>
      </c>
      <c r="B1583" s="25" t="str">
        <f aca="false">IF(OR(C1583="",I1583="",G1583=""),"",IFERROR(VLOOKUP(I1583,Setup!$A$9:$B$11,2,0),"???")&amp;"-"&amp;G1583&amp;"-"&amp;TEXT(COUNTIFS(I$5:I1583,I1583,G$5:G1583,G1583),"0000"))</f>
        <v/>
      </c>
      <c r="C1583" s="26"/>
      <c r="D1583" s="26"/>
      <c r="E1583" s="27"/>
      <c r="F1583" s="27"/>
      <c r="G1583" s="24" t="str">
        <f aca="false">IF(F1583="","",IF(F1583&lt;=5,"A",IF(F1583&lt;=8,"B",IF(F1583&lt;=10,"C","D"))))</f>
        <v/>
      </c>
      <c r="H1583" s="28"/>
      <c r="I1583" s="27"/>
      <c r="J1583" s="26"/>
      <c r="K1583" s="27"/>
      <c r="L1583" s="27"/>
      <c r="M1583" s="27"/>
      <c r="N1583" s="27"/>
      <c r="O1583" s="24" t="str">
        <f aca="false">IF(G1583="","",VLOOKUP(G1583,Setup!$A$14:$C$17,3,0))</f>
        <v/>
      </c>
      <c r="P1583" s="27"/>
      <c r="Q1583" s="29" t="str">
        <f aca="false">IF(OR(P1583="",M1583&lt;&gt;"Paid",O1583=""),"",P1583/O1583)</f>
        <v/>
      </c>
      <c r="R1583" s="30" t="str">
        <f aca="false">IF(Q1583="","",Q1583+N(H1583)*0.000000001)</f>
        <v/>
      </c>
      <c r="S1583" s="25" t="str">
        <f aca="false">IF(R1583="","",SUMPRODUCT((I$5:I$4004=I1583)*ISNUMBER(R$5:R$4004)*(R$5:R$4004&gt;R1583))+1)</f>
        <v/>
      </c>
      <c r="T1583" s="25" t="str">
        <f aca="false">IF(S1583="","",IF(S1583&lt;=Setup!$B$5,"🏆 WINNER",""))</f>
        <v/>
      </c>
      <c r="U1583" s="24" t="str">
        <f aca="false">IF(S1583="","",I1583&amp;"|"&amp;S1583)</f>
        <v/>
      </c>
    </row>
    <row r="1584" customFormat="false" ht="15" hidden="false" customHeight="false" outlineLevel="0" collapsed="false">
      <c r="A1584" s="31" t="n">
        <v>1580</v>
      </c>
      <c r="B1584" s="32" t="str">
        <f aca="false">IF(OR(C1584="",I1584="",G1584=""),"",IFERROR(VLOOKUP(I1584,Setup!$A$9:$B$11,2,0),"???")&amp;"-"&amp;G1584&amp;"-"&amp;TEXT(COUNTIFS(I$5:I1584,I1584,G$5:G1584,G1584),"0000"))</f>
        <v/>
      </c>
      <c r="C1584" s="26"/>
      <c r="D1584" s="26"/>
      <c r="E1584" s="27"/>
      <c r="F1584" s="27"/>
      <c r="G1584" s="31" t="str">
        <f aca="false">IF(F1584="","",IF(F1584&lt;=5,"A",IF(F1584&lt;=8,"B",IF(F1584&lt;=10,"C","D"))))</f>
        <v/>
      </c>
      <c r="H1584" s="28"/>
      <c r="I1584" s="27"/>
      <c r="J1584" s="26"/>
      <c r="K1584" s="27"/>
      <c r="L1584" s="27"/>
      <c r="M1584" s="27"/>
      <c r="N1584" s="27"/>
      <c r="O1584" s="31" t="str">
        <f aca="false">IF(G1584="","",VLOOKUP(G1584,Setup!$A$14:$C$17,3,0))</f>
        <v/>
      </c>
      <c r="P1584" s="27"/>
      <c r="Q1584" s="33" t="str">
        <f aca="false">IF(OR(P1584="",M1584&lt;&gt;"Paid",O1584=""),"",P1584/O1584)</f>
        <v/>
      </c>
      <c r="R1584" s="34" t="str">
        <f aca="false">IF(Q1584="","",Q1584+N(H1584)*0.000000001)</f>
        <v/>
      </c>
      <c r="S1584" s="32" t="str">
        <f aca="false">IF(R1584="","",SUMPRODUCT((I$5:I$4004=I1584)*ISNUMBER(R$5:R$4004)*(R$5:R$4004&gt;R1584))+1)</f>
        <v/>
      </c>
      <c r="T1584" s="32" t="str">
        <f aca="false">IF(S1584="","",IF(S1584&lt;=Setup!$B$5,"🏆 WINNER",""))</f>
        <v/>
      </c>
      <c r="U1584" s="31" t="str">
        <f aca="false">IF(S1584="","",I1584&amp;"|"&amp;S1584)</f>
        <v/>
      </c>
    </row>
    <row r="1585" customFormat="false" ht="15" hidden="false" customHeight="false" outlineLevel="0" collapsed="false">
      <c r="A1585" s="24" t="n">
        <v>1581</v>
      </c>
      <c r="B1585" s="25" t="str">
        <f aca="false">IF(OR(C1585="",I1585="",G1585=""),"",IFERROR(VLOOKUP(I1585,Setup!$A$9:$B$11,2,0),"???")&amp;"-"&amp;G1585&amp;"-"&amp;TEXT(COUNTIFS(I$5:I1585,I1585,G$5:G1585,G1585),"0000"))</f>
        <v/>
      </c>
      <c r="C1585" s="26"/>
      <c r="D1585" s="26"/>
      <c r="E1585" s="27"/>
      <c r="F1585" s="27"/>
      <c r="G1585" s="24" t="str">
        <f aca="false">IF(F1585="","",IF(F1585&lt;=5,"A",IF(F1585&lt;=8,"B",IF(F1585&lt;=10,"C","D"))))</f>
        <v/>
      </c>
      <c r="H1585" s="28"/>
      <c r="I1585" s="27"/>
      <c r="J1585" s="26"/>
      <c r="K1585" s="27"/>
      <c r="L1585" s="27"/>
      <c r="M1585" s="27"/>
      <c r="N1585" s="27"/>
      <c r="O1585" s="24" t="str">
        <f aca="false">IF(G1585="","",VLOOKUP(G1585,Setup!$A$14:$C$17,3,0))</f>
        <v/>
      </c>
      <c r="P1585" s="27"/>
      <c r="Q1585" s="29" t="str">
        <f aca="false">IF(OR(P1585="",M1585&lt;&gt;"Paid",O1585=""),"",P1585/O1585)</f>
        <v/>
      </c>
      <c r="R1585" s="30" t="str">
        <f aca="false">IF(Q1585="","",Q1585+N(H1585)*0.000000001)</f>
        <v/>
      </c>
      <c r="S1585" s="25" t="str">
        <f aca="false">IF(R1585="","",SUMPRODUCT((I$5:I$4004=I1585)*ISNUMBER(R$5:R$4004)*(R$5:R$4004&gt;R1585))+1)</f>
        <v/>
      </c>
      <c r="T1585" s="25" t="str">
        <f aca="false">IF(S1585="","",IF(S1585&lt;=Setup!$B$5,"🏆 WINNER",""))</f>
        <v/>
      </c>
      <c r="U1585" s="24" t="str">
        <f aca="false">IF(S1585="","",I1585&amp;"|"&amp;S1585)</f>
        <v/>
      </c>
    </row>
    <row r="1586" customFormat="false" ht="15" hidden="false" customHeight="false" outlineLevel="0" collapsed="false">
      <c r="A1586" s="31" t="n">
        <v>1582</v>
      </c>
      <c r="B1586" s="32" t="str">
        <f aca="false">IF(OR(C1586="",I1586="",G1586=""),"",IFERROR(VLOOKUP(I1586,Setup!$A$9:$B$11,2,0),"???")&amp;"-"&amp;G1586&amp;"-"&amp;TEXT(COUNTIFS(I$5:I1586,I1586,G$5:G1586,G1586),"0000"))</f>
        <v/>
      </c>
      <c r="C1586" s="26"/>
      <c r="D1586" s="26"/>
      <c r="E1586" s="27"/>
      <c r="F1586" s="27"/>
      <c r="G1586" s="31" t="str">
        <f aca="false">IF(F1586="","",IF(F1586&lt;=5,"A",IF(F1586&lt;=8,"B",IF(F1586&lt;=10,"C","D"))))</f>
        <v/>
      </c>
      <c r="H1586" s="28"/>
      <c r="I1586" s="27"/>
      <c r="J1586" s="26"/>
      <c r="K1586" s="27"/>
      <c r="L1586" s="27"/>
      <c r="M1586" s="27"/>
      <c r="N1586" s="27"/>
      <c r="O1586" s="31" t="str">
        <f aca="false">IF(G1586="","",VLOOKUP(G1586,Setup!$A$14:$C$17,3,0))</f>
        <v/>
      </c>
      <c r="P1586" s="27"/>
      <c r="Q1586" s="33" t="str">
        <f aca="false">IF(OR(P1586="",M1586&lt;&gt;"Paid",O1586=""),"",P1586/O1586)</f>
        <v/>
      </c>
      <c r="R1586" s="34" t="str">
        <f aca="false">IF(Q1586="","",Q1586+N(H1586)*0.000000001)</f>
        <v/>
      </c>
      <c r="S1586" s="32" t="str">
        <f aca="false">IF(R1586="","",SUMPRODUCT((I$5:I$4004=I1586)*ISNUMBER(R$5:R$4004)*(R$5:R$4004&gt;R1586))+1)</f>
        <v/>
      </c>
      <c r="T1586" s="32" t="str">
        <f aca="false">IF(S1586="","",IF(S1586&lt;=Setup!$B$5,"🏆 WINNER",""))</f>
        <v/>
      </c>
      <c r="U1586" s="31" t="str">
        <f aca="false">IF(S1586="","",I1586&amp;"|"&amp;S1586)</f>
        <v/>
      </c>
    </row>
    <row r="1587" customFormat="false" ht="15" hidden="false" customHeight="false" outlineLevel="0" collapsed="false">
      <c r="A1587" s="24" t="n">
        <v>1583</v>
      </c>
      <c r="B1587" s="25" t="str">
        <f aca="false">IF(OR(C1587="",I1587="",G1587=""),"",IFERROR(VLOOKUP(I1587,Setup!$A$9:$B$11,2,0),"???")&amp;"-"&amp;G1587&amp;"-"&amp;TEXT(COUNTIFS(I$5:I1587,I1587,G$5:G1587,G1587),"0000"))</f>
        <v/>
      </c>
      <c r="C1587" s="26"/>
      <c r="D1587" s="26"/>
      <c r="E1587" s="27"/>
      <c r="F1587" s="27"/>
      <c r="G1587" s="24" t="str">
        <f aca="false">IF(F1587="","",IF(F1587&lt;=5,"A",IF(F1587&lt;=8,"B",IF(F1587&lt;=10,"C","D"))))</f>
        <v/>
      </c>
      <c r="H1587" s="28"/>
      <c r="I1587" s="27"/>
      <c r="J1587" s="26"/>
      <c r="K1587" s="27"/>
      <c r="L1587" s="27"/>
      <c r="M1587" s="27"/>
      <c r="N1587" s="27"/>
      <c r="O1587" s="24" t="str">
        <f aca="false">IF(G1587="","",VLOOKUP(G1587,Setup!$A$14:$C$17,3,0))</f>
        <v/>
      </c>
      <c r="P1587" s="27"/>
      <c r="Q1587" s="29" t="str">
        <f aca="false">IF(OR(P1587="",M1587&lt;&gt;"Paid",O1587=""),"",P1587/O1587)</f>
        <v/>
      </c>
      <c r="R1587" s="30" t="str">
        <f aca="false">IF(Q1587="","",Q1587+N(H1587)*0.000000001)</f>
        <v/>
      </c>
      <c r="S1587" s="25" t="str">
        <f aca="false">IF(R1587="","",SUMPRODUCT((I$5:I$4004=I1587)*ISNUMBER(R$5:R$4004)*(R$5:R$4004&gt;R1587))+1)</f>
        <v/>
      </c>
      <c r="T1587" s="25" t="str">
        <f aca="false">IF(S1587="","",IF(S1587&lt;=Setup!$B$5,"🏆 WINNER",""))</f>
        <v/>
      </c>
      <c r="U1587" s="24" t="str">
        <f aca="false">IF(S1587="","",I1587&amp;"|"&amp;S1587)</f>
        <v/>
      </c>
    </row>
    <row r="1588" customFormat="false" ht="15" hidden="false" customHeight="false" outlineLevel="0" collapsed="false">
      <c r="A1588" s="31" t="n">
        <v>1584</v>
      </c>
      <c r="B1588" s="32" t="str">
        <f aca="false">IF(OR(C1588="",I1588="",G1588=""),"",IFERROR(VLOOKUP(I1588,Setup!$A$9:$B$11,2,0),"???")&amp;"-"&amp;G1588&amp;"-"&amp;TEXT(COUNTIFS(I$5:I1588,I1588,G$5:G1588,G1588),"0000"))</f>
        <v/>
      </c>
      <c r="C1588" s="26"/>
      <c r="D1588" s="26"/>
      <c r="E1588" s="27"/>
      <c r="F1588" s="27"/>
      <c r="G1588" s="31" t="str">
        <f aca="false">IF(F1588="","",IF(F1588&lt;=5,"A",IF(F1588&lt;=8,"B",IF(F1588&lt;=10,"C","D"))))</f>
        <v/>
      </c>
      <c r="H1588" s="28"/>
      <c r="I1588" s="27"/>
      <c r="J1588" s="26"/>
      <c r="K1588" s="27"/>
      <c r="L1588" s="27"/>
      <c r="M1588" s="27"/>
      <c r="N1588" s="27"/>
      <c r="O1588" s="31" t="str">
        <f aca="false">IF(G1588="","",VLOOKUP(G1588,Setup!$A$14:$C$17,3,0))</f>
        <v/>
      </c>
      <c r="P1588" s="27"/>
      <c r="Q1588" s="33" t="str">
        <f aca="false">IF(OR(P1588="",M1588&lt;&gt;"Paid",O1588=""),"",P1588/O1588)</f>
        <v/>
      </c>
      <c r="R1588" s="34" t="str">
        <f aca="false">IF(Q1588="","",Q1588+N(H1588)*0.000000001)</f>
        <v/>
      </c>
      <c r="S1588" s="32" t="str">
        <f aca="false">IF(R1588="","",SUMPRODUCT((I$5:I$4004=I1588)*ISNUMBER(R$5:R$4004)*(R$5:R$4004&gt;R1588))+1)</f>
        <v/>
      </c>
      <c r="T1588" s="32" t="str">
        <f aca="false">IF(S1588="","",IF(S1588&lt;=Setup!$B$5,"🏆 WINNER",""))</f>
        <v/>
      </c>
      <c r="U1588" s="31" t="str">
        <f aca="false">IF(S1588="","",I1588&amp;"|"&amp;S1588)</f>
        <v/>
      </c>
    </row>
    <row r="1589" customFormat="false" ht="15" hidden="false" customHeight="false" outlineLevel="0" collapsed="false">
      <c r="A1589" s="24" t="n">
        <v>1585</v>
      </c>
      <c r="B1589" s="25" t="str">
        <f aca="false">IF(OR(C1589="",I1589="",G1589=""),"",IFERROR(VLOOKUP(I1589,Setup!$A$9:$B$11,2,0),"???")&amp;"-"&amp;G1589&amp;"-"&amp;TEXT(COUNTIFS(I$5:I1589,I1589,G$5:G1589,G1589),"0000"))</f>
        <v/>
      </c>
      <c r="C1589" s="26"/>
      <c r="D1589" s="26"/>
      <c r="E1589" s="27"/>
      <c r="F1589" s="27"/>
      <c r="G1589" s="24" t="str">
        <f aca="false">IF(F1589="","",IF(F1589&lt;=5,"A",IF(F1589&lt;=8,"B",IF(F1589&lt;=10,"C","D"))))</f>
        <v/>
      </c>
      <c r="H1589" s="28"/>
      <c r="I1589" s="27"/>
      <c r="J1589" s="26"/>
      <c r="K1589" s="27"/>
      <c r="L1589" s="27"/>
      <c r="M1589" s="27"/>
      <c r="N1589" s="27"/>
      <c r="O1589" s="24" t="str">
        <f aca="false">IF(G1589="","",VLOOKUP(G1589,Setup!$A$14:$C$17,3,0))</f>
        <v/>
      </c>
      <c r="P1589" s="27"/>
      <c r="Q1589" s="29" t="str">
        <f aca="false">IF(OR(P1589="",M1589&lt;&gt;"Paid",O1589=""),"",P1589/O1589)</f>
        <v/>
      </c>
      <c r="R1589" s="30" t="str">
        <f aca="false">IF(Q1589="","",Q1589+N(H1589)*0.000000001)</f>
        <v/>
      </c>
      <c r="S1589" s="25" t="str">
        <f aca="false">IF(R1589="","",SUMPRODUCT((I$5:I$4004=I1589)*ISNUMBER(R$5:R$4004)*(R$5:R$4004&gt;R1589))+1)</f>
        <v/>
      </c>
      <c r="T1589" s="25" t="str">
        <f aca="false">IF(S1589="","",IF(S1589&lt;=Setup!$B$5,"🏆 WINNER",""))</f>
        <v/>
      </c>
      <c r="U1589" s="24" t="str">
        <f aca="false">IF(S1589="","",I1589&amp;"|"&amp;S1589)</f>
        <v/>
      </c>
    </row>
    <row r="1590" customFormat="false" ht="15" hidden="false" customHeight="false" outlineLevel="0" collapsed="false">
      <c r="A1590" s="31" t="n">
        <v>1586</v>
      </c>
      <c r="B1590" s="32" t="str">
        <f aca="false">IF(OR(C1590="",I1590="",G1590=""),"",IFERROR(VLOOKUP(I1590,Setup!$A$9:$B$11,2,0),"???")&amp;"-"&amp;G1590&amp;"-"&amp;TEXT(COUNTIFS(I$5:I1590,I1590,G$5:G1590,G1590),"0000"))</f>
        <v/>
      </c>
      <c r="C1590" s="26"/>
      <c r="D1590" s="26"/>
      <c r="E1590" s="27"/>
      <c r="F1590" s="27"/>
      <c r="G1590" s="31" t="str">
        <f aca="false">IF(F1590="","",IF(F1590&lt;=5,"A",IF(F1590&lt;=8,"B",IF(F1590&lt;=10,"C","D"))))</f>
        <v/>
      </c>
      <c r="H1590" s="28"/>
      <c r="I1590" s="27"/>
      <c r="J1590" s="26"/>
      <c r="K1590" s="27"/>
      <c r="L1590" s="27"/>
      <c r="M1590" s="27"/>
      <c r="N1590" s="27"/>
      <c r="O1590" s="31" t="str">
        <f aca="false">IF(G1590="","",VLOOKUP(G1590,Setup!$A$14:$C$17,3,0))</f>
        <v/>
      </c>
      <c r="P1590" s="27"/>
      <c r="Q1590" s="33" t="str">
        <f aca="false">IF(OR(P1590="",M1590&lt;&gt;"Paid",O1590=""),"",P1590/O1590)</f>
        <v/>
      </c>
      <c r="R1590" s="34" t="str">
        <f aca="false">IF(Q1590="","",Q1590+N(H1590)*0.000000001)</f>
        <v/>
      </c>
      <c r="S1590" s="32" t="str">
        <f aca="false">IF(R1590="","",SUMPRODUCT((I$5:I$4004=I1590)*ISNUMBER(R$5:R$4004)*(R$5:R$4004&gt;R1590))+1)</f>
        <v/>
      </c>
      <c r="T1590" s="32" t="str">
        <f aca="false">IF(S1590="","",IF(S1590&lt;=Setup!$B$5,"🏆 WINNER",""))</f>
        <v/>
      </c>
      <c r="U1590" s="31" t="str">
        <f aca="false">IF(S1590="","",I1590&amp;"|"&amp;S1590)</f>
        <v/>
      </c>
    </row>
    <row r="1591" customFormat="false" ht="15" hidden="false" customHeight="false" outlineLevel="0" collapsed="false">
      <c r="A1591" s="24" t="n">
        <v>1587</v>
      </c>
      <c r="B1591" s="25" t="str">
        <f aca="false">IF(OR(C1591="",I1591="",G1591=""),"",IFERROR(VLOOKUP(I1591,Setup!$A$9:$B$11,2,0),"???")&amp;"-"&amp;G1591&amp;"-"&amp;TEXT(COUNTIFS(I$5:I1591,I1591,G$5:G1591,G1591),"0000"))</f>
        <v/>
      </c>
      <c r="C1591" s="26"/>
      <c r="D1591" s="26"/>
      <c r="E1591" s="27"/>
      <c r="F1591" s="27"/>
      <c r="G1591" s="24" t="str">
        <f aca="false">IF(F1591="","",IF(F1591&lt;=5,"A",IF(F1591&lt;=8,"B",IF(F1591&lt;=10,"C","D"))))</f>
        <v/>
      </c>
      <c r="H1591" s="28"/>
      <c r="I1591" s="27"/>
      <c r="J1591" s="26"/>
      <c r="K1591" s="27"/>
      <c r="L1591" s="27"/>
      <c r="M1591" s="27"/>
      <c r="N1591" s="27"/>
      <c r="O1591" s="24" t="str">
        <f aca="false">IF(G1591="","",VLOOKUP(G1591,Setup!$A$14:$C$17,3,0))</f>
        <v/>
      </c>
      <c r="P1591" s="27"/>
      <c r="Q1591" s="29" t="str">
        <f aca="false">IF(OR(P1591="",M1591&lt;&gt;"Paid",O1591=""),"",P1591/O1591)</f>
        <v/>
      </c>
      <c r="R1591" s="30" t="str">
        <f aca="false">IF(Q1591="","",Q1591+N(H1591)*0.000000001)</f>
        <v/>
      </c>
      <c r="S1591" s="25" t="str">
        <f aca="false">IF(R1591="","",SUMPRODUCT((I$5:I$4004=I1591)*ISNUMBER(R$5:R$4004)*(R$5:R$4004&gt;R1591))+1)</f>
        <v/>
      </c>
      <c r="T1591" s="25" t="str">
        <f aca="false">IF(S1591="","",IF(S1591&lt;=Setup!$B$5,"🏆 WINNER",""))</f>
        <v/>
      </c>
      <c r="U1591" s="24" t="str">
        <f aca="false">IF(S1591="","",I1591&amp;"|"&amp;S1591)</f>
        <v/>
      </c>
    </row>
    <row r="1592" customFormat="false" ht="15" hidden="false" customHeight="false" outlineLevel="0" collapsed="false">
      <c r="A1592" s="31" t="n">
        <v>1588</v>
      </c>
      <c r="B1592" s="32" t="str">
        <f aca="false">IF(OR(C1592="",I1592="",G1592=""),"",IFERROR(VLOOKUP(I1592,Setup!$A$9:$B$11,2,0),"???")&amp;"-"&amp;G1592&amp;"-"&amp;TEXT(COUNTIFS(I$5:I1592,I1592,G$5:G1592,G1592),"0000"))</f>
        <v/>
      </c>
      <c r="C1592" s="26"/>
      <c r="D1592" s="26"/>
      <c r="E1592" s="27"/>
      <c r="F1592" s="27"/>
      <c r="G1592" s="31" t="str">
        <f aca="false">IF(F1592="","",IF(F1592&lt;=5,"A",IF(F1592&lt;=8,"B",IF(F1592&lt;=10,"C","D"))))</f>
        <v/>
      </c>
      <c r="H1592" s="28"/>
      <c r="I1592" s="27"/>
      <c r="J1592" s="26"/>
      <c r="K1592" s="27"/>
      <c r="L1592" s="27"/>
      <c r="M1592" s="27"/>
      <c r="N1592" s="27"/>
      <c r="O1592" s="31" t="str">
        <f aca="false">IF(G1592="","",VLOOKUP(G1592,Setup!$A$14:$C$17,3,0))</f>
        <v/>
      </c>
      <c r="P1592" s="27"/>
      <c r="Q1592" s="33" t="str">
        <f aca="false">IF(OR(P1592="",M1592&lt;&gt;"Paid",O1592=""),"",P1592/O1592)</f>
        <v/>
      </c>
      <c r="R1592" s="34" t="str">
        <f aca="false">IF(Q1592="","",Q1592+N(H1592)*0.000000001)</f>
        <v/>
      </c>
      <c r="S1592" s="32" t="str">
        <f aca="false">IF(R1592="","",SUMPRODUCT((I$5:I$4004=I1592)*ISNUMBER(R$5:R$4004)*(R$5:R$4004&gt;R1592))+1)</f>
        <v/>
      </c>
      <c r="T1592" s="32" t="str">
        <f aca="false">IF(S1592="","",IF(S1592&lt;=Setup!$B$5,"🏆 WINNER",""))</f>
        <v/>
      </c>
      <c r="U1592" s="31" t="str">
        <f aca="false">IF(S1592="","",I1592&amp;"|"&amp;S1592)</f>
        <v/>
      </c>
    </row>
    <row r="1593" customFormat="false" ht="15" hidden="false" customHeight="false" outlineLevel="0" collapsed="false">
      <c r="A1593" s="24" t="n">
        <v>1589</v>
      </c>
      <c r="B1593" s="25" t="str">
        <f aca="false">IF(OR(C1593="",I1593="",G1593=""),"",IFERROR(VLOOKUP(I1593,Setup!$A$9:$B$11,2,0),"???")&amp;"-"&amp;G1593&amp;"-"&amp;TEXT(COUNTIFS(I$5:I1593,I1593,G$5:G1593,G1593),"0000"))</f>
        <v/>
      </c>
      <c r="C1593" s="26"/>
      <c r="D1593" s="26"/>
      <c r="E1593" s="27"/>
      <c r="F1593" s="27"/>
      <c r="G1593" s="24" t="str">
        <f aca="false">IF(F1593="","",IF(F1593&lt;=5,"A",IF(F1593&lt;=8,"B",IF(F1593&lt;=10,"C","D"))))</f>
        <v/>
      </c>
      <c r="H1593" s="28"/>
      <c r="I1593" s="27"/>
      <c r="J1593" s="26"/>
      <c r="K1593" s="27"/>
      <c r="L1593" s="27"/>
      <c r="M1593" s="27"/>
      <c r="N1593" s="27"/>
      <c r="O1593" s="24" t="str">
        <f aca="false">IF(G1593="","",VLOOKUP(G1593,Setup!$A$14:$C$17,3,0))</f>
        <v/>
      </c>
      <c r="P1593" s="27"/>
      <c r="Q1593" s="29" t="str">
        <f aca="false">IF(OR(P1593="",M1593&lt;&gt;"Paid",O1593=""),"",P1593/O1593)</f>
        <v/>
      </c>
      <c r="R1593" s="30" t="str">
        <f aca="false">IF(Q1593="","",Q1593+N(H1593)*0.000000001)</f>
        <v/>
      </c>
      <c r="S1593" s="25" t="str">
        <f aca="false">IF(R1593="","",SUMPRODUCT((I$5:I$4004=I1593)*ISNUMBER(R$5:R$4004)*(R$5:R$4004&gt;R1593))+1)</f>
        <v/>
      </c>
      <c r="T1593" s="25" t="str">
        <f aca="false">IF(S1593="","",IF(S1593&lt;=Setup!$B$5,"🏆 WINNER",""))</f>
        <v/>
      </c>
      <c r="U1593" s="24" t="str">
        <f aca="false">IF(S1593="","",I1593&amp;"|"&amp;S1593)</f>
        <v/>
      </c>
    </row>
    <row r="1594" customFormat="false" ht="15" hidden="false" customHeight="false" outlineLevel="0" collapsed="false">
      <c r="A1594" s="31" t="n">
        <v>1590</v>
      </c>
      <c r="B1594" s="32" t="str">
        <f aca="false">IF(OR(C1594="",I1594="",G1594=""),"",IFERROR(VLOOKUP(I1594,Setup!$A$9:$B$11,2,0),"???")&amp;"-"&amp;G1594&amp;"-"&amp;TEXT(COUNTIFS(I$5:I1594,I1594,G$5:G1594,G1594),"0000"))</f>
        <v/>
      </c>
      <c r="C1594" s="26"/>
      <c r="D1594" s="26"/>
      <c r="E1594" s="27"/>
      <c r="F1594" s="27"/>
      <c r="G1594" s="31" t="str">
        <f aca="false">IF(F1594="","",IF(F1594&lt;=5,"A",IF(F1594&lt;=8,"B",IF(F1594&lt;=10,"C","D"))))</f>
        <v/>
      </c>
      <c r="H1594" s="28"/>
      <c r="I1594" s="27"/>
      <c r="J1594" s="26"/>
      <c r="K1594" s="27"/>
      <c r="L1594" s="27"/>
      <c r="M1594" s="27"/>
      <c r="N1594" s="27"/>
      <c r="O1594" s="31" t="str">
        <f aca="false">IF(G1594="","",VLOOKUP(G1594,Setup!$A$14:$C$17,3,0))</f>
        <v/>
      </c>
      <c r="P1594" s="27"/>
      <c r="Q1594" s="33" t="str">
        <f aca="false">IF(OR(P1594="",M1594&lt;&gt;"Paid",O1594=""),"",P1594/O1594)</f>
        <v/>
      </c>
      <c r="R1594" s="34" t="str">
        <f aca="false">IF(Q1594="","",Q1594+N(H1594)*0.000000001)</f>
        <v/>
      </c>
      <c r="S1594" s="32" t="str">
        <f aca="false">IF(R1594="","",SUMPRODUCT((I$5:I$4004=I1594)*ISNUMBER(R$5:R$4004)*(R$5:R$4004&gt;R1594))+1)</f>
        <v/>
      </c>
      <c r="T1594" s="32" t="str">
        <f aca="false">IF(S1594="","",IF(S1594&lt;=Setup!$B$5,"🏆 WINNER",""))</f>
        <v/>
      </c>
      <c r="U1594" s="31" t="str">
        <f aca="false">IF(S1594="","",I1594&amp;"|"&amp;S1594)</f>
        <v/>
      </c>
    </row>
    <row r="1595" customFormat="false" ht="15" hidden="false" customHeight="false" outlineLevel="0" collapsed="false">
      <c r="A1595" s="24" t="n">
        <v>1591</v>
      </c>
      <c r="B1595" s="25" t="str">
        <f aca="false">IF(OR(C1595="",I1595="",G1595=""),"",IFERROR(VLOOKUP(I1595,Setup!$A$9:$B$11,2,0),"???")&amp;"-"&amp;G1595&amp;"-"&amp;TEXT(COUNTIFS(I$5:I1595,I1595,G$5:G1595,G1595),"0000"))</f>
        <v/>
      </c>
      <c r="C1595" s="26"/>
      <c r="D1595" s="26"/>
      <c r="E1595" s="27"/>
      <c r="F1595" s="27"/>
      <c r="G1595" s="24" t="str">
        <f aca="false">IF(F1595="","",IF(F1595&lt;=5,"A",IF(F1595&lt;=8,"B",IF(F1595&lt;=10,"C","D"))))</f>
        <v/>
      </c>
      <c r="H1595" s="28"/>
      <c r="I1595" s="27"/>
      <c r="J1595" s="26"/>
      <c r="K1595" s="27"/>
      <c r="L1595" s="27"/>
      <c r="M1595" s="27"/>
      <c r="N1595" s="27"/>
      <c r="O1595" s="24" t="str">
        <f aca="false">IF(G1595="","",VLOOKUP(G1595,Setup!$A$14:$C$17,3,0))</f>
        <v/>
      </c>
      <c r="P1595" s="27"/>
      <c r="Q1595" s="29" t="str">
        <f aca="false">IF(OR(P1595="",M1595&lt;&gt;"Paid",O1595=""),"",P1595/O1595)</f>
        <v/>
      </c>
      <c r="R1595" s="30" t="str">
        <f aca="false">IF(Q1595="","",Q1595+N(H1595)*0.000000001)</f>
        <v/>
      </c>
      <c r="S1595" s="25" t="str">
        <f aca="false">IF(R1595="","",SUMPRODUCT((I$5:I$4004=I1595)*ISNUMBER(R$5:R$4004)*(R$5:R$4004&gt;R1595))+1)</f>
        <v/>
      </c>
      <c r="T1595" s="25" t="str">
        <f aca="false">IF(S1595="","",IF(S1595&lt;=Setup!$B$5,"🏆 WINNER",""))</f>
        <v/>
      </c>
      <c r="U1595" s="24" t="str">
        <f aca="false">IF(S1595="","",I1595&amp;"|"&amp;S1595)</f>
        <v/>
      </c>
    </row>
    <row r="1596" customFormat="false" ht="15" hidden="false" customHeight="false" outlineLevel="0" collapsed="false">
      <c r="A1596" s="31" t="n">
        <v>1592</v>
      </c>
      <c r="B1596" s="32" t="str">
        <f aca="false">IF(OR(C1596="",I1596="",G1596=""),"",IFERROR(VLOOKUP(I1596,Setup!$A$9:$B$11,2,0),"???")&amp;"-"&amp;G1596&amp;"-"&amp;TEXT(COUNTIFS(I$5:I1596,I1596,G$5:G1596,G1596),"0000"))</f>
        <v/>
      </c>
      <c r="C1596" s="26"/>
      <c r="D1596" s="26"/>
      <c r="E1596" s="27"/>
      <c r="F1596" s="27"/>
      <c r="G1596" s="31" t="str">
        <f aca="false">IF(F1596="","",IF(F1596&lt;=5,"A",IF(F1596&lt;=8,"B",IF(F1596&lt;=10,"C","D"))))</f>
        <v/>
      </c>
      <c r="H1596" s="28"/>
      <c r="I1596" s="27"/>
      <c r="J1596" s="26"/>
      <c r="K1596" s="27"/>
      <c r="L1596" s="27"/>
      <c r="M1596" s="27"/>
      <c r="N1596" s="27"/>
      <c r="O1596" s="31" t="str">
        <f aca="false">IF(G1596="","",VLOOKUP(G1596,Setup!$A$14:$C$17,3,0))</f>
        <v/>
      </c>
      <c r="P1596" s="27"/>
      <c r="Q1596" s="33" t="str">
        <f aca="false">IF(OR(P1596="",M1596&lt;&gt;"Paid",O1596=""),"",P1596/O1596)</f>
        <v/>
      </c>
      <c r="R1596" s="34" t="str">
        <f aca="false">IF(Q1596="","",Q1596+N(H1596)*0.000000001)</f>
        <v/>
      </c>
      <c r="S1596" s="32" t="str">
        <f aca="false">IF(R1596="","",SUMPRODUCT((I$5:I$4004=I1596)*ISNUMBER(R$5:R$4004)*(R$5:R$4004&gt;R1596))+1)</f>
        <v/>
      </c>
      <c r="T1596" s="32" t="str">
        <f aca="false">IF(S1596="","",IF(S1596&lt;=Setup!$B$5,"🏆 WINNER",""))</f>
        <v/>
      </c>
      <c r="U1596" s="31" t="str">
        <f aca="false">IF(S1596="","",I1596&amp;"|"&amp;S1596)</f>
        <v/>
      </c>
    </row>
    <row r="1597" customFormat="false" ht="15" hidden="false" customHeight="false" outlineLevel="0" collapsed="false">
      <c r="A1597" s="24" t="n">
        <v>1593</v>
      </c>
      <c r="B1597" s="25" t="str">
        <f aca="false">IF(OR(C1597="",I1597="",G1597=""),"",IFERROR(VLOOKUP(I1597,Setup!$A$9:$B$11,2,0),"???")&amp;"-"&amp;G1597&amp;"-"&amp;TEXT(COUNTIFS(I$5:I1597,I1597,G$5:G1597,G1597),"0000"))</f>
        <v/>
      </c>
      <c r="C1597" s="26"/>
      <c r="D1597" s="26"/>
      <c r="E1597" s="27"/>
      <c r="F1597" s="27"/>
      <c r="G1597" s="24" t="str">
        <f aca="false">IF(F1597="","",IF(F1597&lt;=5,"A",IF(F1597&lt;=8,"B",IF(F1597&lt;=10,"C","D"))))</f>
        <v/>
      </c>
      <c r="H1597" s="28"/>
      <c r="I1597" s="27"/>
      <c r="J1597" s="26"/>
      <c r="K1597" s="27"/>
      <c r="L1597" s="27"/>
      <c r="M1597" s="27"/>
      <c r="N1597" s="27"/>
      <c r="O1597" s="24" t="str">
        <f aca="false">IF(G1597="","",VLOOKUP(G1597,Setup!$A$14:$C$17,3,0))</f>
        <v/>
      </c>
      <c r="P1597" s="27"/>
      <c r="Q1597" s="29" t="str">
        <f aca="false">IF(OR(P1597="",M1597&lt;&gt;"Paid",O1597=""),"",P1597/O1597)</f>
        <v/>
      </c>
      <c r="R1597" s="30" t="str">
        <f aca="false">IF(Q1597="","",Q1597+N(H1597)*0.000000001)</f>
        <v/>
      </c>
      <c r="S1597" s="25" t="str">
        <f aca="false">IF(R1597="","",SUMPRODUCT((I$5:I$4004=I1597)*ISNUMBER(R$5:R$4004)*(R$5:R$4004&gt;R1597))+1)</f>
        <v/>
      </c>
      <c r="T1597" s="25" t="str">
        <f aca="false">IF(S1597="","",IF(S1597&lt;=Setup!$B$5,"🏆 WINNER",""))</f>
        <v/>
      </c>
      <c r="U1597" s="24" t="str">
        <f aca="false">IF(S1597="","",I1597&amp;"|"&amp;S1597)</f>
        <v/>
      </c>
    </row>
    <row r="1598" customFormat="false" ht="15" hidden="false" customHeight="false" outlineLevel="0" collapsed="false">
      <c r="A1598" s="31" t="n">
        <v>1594</v>
      </c>
      <c r="B1598" s="32" t="str">
        <f aca="false">IF(OR(C1598="",I1598="",G1598=""),"",IFERROR(VLOOKUP(I1598,Setup!$A$9:$B$11,2,0),"???")&amp;"-"&amp;G1598&amp;"-"&amp;TEXT(COUNTIFS(I$5:I1598,I1598,G$5:G1598,G1598),"0000"))</f>
        <v/>
      </c>
      <c r="C1598" s="26"/>
      <c r="D1598" s="26"/>
      <c r="E1598" s="27"/>
      <c r="F1598" s="27"/>
      <c r="G1598" s="31" t="str">
        <f aca="false">IF(F1598="","",IF(F1598&lt;=5,"A",IF(F1598&lt;=8,"B",IF(F1598&lt;=10,"C","D"))))</f>
        <v/>
      </c>
      <c r="H1598" s="28"/>
      <c r="I1598" s="27"/>
      <c r="J1598" s="26"/>
      <c r="K1598" s="27"/>
      <c r="L1598" s="27"/>
      <c r="M1598" s="27"/>
      <c r="N1598" s="27"/>
      <c r="O1598" s="31" t="str">
        <f aca="false">IF(G1598="","",VLOOKUP(G1598,Setup!$A$14:$C$17,3,0))</f>
        <v/>
      </c>
      <c r="P1598" s="27"/>
      <c r="Q1598" s="33" t="str">
        <f aca="false">IF(OR(P1598="",M1598&lt;&gt;"Paid",O1598=""),"",P1598/O1598)</f>
        <v/>
      </c>
      <c r="R1598" s="34" t="str">
        <f aca="false">IF(Q1598="","",Q1598+N(H1598)*0.000000001)</f>
        <v/>
      </c>
      <c r="S1598" s="32" t="str">
        <f aca="false">IF(R1598="","",SUMPRODUCT((I$5:I$4004=I1598)*ISNUMBER(R$5:R$4004)*(R$5:R$4004&gt;R1598))+1)</f>
        <v/>
      </c>
      <c r="T1598" s="32" t="str">
        <f aca="false">IF(S1598="","",IF(S1598&lt;=Setup!$B$5,"🏆 WINNER",""))</f>
        <v/>
      </c>
      <c r="U1598" s="31" t="str">
        <f aca="false">IF(S1598="","",I1598&amp;"|"&amp;S1598)</f>
        <v/>
      </c>
    </row>
    <row r="1599" customFormat="false" ht="15" hidden="false" customHeight="false" outlineLevel="0" collapsed="false">
      <c r="A1599" s="24" t="n">
        <v>1595</v>
      </c>
      <c r="B1599" s="25" t="str">
        <f aca="false">IF(OR(C1599="",I1599="",G1599=""),"",IFERROR(VLOOKUP(I1599,Setup!$A$9:$B$11,2,0),"???")&amp;"-"&amp;G1599&amp;"-"&amp;TEXT(COUNTIFS(I$5:I1599,I1599,G$5:G1599,G1599),"0000"))</f>
        <v/>
      </c>
      <c r="C1599" s="26"/>
      <c r="D1599" s="26"/>
      <c r="E1599" s="27"/>
      <c r="F1599" s="27"/>
      <c r="G1599" s="24" t="str">
        <f aca="false">IF(F1599="","",IF(F1599&lt;=5,"A",IF(F1599&lt;=8,"B",IF(F1599&lt;=10,"C","D"))))</f>
        <v/>
      </c>
      <c r="H1599" s="28"/>
      <c r="I1599" s="27"/>
      <c r="J1599" s="26"/>
      <c r="K1599" s="27"/>
      <c r="L1599" s="27"/>
      <c r="M1599" s="27"/>
      <c r="N1599" s="27"/>
      <c r="O1599" s="24" t="str">
        <f aca="false">IF(G1599="","",VLOOKUP(G1599,Setup!$A$14:$C$17,3,0))</f>
        <v/>
      </c>
      <c r="P1599" s="27"/>
      <c r="Q1599" s="29" t="str">
        <f aca="false">IF(OR(P1599="",M1599&lt;&gt;"Paid",O1599=""),"",P1599/O1599)</f>
        <v/>
      </c>
      <c r="R1599" s="30" t="str">
        <f aca="false">IF(Q1599="","",Q1599+N(H1599)*0.000000001)</f>
        <v/>
      </c>
      <c r="S1599" s="25" t="str">
        <f aca="false">IF(R1599="","",SUMPRODUCT((I$5:I$4004=I1599)*ISNUMBER(R$5:R$4004)*(R$5:R$4004&gt;R1599))+1)</f>
        <v/>
      </c>
      <c r="T1599" s="25" t="str">
        <f aca="false">IF(S1599="","",IF(S1599&lt;=Setup!$B$5,"🏆 WINNER",""))</f>
        <v/>
      </c>
      <c r="U1599" s="24" t="str">
        <f aca="false">IF(S1599="","",I1599&amp;"|"&amp;S1599)</f>
        <v/>
      </c>
    </row>
    <row r="1600" customFormat="false" ht="15" hidden="false" customHeight="false" outlineLevel="0" collapsed="false">
      <c r="A1600" s="31" t="n">
        <v>1596</v>
      </c>
      <c r="B1600" s="32" t="str">
        <f aca="false">IF(OR(C1600="",I1600="",G1600=""),"",IFERROR(VLOOKUP(I1600,Setup!$A$9:$B$11,2,0),"???")&amp;"-"&amp;G1600&amp;"-"&amp;TEXT(COUNTIFS(I$5:I1600,I1600,G$5:G1600,G1600),"0000"))</f>
        <v/>
      </c>
      <c r="C1600" s="26"/>
      <c r="D1600" s="26"/>
      <c r="E1600" s="27"/>
      <c r="F1600" s="27"/>
      <c r="G1600" s="31" t="str">
        <f aca="false">IF(F1600="","",IF(F1600&lt;=5,"A",IF(F1600&lt;=8,"B",IF(F1600&lt;=10,"C","D"))))</f>
        <v/>
      </c>
      <c r="H1600" s="28"/>
      <c r="I1600" s="27"/>
      <c r="J1600" s="26"/>
      <c r="K1600" s="27"/>
      <c r="L1600" s="27"/>
      <c r="M1600" s="27"/>
      <c r="N1600" s="27"/>
      <c r="O1600" s="31" t="str">
        <f aca="false">IF(G1600="","",VLOOKUP(G1600,Setup!$A$14:$C$17,3,0))</f>
        <v/>
      </c>
      <c r="P1600" s="27"/>
      <c r="Q1600" s="33" t="str">
        <f aca="false">IF(OR(P1600="",M1600&lt;&gt;"Paid",O1600=""),"",P1600/O1600)</f>
        <v/>
      </c>
      <c r="R1600" s="34" t="str">
        <f aca="false">IF(Q1600="","",Q1600+N(H1600)*0.000000001)</f>
        <v/>
      </c>
      <c r="S1600" s="32" t="str">
        <f aca="false">IF(R1600="","",SUMPRODUCT((I$5:I$4004=I1600)*ISNUMBER(R$5:R$4004)*(R$5:R$4004&gt;R1600))+1)</f>
        <v/>
      </c>
      <c r="T1600" s="32" t="str">
        <f aca="false">IF(S1600="","",IF(S1600&lt;=Setup!$B$5,"🏆 WINNER",""))</f>
        <v/>
      </c>
      <c r="U1600" s="31" t="str">
        <f aca="false">IF(S1600="","",I1600&amp;"|"&amp;S1600)</f>
        <v/>
      </c>
    </row>
    <row r="1601" customFormat="false" ht="15" hidden="false" customHeight="false" outlineLevel="0" collapsed="false">
      <c r="A1601" s="24" t="n">
        <v>1597</v>
      </c>
      <c r="B1601" s="25" t="str">
        <f aca="false">IF(OR(C1601="",I1601="",G1601=""),"",IFERROR(VLOOKUP(I1601,Setup!$A$9:$B$11,2,0),"???")&amp;"-"&amp;G1601&amp;"-"&amp;TEXT(COUNTIFS(I$5:I1601,I1601,G$5:G1601,G1601),"0000"))</f>
        <v/>
      </c>
      <c r="C1601" s="26"/>
      <c r="D1601" s="26"/>
      <c r="E1601" s="27"/>
      <c r="F1601" s="27"/>
      <c r="G1601" s="24" t="str">
        <f aca="false">IF(F1601="","",IF(F1601&lt;=5,"A",IF(F1601&lt;=8,"B",IF(F1601&lt;=10,"C","D"))))</f>
        <v/>
      </c>
      <c r="H1601" s="28"/>
      <c r="I1601" s="27"/>
      <c r="J1601" s="26"/>
      <c r="K1601" s="27"/>
      <c r="L1601" s="27"/>
      <c r="M1601" s="27"/>
      <c r="N1601" s="27"/>
      <c r="O1601" s="24" t="str">
        <f aca="false">IF(G1601="","",VLOOKUP(G1601,Setup!$A$14:$C$17,3,0))</f>
        <v/>
      </c>
      <c r="P1601" s="27"/>
      <c r="Q1601" s="29" t="str">
        <f aca="false">IF(OR(P1601="",M1601&lt;&gt;"Paid",O1601=""),"",P1601/O1601)</f>
        <v/>
      </c>
      <c r="R1601" s="30" t="str">
        <f aca="false">IF(Q1601="","",Q1601+N(H1601)*0.000000001)</f>
        <v/>
      </c>
      <c r="S1601" s="25" t="str">
        <f aca="false">IF(R1601="","",SUMPRODUCT((I$5:I$4004=I1601)*ISNUMBER(R$5:R$4004)*(R$5:R$4004&gt;R1601))+1)</f>
        <v/>
      </c>
      <c r="T1601" s="25" t="str">
        <f aca="false">IF(S1601="","",IF(S1601&lt;=Setup!$B$5,"🏆 WINNER",""))</f>
        <v/>
      </c>
      <c r="U1601" s="24" t="str">
        <f aca="false">IF(S1601="","",I1601&amp;"|"&amp;S1601)</f>
        <v/>
      </c>
    </row>
    <row r="1602" customFormat="false" ht="15" hidden="false" customHeight="false" outlineLevel="0" collapsed="false">
      <c r="A1602" s="31" t="n">
        <v>1598</v>
      </c>
      <c r="B1602" s="32" t="str">
        <f aca="false">IF(OR(C1602="",I1602="",G1602=""),"",IFERROR(VLOOKUP(I1602,Setup!$A$9:$B$11,2,0),"???")&amp;"-"&amp;G1602&amp;"-"&amp;TEXT(COUNTIFS(I$5:I1602,I1602,G$5:G1602,G1602),"0000"))</f>
        <v/>
      </c>
      <c r="C1602" s="26"/>
      <c r="D1602" s="26"/>
      <c r="E1602" s="27"/>
      <c r="F1602" s="27"/>
      <c r="G1602" s="31" t="str">
        <f aca="false">IF(F1602="","",IF(F1602&lt;=5,"A",IF(F1602&lt;=8,"B",IF(F1602&lt;=10,"C","D"))))</f>
        <v/>
      </c>
      <c r="H1602" s="28"/>
      <c r="I1602" s="27"/>
      <c r="J1602" s="26"/>
      <c r="K1602" s="27"/>
      <c r="L1602" s="27"/>
      <c r="M1602" s="27"/>
      <c r="N1602" s="27"/>
      <c r="O1602" s="31" t="str">
        <f aca="false">IF(G1602="","",VLOOKUP(G1602,Setup!$A$14:$C$17,3,0))</f>
        <v/>
      </c>
      <c r="P1602" s="27"/>
      <c r="Q1602" s="33" t="str">
        <f aca="false">IF(OR(P1602="",M1602&lt;&gt;"Paid",O1602=""),"",P1602/O1602)</f>
        <v/>
      </c>
      <c r="R1602" s="34" t="str">
        <f aca="false">IF(Q1602="","",Q1602+N(H1602)*0.000000001)</f>
        <v/>
      </c>
      <c r="S1602" s="32" t="str">
        <f aca="false">IF(R1602="","",SUMPRODUCT((I$5:I$4004=I1602)*ISNUMBER(R$5:R$4004)*(R$5:R$4004&gt;R1602))+1)</f>
        <v/>
      </c>
      <c r="T1602" s="32" t="str">
        <f aca="false">IF(S1602="","",IF(S1602&lt;=Setup!$B$5,"🏆 WINNER",""))</f>
        <v/>
      </c>
      <c r="U1602" s="31" t="str">
        <f aca="false">IF(S1602="","",I1602&amp;"|"&amp;S1602)</f>
        <v/>
      </c>
    </row>
    <row r="1603" customFormat="false" ht="15" hidden="false" customHeight="false" outlineLevel="0" collapsed="false">
      <c r="A1603" s="24" t="n">
        <v>1599</v>
      </c>
      <c r="B1603" s="25" t="str">
        <f aca="false">IF(OR(C1603="",I1603="",G1603=""),"",IFERROR(VLOOKUP(I1603,Setup!$A$9:$B$11,2,0),"???")&amp;"-"&amp;G1603&amp;"-"&amp;TEXT(COUNTIFS(I$5:I1603,I1603,G$5:G1603,G1603),"0000"))</f>
        <v/>
      </c>
      <c r="C1603" s="26"/>
      <c r="D1603" s="26"/>
      <c r="E1603" s="27"/>
      <c r="F1603" s="27"/>
      <c r="G1603" s="24" t="str">
        <f aca="false">IF(F1603="","",IF(F1603&lt;=5,"A",IF(F1603&lt;=8,"B",IF(F1603&lt;=10,"C","D"))))</f>
        <v/>
      </c>
      <c r="H1603" s="28"/>
      <c r="I1603" s="27"/>
      <c r="J1603" s="26"/>
      <c r="K1603" s="27"/>
      <c r="L1603" s="27"/>
      <c r="M1603" s="27"/>
      <c r="N1603" s="27"/>
      <c r="O1603" s="24" t="str">
        <f aca="false">IF(G1603="","",VLOOKUP(G1603,Setup!$A$14:$C$17,3,0))</f>
        <v/>
      </c>
      <c r="P1603" s="27"/>
      <c r="Q1603" s="29" t="str">
        <f aca="false">IF(OR(P1603="",M1603&lt;&gt;"Paid",O1603=""),"",P1603/O1603)</f>
        <v/>
      </c>
      <c r="R1603" s="30" t="str">
        <f aca="false">IF(Q1603="","",Q1603+N(H1603)*0.000000001)</f>
        <v/>
      </c>
      <c r="S1603" s="25" t="str">
        <f aca="false">IF(R1603="","",SUMPRODUCT((I$5:I$4004=I1603)*ISNUMBER(R$5:R$4004)*(R$5:R$4004&gt;R1603))+1)</f>
        <v/>
      </c>
      <c r="T1603" s="25" t="str">
        <f aca="false">IF(S1603="","",IF(S1603&lt;=Setup!$B$5,"🏆 WINNER",""))</f>
        <v/>
      </c>
      <c r="U1603" s="24" t="str">
        <f aca="false">IF(S1603="","",I1603&amp;"|"&amp;S1603)</f>
        <v/>
      </c>
    </row>
    <row r="1604" customFormat="false" ht="15" hidden="false" customHeight="false" outlineLevel="0" collapsed="false">
      <c r="A1604" s="31" t="n">
        <v>1600</v>
      </c>
      <c r="B1604" s="32" t="str">
        <f aca="false">IF(OR(C1604="",I1604="",G1604=""),"",IFERROR(VLOOKUP(I1604,Setup!$A$9:$B$11,2,0),"???")&amp;"-"&amp;G1604&amp;"-"&amp;TEXT(COUNTIFS(I$5:I1604,I1604,G$5:G1604,G1604),"0000"))</f>
        <v/>
      </c>
      <c r="C1604" s="26"/>
      <c r="D1604" s="26"/>
      <c r="E1604" s="27"/>
      <c r="F1604" s="27"/>
      <c r="G1604" s="31" t="str">
        <f aca="false">IF(F1604="","",IF(F1604&lt;=5,"A",IF(F1604&lt;=8,"B",IF(F1604&lt;=10,"C","D"))))</f>
        <v/>
      </c>
      <c r="H1604" s="28"/>
      <c r="I1604" s="27"/>
      <c r="J1604" s="26"/>
      <c r="K1604" s="27"/>
      <c r="L1604" s="27"/>
      <c r="M1604" s="27"/>
      <c r="N1604" s="27"/>
      <c r="O1604" s="31" t="str">
        <f aca="false">IF(G1604="","",VLOOKUP(G1604,Setup!$A$14:$C$17,3,0))</f>
        <v/>
      </c>
      <c r="P1604" s="27"/>
      <c r="Q1604" s="33" t="str">
        <f aca="false">IF(OR(P1604="",M1604&lt;&gt;"Paid",O1604=""),"",P1604/O1604)</f>
        <v/>
      </c>
      <c r="R1604" s="34" t="str">
        <f aca="false">IF(Q1604="","",Q1604+N(H1604)*0.000000001)</f>
        <v/>
      </c>
      <c r="S1604" s="32" t="str">
        <f aca="false">IF(R1604="","",SUMPRODUCT((I$5:I$4004=I1604)*ISNUMBER(R$5:R$4004)*(R$5:R$4004&gt;R1604))+1)</f>
        <v/>
      </c>
      <c r="T1604" s="32" t="str">
        <f aca="false">IF(S1604="","",IF(S1604&lt;=Setup!$B$5,"🏆 WINNER",""))</f>
        <v/>
      </c>
      <c r="U1604" s="31" t="str">
        <f aca="false">IF(S1604="","",I1604&amp;"|"&amp;S1604)</f>
        <v/>
      </c>
    </row>
    <row r="1605" customFormat="false" ht="15" hidden="false" customHeight="false" outlineLevel="0" collapsed="false">
      <c r="A1605" s="24" t="n">
        <v>1601</v>
      </c>
      <c r="B1605" s="25" t="str">
        <f aca="false">IF(OR(C1605="",I1605="",G1605=""),"",IFERROR(VLOOKUP(I1605,Setup!$A$9:$B$11,2,0),"???")&amp;"-"&amp;G1605&amp;"-"&amp;TEXT(COUNTIFS(I$5:I1605,I1605,G$5:G1605,G1605),"0000"))</f>
        <v/>
      </c>
      <c r="C1605" s="26"/>
      <c r="D1605" s="26"/>
      <c r="E1605" s="27"/>
      <c r="F1605" s="27"/>
      <c r="G1605" s="24" t="str">
        <f aca="false">IF(F1605="","",IF(F1605&lt;=5,"A",IF(F1605&lt;=8,"B",IF(F1605&lt;=10,"C","D"))))</f>
        <v/>
      </c>
      <c r="H1605" s="28"/>
      <c r="I1605" s="27"/>
      <c r="J1605" s="26"/>
      <c r="K1605" s="27"/>
      <c r="L1605" s="27"/>
      <c r="M1605" s="27"/>
      <c r="N1605" s="27"/>
      <c r="O1605" s="24" t="str">
        <f aca="false">IF(G1605="","",VLOOKUP(G1605,Setup!$A$14:$C$17,3,0))</f>
        <v/>
      </c>
      <c r="P1605" s="27"/>
      <c r="Q1605" s="29" t="str">
        <f aca="false">IF(OR(P1605="",M1605&lt;&gt;"Paid",O1605=""),"",P1605/O1605)</f>
        <v/>
      </c>
      <c r="R1605" s="30" t="str">
        <f aca="false">IF(Q1605="","",Q1605+N(H1605)*0.000000001)</f>
        <v/>
      </c>
      <c r="S1605" s="25" t="str">
        <f aca="false">IF(R1605="","",SUMPRODUCT((I$5:I$4004=I1605)*ISNUMBER(R$5:R$4004)*(R$5:R$4004&gt;R1605))+1)</f>
        <v/>
      </c>
      <c r="T1605" s="25" t="str">
        <f aca="false">IF(S1605="","",IF(S1605&lt;=Setup!$B$5,"🏆 WINNER",""))</f>
        <v/>
      </c>
      <c r="U1605" s="24" t="str">
        <f aca="false">IF(S1605="","",I1605&amp;"|"&amp;S1605)</f>
        <v/>
      </c>
    </row>
    <row r="1606" customFormat="false" ht="15" hidden="false" customHeight="false" outlineLevel="0" collapsed="false">
      <c r="A1606" s="31" t="n">
        <v>1602</v>
      </c>
      <c r="B1606" s="32" t="str">
        <f aca="false">IF(OR(C1606="",I1606="",G1606=""),"",IFERROR(VLOOKUP(I1606,Setup!$A$9:$B$11,2,0),"???")&amp;"-"&amp;G1606&amp;"-"&amp;TEXT(COUNTIFS(I$5:I1606,I1606,G$5:G1606,G1606),"0000"))</f>
        <v/>
      </c>
      <c r="C1606" s="26"/>
      <c r="D1606" s="26"/>
      <c r="E1606" s="27"/>
      <c r="F1606" s="27"/>
      <c r="G1606" s="31" t="str">
        <f aca="false">IF(F1606="","",IF(F1606&lt;=5,"A",IF(F1606&lt;=8,"B",IF(F1606&lt;=10,"C","D"))))</f>
        <v/>
      </c>
      <c r="H1606" s="28"/>
      <c r="I1606" s="27"/>
      <c r="J1606" s="26"/>
      <c r="K1606" s="27"/>
      <c r="L1606" s="27"/>
      <c r="M1606" s="27"/>
      <c r="N1606" s="27"/>
      <c r="O1606" s="31" t="str">
        <f aca="false">IF(G1606="","",VLOOKUP(G1606,Setup!$A$14:$C$17,3,0))</f>
        <v/>
      </c>
      <c r="P1606" s="27"/>
      <c r="Q1606" s="33" t="str">
        <f aca="false">IF(OR(P1606="",M1606&lt;&gt;"Paid",O1606=""),"",P1606/O1606)</f>
        <v/>
      </c>
      <c r="R1606" s="34" t="str">
        <f aca="false">IF(Q1606="","",Q1606+N(H1606)*0.000000001)</f>
        <v/>
      </c>
      <c r="S1606" s="32" t="str">
        <f aca="false">IF(R1606="","",SUMPRODUCT((I$5:I$4004=I1606)*ISNUMBER(R$5:R$4004)*(R$5:R$4004&gt;R1606))+1)</f>
        <v/>
      </c>
      <c r="T1606" s="32" t="str">
        <f aca="false">IF(S1606="","",IF(S1606&lt;=Setup!$B$5,"🏆 WINNER",""))</f>
        <v/>
      </c>
      <c r="U1606" s="31" t="str">
        <f aca="false">IF(S1606="","",I1606&amp;"|"&amp;S1606)</f>
        <v/>
      </c>
    </row>
    <row r="1607" customFormat="false" ht="15" hidden="false" customHeight="false" outlineLevel="0" collapsed="false">
      <c r="A1607" s="24" t="n">
        <v>1603</v>
      </c>
      <c r="B1607" s="25" t="str">
        <f aca="false">IF(OR(C1607="",I1607="",G1607=""),"",IFERROR(VLOOKUP(I1607,Setup!$A$9:$B$11,2,0),"???")&amp;"-"&amp;G1607&amp;"-"&amp;TEXT(COUNTIFS(I$5:I1607,I1607,G$5:G1607,G1607),"0000"))</f>
        <v/>
      </c>
      <c r="C1607" s="26"/>
      <c r="D1607" s="26"/>
      <c r="E1607" s="27"/>
      <c r="F1607" s="27"/>
      <c r="G1607" s="24" t="str">
        <f aca="false">IF(F1607="","",IF(F1607&lt;=5,"A",IF(F1607&lt;=8,"B",IF(F1607&lt;=10,"C","D"))))</f>
        <v/>
      </c>
      <c r="H1607" s="28"/>
      <c r="I1607" s="27"/>
      <c r="J1607" s="26"/>
      <c r="K1607" s="27"/>
      <c r="L1607" s="27"/>
      <c r="M1607" s="27"/>
      <c r="N1607" s="27"/>
      <c r="O1607" s="24" t="str">
        <f aca="false">IF(G1607="","",VLOOKUP(G1607,Setup!$A$14:$C$17,3,0))</f>
        <v/>
      </c>
      <c r="P1607" s="27"/>
      <c r="Q1607" s="29" t="str">
        <f aca="false">IF(OR(P1607="",M1607&lt;&gt;"Paid",O1607=""),"",P1607/O1607)</f>
        <v/>
      </c>
      <c r="R1607" s="30" t="str">
        <f aca="false">IF(Q1607="","",Q1607+N(H1607)*0.000000001)</f>
        <v/>
      </c>
      <c r="S1607" s="25" t="str">
        <f aca="false">IF(R1607="","",SUMPRODUCT((I$5:I$4004=I1607)*ISNUMBER(R$5:R$4004)*(R$5:R$4004&gt;R1607))+1)</f>
        <v/>
      </c>
      <c r="T1607" s="25" t="str">
        <f aca="false">IF(S1607="","",IF(S1607&lt;=Setup!$B$5,"🏆 WINNER",""))</f>
        <v/>
      </c>
      <c r="U1607" s="24" t="str">
        <f aca="false">IF(S1607="","",I1607&amp;"|"&amp;S1607)</f>
        <v/>
      </c>
    </row>
    <row r="1608" customFormat="false" ht="15" hidden="false" customHeight="false" outlineLevel="0" collapsed="false">
      <c r="A1608" s="31" t="n">
        <v>1604</v>
      </c>
      <c r="B1608" s="32" t="str">
        <f aca="false">IF(OR(C1608="",I1608="",G1608=""),"",IFERROR(VLOOKUP(I1608,Setup!$A$9:$B$11,2,0),"???")&amp;"-"&amp;G1608&amp;"-"&amp;TEXT(COUNTIFS(I$5:I1608,I1608,G$5:G1608,G1608),"0000"))</f>
        <v/>
      </c>
      <c r="C1608" s="26"/>
      <c r="D1608" s="26"/>
      <c r="E1608" s="27"/>
      <c r="F1608" s="27"/>
      <c r="G1608" s="31" t="str">
        <f aca="false">IF(F1608="","",IF(F1608&lt;=5,"A",IF(F1608&lt;=8,"B",IF(F1608&lt;=10,"C","D"))))</f>
        <v/>
      </c>
      <c r="H1608" s="28"/>
      <c r="I1608" s="27"/>
      <c r="J1608" s="26"/>
      <c r="K1608" s="27"/>
      <c r="L1608" s="27"/>
      <c r="M1608" s="27"/>
      <c r="N1608" s="27"/>
      <c r="O1608" s="31" t="str">
        <f aca="false">IF(G1608="","",VLOOKUP(G1608,Setup!$A$14:$C$17,3,0))</f>
        <v/>
      </c>
      <c r="P1608" s="27"/>
      <c r="Q1608" s="33" t="str">
        <f aca="false">IF(OR(P1608="",M1608&lt;&gt;"Paid",O1608=""),"",P1608/O1608)</f>
        <v/>
      </c>
      <c r="R1608" s="34" t="str">
        <f aca="false">IF(Q1608="","",Q1608+N(H1608)*0.000000001)</f>
        <v/>
      </c>
      <c r="S1608" s="32" t="str">
        <f aca="false">IF(R1608="","",SUMPRODUCT((I$5:I$4004=I1608)*ISNUMBER(R$5:R$4004)*(R$5:R$4004&gt;R1608))+1)</f>
        <v/>
      </c>
      <c r="T1608" s="32" t="str">
        <f aca="false">IF(S1608="","",IF(S1608&lt;=Setup!$B$5,"🏆 WINNER",""))</f>
        <v/>
      </c>
      <c r="U1608" s="31" t="str">
        <f aca="false">IF(S1608="","",I1608&amp;"|"&amp;S1608)</f>
        <v/>
      </c>
    </row>
    <row r="1609" customFormat="false" ht="15" hidden="false" customHeight="false" outlineLevel="0" collapsed="false">
      <c r="A1609" s="24" t="n">
        <v>1605</v>
      </c>
      <c r="B1609" s="25" t="str">
        <f aca="false">IF(OR(C1609="",I1609="",G1609=""),"",IFERROR(VLOOKUP(I1609,Setup!$A$9:$B$11,2,0),"???")&amp;"-"&amp;G1609&amp;"-"&amp;TEXT(COUNTIFS(I$5:I1609,I1609,G$5:G1609,G1609),"0000"))</f>
        <v/>
      </c>
      <c r="C1609" s="26"/>
      <c r="D1609" s="26"/>
      <c r="E1609" s="27"/>
      <c r="F1609" s="27"/>
      <c r="G1609" s="24" t="str">
        <f aca="false">IF(F1609="","",IF(F1609&lt;=5,"A",IF(F1609&lt;=8,"B",IF(F1609&lt;=10,"C","D"))))</f>
        <v/>
      </c>
      <c r="H1609" s="28"/>
      <c r="I1609" s="27"/>
      <c r="J1609" s="26"/>
      <c r="K1609" s="27"/>
      <c r="L1609" s="27"/>
      <c r="M1609" s="27"/>
      <c r="N1609" s="27"/>
      <c r="O1609" s="24" t="str">
        <f aca="false">IF(G1609="","",VLOOKUP(G1609,Setup!$A$14:$C$17,3,0))</f>
        <v/>
      </c>
      <c r="P1609" s="27"/>
      <c r="Q1609" s="29" t="str">
        <f aca="false">IF(OR(P1609="",M1609&lt;&gt;"Paid",O1609=""),"",P1609/O1609)</f>
        <v/>
      </c>
      <c r="R1609" s="30" t="str">
        <f aca="false">IF(Q1609="","",Q1609+N(H1609)*0.000000001)</f>
        <v/>
      </c>
      <c r="S1609" s="25" t="str">
        <f aca="false">IF(R1609="","",SUMPRODUCT((I$5:I$4004=I1609)*ISNUMBER(R$5:R$4004)*(R$5:R$4004&gt;R1609))+1)</f>
        <v/>
      </c>
      <c r="T1609" s="25" t="str">
        <f aca="false">IF(S1609="","",IF(S1609&lt;=Setup!$B$5,"🏆 WINNER",""))</f>
        <v/>
      </c>
      <c r="U1609" s="24" t="str">
        <f aca="false">IF(S1609="","",I1609&amp;"|"&amp;S1609)</f>
        <v/>
      </c>
    </row>
    <row r="1610" customFormat="false" ht="15" hidden="false" customHeight="false" outlineLevel="0" collapsed="false">
      <c r="A1610" s="31" t="n">
        <v>1606</v>
      </c>
      <c r="B1610" s="32" t="str">
        <f aca="false">IF(OR(C1610="",I1610="",G1610=""),"",IFERROR(VLOOKUP(I1610,Setup!$A$9:$B$11,2,0),"???")&amp;"-"&amp;G1610&amp;"-"&amp;TEXT(COUNTIFS(I$5:I1610,I1610,G$5:G1610,G1610),"0000"))</f>
        <v/>
      </c>
      <c r="C1610" s="26"/>
      <c r="D1610" s="26"/>
      <c r="E1610" s="27"/>
      <c r="F1610" s="27"/>
      <c r="G1610" s="31" t="str">
        <f aca="false">IF(F1610="","",IF(F1610&lt;=5,"A",IF(F1610&lt;=8,"B",IF(F1610&lt;=10,"C","D"))))</f>
        <v/>
      </c>
      <c r="H1610" s="28"/>
      <c r="I1610" s="27"/>
      <c r="J1610" s="26"/>
      <c r="K1610" s="27"/>
      <c r="L1610" s="27"/>
      <c r="M1610" s="27"/>
      <c r="N1610" s="27"/>
      <c r="O1610" s="31" t="str">
        <f aca="false">IF(G1610="","",VLOOKUP(G1610,Setup!$A$14:$C$17,3,0))</f>
        <v/>
      </c>
      <c r="P1610" s="27"/>
      <c r="Q1610" s="33" t="str">
        <f aca="false">IF(OR(P1610="",M1610&lt;&gt;"Paid",O1610=""),"",P1610/O1610)</f>
        <v/>
      </c>
      <c r="R1610" s="34" t="str">
        <f aca="false">IF(Q1610="","",Q1610+N(H1610)*0.000000001)</f>
        <v/>
      </c>
      <c r="S1610" s="32" t="str">
        <f aca="false">IF(R1610="","",SUMPRODUCT((I$5:I$4004=I1610)*ISNUMBER(R$5:R$4004)*(R$5:R$4004&gt;R1610))+1)</f>
        <v/>
      </c>
      <c r="T1610" s="32" t="str">
        <f aca="false">IF(S1610="","",IF(S1610&lt;=Setup!$B$5,"🏆 WINNER",""))</f>
        <v/>
      </c>
      <c r="U1610" s="31" t="str">
        <f aca="false">IF(S1610="","",I1610&amp;"|"&amp;S1610)</f>
        <v/>
      </c>
    </row>
    <row r="1611" customFormat="false" ht="15" hidden="false" customHeight="false" outlineLevel="0" collapsed="false">
      <c r="A1611" s="24" t="n">
        <v>1607</v>
      </c>
      <c r="B1611" s="25" t="str">
        <f aca="false">IF(OR(C1611="",I1611="",G1611=""),"",IFERROR(VLOOKUP(I1611,Setup!$A$9:$B$11,2,0),"???")&amp;"-"&amp;G1611&amp;"-"&amp;TEXT(COUNTIFS(I$5:I1611,I1611,G$5:G1611,G1611),"0000"))</f>
        <v/>
      </c>
      <c r="C1611" s="26"/>
      <c r="D1611" s="26"/>
      <c r="E1611" s="27"/>
      <c r="F1611" s="27"/>
      <c r="G1611" s="24" t="str">
        <f aca="false">IF(F1611="","",IF(F1611&lt;=5,"A",IF(F1611&lt;=8,"B",IF(F1611&lt;=10,"C","D"))))</f>
        <v/>
      </c>
      <c r="H1611" s="28"/>
      <c r="I1611" s="27"/>
      <c r="J1611" s="26"/>
      <c r="K1611" s="27"/>
      <c r="L1611" s="27"/>
      <c r="M1611" s="27"/>
      <c r="N1611" s="27"/>
      <c r="O1611" s="24" t="str">
        <f aca="false">IF(G1611="","",VLOOKUP(G1611,Setup!$A$14:$C$17,3,0))</f>
        <v/>
      </c>
      <c r="P1611" s="27"/>
      <c r="Q1611" s="29" t="str">
        <f aca="false">IF(OR(P1611="",M1611&lt;&gt;"Paid",O1611=""),"",P1611/O1611)</f>
        <v/>
      </c>
      <c r="R1611" s="30" t="str">
        <f aca="false">IF(Q1611="","",Q1611+N(H1611)*0.000000001)</f>
        <v/>
      </c>
      <c r="S1611" s="25" t="str">
        <f aca="false">IF(R1611="","",SUMPRODUCT((I$5:I$4004=I1611)*ISNUMBER(R$5:R$4004)*(R$5:R$4004&gt;R1611))+1)</f>
        <v/>
      </c>
      <c r="T1611" s="25" t="str">
        <f aca="false">IF(S1611="","",IF(S1611&lt;=Setup!$B$5,"🏆 WINNER",""))</f>
        <v/>
      </c>
      <c r="U1611" s="24" t="str">
        <f aca="false">IF(S1611="","",I1611&amp;"|"&amp;S1611)</f>
        <v/>
      </c>
    </row>
    <row r="1612" customFormat="false" ht="15" hidden="false" customHeight="false" outlineLevel="0" collapsed="false">
      <c r="A1612" s="31" t="n">
        <v>1608</v>
      </c>
      <c r="B1612" s="32" t="str">
        <f aca="false">IF(OR(C1612="",I1612="",G1612=""),"",IFERROR(VLOOKUP(I1612,Setup!$A$9:$B$11,2,0),"???")&amp;"-"&amp;G1612&amp;"-"&amp;TEXT(COUNTIFS(I$5:I1612,I1612,G$5:G1612,G1612),"0000"))</f>
        <v/>
      </c>
      <c r="C1612" s="26"/>
      <c r="D1612" s="26"/>
      <c r="E1612" s="27"/>
      <c r="F1612" s="27"/>
      <c r="G1612" s="31" t="str">
        <f aca="false">IF(F1612="","",IF(F1612&lt;=5,"A",IF(F1612&lt;=8,"B",IF(F1612&lt;=10,"C","D"))))</f>
        <v/>
      </c>
      <c r="H1612" s="28"/>
      <c r="I1612" s="27"/>
      <c r="J1612" s="26"/>
      <c r="K1612" s="27"/>
      <c r="L1612" s="27"/>
      <c r="M1612" s="27"/>
      <c r="N1612" s="27"/>
      <c r="O1612" s="31" t="str">
        <f aca="false">IF(G1612="","",VLOOKUP(G1612,Setup!$A$14:$C$17,3,0))</f>
        <v/>
      </c>
      <c r="P1612" s="27"/>
      <c r="Q1612" s="33" t="str">
        <f aca="false">IF(OR(P1612="",M1612&lt;&gt;"Paid",O1612=""),"",P1612/O1612)</f>
        <v/>
      </c>
      <c r="R1612" s="34" t="str">
        <f aca="false">IF(Q1612="","",Q1612+N(H1612)*0.000000001)</f>
        <v/>
      </c>
      <c r="S1612" s="32" t="str">
        <f aca="false">IF(R1612="","",SUMPRODUCT((I$5:I$4004=I1612)*ISNUMBER(R$5:R$4004)*(R$5:R$4004&gt;R1612))+1)</f>
        <v/>
      </c>
      <c r="T1612" s="32" t="str">
        <f aca="false">IF(S1612="","",IF(S1612&lt;=Setup!$B$5,"🏆 WINNER",""))</f>
        <v/>
      </c>
      <c r="U1612" s="31" t="str">
        <f aca="false">IF(S1612="","",I1612&amp;"|"&amp;S1612)</f>
        <v/>
      </c>
    </row>
    <row r="1613" customFormat="false" ht="15" hidden="false" customHeight="false" outlineLevel="0" collapsed="false">
      <c r="A1613" s="24" t="n">
        <v>1609</v>
      </c>
      <c r="B1613" s="25" t="str">
        <f aca="false">IF(OR(C1613="",I1613="",G1613=""),"",IFERROR(VLOOKUP(I1613,Setup!$A$9:$B$11,2,0),"???")&amp;"-"&amp;G1613&amp;"-"&amp;TEXT(COUNTIFS(I$5:I1613,I1613,G$5:G1613,G1613),"0000"))</f>
        <v/>
      </c>
      <c r="C1613" s="26"/>
      <c r="D1613" s="26"/>
      <c r="E1613" s="27"/>
      <c r="F1613" s="27"/>
      <c r="G1613" s="24" t="str">
        <f aca="false">IF(F1613="","",IF(F1613&lt;=5,"A",IF(F1613&lt;=8,"B",IF(F1613&lt;=10,"C","D"))))</f>
        <v/>
      </c>
      <c r="H1613" s="28"/>
      <c r="I1613" s="27"/>
      <c r="J1613" s="26"/>
      <c r="K1613" s="27"/>
      <c r="L1613" s="27"/>
      <c r="M1613" s="27"/>
      <c r="N1613" s="27"/>
      <c r="O1613" s="24" t="str">
        <f aca="false">IF(G1613="","",VLOOKUP(G1613,Setup!$A$14:$C$17,3,0))</f>
        <v/>
      </c>
      <c r="P1613" s="27"/>
      <c r="Q1613" s="29" t="str">
        <f aca="false">IF(OR(P1613="",M1613&lt;&gt;"Paid",O1613=""),"",P1613/O1613)</f>
        <v/>
      </c>
      <c r="R1613" s="30" t="str">
        <f aca="false">IF(Q1613="","",Q1613+N(H1613)*0.000000001)</f>
        <v/>
      </c>
      <c r="S1613" s="25" t="str">
        <f aca="false">IF(R1613="","",SUMPRODUCT((I$5:I$4004=I1613)*ISNUMBER(R$5:R$4004)*(R$5:R$4004&gt;R1613))+1)</f>
        <v/>
      </c>
      <c r="T1613" s="25" t="str">
        <f aca="false">IF(S1613="","",IF(S1613&lt;=Setup!$B$5,"🏆 WINNER",""))</f>
        <v/>
      </c>
      <c r="U1613" s="24" t="str">
        <f aca="false">IF(S1613="","",I1613&amp;"|"&amp;S1613)</f>
        <v/>
      </c>
    </row>
    <row r="1614" customFormat="false" ht="15" hidden="false" customHeight="false" outlineLevel="0" collapsed="false">
      <c r="A1614" s="31" t="n">
        <v>1610</v>
      </c>
      <c r="B1614" s="32" t="str">
        <f aca="false">IF(OR(C1614="",I1614="",G1614=""),"",IFERROR(VLOOKUP(I1614,Setup!$A$9:$B$11,2,0),"???")&amp;"-"&amp;G1614&amp;"-"&amp;TEXT(COUNTIFS(I$5:I1614,I1614,G$5:G1614,G1614),"0000"))</f>
        <v/>
      </c>
      <c r="C1614" s="26"/>
      <c r="D1614" s="26"/>
      <c r="E1614" s="27"/>
      <c r="F1614" s="27"/>
      <c r="G1614" s="31" t="str">
        <f aca="false">IF(F1614="","",IF(F1614&lt;=5,"A",IF(F1614&lt;=8,"B",IF(F1614&lt;=10,"C","D"))))</f>
        <v/>
      </c>
      <c r="H1614" s="28"/>
      <c r="I1614" s="27"/>
      <c r="J1614" s="26"/>
      <c r="K1614" s="27"/>
      <c r="L1614" s="27"/>
      <c r="M1614" s="27"/>
      <c r="N1614" s="27"/>
      <c r="O1614" s="31" t="str">
        <f aca="false">IF(G1614="","",VLOOKUP(G1614,Setup!$A$14:$C$17,3,0))</f>
        <v/>
      </c>
      <c r="P1614" s="27"/>
      <c r="Q1614" s="33" t="str">
        <f aca="false">IF(OR(P1614="",M1614&lt;&gt;"Paid",O1614=""),"",P1614/O1614)</f>
        <v/>
      </c>
      <c r="R1614" s="34" t="str">
        <f aca="false">IF(Q1614="","",Q1614+N(H1614)*0.000000001)</f>
        <v/>
      </c>
      <c r="S1614" s="32" t="str">
        <f aca="false">IF(R1614="","",SUMPRODUCT((I$5:I$4004=I1614)*ISNUMBER(R$5:R$4004)*(R$5:R$4004&gt;R1614))+1)</f>
        <v/>
      </c>
      <c r="T1614" s="32" t="str">
        <f aca="false">IF(S1614="","",IF(S1614&lt;=Setup!$B$5,"🏆 WINNER",""))</f>
        <v/>
      </c>
      <c r="U1614" s="31" t="str">
        <f aca="false">IF(S1614="","",I1614&amp;"|"&amp;S1614)</f>
        <v/>
      </c>
    </row>
    <row r="1615" customFormat="false" ht="15" hidden="false" customHeight="false" outlineLevel="0" collapsed="false">
      <c r="A1615" s="24" t="n">
        <v>1611</v>
      </c>
      <c r="B1615" s="25" t="str">
        <f aca="false">IF(OR(C1615="",I1615="",G1615=""),"",IFERROR(VLOOKUP(I1615,Setup!$A$9:$B$11,2,0),"???")&amp;"-"&amp;G1615&amp;"-"&amp;TEXT(COUNTIFS(I$5:I1615,I1615,G$5:G1615,G1615),"0000"))</f>
        <v/>
      </c>
      <c r="C1615" s="26"/>
      <c r="D1615" s="26"/>
      <c r="E1615" s="27"/>
      <c r="F1615" s="27"/>
      <c r="G1615" s="24" t="str">
        <f aca="false">IF(F1615="","",IF(F1615&lt;=5,"A",IF(F1615&lt;=8,"B",IF(F1615&lt;=10,"C","D"))))</f>
        <v/>
      </c>
      <c r="H1615" s="28"/>
      <c r="I1615" s="27"/>
      <c r="J1615" s="26"/>
      <c r="K1615" s="27"/>
      <c r="L1615" s="27"/>
      <c r="M1615" s="27"/>
      <c r="N1615" s="27"/>
      <c r="O1615" s="24" t="str">
        <f aca="false">IF(G1615="","",VLOOKUP(G1615,Setup!$A$14:$C$17,3,0))</f>
        <v/>
      </c>
      <c r="P1615" s="27"/>
      <c r="Q1615" s="29" t="str">
        <f aca="false">IF(OR(P1615="",M1615&lt;&gt;"Paid",O1615=""),"",P1615/O1615)</f>
        <v/>
      </c>
      <c r="R1615" s="30" t="str">
        <f aca="false">IF(Q1615="","",Q1615+N(H1615)*0.000000001)</f>
        <v/>
      </c>
      <c r="S1615" s="25" t="str">
        <f aca="false">IF(R1615="","",SUMPRODUCT((I$5:I$4004=I1615)*ISNUMBER(R$5:R$4004)*(R$5:R$4004&gt;R1615))+1)</f>
        <v/>
      </c>
      <c r="T1615" s="25" t="str">
        <f aca="false">IF(S1615="","",IF(S1615&lt;=Setup!$B$5,"🏆 WINNER",""))</f>
        <v/>
      </c>
      <c r="U1615" s="24" t="str">
        <f aca="false">IF(S1615="","",I1615&amp;"|"&amp;S1615)</f>
        <v/>
      </c>
    </row>
    <row r="1616" customFormat="false" ht="15" hidden="false" customHeight="false" outlineLevel="0" collapsed="false">
      <c r="A1616" s="31" t="n">
        <v>1612</v>
      </c>
      <c r="B1616" s="32" t="str">
        <f aca="false">IF(OR(C1616="",I1616="",G1616=""),"",IFERROR(VLOOKUP(I1616,Setup!$A$9:$B$11,2,0),"???")&amp;"-"&amp;G1616&amp;"-"&amp;TEXT(COUNTIFS(I$5:I1616,I1616,G$5:G1616,G1616),"0000"))</f>
        <v/>
      </c>
      <c r="C1616" s="26"/>
      <c r="D1616" s="26"/>
      <c r="E1616" s="27"/>
      <c r="F1616" s="27"/>
      <c r="G1616" s="31" t="str">
        <f aca="false">IF(F1616="","",IF(F1616&lt;=5,"A",IF(F1616&lt;=8,"B",IF(F1616&lt;=10,"C","D"))))</f>
        <v/>
      </c>
      <c r="H1616" s="28"/>
      <c r="I1616" s="27"/>
      <c r="J1616" s="26"/>
      <c r="K1616" s="27"/>
      <c r="L1616" s="27"/>
      <c r="M1616" s="27"/>
      <c r="N1616" s="27"/>
      <c r="O1616" s="31" t="str">
        <f aca="false">IF(G1616="","",VLOOKUP(G1616,Setup!$A$14:$C$17,3,0))</f>
        <v/>
      </c>
      <c r="P1616" s="27"/>
      <c r="Q1616" s="33" t="str">
        <f aca="false">IF(OR(P1616="",M1616&lt;&gt;"Paid",O1616=""),"",P1616/O1616)</f>
        <v/>
      </c>
      <c r="R1616" s="34" t="str">
        <f aca="false">IF(Q1616="","",Q1616+N(H1616)*0.000000001)</f>
        <v/>
      </c>
      <c r="S1616" s="32" t="str">
        <f aca="false">IF(R1616="","",SUMPRODUCT((I$5:I$4004=I1616)*ISNUMBER(R$5:R$4004)*(R$5:R$4004&gt;R1616))+1)</f>
        <v/>
      </c>
      <c r="T1616" s="32" t="str">
        <f aca="false">IF(S1616="","",IF(S1616&lt;=Setup!$B$5,"🏆 WINNER",""))</f>
        <v/>
      </c>
      <c r="U1616" s="31" t="str">
        <f aca="false">IF(S1616="","",I1616&amp;"|"&amp;S1616)</f>
        <v/>
      </c>
    </row>
    <row r="1617" customFormat="false" ht="15" hidden="false" customHeight="false" outlineLevel="0" collapsed="false">
      <c r="A1617" s="24" t="n">
        <v>1613</v>
      </c>
      <c r="B1617" s="25" t="str">
        <f aca="false">IF(OR(C1617="",I1617="",G1617=""),"",IFERROR(VLOOKUP(I1617,Setup!$A$9:$B$11,2,0),"???")&amp;"-"&amp;G1617&amp;"-"&amp;TEXT(COUNTIFS(I$5:I1617,I1617,G$5:G1617,G1617),"0000"))</f>
        <v/>
      </c>
      <c r="C1617" s="26"/>
      <c r="D1617" s="26"/>
      <c r="E1617" s="27"/>
      <c r="F1617" s="27"/>
      <c r="G1617" s="24" t="str">
        <f aca="false">IF(F1617="","",IF(F1617&lt;=5,"A",IF(F1617&lt;=8,"B",IF(F1617&lt;=10,"C","D"))))</f>
        <v/>
      </c>
      <c r="H1617" s="28"/>
      <c r="I1617" s="27"/>
      <c r="J1617" s="26"/>
      <c r="K1617" s="27"/>
      <c r="L1617" s="27"/>
      <c r="M1617" s="27"/>
      <c r="N1617" s="27"/>
      <c r="O1617" s="24" t="str">
        <f aca="false">IF(G1617="","",VLOOKUP(G1617,Setup!$A$14:$C$17,3,0))</f>
        <v/>
      </c>
      <c r="P1617" s="27"/>
      <c r="Q1617" s="29" t="str">
        <f aca="false">IF(OR(P1617="",M1617&lt;&gt;"Paid",O1617=""),"",P1617/O1617)</f>
        <v/>
      </c>
      <c r="R1617" s="30" t="str">
        <f aca="false">IF(Q1617="","",Q1617+N(H1617)*0.000000001)</f>
        <v/>
      </c>
      <c r="S1617" s="25" t="str">
        <f aca="false">IF(R1617="","",SUMPRODUCT((I$5:I$4004=I1617)*ISNUMBER(R$5:R$4004)*(R$5:R$4004&gt;R1617))+1)</f>
        <v/>
      </c>
      <c r="T1617" s="25" t="str">
        <f aca="false">IF(S1617="","",IF(S1617&lt;=Setup!$B$5,"🏆 WINNER",""))</f>
        <v/>
      </c>
      <c r="U1617" s="24" t="str">
        <f aca="false">IF(S1617="","",I1617&amp;"|"&amp;S1617)</f>
        <v/>
      </c>
    </row>
    <row r="1618" customFormat="false" ht="15" hidden="false" customHeight="false" outlineLevel="0" collapsed="false">
      <c r="A1618" s="31" t="n">
        <v>1614</v>
      </c>
      <c r="B1618" s="32" t="str">
        <f aca="false">IF(OR(C1618="",I1618="",G1618=""),"",IFERROR(VLOOKUP(I1618,Setup!$A$9:$B$11,2,0),"???")&amp;"-"&amp;G1618&amp;"-"&amp;TEXT(COUNTIFS(I$5:I1618,I1618,G$5:G1618,G1618),"0000"))</f>
        <v/>
      </c>
      <c r="C1618" s="26"/>
      <c r="D1618" s="26"/>
      <c r="E1618" s="27"/>
      <c r="F1618" s="27"/>
      <c r="G1618" s="31" t="str">
        <f aca="false">IF(F1618="","",IF(F1618&lt;=5,"A",IF(F1618&lt;=8,"B",IF(F1618&lt;=10,"C","D"))))</f>
        <v/>
      </c>
      <c r="H1618" s="28"/>
      <c r="I1618" s="27"/>
      <c r="J1618" s="26"/>
      <c r="K1618" s="27"/>
      <c r="L1618" s="27"/>
      <c r="M1618" s="27"/>
      <c r="N1618" s="27"/>
      <c r="O1618" s="31" t="str">
        <f aca="false">IF(G1618="","",VLOOKUP(G1618,Setup!$A$14:$C$17,3,0))</f>
        <v/>
      </c>
      <c r="P1618" s="27"/>
      <c r="Q1618" s="33" t="str">
        <f aca="false">IF(OR(P1618="",M1618&lt;&gt;"Paid",O1618=""),"",P1618/O1618)</f>
        <v/>
      </c>
      <c r="R1618" s="34" t="str">
        <f aca="false">IF(Q1618="","",Q1618+N(H1618)*0.000000001)</f>
        <v/>
      </c>
      <c r="S1618" s="32" t="str">
        <f aca="false">IF(R1618="","",SUMPRODUCT((I$5:I$4004=I1618)*ISNUMBER(R$5:R$4004)*(R$5:R$4004&gt;R1618))+1)</f>
        <v/>
      </c>
      <c r="T1618" s="32" t="str">
        <f aca="false">IF(S1618="","",IF(S1618&lt;=Setup!$B$5,"🏆 WINNER",""))</f>
        <v/>
      </c>
      <c r="U1618" s="31" t="str">
        <f aca="false">IF(S1618="","",I1618&amp;"|"&amp;S1618)</f>
        <v/>
      </c>
    </row>
    <row r="1619" customFormat="false" ht="15" hidden="false" customHeight="false" outlineLevel="0" collapsed="false">
      <c r="A1619" s="24" t="n">
        <v>1615</v>
      </c>
      <c r="B1619" s="25" t="str">
        <f aca="false">IF(OR(C1619="",I1619="",G1619=""),"",IFERROR(VLOOKUP(I1619,Setup!$A$9:$B$11,2,0),"???")&amp;"-"&amp;G1619&amp;"-"&amp;TEXT(COUNTIFS(I$5:I1619,I1619,G$5:G1619,G1619),"0000"))</f>
        <v/>
      </c>
      <c r="C1619" s="26"/>
      <c r="D1619" s="26"/>
      <c r="E1619" s="27"/>
      <c r="F1619" s="27"/>
      <c r="G1619" s="24" t="str">
        <f aca="false">IF(F1619="","",IF(F1619&lt;=5,"A",IF(F1619&lt;=8,"B",IF(F1619&lt;=10,"C","D"))))</f>
        <v/>
      </c>
      <c r="H1619" s="28"/>
      <c r="I1619" s="27"/>
      <c r="J1619" s="26"/>
      <c r="K1619" s="27"/>
      <c r="L1619" s="27"/>
      <c r="M1619" s="27"/>
      <c r="N1619" s="27"/>
      <c r="O1619" s="24" t="str">
        <f aca="false">IF(G1619="","",VLOOKUP(G1619,Setup!$A$14:$C$17,3,0))</f>
        <v/>
      </c>
      <c r="P1619" s="27"/>
      <c r="Q1619" s="29" t="str">
        <f aca="false">IF(OR(P1619="",M1619&lt;&gt;"Paid",O1619=""),"",P1619/O1619)</f>
        <v/>
      </c>
      <c r="R1619" s="30" t="str">
        <f aca="false">IF(Q1619="","",Q1619+N(H1619)*0.000000001)</f>
        <v/>
      </c>
      <c r="S1619" s="25" t="str">
        <f aca="false">IF(R1619="","",SUMPRODUCT((I$5:I$4004=I1619)*ISNUMBER(R$5:R$4004)*(R$5:R$4004&gt;R1619))+1)</f>
        <v/>
      </c>
      <c r="T1619" s="25" t="str">
        <f aca="false">IF(S1619="","",IF(S1619&lt;=Setup!$B$5,"🏆 WINNER",""))</f>
        <v/>
      </c>
      <c r="U1619" s="24" t="str">
        <f aca="false">IF(S1619="","",I1619&amp;"|"&amp;S1619)</f>
        <v/>
      </c>
    </row>
    <row r="1620" customFormat="false" ht="15" hidden="false" customHeight="false" outlineLevel="0" collapsed="false">
      <c r="A1620" s="31" t="n">
        <v>1616</v>
      </c>
      <c r="B1620" s="32" t="str">
        <f aca="false">IF(OR(C1620="",I1620="",G1620=""),"",IFERROR(VLOOKUP(I1620,Setup!$A$9:$B$11,2,0),"???")&amp;"-"&amp;G1620&amp;"-"&amp;TEXT(COUNTIFS(I$5:I1620,I1620,G$5:G1620,G1620),"0000"))</f>
        <v/>
      </c>
      <c r="C1620" s="26"/>
      <c r="D1620" s="26"/>
      <c r="E1620" s="27"/>
      <c r="F1620" s="27"/>
      <c r="G1620" s="31" t="str">
        <f aca="false">IF(F1620="","",IF(F1620&lt;=5,"A",IF(F1620&lt;=8,"B",IF(F1620&lt;=10,"C","D"))))</f>
        <v/>
      </c>
      <c r="H1620" s="28"/>
      <c r="I1620" s="27"/>
      <c r="J1620" s="26"/>
      <c r="K1620" s="27"/>
      <c r="L1620" s="27"/>
      <c r="M1620" s="27"/>
      <c r="N1620" s="27"/>
      <c r="O1620" s="31" t="str">
        <f aca="false">IF(G1620="","",VLOOKUP(G1620,Setup!$A$14:$C$17,3,0))</f>
        <v/>
      </c>
      <c r="P1620" s="27"/>
      <c r="Q1620" s="33" t="str">
        <f aca="false">IF(OR(P1620="",M1620&lt;&gt;"Paid",O1620=""),"",P1620/O1620)</f>
        <v/>
      </c>
      <c r="R1620" s="34" t="str">
        <f aca="false">IF(Q1620="","",Q1620+N(H1620)*0.000000001)</f>
        <v/>
      </c>
      <c r="S1620" s="32" t="str">
        <f aca="false">IF(R1620="","",SUMPRODUCT((I$5:I$4004=I1620)*ISNUMBER(R$5:R$4004)*(R$5:R$4004&gt;R1620))+1)</f>
        <v/>
      </c>
      <c r="T1620" s="32" t="str">
        <f aca="false">IF(S1620="","",IF(S1620&lt;=Setup!$B$5,"🏆 WINNER",""))</f>
        <v/>
      </c>
      <c r="U1620" s="31" t="str">
        <f aca="false">IF(S1620="","",I1620&amp;"|"&amp;S1620)</f>
        <v/>
      </c>
    </row>
    <row r="1621" customFormat="false" ht="15" hidden="false" customHeight="false" outlineLevel="0" collapsed="false">
      <c r="A1621" s="24" t="n">
        <v>1617</v>
      </c>
      <c r="B1621" s="25" t="str">
        <f aca="false">IF(OR(C1621="",I1621="",G1621=""),"",IFERROR(VLOOKUP(I1621,Setup!$A$9:$B$11,2,0),"???")&amp;"-"&amp;G1621&amp;"-"&amp;TEXT(COUNTIFS(I$5:I1621,I1621,G$5:G1621,G1621),"0000"))</f>
        <v/>
      </c>
      <c r="C1621" s="26"/>
      <c r="D1621" s="26"/>
      <c r="E1621" s="27"/>
      <c r="F1621" s="27"/>
      <c r="G1621" s="24" t="str">
        <f aca="false">IF(F1621="","",IF(F1621&lt;=5,"A",IF(F1621&lt;=8,"B",IF(F1621&lt;=10,"C","D"))))</f>
        <v/>
      </c>
      <c r="H1621" s="28"/>
      <c r="I1621" s="27"/>
      <c r="J1621" s="26"/>
      <c r="K1621" s="27"/>
      <c r="L1621" s="27"/>
      <c r="M1621" s="27"/>
      <c r="N1621" s="27"/>
      <c r="O1621" s="24" t="str">
        <f aca="false">IF(G1621="","",VLOOKUP(G1621,Setup!$A$14:$C$17,3,0))</f>
        <v/>
      </c>
      <c r="P1621" s="27"/>
      <c r="Q1621" s="29" t="str">
        <f aca="false">IF(OR(P1621="",M1621&lt;&gt;"Paid",O1621=""),"",P1621/O1621)</f>
        <v/>
      </c>
      <c r="R1621" s="30" t="str">
        <f aca="false">IF(Q1621="","",Q1621+N(H1621)*0.000000001)</f>
        <v/>
      </c>
      <c r="S1621" s="25" t="str">
        <f aca="false">IF(R1621="","",SUMPRODUCT((I$5:I$4004=I1621)*ISNUMBER(R$5:R$4004)*(R$5:R$4004&gt;R1621))+1)</f>
        <v/>
      </c>
      <c r="T1621" s="25" t="str">
        <f aca="false">IF(S1621="","",IF(S1621&lt;=Setup!$B$5,"🏆 WINNER",""))</f>
        <v/>
      </c>
      <c r="U1621" s="24" t="str">
        <f aca="false">IF(S1621="","",I1621&amp;"|"&amp;S1621)</f>
        <v/>
      </c>
    </row>
    <row r="1622" customFormat="false" ht="15" hidden="false" customHeight="false" outlineLevel="0" collapsed="false">
      <c r="A1622" s="31" t="n">
        <v>1618</v>
      </c>
      <c r="B1622" s="32" t="str">
        <f aca="false">IF(OR(C1622="",I1622="",G1622=""),"",IFERROR(VLOOKUP(I1622,Setup!$A$9:$B$11,2,0),"???")&amp;"-"&amp;G1622&amp;"-"&amp;TEXT(COUNTIFS(I$5:I1622,I1622,G$5:G1622,G1622),"0000"))</f>
        <v/>
      </c>
      <c r="C1622" s="26"/>
      <c r="D1622" s="26"/>
      <c r="E1622" s="27"/>
      <c r="F1622" s="27"/>
      <c r="G1622" s="31" t="str">
        <f aca="false">IF(F1622="","",IF(F1622&lt;=5,"A",IF(F1622&lt;=8,"B",IF(F1622&lt;=10,"C","D"))))</f>
        <v/>
      </c>
      <c r="H1622" s="28"/>
      <c r="I1622" s="27"/>
      <c r="J1622" s="26"/>
      <c r="K1622" s="27"/>
      <c r="L1622" s="27"/>
      <c r="M1622" s="27"/>
      <c r="N1622" s="27"/>
      <c r="O1622" s="31" t="str">
        <f aca="false">IF(G1622="","",VLOOKUP(G1622,Setup!$A$14:$C$17,3,0))</f>
        <v/>
      </c>
      <c r="P1622" s="27"/>
      <c r="Q1622" s="33" t="str">
        <f aca="false">IF(OR(P1622="",M1622&lt;&gt;"Paid",O1622=""),"",P1622/O1622)</f>
        <v/>
      </c>
      <c r="R1622" s="34" t="str">
        <f aca="false">IF(Q1622="","",Q1622+N(H1622)*0.000000001)</f>
        <v/>
      </c>
      <c r="S1622" s="32" t="str">
        <f aca="false">IF(R1622="","",SUMPRODUCT((I$5:I$4004=I1622)*ISNUMBER(R$5:R$4004)*(R$5:R$4004&gt;R1622))+1)</f>
        <v/>
      </c>
      <c r="T1622" s="32" t="str">
        <f aca="false">IF(S1622="","",IF(S1622&lt;=Setup!$B$5,"🏆 WINNER",""))</f>
        <v/>
      </c>
      <c r="U1622" s="31" t="str">
        <f aca="false">IF(S1622="","",I1622&amp;"|"&amp;S1622)</f>
        <v/>
      </c>
    </row>
    <row r="1623" customFormat="false" ht="15" hidden="false" customHeight="false" outlineLevel="0" collapsed="false">
      <c r="A1623" s="24" t="n">
        <v>1619</v>
      </c>
      <c r="B1623" s="25" t="str">
        <f aca="false">IF(OR(C1623="",I1623="",G1623=""),"",IFERROR(VLOOKUP(I1623,Setup!$A$9:$B$11,2,0),"???")&amp;"-"&amp;G1623&amp;"-"&amp;TEXT(COUNTIFS(I$5:I1623,I1623,G$5:G1623,G1623),"0000"))</f>
        <v/>
      </c>
      <c r="C1623" s="26"/>
      <c r="D1623" s="26"/>
      <c r="E1623" s="27"/>
      <c r="F1623" s="27"/>
      <c r="G1623" s="24" t="str">
        <f aca="false">IF(F1623="","",IF(F1623&lt;=5,"A",IF(F1623&lt;=8,"B",IF(F1623&lt;=10,"C","D"))))</f>
        <v/>
      </c>
      <c r="H1623" s="28"/>
      <c r="I1623" s="27"/>
      <c r="J1623" s="26"/>
      <c r="K1623" s="27"/>
      <c r="L1623" s="27"/>
      <c r="M1623" s="27"/>
      <c r="N1623" s="27"/>
      <c r="O1623" s="24" t="str">
        <f aca="false">IF(G1623="","",VLOOKUP(G1623,Setup!$A$14:$C$17,3,0))</f>
        <v/>
      </c>
      <c r="P1623" s="27"/>
      <c r="Q1623" s="29" t="str">
        <f aca="false">IF(OR(P1623="",M1623&lt;&gt;"Paid",O1623=""),"",P1623/O1623)</f>
        <v/>
      </c>
      <c r="R1623" s="30" t="str">
        <f aca="false">IF(Q1623="","",Q1623+N(H1623)*0.000000001)</f>
        <v/>
      </c>
      <c r="S1623" s="25" t="str">
        <f aca="false">IF(R1623="","",SUMPRODUCT((I$5:I$4004=I1623)*ISNUMBER(R$5:R$4004)*(R$5:R$4004&gt;R1623))+1)</f>
        <v/>
      </c>
      <c r="T1623" s="25" t="str">
        <f aca="false">IF(S1623="","",IF(S1623&lt;=Setup!$B$5,"🏆 WINNER",""))</f>
        <v/>
      </c>
      <c r="U1623" s="24" t="str">
        <f aca="false">IF(S1623="","",I1623&amp;"|"&amp;S1623)</f>
        <v/>
      </c>
    </row>
    <row r="1624" customFormat="false" ht="15" hidden="false" customHeight="false" outlineLevel="0" collapsed="false">
      <c r="A1624" s="31" t="n">
        <v>1620</v>
      </c>
      <c r="B1624" s="32" t="str">
        <f aca="false">IF(OR(C1624="",I1624="",G1624=""),"",IFERROR(VLOOKUP(I1624,Setup!$A$9:$B$11,2,0),"???")&amp;"-"&amp;G1624&amp;"-"&amp;TEXT(COUNTIFS(I$5:I1624,I1624,G$5:G1624,G1624),"0000"))</f>
        <v/>
      </c>
      <c r="C1624" s="26"/>
      <c r="D1624" s="26"/>
      <c r="E1624" s="27"/>
      <c r="F1624" s="27"/>
      <c r="G1624" s="31" t="str">
        <f aca="false">IF(F1624="","",IF(F1624&lt;=5,"A",IF(F1624&lt;=8,"B",IF(F1624&lt;=10,"C","D"))))</f>
        <v/>
      </c>
      <c r="H1624" s="28"/>
      <c r="I1624" s="27"/>
      <c r="J1624" s="26"/>
      <c r="K1624" s="27"/>
      <c r="L1624" s="27"/>
      <c r="M1624" s="27"/>
      <c r="N1624" s="27"/>
      <c r="O1624" s="31" t="str">
        <f aca="false">IF(G1624="","",VLOOKUP(G1624,Setup!$A$14:$C$17,3,0))</f>
        <v/>
      </c>
      <c r="P1624" s="27"/>
      <c r="Q1624" s="33" t="str">
        <f aca="false">IF(OR(P1624="",M1624&lt;&gt;"Paid",O1624=""),"",P1624/O1624)</f>
        <v/>
      </c>
      <c r="R1624" s="34" t="str">
        <f aca="false">IF(Q1624="","",Q1624+N(H1624)*0.000000001)</f>
        <v/>
      </c>
      <c r="S1624" s="32" t="str">
        <f aca="false">IF(R1624="","",SUMPRODUCT((I$5:I$4004=I1624)*ISNUMBER(R$5:R$4004)*(R$5:R$4004&gt;R1624))+1)</f>
        <v/>
      </c>
      <c r="T1624" s="32" t="str">
        <f aca="false">IF(S1624="","",IF(S1624&lt;=Setup!$B$5,"🏆 WINNER",""))</f>
        <v/>
      </c>
      <c r="U1624" s="31" t="str">
        <f aca="false">IF(S1624="","",I1624&amp;"|"&amp;S1624)</f>
        <v/>
      </c>
    </row>
    <row r="1625" customFormat="false" ht="15" hidden="false" customHeight="false" outlineLevel="0" collapsed="false">
      <c r="A1625" s="24" t="n">
        <v>1621</v>
      </c>
      <c r="B1625" s="25" t="str">
        <f aca="false">IF(OR(C1625="",I1625="",G1625=""),"",IFERROR(VLOOKUP(I1625,Setup!$A$9:$B$11,2,0),"???")&amp;"-"&amp;G1625&amp;"-"&amp;TEXT(COUNTIFS(I$5:I1625,I1625,G$5:G1625,G1625),"0000"))</f>
        <v/>
      </c>
      <c r="C1625" s="26"/>
      <c r="D1625" s="26"/>
      <c r="E1625" s="27"/>
      <c r="F1625" s="27"/>
      <c r="G1625" s="24" t="str">
        <f aca="false">IF(F1625="","",IF(F1625&lt;=5,"A",IF(F1625&lt;=8,"B",IF(F1625&lt;=10,"C","D"))))</f>
        <v/>
      </c>
      <c r="H1625" s="28"/>
      <c r="I1625" s="27"/>
      <c r="J1625" s="26"/>
      <c r="K1625" s="27"/>
      <c r="L1625" s="27"/>
      <c r="M1625" s="27"/>
      <c r="N1625" s="27"/>
      <c r="O1625" s="24" t="str">
        <f aca="false">IF(G1625="","",VLOOKUP(G1625,Setup!$A$14:$C$17,3,0))</f>
        <v/>
      </c>
      <c r="P1625" s="27"/>
      <c r="Q1625" s="29" t="str">
        <f aca="false">IF(OR(P1625="",M1625&lt;&gt;"Paid",O1625=""),"",P1625/O1625)</f>
        <v/>
      </c>
      <c r="R1625" s="30" t="str">
        <f aca="false">IF(Q1625="","",Q1625+N(H1625)*0.000000001)</f>
        <v/>
      </c>
      <c r="S1625" s="25" t="str">
        <f aca="false">IF(R1625="","",SUMPRODUCT((I$5:I$4004=I1625)*ISNUMBER(R$5:R$4004)*(R$5:R$4004&gt;R1625))+1)</f>
        <v/>
      </c>
      <c r="T1625" s="25" t="str">
        <f aca="false">IF(S1625="","",IF(S1625&lt;=Setup!$B$5,"🏆 WINNER",""))</f>
        <v/>
      </c>
      <c r="U1625" s="24" t="str">
        <f aca="false">IF(S1625="","",I1625&amp;"|"&amp;S1625)</f>
        <v/>
      </c>
    </row>
    <row r="1626" customFormat="false" ht="15" hidden="false" customHeight="false" outlineLevel="0" collapsed="false">
      <c r="A1626" s="31" t="n">
        <v>1622</v>
      </c>
      <c r="B1626" s="32" t="str">
        <f aca="false">IF(OR(C1626="",I1626="",G1626=""),"",IFERROR(VLOOKUP(I1626,Setup!$A$9:$B$11,2,0),"???")&amp;"-"&amp;G1626&amp;"-"&amp;TEXT(COUNTIFS(I$5:I1626,I1626,G$5:G1626,G1626),"0000"))</f>
        <v/>
      </c>
      <c r="C1626" s="26"/>
      <c r="D1626" s="26"/>
      <c r="E1626" s="27"/>
      <c r="F1626" s="27"/>
      <c r="G1626" s="31" t="str">
        <f aca="false">IF(F1626="","",IF(F1626&lt;=5,"A",IF(F1626&lt;=8,"B",IF(F1626&lt;=10,"C","D"))))</f>
        <v/>
      </c>
      <c r="H1626" s="28"/>
      <c r="I1626" s="27"/>
      <c r="J1626" s="26"/>
      <c r="K1626" s="27"/>
      <c r="L1626" s="27"/>
      <c r="M1626" s="27"/>
      <c r="N1626" s="27"/>
      <c r="O1626" s="31" t="str">
        <f aca="false">IF(G1626="","",VLOOKUP(G1626,Setup!$A$14:$C$17,3,0))</f>
        <v/>
      </c>
      <c r="P1626" s="27"/>
      <c r="Q1626" s="33" t="str">
        <f aca="false">IF(OR(P1626="",M1626&lt;&gt;"Paid",O1626=""),"",P1626/O1626)</f>
        <v/>
      </c>
      <c r="R1626" s="34" t="str">
        <f aca="false">IF(Q1626="","",Q1626+N(H1626)*0.000000001)</f>
        <v/>
      </c>
      <c r="S1626" s="32" t="str">
        <f aca="false">IF(R1626="","",SUMPRODUCT((I$5:I$4004=I1626)*ISNUMBER(R$5:R$4004)*(R$5:R$4004&gt;R1626))+1)</f>
        <v/>
      </c>
      <c r="T1626" s="32" t="str">
        <f aca="false">IF(S1626="","",IF(S1626&lt;=Setup!$B$5,"🏆 WINNER",""))</f>
        <v/>
      </c>
      <c r="U1626" s="31" t="str">
        <f aca="false">IF(S1626="","",I1626&amp;"|"&amp;S1626)</f>
        <v/>
      </c>
    </row>
    <row r="1627" customFormat="false" ht="15" hidden="false" customHeight="false" outlineLevel="0" collapsed="false">
      <c r="A1627" s="24" t="n">
        <v>1623</v>
      </c>
      <c r="B1627" s="25" t="str">
        <f aca="false">IF(OR(C1627="",I1627="",G1627=""),"",IFERROR(VLOOKUP(I1627,Setup!$A$9:$B$11,2,0),"???")&amp;"-"&amp;G1627&amp;"-"&amp;TEXT(COUNTIFS(I$5:I1627,I1627,G$5:G1627,G1627),"0000"))</f>
        <v/>
      </c>
      <c r="C1627" s="26"/>
      <c r="D1627" s="26"/>
      <c r="E1627" s="27"/>
      <c r="F1627" s="27"/>
      <c r="G1627" s="24" t="str">
        <f aca="false">IF(F1627="","",IF(F1627&lt;=5,"A",IF(F1627&lt;=8,"B",IF(F1627&lt;=10,"C","D"))))</f>
        <v/>
      </c>
      <c r="H1627" s="28"/>
      <c r="I1627" s="27"/>
      <c r="J1627" s="26"/>
      <c r="K1627" s="27"/>
      <c r="L1627" s="27"/>
      <c r="M1627" s="27"/>
      <c r="N1627" s="27"/>
      <c r="O1627" s="24" t="str">
        <f aca="false">IF(G1627="","",VLOOKUP(G1627,Setup!$A$14:$C$17,3,0))</f>
        <v/>
      </c>
      <c r="P1627" s="27"/>
      <c r="Q1627" s="29" t="str">
        <f aca="false">IF(OR(P1627="",M1627&lt;&gt;"Paid",O1627=""),"",P1627/O1627)</f>
        <v/>
      </c>
      <c r="R1627" s="30" t="str">
        <f aca="false">IF(Q1627="","",Q1627+N(H1627)*0.000000001)</f>
        <v/>
      </c>
      <c r="S1627" s="25" t="str">
        <f aca="false">IF(R1627="","",SUMPRODUCT((I$5:I$4004=I1627)*ISNUMBER(R$5:R$4004)*(R$5:R$4004&gt;R1627))+1)</f>
        <v/>
      </c>
      <c r="T1627" s="25" t="str">
        <f aca="false">IF(S1627="","",IF(S1627&lt;=Setup!$B$5,"🏆 WINNER",""))</f>
        <v/>
      </c>
      <c r="U1627" s="24" t="str">
        <f aca="false">IF(S1627="","",I1627&amp;"|"&amp;S1627)</f>
        <v/>
      </c>
    </row>
    <row r="1628" customFormat="false" ht="15" hidden="false" customHeight="false" outlineLevel="0" collapsed="false">
      <c r="A1628" s="31" t="n">
        <v>1624</v>
      </c>
      <c r="B1628" s="32" t="str">
        <f aca="false">IF(OR(C1628="",I1628="",G1628=""),"",IFERROR(VLOOKUP(I1628,Setup!$A$9:$B$11,2,0),"???")&amp;"-"&amp;G1628&amp;"-"&amp;TEXT(COUNTIFS(I$5:I1628,I1628,G$5:G1628,G1628),"0000"))</f>
        <v/>
      </c>
      <c r="C1628" s="26"/>
      <c r="D1628" s="26"/>
      <c r="E1628" s="27"/>
      <c r="F1628" s="27"/>
      <c r="G1628" s="31" t="str">
        <f aca="false">IF(F1628="","",IF(F1628&lt;=5,"A",IF(F1628&lt;=8,"B",IF(F1628&lt;=10,"C","D"))))</f>
        <v/>
      </c>
      <c r="H1628" s="28"/>
      <c r="I1628" s="27"/>
      <c r="J1628" s="26"/>
      <c r="K1628" s="27"/>
      <c r="L1628" s="27"/>
      <c r="M1628" s="27"/>
      <c r="N1628" s="27"/>
      <c r="O1628" s="31" t="str">
        <f aca="false">IF(G1628="","",VLOOKUP(G1628,Setup!$A$14:$C$17,3,0))</f>
        <v/>
      </c>
      <c r="P1628" s="27"/>
      <c r="Q1628" s="33" t="str">
        <f aca="false">IF(OR(P1628="",M1628&lt;&gt;"Paid",O1628=""),"",P1628/O1628)</f>
        <v/>
      </c>
      <c r="R1628" s="34" t="str">
        <f aca="false">IF(Q1628="","",Q1628+N(H1628)*0.000000001)</f>
        <v/>
      </c>
      <c r="S1628" s="32" t="str">
        <f aca="false">IF(R1628="","",SUMPRODUCT((I$5:I$4004=I1628)*ISNUMBER(R$5:R$4004)*(R$5:R$4004&gt;R1628))+1)</f>
        <v/>
      </c>
      <c r="T1628" s="32" t="str">
        <f aca="false">IF(S1628="","",IF(S1628&lt;=Setup!$B$5,"🏆 WINNER",""))</f>
        <v/>
      </c>
      <c r="U1628" s="31" t="str">
        <f aca="false">IF(S1628="","",I1628&amp;"|"&amp;S1628)</f>
        <v/>
      </c>
    </row>
    <row r="1629" customFormat="false" ht="15" hidden="false" customHeight="false" outlineLevel="0" collapsed="false">
      <c r="A1629" s="24" t="n">
        <v>1625</v>
      </c>
      <c r="B1629" s="25" t="str">
        <f aca="false">IF(OR(C1629="",I1629="",G1629=""),"",IFERROR(VLOOKUP(I1629,Setup!$A$9:$B$11,2,0),"???")&amp;"-"&amp;G1629&amp;"-"&amp;TEXT(COUNTIFS(I$5:I1629,I1629,G$5:G1629,G1629),"0000"))</f>
        <v/>
      </c>
      <c r="C1629" s="26"/>
      <c r="D1629" s="26"/>
      <c r="E1629" s="27"/>
      <c r="F1629" s="27"/>
      <c r="G1629" s="24" t="str">
        <f aca="false">IF(F1629="","",IF(F1629&lt;=5,"A",IF(F1629&lt;=8,"B",IF(F1629&lt;=10,"C","D"))))</f>
        <v/>
      </c>
      <c r="H1629" s="28"/>
      <c r="I1629" s="27"/>
      <c r="J1629" s="26"/>
      <c r="K1629" s="27"/>
      <c r="L1629" s="27"/>
      <c r="M1629" s="27"/>
      <c r="N1629" s="27"/>
      <c r="O1629" s="24" t="str">
        <f aca="false">IF(G1629="","",VLOOKUP(G1629,Setup!$A$14:$C$17,3,0))</f>
        <v/>
      </c>
      <c r="P1629" s="27"/>
      <c r="Q1629" s="29" t="str">
        <f aca="false">IF(OR(P1629="",M1629&lt;&gt;"Paid",O1629=""),"",P1629/O1629)</f>
        <v/>
      </c>
      <c r="R1629" s="30" t="str">
        <f aca="false">IF(Q1629="","",Q1629+N(H1629)*0.000000001)</f>
        <v/>
      </c>
      <c r="S1629" s="25" t="str">
        <f aca="false">IF(R1629="","",SUMPRODUCT((I$5:I$4004=I1629)*ISNUMBER(R$5:R$4004)*(R$5:R$4004&gt;R1629))+1)</f>
        <v/>
      </c>
      <c r="T1629" s="25" t="str">
        <f aca="false">IF(S1629="","",IF(S1629&lt;=Setup!$B$5,"🏆 WINNER",""))</f>
        <v/>
      </c>
      <c r="U1629" s="24" t="str">
        <f aca="false">IF(S1629="","",I1629&amp;"|"&amp;S1629)</f>
        <v/>
      </c>
    </row>
    <row r="1630" customFormat="false" ht="15" hidden="false" customHeight="false" outlineLevel="0" collapsed="false">
      <c r="A1630" s="31" t="n">
        <v>1626</v>
      </c>
      <c r="B1630" s="32" t="str">
        <f aca="false">IF(OR(C1630="",I1630="",G1630=""),"",IFERROR(VLOOKUP(I1630,Setup!$A$9:$B$11,2,0),"???")&amp;"-"&amp;G1630&amp;"-"&amp;TEXT(COUNTIFS(I$5:I1630,I1630,G$5:G1630,G1630),"0000"))</f>
        <v/>
      </c>
      <c r="C1630" s="26"/>
      <c r="D1630" s="26"/>
      <c r="E1630" s="27"/>
      <c r="F1630" s="27"/>
      <c r="G1630" s="31" t="str">
        <f aca="false">IF(F1630="","",IF(F1630&lt;=5,"A",IF(F1630&lt;=8,"B",IF(F1630&lt;=10,"C","D"))))</f>
        <v/>
      </c>
      <c r="H1630" s="28"/>
      <c r="I1630" s="27"/>
      <c r="J1630" s="26"/>
      <c r="K1630" s="27"/>
      <c r="L1630" s="27"/>
      <c r="M1630" s="27"/>
      <c r="N1630" s="27"/>
      <c r="O1630" s="31" t="str">
        <f aca="false">IF(G1630="","",VLOOKUP(G1630,Setup!$A$14:$C$17,3,0))</f>
        <v/>
      </c>
      <c r="P1630" s="27"/>
      <c r="Q1630" s="33" t="str">
        <f aca="false">IF(OR(P1630="",M1630&lt;&gt;"Paid",O1630=""),"",P1630/O1630)</f>
        <v/>
      </c>
      <c r="R1630" s="34" t="str">
        <f aca="false">IF(Q1630="","",Q1630+N(H1630)*0.000000001)</f>
        <v/>
      </c>
      <c r="S1630" s="32" t="str">
        <f aca="false">IF(R1630="","",SUMPRODUCT((I$5:I$4004=I1630)*ISNUMBER(R$5:R$4004)*(R$5:R$4004&gt;R1630))+1)</f>
        <v/>
      </c>
      <c r="T1630" s="32" t="str">
        <f aca="false">IF(S1630="","",IF(S1630&lt;=Setup!$B$5,"🏆 WINNER",""))</f>
        <v/>
      </c>
      <c r="U1630" s="31" t="str">
        <f aca="false">IF(S1630="","",I1630&amp;"|"&amp;S1630)</f>
        <v/>
      </c>
    </row>
    <row r="1631" customFormat="false" ht="15" hidden="false" customHeight="false" outlineLevel="0" collapsed="false">
      <c r="A1631" s="24" t="n">
        <v>1627</v>
      </c>
      <c r="B1631" s="25" t="str">
        <f aca="false">IF(OR(C1631="",I1631="",G1631=""),"",IFERROR(VLOOKUP(I1631,Setup!$A$9:$B$11,2,0),"???")&amp;"-"&amp;G1631&amp;"-"&amp;TEXT(COUNTIFS(I$5:I1631,I1631,G$5:G1631,G1631),"0000"))</f>
        <v/>
      </c>
      <c r="C1631" s="26"/>
      <c r="D1631" s="26"/>
      <c r="E1631" s="27"/>
      <c r="F1631" s="27"/>
      <c r="G1631" s="24" t="str">
        <f aca="false">IF(F1631="","",IF(F1631&lt;=5,"A",IF(F1631&lt;=8,"B",IF(F1631&lt;=10,"C","D"))))</f>
        <v/>
      </c>
      <c r="H1631" s="28"/>
      <c r="I1631" s="27"/>
      <c r="J1631" s="26"/>
      <c r="K1631" s="27"/>
      <c r="L1631" s="27"/>
      <c r="M1631" s="27"/>
      <c r="N1631" s="27"/>
      <c r="O1631" s="24" t="str">
        <f aca="false">IF(G1631="","",VLOOKUP(G1631,Setup!$A$14:$C$17,3,0))</f>
        <v/>
      </c>
      <c r="P1631" s="27"/>
      <c r="Q1631" s="29" t="str">
        <f aca="false">IF(OR(P1631="",M1631&lt;&gt;"Paid",O1631=""),"",P1631/O1631)</f>
        <v/>
      </c>
      <c r="R1631" s="30" t="str">
        <f aca="false">IF(Q1631="","",Q1631+N(H1631)*0.000000001)</f>
        <v/>
      </c>
      <c r="S1631" s="25" t="str">
        <f aca="false">IF(R1631="","",SUMPRODUCT((I$5:I$4004=I1631)*ISNUMBER(R$5:R$4004)*(R$5:R$4004&gt;R1631))+1)</f>
        <v/>
      </c>
      <c r="T1631" s="25" t="str">
        <f aca="false">IF(S1631="","",IF(S1631&lt;=Setup!$B$5,"🏆 WINNER",""))</f>
        <v/>
      </c>
      <c r="U1631" s="24" t="str">
        <f aca="false">IF(S1631="","",I1631&amp;"|"&amp;S1631)</f>
        <v/>
      </c>
    </row>
    <row r="1632" customFormat="false" ht="15" hidden="false" customHeight="false" outlineLevel="0" collapsed="false">
      <c r="A1632" s="31" t="n">
        <v>1628</v>
      </c>
      <c r="B1632" s="32" t="str">
        <f aca="false">IF(OR(C1632="",I1632="",G1632=""),"",IFERROR(VLOOKUP(I1632,Setup!$A$9:$B$11,2,0),"???")&amp;"-"&amp;G1632&amp;"-"&amp;TEXT(COUNTIFS(I$5:I1632,I1632,G$5:G1632,G1632),"0000"))</f>
        <v/>
      </c>
      <c r="C1632" s="26"/>
      <c r="D1632" s="26"/>
      <c r="E1632" s="27"/>
      <c r="F1632" s="27"/>
      <c r="G1632" s="31" t="str">
        <f aca="false">IF(F1632="","",IF(F1632&lt;=5,"A",IF(F1632&lt;=8,"B",IF(F1632&lt;=10,"C","D"))))</f>
        <v/>
      </c>
      <c r="H1632" s="28"/>
      <c r="I1632" s="27"/>
      <c r="J1632" s="26"/>
      <c r="K1632" s="27"/>
      <c r="L1632" s="27"/>
      <c r="M1632" s="27"/>
      <c r="N1632" s="27"/>
      <c r="O1632" s="31" t="str">
        <f aca="false">IF(G1632="","",VLOOKUP(G1632,Setup!$A$14:$C$17,3,0))</f>
        <v/>
      </c>
      <c r="P1632" s="27"/>
      <c r="Q1632" s="33" t="str">
        <f aca="false">IF(OR(P1632="",M1632&lt;&gt;"Paid",O1632=""),"",P1632/O1632)</f>
        <v/>
      </c>
      <c r="R1632" s="34" t="str">
        <f aca="false">IF(Q1632="","",Q1632+N(H1632)*0.000000001)</f>
        <v/>
      </c>
      <c r="S1632" s="32" t="str">
        <f aca="false">IF(R1632="","",SUMPRODUCT((I$5:I$4004=I1632)*ISNUMBER(R$5:R$4004)*(R$5:R$4004&gt;R1632))+1)</f>
        <v/>
      </c>
      <c r="T1632" s="32" t="str">
        <f aca="false">IF(S1632="","",IF(S1632&lt;=Setup!$B$5,"🏆 WINNER",""))</f>
        <v/>
      </c>
      <c r="U1632" s="31" t="str">
        <f aca="false">IF(S1632="","",I1632&amp;"|"&amp;S1632)</f>
        <v/>
      </c>
    </row>
    <row r="1633" customFormat="false" ht="15" hidden="false" customHeight="false" outlineLevel="0" collapsed="false">
      <c r="A1633" s="24" t="n">
        <v>1629</v>
      </c>
      <c r="B1633" s="25" t="str">
        <f aca="false">IF(OR(C1633="",I1633="",G1633=""),"",IFERROR(VLOOKUP(I1633,Setup!$A$9:$B$11,2,0),"???")&amp;"-"&amp;G1633&amp;"-"&amp;TEXT(COUNTIFS(I$5:I1633,I1633,G$5:G1633,G1633),"0000"))</f>
        <v/>
      </c>
      <c r="C1633" s="26"/>
      <c r="D1633" s="26"/>
      <c r="E1633" s="27"/>
      <c r="F1633" s="27"/>
      <c r="G1633" s="24" t="str">
        <f aca="false">IF(F1633="","",IF(F1633&lt;=5,"A",IF(F1633&lt;=8,"B",IF(F1633&lt;=10,"C","D"))))</f>
        <v/>
      </c>
      <c r="H1633" s="28"/>
      <c r="I1633" s="27"/>
      <c r="J1633" s="26"/>
      <c r="K1633" s="27"/>
      <c r="L1633" s="27"/>
      <c r="M1633" s="27"/>
      <c r="N1633" s="27"/>
      <c r="O1633" s="24" t="str">
        <f aca="false">IF(G1633="","",VLOOKUP(G1633,Setup!$A$14:$C$17,3,0))</f>
        <v/>
      </c>
      <c r="P1633" s="27"/>
      <c r="Q1633" s="29" t="str">
        <f aca="false">IF(OR(P1633="",M1633&lt;&gt;"Paid",O1633=""),"",P1633/O1633)</f>
        <v/>
      </c>
      <c r="R1633" s="30" t="str">
        <f aca="false">IF(Q1633="","",Q1633+N(H1633)*0.000000001)</f>
        <v/>
      </c>
      <c r="S1633" s="25" t="str">
        <f aca="false">IF(R1633="","",SUMPRODUCT((I$5:I$4004=I1633)*ISNUMBER(R$5:R$4004)*(R$5:R$4004&gt;R1633))+1)</f>
        <v/>
      </c>
      <c r="T1633" s="25" t="str">
        <f aca="false">IF(S1633="","",IF(S1633&lt;=Setup!$B$5,"🏆 WINNER",""))</f>
        <v/>
      </c>
      <c r="U1633" s="24" t="str">
        <f aca="false">IF(S1633="","",I1633&amp;"|"&amp;S1633)</f>
        <v/>
      </c>
    </row>
    <row r="1634" customFormat="false" ht="15" hidden="false" customHeight="false" outlineLevel="0" collapsed="false">
      <c r="A1634" s="31" t="n">
        <v>1630</v>
      </c>
      <c r="B1634" s="32" t="str">
        <f aca="false">IF(OR(C1634="",I1634="",G1634=""),"",IFERROR(VLOOKUP(I1634,Setup!$A$9:$B$11,2,0),"???")&amp;"-"&amp;G1634&amp;"-"&amp;TEXT(COUNTIFS(I$5:I1634,I1634,G$5:G1634,G1634),"0000"))</f>
        <v/>
      </c>
      <c r="C1634" s="26"/>
      <c r="D1634" s="26"/>
      <c r="E1634" s="27"/>
      <c r="F1634" s="27"/>
      <c r="G1634" s="31" t="str">
        <f aca="false">IF(F1634="","",IF(F1634&lt;=5,"A",IF(F1634&lt;=8,"B",IF(F1634&lt;=10,"C","D"))))</f>
        <v/>
      </c>
      <c r="H1634" s="28"/>
      <c r="I1634" s="27"/>
      <c r="J1634" s="26"/>
      <c r="K1634" s="27"/>
      <c r="L1634" s="27"/>
      <c r="M1634" s="27"/>
      <c r="N1634" s="27"/>
      <c r="O1634" s="31" t="str">
        <f aca="false">IF(G1634="","",VLOOKUP(G1634,Setup!$A$14:$C$17,3,0))</f>
        <v/>
      </c>
      <c r="P1634" s="27"/>
      <c r="Q1634" s="33" t="str">
        <f aca="false">IF(OR(P1634="",M1634&lt;&gt;"Paid",O1634=""),"",P1634/O1634)</f>
        <v/>
      </c>
      <c r="R1634" s="34" t="str">
        <f aca="false">IF(Q1634="","",Q1634+N(H1634)*0.000000001)</f>
        <v/>
      </c>
      <c r="S1634" s="32" t="str">
        <f aca="false">IF(R1634="","",SUMPRODUCT((I$5:I$4004=I1634)*ISNUMBER(R$5:R$4004)*(R$5:R$4004&gt;R1634))+1)</f>
        <v/>
      </c>
      <c r="T1634" s="32" t="str">
        <f aca="false">IF(S1634="","",IF(S1634&lt;=Setup!$B$5,"🏆 WINNER",""))</f>
        <v/>
      </c>
      <c r="U1634" s="31" t="str">
        <f aca="false">IF(S1634="","",I1634&amp;"|"&amp;S1634)</f>
        <v/>
      </c>
    </row>
    <row r="1635" customFormat="false" ht="15" hidden="false" customHeight="false" outlineLevel="0" collapsed="false">
      <c r="A1635" s="24" t="n">
        <v>1631</v>
      </c>
      <c r="B1635" s="25" t="str">
        <f aca="false">IF(OR(C1635="",I1635="",G1635=""),"",IFERROR(VLOOKUP(I1635,Setup!$A$9:$B$11,2,0),"???")&amp;"-"&amp;G1635&amp;"-"&amp;TEXT(COUNTIFS(I$5:I1635,I1635,G$5:G1635,G1635),"0000"))</f>
        <v/>
      </c>
      <c r="C1635" s="26"/>
      <c r="D1635" s="26"/>
      <c r="E1635" s="27"/>
      <c r="F1635" s="27"/>
      <c r="G1635" s="24" t="str">
        <f aca="false">IF(F1635="","",IF(F1635&lt;=5,"A",IF(F1635&lt;=8,"B",IF(F1635&lt;=10,"C","D"))))</f>
        <v/>
      </c>
      <c r="H1635" s="28"/>
      <c r="I1635" s="27"/>
      <c r="J1635" s="26"/>
      <c r="K1635" s="27"/>
      <c r="L1635" s="27"/>
      <c r="M1635" s="27"/>
      <c r="N1635" s="27"/>
      <c r="O1635" s="24" t="str">
        <f aca="false">IF(G1635="","",VLOOKUP(G1635,Setup!$A$14:$C$17,3,0))</f>
        <v/>
      </c>
      <c r="P1635" s="27"/>
      <c r="Q1635" s="29" t="str">
        <f aca="false">IF(OR(P1635="",M1635&lt;&gt;"Paid",O1635=""),"",P1635/O1635)</f>
        <v/>
      </c>
      <c r="R1635" s="30" t="str">
        <f aca="false">IF(Q1635="","",Q1635+N(H1635)*0.000000001)</f>
        <v/>
      </c>
      <c r="S1635" s="25" t="str">
        <f aca="false">IF(R1635="","",SUMPRODUCT((I$5:I$4004=I1635)*ISNUMBER(R$5:R$4004)*(R$5:R$4004&gt;R1635))+1)</f>
        <v/>
      </c>
      <c r="T1635" s="25" t="str">
        <f aca="false">IF(S1635="","",IF(S1635&lt;=Setup!$B$5,"🏆 WINNER",""))</f>
        <v/>
      </c>
      <c r="U1635" s="24" t="str">
        <f aca="false">IF(S1635="","",I1635&amp;"|"&amp;S1635)</f>
        <v/>
      </c>
    </row>
    <row r="1636" customFormat="false" ht="15" hidden="false" customHeight="false" outlineLevel="0" collapsed="false">
      <c r="A1636" s="31" t="n">
        <v>1632</v>
      </c>
      <c r="B1636" s="32" t="str">
        <f aca="false">IF(OR(C1636="",I1636="",G1636=""),"",IFERROR(VLOOKUP(I1636,Setup!$A$9:$B$11,2,0),"???")&amp;"-"&amp;G1636&amp;"-"&amp;TEXT(COUNTIFS(I$5:I1636,I1636,G$5:G1636,G1636),"0000"))</f>
        <v/>
      </c>
      <c r="C1636" s="26"/>
      <c r="D1636" s="26"/>
      <c r="E1636" s="27"/>
      <c r="F1636" s="27"/>
      <c r="G1636" s="31" t="str">
        <f aca="false">IF(F1636="","",IF(F1636&lt;=5,"A",IF(F1636&lt;=8,"B",IF(F1636&lt;=10,"C","D"))))</f>
        <v/>
      </c>
      <c r="H1636" s="28"/>
      <c r="I1636" s="27"/>
      <c r="J1636" s="26"/>
      <c r="K1636" s="27"/>
      <c r="L1636" s="27"/>
      <c r="M1636" s="27"/>
      <c r="N1636" s="27"/>
      <c r="O1636" s="31" t="str">
        <f aca="false">IF(G1636="","",VLOOKUP(G1636,Setup!$A$14:$C$17,3,0))</f>
        <v/>
      </c>
      <c r="P1636" s="27"/>
      <c r="Q1636" s="33" t="str">
        <f aca="false">IF(OR(P1636="",M1636&lt;&gt;"Paid",O1636=""),"",P1636/O1636)</f>
        <v/>
      </c>
      <c r="R1636" s="34" t="str">
        <f aca="false">IF(Q1636="","",Q1636+N(H1636)*0.000000001)</f>
        <v/>
      </c>
      <c r="S1636" s="32" t="str">
        <f aca="false">IF(R1636="","",SUMPRODUCT((I$5:I$4004=I1636)*ISNUMBER(R$5:R$4004)*(R$5:R$4004&gt;R1636))+1)</f>
        <v/>
      </c>
      <c r="T1636" s="32" t="str">
        <f aca="false">IF(S1636="","",IF(S1636&lt;=Setup!$B$5,"🏆 WINNER",""))</f>
        <v/>
      </c>
      <c r="U1636" s="31" t="str">
        <f aca="false">IF(S1636="","",I1636&amp;"|"&amp;S1636)</f>
        <v/>
      </c>
    </row>
    <row r="1637" customFormat="false" ht="15" hidden="false" customHeight="false" outlineLevel="0" collapsed="false">
      <c r="A1637" s="24" t="n">
        <v>1633</v>
      </c>
      <c r="B1637" s="25" t="str">
        <f aca="false">IF(OR(C1637="",I1637="",G1637=""),"",IFERROR(VLOOKUP(I1637,Setup!$A$9:$B$11,2,0),"???")&amp;"-"&amp;G1637&amp;"-"&amp;TEXT(COUNTIFS(I$5:I1637,I1637,G$5:G1637,G1637),"0000"))</f>
        <v/>
      </c>
      <c r="C1637" s="26"/>
      <c r="D1637" s="26"/>
      <c r="E1637" s="27"/>
      <c r="F1637" s="27"/>
      <c r="G1637" s="24" t="str">
        <f aca="false">IF(F1637="","",IF(F1637&lt;=5,"A",IF(F1637&lt;=8,"B",IF(F1637&lt;=10,"C","D"))))</f>
        <v/>
      </c>
      <c r="H1637" s="28"/>
      <c r="I1637" s="27"/>
      <c r="J1637" s="26"/>
      <c r="K1637" s="27"/>
      <c r="L1637" s="27"/>
      <c r="M1637" s="27"/>
      <c r="N1637" s="27"/>
      <c r="O1637" s="24" t="str">
        <f aca="false">IF(G1637="","",VLOOKUP(G1637,Setup!$A$14:$C$17,3,0))</f>
        <v/>
      </c>
      <c r="P1637" s="27"/>
      <c r="Q1637" s="29" t="str">
        <f aca="false">IF(OR(P1637="",M1637&lt;&gt;"Paid",O1637=""),"",P1637/O1637)</f>
        <v/>
      </c>
      <c r="R1637" s="30" t="str">
        <f aca="false">IF(Q1637="","",Q1637+N(H1637)*0.000000001)</f>
        <v/>
      </c>
      <c r="S1637" s="25" t="str">
        <f aca="false">IF(R1637="","",SUMPRODUCT((I$5:I$4004=I1637)*ISNUMBER(R$5:R$4004)*(R$5:R$4004&gt;R1637))+1)</f>
        <v/>
      </c>
      <c r="T1637" s="25" t="str">
        <f aca="false">IF(S1637="","",IF(S1637&lt;=Setup!$B$5,"🏆 WINNER",""))</f>
        <v/>
      </c>
      <c r="U1637" s="24" t="str">
        <f aca="false">IF(S1637="","",I1637&amp;"|"&amp;S1637)</f>
        <v/>
      </c>
    </row>
    <row r="1638" customFormat="false" ht="15" hidden="false" customHeight="false" outlineLevel="0" collapsed="false">
      <c r="A1638" s="31" t="n">
        <v>1634</v>
      </c>
      <c r="B1638" s="32" t="str">
        <f aca="false">IF(OR(C1638="",I1638="",G1638=""),"",IFERROR(VLOOKUP(I1638,Setup!$A$9:$B$11,2,0),"???")&amp;"-"&amp;G1638&amp;"-"&amp;TEXT(COUNTIFS(I$5:I1638,I1638,G$5:G1638,G1638),"0000"))</f>
        <v/>
      </c>
      <c r="C1638" s="26"/>
      <c r="D1638" s="26"/>
      <c r="E1638" s="27"/>
      <c r="F1638" s="27"/>
      <c r="G1638" s="31" t="str">
        <f aca="false">IF(F1638="","",IF(F1638&lt;=5,"A",IF(F1638&lt;=8,"B",IF(F1638&lt;=10,"C","D"))))</f>
        <v/>
      </c>
      <c r="H1638" s="28"/>
      <c r="I1638" s="27"/>
      <c r="J1638" s="26"/>
      <c r="K1638" s="27"/>
      <c r="L1638" s="27"/>
      <c r="M1638" s="27"/>
      <c r="N1638" s="27"/>
      <c r="O1638" s="31" t="str">
        <f aca="false">IF(G1638="","",VLOOKUP(G1638,Setup!$A$14:$C$17,3,0))</f>
        <v/>
      </c>
      <c r="P1638" s="27"/>
      <c r="Q1638" s="33" t="str">
        <f aca="false">IF(OR(P1638="",M1638&lt;&gt;"Paid",O1638=""),"",P1638/O1638)</f>
        <v/>
      </c>
      <c r="R1638" s="34" t="str">
        <f aca="false">IF(Q1638="","",Q1638+N(H1638)*0.000000001)</f>
        <v/>
      </c>
      <c r="S1638" s="32" t="str">
        <f aca="false">IF(R1638="","",SUMPRODUCT((I$5:I$4004=I1638)*ISNUMBER(R$5:R$4004)*(R$5:R$4004&gt;R1638))+1)</f>
        <v/>
      </c>
      <c r="T1638" s="32" t="str">
        <f aca="false">IF(S1638="","",IF(S1638&lt;=Setup!$B$5,"🏆 WINNER",""))</f>
        <v/>
      </c>
      <c r="U1638" s="31" t="str">
        <f aca="false">IF(S1638="","",I1638&amp;"|"&amp;S1638)</f>
        <v/>
      </c>
    </row>
    <row r="1639" customFormat="false" ht="15" hidden="false" customHeight="false" outlineLevel="0" collapsed="false">
      <c r="A1639" s="24" t="n">
        <v>1635</v>
      </c>
      <c r="B1639" s="25" t="str">
        <f aca="false">IF(OR(C1639="",I1639="",G1639=""),"",IFERROR(VLOOKUP(I1639,Setup!$A$9:$B$11,2,0),"???")&amp;"-"&amp;G1639&amp;"-"&amp;TEXT(COUNTIFS(I$5:I1639,I1639,G$5:G1639,G1639),"0000"))</f>
        <v/>
      </c>
      <c r="C1639" s="26"/>
      <c r="D1639" s="26"/>
      <c r="E1639" s="27"/>
      <c r="F1639" s="27"/>
      <c r="G1639" s="24" t="str">
        <f aca="false">IF(F1639="","",IF(F1639&lt;=5,"A",IF(F1639&lt;=8,"B",IF(F1639&lt;=10,"C","D"))))</f>
        <v/>
      </c>
      <c r="H1639" s="28"/>
      <c r="I1639" s="27"/>
      <c r="J1639" s="26"/>
      <c r="K1639" s="27"/>
      <c r="L1639" s="27"/>
      <c r="M1639" s="27"/>
      <c r="N1639" s="27"/>
      <c r="O1639" s="24" t="str">
        <f aca="false">IF(G1639="","",VLOOKUP(G1639,Setup!$A$14:$C$17,3,0))</f>
        <v/>
      </c>
      <c r="P1639" s="27"/>
      <c r="Q1639" s="29" t="str">
        <f aca="false">IF(OR(P1639="",M1639&lt;&gt;"Paid",O1639=""),"",P1639/O1639)</f>
        <v/>
      </c>
      <c r="R1639" s="30" t="str">
        <f aca="false">IF(Q1639="","",Q1639+N(H1639)*0.000000001)</f>
        <v/>
      </c>
      <c r="S1639" s="25" t="str">
        <f aca="false">IF(R1639="","",SUMPRODUCT((I$5:I$4004=I1639)*ISNUMBER(R$5:R$4004)*(R$5:R$4004&gt;R1639))+1)</f>
        <v/>
      </c>
      <c r="T1639" s="25" t="str">
        <f aca="false">IF(S1639="","",IF(S1639&lt;=Setup!$B$5,"🏆 WINNER",""))</f>
        <v/>
      </c>
      <c r="U1639" s="24" t="str">
        <f aca="false">IF(S1639="","",I1639&amp;"|"&amp;S1639)</f>
        <v/>
      </c>
    </row>
    <row r="1640" customFormat="false" ht="15" hidden="false" customHeight="false" outlineLevel="0" collapsed="false">
      <c r="A1640" s="31" t="n">
        <v>1636</v>
      </c>
      <c r="B1640" s="32" t="str">
        <f aca="false">IF(OR(C1640="",I1640="",G1640=""),"",IFERROR(VLOOKUP(I1640,Setup!$A$9:$B$11,2,0),"???")&amp;"-"&amp;G1640&amp;"-"&amp;TEXT(COUNTIFS(I$5:I1640,I1640,G$5:G1640,G1640),"0000"))</f>
        <v/>
      </c>
      <c r="C1640" s="26"/>
      <c r="D1640" s="26"/>
      <c r="E1640" s="27"/>
      <c r="F1640" s="27"/>
      <c r="G1640" s="31" t="str">
        <f aca="false">IF(F1640="","",IF(F1640&lt;=5,"A",IF(F1640&lt;=8,"B",IF(F1640&lt;=10,"C","D"))))</f>
        <v/>
      </c>
      <c r="H1640" s="28"/>
      <c r="I1640" s="27"/>
      <c r="J1640" s="26"/>
      <c r="K1640" s="27"/>
      <c r="L1640" s="27"/>
      <c r="M1640" s="27"/>
      <c r="N1640" s="27"/>
      <c r="O1640" s="31" t="str">
        <f aca="false">IF(G1640="","",VLOOKUP(G1640,Setup!$A$14:$C$17,3,0))</f>
        <v/>
      </c>
      <c r="P1640" s="27"/>
      <c r="Q1640" s="33" t="str">
        <f aca="false">IF(OR(P1640="",M1640&lt;&gt;"Paid",O1640=""),"",P1640/O1640)</f>
        <v/>
      </c>
      <c r="R1640" s="34" t="str">
        <f aca="false">IF(Q1640="","",Q1640+N(H1640)*0.000000001)</f>
        <v/>
      </c>
      <c r="S1640" s="32" t="str">
        <f aca="false">IF(R1640="","",SUMPRODUCT((I$5:I$4004=I1640)*ISNUMBER(R$5:R$4004)*(R$5:R$4004&gt;R1640))+1)</f>
        <v/>
      </c>
      <c r="T1640" s="32" t="str">
        <f aca="false">IF(S1640="","",IF(S1640&lt;=Setup!$B$5,"🏆 WINNER",""))</f>
        <v/>
      </c>
      <c r="U1640" s="31" t="str">
        <f aca="false">IF(S1640="","",I1640&amp;"|"&amp;S1640)</f>
        <v/>
      </c>
    </row>
    <row r="1641" customFormat="false" ht="15" hidden="false" customHeight="false" outlineLevel="0" collapsed="false">
      <c r="A1641" s="24" t="n">
        <v>1637</v>
      </c>
      <c r="B1641" s="25" t="str">
        <f aca="false">IF(OR(C1641="",I1641="",G1641=""),"",IFERROR(VLOOKUP(I1641,Setup!$A$9:$B$11,2,0),"???")&amp;"-"&amp;G1641&amp;"-"&amp;TEXT(COUNTIFS(I$5:I1641,I1641,G$5:G1641,G1641),"0000"))</f>
        <v/>
      </c>
      <c r="C1641" s="26"/>
      <c r="D1641" s="26"/>
      <c r="E1641" s="27"/>
      <c r="F1641" s="27"/>
      <c r="G1641" s="24" t="str">
        <f aca="false">IF(F1641="","",IF(F1641&lt;=5,"A",IF(F1641&lt;=8,"B",IF(F1641&lt;=10,"C","D"))))</f>
        <v/>
      </c>
      <c r="H1641" s="28"/>
      <c r="I1641" s="27"/>
      <c r="J1641" s="26"/>
      <c r="K1641" s="27"/>
      <c r="L1641" s="27"/>
      <c r="M1641" s="27"/>
      <c r="N1641" s="27"/>
      <c r="O1641" s="24" t="str">
        <f aca="false">IF(G1641="","",VLOOKUP(G1641,Setup!$A$14:$C$17,3,0))</f>
        <v/>
      </c>
      <c r="P1641" s="27"/>
      <c r="Q1641" s="29" t="str">
        <f aca="false">IF(OR(P1641="",M1641&lt;&gt;"Paid",O1641=""),"",P1641/O1641)</f>
        <v/>
      </c>
      <c r="R1641" s="30" t="str">
        <f aca="false">IF(Q1641="","",Q1641+N(H1641)*0.000000001)</f>
        <v/>
      </c>
      <c r="S1641" s="25" t="str">
        <f aca="false">IF(R1641="","",SUMPRODUCT((I$5:I$4004=I1641)*ISNUMBER(R$5:R$4004)*(R$5:R$4004&gt;R1641))+1)</f>
        <v/>
      </c>
      <c r="T1641" s="25" t="str">
        <f aca="false">IF(S1641="","",IF(S1641&lt;=Setup!$B$5,"🏆 WINNER",""))</f>
        <v/>
      </c>
      <c r="U1641" s="24" t="str">
        <f aca="false">IF(S1641="","",I1641&amp;"|"&amp;S1641)</f>
        <v/>
      </c>
    </row>
    <row r="1642" customFormat="false" ht="15" hidden="false" customHeight="false" outlineLevel="0" collapsed="false">
      <c r="A1642" s="31" t="n">
        <v>1638</v>
      </c>
      <c r="B1642" s="32" t="str">
        <f aca="false">IF(OR(C1642="",I1642="",G1642=""),"",IFERROR(VLOOKUP(I1642,Setup!$A$9:$B$11,2,0),"???")&amp;"-"&amp;G1642&amp;"-"&amp;TEXT(COUNTIFS(I$5:I1642,I1642,G$5:G1642,G1642),"0000"))</f>
        <v/>
      </c>
      <c r="C1642" s="26"/>
      <c r="D1642" s="26"/>
      <c r="E1642" s="27"/>
      <c r="F1642" s="27"/>
      <c r="G1642" s="31" t="str">
        <f aca="false">IF(F1642="","",IF(F1642&lt;=5,"A",IF(F1642&lt;=8,"B",IF(F1642&lt;=10,"C","D"))))</f>
        <v/>
      </c>
      <c r="H1642" s="28"/>
      <c r="I1642" s="27"/>
      <c r="J1642" s="26"/>
      <c r="K1642" s="27"/>
      <c r="L1642" s="27"/>
      <c r="M1642" s="27"/>
      <c r="N1642" s="27"/>
      <c r="O1642" s="31" t="str">
        <f aca="false">IF(G1642="","",VLOOKUP(G1642,Setup!$A$14:$C$17,3,0))</f>
        <v/>
      </c>
      <c r="P1642" s="27"/>
      <c r="Q1642" s="33" t="str">
        <f aca="false">IF(OR(P1642="",M1642&lt;&gt;"Paid",O1642=""),"",P1642/O1642)</f>
        <v/>
      </c>
      <c r="R1642" s="34" t="str">
        <f aca="false">IF(Q1642="","",Q1642+N(H1642)*0.000000001)</f>
        <v/>
      </c>
      <c r="S1642" s="32" t="str">
        <f aca="false">IF(R1642="","",SUMPRODUCT((I$5:I$4004=I1642)*ISNUMBER(R$5:R$4004)*(R$5:R$4004&gt;R1642))+1)</f>
        <v/>
      </c>
      <c r="T1642" s="32" t="str">
        <f aca="false">IF(S1642="","",IF(S1642&lt;=Setup!$B$5,"🏆 WINNER",""))</f>
        <v/>
      </c>
      <c r="U1642" s="31" t="str">
        <f aca="false">IF(S1642="","",I1642&amp;"|"&amp;S1642)</f>
        <v/>
      </c>
    </row>
    <row r="1643" customFormat="false" ht="15" hidden="false" customHeight="false" outlineLevel="0" collapsed="false">
      <c r="A1643" s="24" t="n">
        <v>1639</v>
      </c>
      <c r="B1643" s="25" t="str">
        <f aca="false">IF(OR(C1643="",I1643="",G1643=""),"",IFERROR(VLOOKUP(I1643,Setup!$A$9:$B$11,2,0),"???")&amp;"-"&amp;G1643&amp;"-"&amp;TEXT(COUNTIFS(I$5:I1643,I1643,G$5:G1643,G1643),"0000"))</f>
        <v/>
      </c>
      <c r="C1643" s="26"/>
      <c r="D1643" s="26"/>
      <c r="E1643" s="27"/>
      <c r="F1643" s="27"/>
      <c r="G1643" s="24" t="str">
        <f aca="false">IF(F1643="","",IF(F1643&lt;=5,"A",IF(F1643&lt;=8,"B",IF(F1643&lt;=10,"C","D"))))</f>
        <v/>
      </c>
      <c r="H1643" s="28"/>
      <c r="I1643" s="27"/>
      <c r="J1643" s="26"/>
      <c r="K1643" s="27"/>
      <c r="L1643" s="27"/>
      <c r="M1643" s="27"/>
      <c r="N1643" s="27"/>
      <c r="O1643" s="24" t="str">
        <f aca="false">IF(G1643="","",VLOOKUP(G1643,Setup!$A$14:$C$17,3,0))</f>
        <v/>
      </c>
      <c r="P1643" s="27"/>
      <c r="Q1643" s="29" t="str">
        <f aca="false">IF(OR(P1643="",M1643&lt;&gt;"Paid",O1643=""),"",P1643/O1643)</f>
        <v/>
      </c>
      <c r="R1643" s="30" t="str">
        <f aca="false">IF(Q1643="","",Q1643+N(H1643)*0.000000001)</f>
        <v/>
      </c>
      <c r="S1643" s="25" t="str">
        <f aca="false">IF(R1643="","",SUMPRODUCT((I$5:I$4004=I1643)*ISNUMBER(R$5:R$4004)*(R$5:R$4004&gt;R1643))+1)</f>
        <v/>
      </c>
      <c r="T1643" s="25" t="str">
        <f aca="false">IF(S1643="","",IF(S1643&lt;=Setup!$B$5,"🏆 WINNER",""))</f>
        <v/>
      </c>
      <c r="U1643" s="24" t="str">
        <f aca="false">IF(S1643="","",I1643&amp;"|"&amp;S1643)</f>
        <v/>
      </c>
    </row>
    <row r="1644" customFormat="false" ht="15" hidden="false" customHeight="false" outlineLevel="0" collapsed="false">
      <c r="A1644" s="31" t="n">
        <v>1640</v>
      </c>
      <c r="B1644" s="32" t="str">
        <f aca="false">IF(OR(C1644="",I1644="",G1644=""),"",IFERROR(VLOOKUP(I1644,Setup!$A$9:$B$11,2,0),"???")&amp;"-"&amp;G1644&amp;"-"&amp;TEXT(COUNTIFS(I$5:I1644,I1644,G$5:G1644,G1644),"0000"))</f>
        <v/>
      </c>
      <c r="C1644" s="26"/>
      <c r="D1644" s="26"/>
      <c r="E1644" s="27"/>
      <c r="F1644" s="27"/>
      <c r="G1644" s="31" t="str">
        <f aca="false">IF(F1644="","",IF(F1644&lt;=5,"A",IF(F1644&lt;=8,"B",IF(F1644&lt;=10,"C","D"))))</f>
        <v/>
      </c>
      <c r="H1644" s="28"/>
      <c r="I1644" s="27"/>
      <c r="J1644" s="26"/>
      <c r="K1644" s="27"/>
      <c r="L1644" s="27"/>
      <c r="M1644" s="27"/>
      <c r="N1644" s="27"/>
      <c r="O1644" s="31" t="str">
        <f aca="false">IF(G1644="","",VLOOKUP(G1644,Setup!$A$14:$C$17,3,0))</f>
        <v/>
      </c>
      <c r="P1644" s="27"/>
      <c r="Q1644" s="33" t="str">
        <f aca="false">IF(OR(P1644="",M1644&lt;&gt;"Paid",O1644=""),"",P1644/O1644)</f>
        <v/>
      </c>
      <c r="R1644" s="34" t="str">
        <f aca="false">IF(Q1644="","",Q1644+N(H1644)*0.000000001)</f>
        <v/>
      </c>
      <c r="S1644" s="32" t="str">
        <f aca="false">IF(R1644="","",SUMPRODUCT((I$5:I$4004=I1644)*ISNUMBER(R$5:R$4004)*(R$5:R$4004&gt;R1644))+1)</f>
        <v/>
      </c>
      <c r="T1644" s="32" t="str">
        <f aca="false">IF(S1644="","",IF(S1644&lt;=Setup!$B$5,"🏆 WINNER",""))</f>
        <v/>
      </c>
      <c r="U1644" s="31" t="str">
        <f aca="false">IF(S1644="","",I1644&amp;"|"&amp;S1644)</f>
        <v/>
      </c>
    </row>
    <row r="1645" customFormat="false" ht="15" hidden="false" customHeight="false" outlineLevel="0" collapsed="false">
      <c r="A1645" s="24" t="n">
        <v>1641</v>
      </c>
      <c r="B1645" s="25" t="str">
        <f aca="false">IF(OR(C1645="",I1645="",G1645=""),"",IFERROR(VLOOKUP(I1645,Setup!$A$9:$B$11,2,0),"???")&amp;"-"&amp;G1645&amp;"-"&amp;TEXT(COUNTIFS(I$5:I1645,I1645,G$5:G1645,G1645),"0000"))</f>
        <v/>
      </c>
      <c r="C1645" s="26"/>
      <c r="D1645" s="26"/>
      <c r="E1645" s="27"/>
      <c r="F1645" s="27"/>
      <c r="G1645" s="24" t="str">
        <f aca="false">IF(F1645="","",IF(F1645&lt;=5,"A",IF(F1645&lt;=8,"B",IF(F1645&lt;=10,"C","D"))))</f>
        <v/>
      </c>
      <c r="H1645" s="28"/>
      <c r="I1645" s="27"/>
      <c r="J1645" s="26"/>
      <c r="K1645" s="27"/>
      <c r="L1645" s="27"/>
      <c r="M1645" s="27"/>
      <c r="N1645" s="27"/>
      <c r="O1645" s="24" t="str">
        <f aca="false">IF(G1645="","",VLOOKUP(G1645,Setup!$A$14:$C$17,3,0))</f>
        <v/>
      </c>
      <c r="P1645" s="27"/>
      <c r="Q1645" s="29" t="str">
        <f aca="false">IF(OR(P1645="",M1645&lt;&gt;"Paid",O1645=""),"",P1645/O1645)</f>
        <v/>
      </c>
      <c r="R1645" s="30" t="str">
        <f aca="false">IF(Q1645="","",Q1645+N(H1645)*0.000000001)</f>
        <v/>
      </c>
      <c r="S1645" s="25" t="str">
        <f aca="false">IF(R1645="","",SUMPRODUCT((I$5:I$4004=I1645)*ISNUMBER(R$5:R$4004)*(R$5:R$4004&gt;R1645))+1)</f>
        <v/>
      </c>
      <c r="T1645" s="25" t="str">
        <f aca="false">IF(S1645="","",IF(S1645&lt;=Setup!$B$5,"🏆 WINNER",""))</f>
        <v/>
      </c>
      <c r="U1645" s="24" t="str">
        <f aca="false">IF(S1645="","",I1645&amp;"|"&amp;S1645)</f>
        <v/>
      </c>
    </row>
    <row r="1646" customFormat="false" ht="15" hidden="false" customHeight="false" outlineLevel="0" collapsed="false">
      <c r="A1646" s="31" t="n">
        <v>1642</v>
      </c>
      <c r="B1646" s="32" t="str">
        <f aca="false">IF(OR(C1646="",I1646="",G1646=""),"",IFERROR(VLOOKUP(I1646,Setup!$A$9:$B$11,2,0),"???")&amp;"-"&amp;G1646&amp;"-"&amp;TEXT(COUNTIFS(I$5:I1646,I1646,G$5:G1646,G1646),"0000"))</f>
        <v/>
      </c>
      <c r="C1646" s="26"/>
      <c r="D1646" s="26"/>
      <c r="E1646" s="27"/>
      <c r="F1646" s="27"/>
      <c r="G1646" s="31" t="str">
        <f aca="false">IF(F1646="","",IF(F1646&lt;=5,"A",IF(F1646&lt;=8,"B",IF(F1646&lt;=10,"C","D"))))</f>
        <v/>
      </c>
      <c r="H1646" s="28"/>
      <c r="I1646" s="27"/>
      <c r="J1646" s="26"/>
      <c r="K1646" s="27"/>
      <c r="L1646" s="27"/>
      <c r="M1646" s="27"/>
      <c r="N1646" s="27"/>
      <c r="O1646" s="31" t="str">
        <f aca="false">IF(G1646="","",VLOOKUP(G1646,Setup!$A$14:$C$17,3,0))</f>
        <v/>
      </c>
      <c r="P1646" s="27"/>
      <c r="Q1646" s="33" t="str">
        <f aca="false">IF(OR(P1646="",M1646&lt;&gt;"Paid",O1646=""),"",P1646/O1646)</f>
        <v/>
      </c>
      <c r="R1646" s="34" t="str">
        <f aca="false">IF(Q1646="","",Q1646+N(H1646)*0.000000001)</f>
        <v/>
      </c>
      <c r="S1646" s="32" t="str">
        <f aca="false">IF(R1646="","",SUMPRODUCT((I$5:I$4004=I1646)*ISNUMBER(R$5:R$4004)*(R$5:R$4004&gt;R1646))+1)</f>
        <v/>
      </c>
      <c r="T1646" s="32" t="str">
        <f aca="false">IF(S1646="","",IF(S1646&lt;=Setup!$B$5,"🏆 WINNER",""))</f>
        <v/>
      </c>
      <c r="U1646" s="31" t="str">
        <f aca="false">IF(S1646="","",I1646&amp;"|"&amp;S1646)</f>
        <v/>
      </c>
    </row>
    <row r="1647" customFormat="false" ht="15" hidden="false" customHeight="false" outlineLevel="0" collapsed="false">
      <c r="A1647" s="24" t="n">
        <v>1643</v>
      </c>
      <c r="B1647" s="25" t="str">
        <f aca="false">IF(OR(C1647="",I1647="",G1647=""),"",IFERROR(VLOOKUP(I1647,Setup!$A$9:$B$11,2,0),"???")&amp;"-"&amp;G1647&amp;"-"&amp;TEXT(COUNTIFS(I$5:I1647,I1647,G$5:G1647,G1647),"0000"))</f>
        <v/>
      </c>
      <c r="C1647" s="26"/>
      <c r="D1647" s="26"/>
      <c r="E1647" s="27"/>
      <c r="F1647" s="27"/>
      <c r="G1647" s="24" t="str">
        <f aca="false">IF(F1647="","",IF(F1647&lt;=5,"A",IF(F1647&lt;=8,"B",IF(F1647&lt;=10,"C","D"))))</f>
        <v/>
      </c>
      <c r="H1647" s="28"/>
      <c r="I1647" s="27"/>
      <c r="J1647" s="26"/>
      <c r="K1647" s="27"/>
      <c r="L1647" s="27"/>
      <c r="M1647" s="27"/>
      <c r="N1647" s="27"/>
      <c r="O1647" s="24" t="str">
        <f aca="false">IF(G1647="","",VLOOKUP(G1647,Setup!$A$14:$C$17,3,0))</f>
        <v/>
      </c>
      <c r="P1647" s="27"/>
      <c r="Q1647" s="29" t="str">
        <f aca="false">IF(OR(P1647="",M1647&lt;&gt;"Paid",O1647=""),"",P1647/O1647)</f>
        <v/>
      </c>
      <c r="R1647" s="30" t="str">
        <f aca="false">IF(Q1647="","",Q1647+N(H1647)*0.000000001)</f>
        <v/>
      </c>
      <c r="S1647" s="25" t="str">
        <f aca="false">IF(R1647="","",SUMPRODUCT((I$5:I$4004=I1647)*ISNUMBER(R$5:R$4004)*(R$5:R$4004&gt;R1647))+1)</f>
        <v/>
      </c>
      <c r="T1647" s="25" t="str">
        <f aca="false">IF(S1647="","",IF(S1647&lt;=Setup!$B$5,"🏆 WINNER",""))</f>
        <v/>
      </c>
      <c r="U1647" s="24" t="str">
        <f aca="false">IF(S1647="","",I1647&amp;"|"&amp;S1647)</f>
        <v/>
      </c>
    </row>
    <row r="1648" customFormat="false" ht="15" hidden="false" customHeight="false" outlineLevel="0" collapsed="false">
      <c r="A1648" s="31" t="n">
        <v>1644</v>
      </c>
      <c r="B1648" s="32" t="str">
        <f aca="false">IF(OR(C1648="",I1648="",G1648=""),"",IFERROR(VLOOKUP(I1648,Setup!$A$9:$B$11,2,0),"???")&amp;"-"&amp;G1648&amp;"-"&amp;TEXT(COUNTIFS(I$5:I1648,I1648,G$5:G1648,G1648),"0000"))</f>
        <v/>
      </c>
      <c r="C1648" s="26"/>
      <c r="D1648" s="26"/>
      <c r="E1648" s="27"/>
      <c r="F1648" s="27"/>
      <c r="G1648" s="31" t="str">
        <f aca="false">IF(F1648="","",IF(F1648&lt;=5,"A",IF(F1648&lt;=8,"B",IF(F1648&lt;=10,"C","D"))))</f>
        <v/>
      </c>
      <c r="H1648" s="28"/>
      <c r="I1648" s="27"/>
      <c r="J1648" s="26"/>
      <c r="K1648" s="27"/>
      <c r="L1648" s="27"/>
      <c r="M1648" s="27"/>
      <c r="N1648" s="27"/>
      <c r="O1648" s="31" t="str">
        <f aca="false">IF(G1648="","",VLOOKUP(G1648,Setup!$A$14:$C$17,3,0))</f>
        <v/>
      </c>
      <c r="P1648" s="27"/>
      <c r="Q1648" s="33" t="str">
        <f aca="false">IF(OR(P1648="",M1648&lt;&gt;"Paid",O1648=""),"",P1648/O1648)</f>
        <v/>
      </c>
      <c r="R1648" s="34" t="str">
        <f aca="false">IF(Q1648="","",Q1648+N(H1648)*0.000000001)</f>
        <v/>
      </c>
      <c r="S1648" s="32" t="str">
        <f aca="false">IF(R1648="","",SUMPRODUCT((I$5:I$4004=I1648)*ISNUMBER(R$5:R$4004)*(R$5:R$4004&gt;R1648))+1)</f>
        <v/>
      </c>
      <c r="T1648" s="32" t="str">
        <f aca="false">IF(S1648="","",IF(S1648&lt;=Setup!$B$5,"🏆 WINNER",""))</f>
        <v/>
      </c>
      <c r="U1648" s="31" t="str">
        <f aca="false">IF(S1648="","",I1648&amp;"|"&amp;S1648)</f>
        <v/>
      </c>
    </row>
    <row r="1649" customFormat="false" ht="15" hidden="false" customHeight="false" outlineLevel="0" collapsed="false">
      <c r="A1649" s="24" t="n">
        <v>1645</v>
      </c>
      <c r="B1649" s="25" t="str">
        <f aca="false">IF(OR(C1649="",I1649="",G1649=""),"",IFERROR(VLOOKUP(I1649,Setup!$A$9:$B$11,2,0),"???")&amp;"-"&amp;G1649&amp;"-"&amp;TEXT(COUNTIFS(I$5:I1649,I1649,G$5:G1649,G1649),"0000"))</f>
        <v/>
      </c>
      <c r="C1649" s="26"/>
      <c r="D1649" s="26"/>
      <c r="E1649" s="27"/>
      <c r="F1649" s="27"/>
      <c r="G1649" s="24" t="str">
        <f aca="false">IF(F1649="","",IF(F1649&lt;=5,"A",IF(F1649&lt;=8,"B",IF(F1649&lt;=10,"C","D"))))</f>
        <v/>
      </c>
      <c r="H1649" s="28"/>
      <c r="I1649" s="27"/>
      <c r="J1649" s="26"/>
      <c r="K1649" s="27"/>
      <c r="L1649" s="27"/>
      <c r="M1649" s="27"/>
      <c r="N1649" s="27"/>
      <c r="O1649" s="24" t="str">
        <f aca="false">IF(G1649="","",VLOOKUP(G1649,Setup!$A$14:$C$17,3,0))</f>
        <v/>
      </c>
      <c r="P1649" s="27"/>
      <c r="Q1649" s="29" t="str">
        <f aca="false">IF(OR(P1649="",M1649&lt;&gt;"Paid",O1649=""),"",P1649/O1649)</f>
        <v/>
      </c>
      <c r="R1649" s="30" t="str">
        <f aca="false">IF(Q1649="","",Q1649+N(H1649)*0.000000001)</f>
        <v/>
      </c>
      <c r="S1649" s="25" t="str">
        <f aca="false">IF(R1649="","",SUMPRODUCT((I$5:I$4004=I1649)*ISNUMBER(R$5:R$4004)*(R$5:R$4004&gt;R1649))+1)</f>
        <v/>
      </c>
      <c r="T1649" s="25" t="str">
        <f aca="false">IF(S1649="","",IF(S1649&lt;=Setup!$B$5,"🏆 WINNER",""))</f>
        <v/>
      </c>
      <c r="U1649" s="24" t="str">
        <f aca="false">IF(S1649="","",I1649&amp;"|"&amp;S1649)</f>
        <v/>
      </c>
    </row>
    <row r="1650" customFormat="false" ht="15" hidden="false" customHeight="false" outlineLevel="0" collapsed="false">
      <c r="A1650" s="31" t="n">
        <v>1646</v>
      </c>
      <c r="B1650" s="32" t="str">
        <f aca="false">IF(OR(C1650="",I1650="",G1650=""),"",IFERROR(VLOOKUP(I1650,Setup!$A$9:$B$11,2,0),"???")&amp;"-"&amp;G1650&amp;"-"&amp;TEXT(COUNTIFS(I$5:I1650,I1650,G$5:G1650,G1650),"0000"))</f>
        <v/>
      </c>
      <c r="C1650" s="26"/>
      <c r="D1650" s="26"/>
      <c r="E1650" s="27"/>
      <c r="F1650" s="27"/>
      <c r="G1650" s="31" t="str">
        <f aca="false">IF(F1650="","",IF(F1650&lt;=5,"A",IF(F1650&lt;=8,"B",IF(F1650&lt;=10,"C","D"))))</f>
        <v/>
      </c>
      <c r="H1650" s="28"/>
      <c r="I1650" s="27"/>
      <c r="J1650" s="26"/>
      <c r="K1650" s="27"/>
      <c r="L1650" s="27"/>
      <c r="M1650" s="27"/>
      <c r="N1650" s="27"/>
      <c r="O1650" s="31" t="str">
        <f aca="false">IF(G1650="","",VLOOKUP(G1650,Setup!$A$14:$C$17,3,0))</f>
        <v/>
      </c>
      <c r="P1650" s="27"/>
      <c r="Q1650" s="33" t="str">
        <f aca="false">IF(OR(P1650="",M1650&lt;&gt;"Paid",O1650=""),"",P1650/O1650)</f>
        <v/>
      </c>
      <c r="R1650" s="34" t="str">
        <f aca="false">IF(Q1650="","",Q1650+N(H1650)*0.000000001)</f>
        <v/>
      </c>
      <c r="S1650" s="32" t="str">
        <f aca="false">IF(R1650="","",SUMPRODUCT((I$5:I$4004=I1650)*ISNUMBER(R$5:R$4004)*(R$5:R$4004&gt;R1650))+1)</f>
        <v/>
      </c>
      <c r="T1650" s="32" t="str">
        <f aca="false">IF(S1650="","",IF(S1650&lt;=Setup!$B$5,"🏆 WINNER",""))</f>
        <v/>
      </c>
      <c r="U1650" s="31" t="str">
        <f aca="false">IF(S1650="","",I1650&amp;"|"&amp;S1650)</f>
        <v/>
      </c>
    </row>
    <row r="1651" customFormat="false" ht="15" hidden="false" customHeight="false" outlineLevel="0" collapsed="false">
      <c r="A1651" s="24" t="n">
        <v>1647</v>
      </c>
      <c r="B1651" s="25" t="str">
        <f aca="false">IF(OR(C1651="",I1651="",G1651=""),"",IFERROR(VLOOKUP(I1651,Setup!$A$9:$B$11,2,0),"???")&amp;"-"&amp;G1651&amp;"-"&amp;TEXT(COUNTIFS(I$5:I1651,I1651,G$5:G1651,G1651),"0000"))</f>
        <v/>
      </c>
      <c r="C1651" s="26"/>
      <c r="D1651" s="26"/>
      <c r="E1651" s="27"/>
      <c r="F1651" s="27"/>
      <c r="G1651" s="24" t="str">
        <f aca="false">IF(F1651="","",IF(F1651&lt;=5,"A",IF(F1651&lt;=8,"B",IF(F1651&lt;=10,"C","D"))))</f>
        <v/>
      </c>
      <c r="H1651" s="28"/>
      <c r="I1651" s="27"/>
      <c r="J1651" s="26"/>
      <c r="K1651" s="27"/>
      <c r="L1651" s="27"/>
      <c r="M1651" s="27"/>
      <c r="N1651" s="27"/>
      <c r="O1651" s="24" t="str">
        <f aca="false">IF(G1651="","",VLOOKUP(G1651,Setup!$A$14:$C$17,3,0))</f>
        <v/>
      </c>
      <c r="P1651" s="27"/>
      <c r="Q1651" s="29" t="str">
        <f aca="false">IF(OR(P1651="",M1651&lt;&gt;"Paid",O1651=""),"",P1651/O1651)</f>
        <v/>
      </c>
      <c r="R1651" s="30" t="str">
        <f aca="false">IF(Q1651="","",Q1651+N(H1651)*0.000000001)</f>
        <v/>
      </c>
      <c r="S1651" s="25" t="str">
        <f aca="false">IF(R1651="","",SUMPRODUCT((I$5:I$4004=I1651)*ISNUMBER(R$5:R$4004)*(R$5:R$4004&gt;R1651))+1)</f>
        <v/>
      </c>
      <c r="T1651" s="25" t="str">
        <f aca="false">IF(S1651="","",IF(S1651&lt;=Setup!$B$5,"🏆 WINNER",""))</f>
        <v/>
      </c>
      <c r="U1651" s="24" t="str">
        <f aca="false">IF(S1651="","",I1651&amp;"|"&amp;S1651)</f>
        <v/>
      </c>
    </row>
    <row r="1652" customFormat="false" ht="15" hidden="false" customHeight="false" outlineLevel="0" collapsed="false">
      <c r="A1652" s="31" t="n">
        <v>1648</v>
      </c>
      <c r="B1652" s="32" t="str">
        <f aca="false">IF(OR(C1652="",I1652="",G1652=""),"",IFERROR(VLOOKUP(I1652,Setup!$A$9:$B$11,2,0),"???")&amp;"-"&amp;G1652&amp;"-"&amp;TEXT(COUNTIFS(I$5:I1652,I1652,G$5:G1652,G1652),"0000"))</f>
        <v/>
      </c>
      <c r="C1652" s="26"/>
      <c r="D1652" s="26"/>
      <c r="E1652" s="27"/>
      <c r="F1652" s="27"/>
      <c r="G1652" s="31" t="str">
        <f aca="false">IF(F1652="","",IF(F1652&lt;=5,"A",IF(F1652&lt;=8,"B",IF(F1652&lt;=10,"C","D"))))</f>
        <v/>
      </c>
      <c r="H1652" s="28"/>
      <c r="I1652" s="27"/>
      <c r="J1652" s="26"/>
      <c r="K1652" s="27"/>
      <c r="L1652" s="27"/>
      <c r="M1652" s="27"/>
      <c r="N1652" s="27"/>
      <c r="O1652" s="31" t="str">
        <f aca="false">IF(G1652="","",VLOOKUP(G1652,Setup!$A$14:$C$17,3,0))</f>
        <v/>
      </c>
      <c r="P1652" s="27"/>
      <c r="Q1652" s="33" t="str">
        <f aca="false">IF(OR(P1652="",M1652&lt;&gt;"Paid",O1652=""),"",P1652/O1652)</f>
        <v/>
      </c>
      <c r="R1652" s="34" t="str">
        <f aca="false">IF(Q1652="","",Q1652+N(H1652)*0.000000001)</f>
        <v/>
      </c>
      <c r="S1652" s="32" t="str">
        <f aca="false">IF(R1652="","",SUMPRODUCT((I$5:I$4004=I1652)*ISNUMBER(R$5:R$4004)*(R$5:R$4004&gt;R1652))+1)</f>
        <v/>
      </c>
      <c r="T1652" s="32" t="str">
        <f aca="false">IF(S1652="","",IF(S1652&lt;=Setup!$B$5,"🏆 WINNER",""))</f>
        <v/>
      </c>
      <c r="U1652" s="31" t="str">
        <f aca="false">IF(S1652="","",I1652&amp;"|"&amp;S1652)</f>
        <v/>
      </c>
    </row>
    <row r="1653" customFormat="false" ht="15" hidden="false" customHeight="false" outlineLevel="0" collapsed="false">
      <c r="A1653" s="24" t="n">
        <v>1649</v>
      </c>
      <c r="B1653" s="25" t="str">
        <f aca="false">IF(OR(C1653="",I1653="",G1653=""),"",IFERROR(VLOOKUP(I1653,Setup!$A$9:$B$11,2,0),"???")&amp;"-"&amp;G1653&amp;"-"&amp;TEXT(COUNTIFS(I$5:I1653,I1653,G$5:G1653,G1653),"0000"))</f>
        <v/>
      </c>
      <c r="C1653" s="26"/>
      <c r="D1653" s="26"/>
      <c r="E1653" s="27"/>
      <c r="F1653" s="27"/>
      <c r="G1653" s="24" t="str">
        <f aca="false">IF(F1653="","",IF(F1653&lt;=5,"A",IF(F1653&lt;=8,"B",IF(F1653&lt;=10,"C","D"))))</f>
        <v/>
      </c>
      <c r="H1653" s="28"/>
      <c r="I1653" s="27"/>
      <c r="J1653" s="26"/>
      <c r="K1653" s="27"/>
      <c r="L1653" s="27"/>
      <c r="M1653" s="27"/>
      <c r="N1653" s="27"/>
      <c r="O1653" s="24" t="str">
        <f aca="false">IF(G1653="","",VLOOKUP(G1653,Setup!$A$14:$C$17,3,0))</f>
        <v/>
      </c>
      <c r="P1653" s="27"/>
      <c r="Q1653" s="29" t="str">
        <f aca="false">IF(OR(P1653="",M1653&lt;&gt;"Paid",O1653=""),"",P1653/O1653)</f>
        <v/>
      </c>
      <c r="R1653" s="30" t="str">
        <f aca="false">IF(Q1653="","",Q1653+N(H1653)*0.000000001)</f>
        <v/>
      </c>
      <c r="S1653" s="25" t="str">
        <f aca="false">IF(R1653="","",SUMPRODUCT((I$5:I$4004=I1653)*ISNUMBER(R$5:R$4004)*(R$5:R$4004&gt;R1653))+1)</f>
        <v/>
      </c>
      <c r="T1653" s="25" t="str">
        <f aca="false">IF(S1653="","",IF(S1653&lt;=Setup!$B$5,"🏆 WINNER",""))</f>
        <v/>
      </c>
      <c r="U1653" s="24" t="str">
        <f aca="false">IF(S1653="","",I1653&amp;"|"&amp;S1653)</f>
        <v/>
      </c>
    </row>
    <row r="1654" customFormat="false" ht="15" hidden="false" customHeight="false" outlineLevel="0" collapsed="false">
      <c r="A1654" s="31" t="n">
        <v>1650</v>
      </c>
      <c r="B1654" s="32" t="str">
        <f aca="false">IF(OR(C1654="",I1654="",G1654=""),"",IFERROR(VLOOKUP(I1654,Setup!$A$9:$B$11,2,0),"???")&amp;"-"&amp;G1654&amp;"-"&amp;TEXT(COUNTIFS(I$5:I1654,I1654,G$5:G1654,G1654),"0000"))</f>
        <v/>
      </c>
      <c r="C1654" s="26"/>
      <c r="D1654" s="26"/>
      <c r="E1654" s="27"/>
      <c r="F1654" s="27"/>
      <c r="G1654" s="31" t="str">
        <f aca="false">IF(F1654="","",IF(F1654&lt;=5,"A",IF(F1654&lt;=8,"B",IF(F1654&lt;=10,"C","D"))))</f>
        <v/>
      </c>
      <c r="H1654" s="28"/>
      <c r="I1654" s="27"/>
      <c r="J1654" s="26"/>
      <c r="K1654" s="27"/>
      <c r="L1654" s="27"/>
      <c r="M1654" s="27"/>
      <c r="N1654" s="27"/>
      <c r="O1654" s="31" t="str">
        <f aca="false">IF(G1654="","",VLOOKUP(G1654,Setup!$A$14:$C$17,3,0))</f>
        <v/>
      </c>
      <c r="P1654" s="27"/>
      <c r="Q1654" s="33" t="str">
        <f aca="false">IF(OR(P1654="",M1654&lt;&gt;"Paid",O1654=""),"",P1654/O1654)</f>
        <v/>
      </c>
      <c r="R1654" s="34" t="str">
        <f aca="false">IF(Q1654="","",Q1654+N(H1654)*0.000000001)</f>
        <v/>
      </c>
      <c r="S1654" s="32" t="str">
        <f aca="false">IF(R1654="","",SUMPRODUCT((I$5:I$4004=I1654)*ISNUMBER(R$5:R$4004)*(R$5:R$4004&gt;R1654))+1)</f>
        <v/>
      </c>
      <c r="T1654" s="32" t="str">
        <f aca="false">IF(S1654="","",IF(S1654&lt;=Setup!$B$5,"🏆 WINNER",""))</f>
        <v/>
      </c>
      <c r="U1654" s="31" t="str">
        <f aca="false">IF(S1654="","",I1654&amp;"|"&amp;S1654)</f>
        <v/>
      </c>
    </row>
    <row r="1655" customFormat="false" ht="15" hidden="false" customHeight="false" outlineLevel="0" collapsed="false">
      <c r="A1655" s="24" t="n">
        <v>1651</v>
      </c>
      <c r="B1655" s="25" t="str">
        <f aca="false">IF(OR(C1655="",I1655="",G1655=""),"",IFERROR(VLOOKUP(I1655,Setup!$A$9:$B$11,2,0),"???")&amp;"-"&amp;G1655&amp;"-"&amp;TEXT(COUNTIFS(I$5:I1655,I1655,G$5:G1655,G1655),"0000"))</f>
        <v/>
      </c>
      <c r="C1655" s="26"/>
      <c r="D1655" s="26"/>
      <c r="E1655" s="27"/>
      <c r="F1655" s="27"/>
      <c r="G1655" s="24" t="str">
        <f aca="false">IF(F1655="","",IF(F1655&lt;=5,"A",IF(F1655&lt;=8,"B",IF(F1655&lt;=10,"C","D"))))</f>
        <v/>
      </c>
      <c r="H1655" s="28"/>
      <c r="I1655" s="27"/>
      <c r="J1655" s="26"/>
      <c r="K1655" s="27"/>
      <c r="L1655" s="27"/>
      <c r="M1655" s="27"/>
      <c r="N1655" s="27"/>
      <c r="O1655" s="24" t="str">
        <f aca="false">IF(G1655="","",VLOOKUP(G1655,Setup!$A$14:$C$17,3,0))</f>
        <v/>
      </c>
      <c r="P1655" s="27"/>
      <c r="Q1655" s="29" t="str">
        <f aca="false">IF(OR(P1655="",M1655&lt;&gt;"Paid",O1655=""),"",P1655/O1655)</f>
        <v/>
      </c>
      <c r="R1655" s="30" t="str">
        <f aca="false">IF(Q1655="","",Q1655+N(H1655)*0.000000001)</f>
        <v/>
      </c>
      <c r="S1655" s="25" t="str">
        <f aca="false">IF(R1655="","",SUMPRODUCT((I$5:I$4004=I1655)*ISNUMBER(R$5:R$4004)*(R$5:R$4004&gt;R1655))+1)</f>
        <v/>
      </c>
      <c r="T1655" s="25" t="str">
        <f aca="false">IF(S1655="","",IF(S1655&lt;=Setup!$B$5,"🏆 WINNER",""))</f>
        <v/>
      </c>
      <c r="U1655" s="24" t="str">
        <f aca="false">IF(S1655="","",I1655&amp;"|"&amp;S1655)</f>
        <v/>
      </c>
    </row>
    <row r="1656" customFormat="false" ht="15" hidden="false" customHeight="false" outlineLevel="0" collapsed="false">
      <c r="A1656" s="31" t="n">
        <v>1652</v>
      </c>
      <c r="B1656" s="32" t="str">
        <f aca="false">IF(OR(C1656="",I1656="",G1656=""),"",IFERROR(VLOOKUP(I1656,Setup!$A$9:$B$11,2,0),"???")&amp;"-"&amp;G1656&amp;"-"&amp;TEXT(COUNTIFS(I$5:I1656,I1656,G$5:G1656,G1656),"0000"))</f>
        <v/>
      </c>
      <c r="C1656" s="26"/>
      <c r="D1656" s="26"/>
      <c r="E1656" s="27"/>
      <c r="F1656" s="27"/>
      <c r="G1656" s="31" t="str">
        <f aca="false">IF(F1656="","",IF(F1656&lt;=5,"A",IF(F1656&lt;=8,"B",IF(F1656&lt;=10,"C","D"))))</f>
        <v/>
      </c>
      <c r="H1656" s="28"/>
      <c r="I1656" s="27"/>
      <c r="J1656" s="26"/>
      <c r="K1656" s="27"/>
      <c r="L1656" s="27"/>
      <c r="M1656" s="27"/>
      <c r="N1656" s="27"/>
      <c r="O1656" s="31" t="str">
        <f aca="false">IF(G1656="","",VLOOKUP(G1656,Setup!$A$14:$C$17,3,0))</f>
        <v/>
      </c>
      <c r="P1656" s="27"/>
      <c r="Q1656" s="33" t="str">
        <f aca="false">IF(OR(P1656="",M1656&lt;&gt;"Paid",O1656=""),"",P1656/O1656)</f>
        <v/>
      </c>
      <c r="R1656" s="34" t="str">
        <f aca="false">IF(Q1656="","",Q1656+N(H1656)*0.000000001)</f>
        <v/>
      </c>
      <c r="S1656" s="32" t="str">
        <f aca="false">IF(R1656="","",SUMPRODUCT((I$5:I$4004=I1656)*ISNUMBER(R$5:R$4004)*(R$5:R$4004&gt;R1656))+1)</f>
        <v/>
      </c>
      <c r="T1656" s="32" t="str">
        <f aca="false">IF(S1656="","",IF(S1656&lt;=Setup!$B$5,"🏆 WINNER",""))</f>
        <v/>
      </c>
      <c r="U1656" s="31" t="str">
        <f aca="false">IF(S1656="","",I1656&amp;"|"&amp;S1656)</f>
        <v/>
      </c>
    </row>
    <row r="1657" customFormat="false" ht="15" hidden="false" customHeight="false" outlineLevel="0" collapsed="false">
      <c r="A1657" s="24" t="n">
        <v>1653</v>
      </c>
      <c r="B1657" s="25" t="str">
        <f aca="false">IF(OR(C1657="",I1657="",G1657=""),"",IFERROR(VLOOKUP(I1657,Setup!$A$9:$B$11,2,0),"???")&amp;"-"&amp;G1657&amp;"-"&amp;TEXT(COUNTIFS(I$5:I1657,I1657,G$5:G1657,G1657),"0000"))</f>
        <v/>
      </c>
      <c r="C1657" s="26"/>
      <c r="D1657" s="26"/>
      <c r="E1657" s="27"/>
      <c r="F1657" s="27"/>
      <c r="G1657" s="24" t="str">
        <f aca="false">IF(F1657="","",IF(F1657&lt;=5,"A",IF(F1657&lt;=8,"B",IF(F1657&lt;=10,"C","D"))))</f>
        <v/>
      </c>
      <c r="H1657" s="28"/>
      <c r="I1657" s="27"/>
      <c r="J1657" s="26"/>
      <c r="K1657" s="27"/>
      <c r="L1657" s="27"/>
      <c r="M1657" s="27"/>
      <c r="N1657" s="27"/>
      <c r="O1657" s="24" t="str">
        <f aca="false">IF(G1657="","",VLOOKUP(G1657,Setup!$A$14:$C$17,3,0))</f>
        <v/>
      </c>
      <c r="P1657" s="27"/>
      <c r="Q1657" s="29" t="str">
        <f aca="false">IF(OR(P1657="",M1657&lt;&gt;"Paid",O1657=""),"",P1657/O1657)</f>
        <v/>
      </c>
      <c r="R1657" s="30" t="str">
        <f aca="false">IF(Q1657="","",Q1657+N(H1657)*0.000000001)</f>
        <v/>
      </c>
      <c r="S1657" s="25" t="str">
        <f aca="false">IF(R1657="","",SUMPRODUCT((I$5:I$4004=I1657)*ISNUMBER(R$5:R$4004)*(R$5:R$4004&gt;R1657))+1)</f>
        <v/>
      </c>
      <c r="T1657" s="25" t="str">
        <f aca="false">IF(S1657="","",IF(S1657&lt;=Setup!$B$5,"🏆 WINNER",""))</f>
        <v/>
      </c>
      <c r="U1657" s="24" t="str">
        <f aca="false">IF(S1657="","",I1657&amp;"|"&amp;S1657)</f>
        <v/>
      </c>
    </row>
    <row r="1658" customFormat="false" ht="15" hidden="false" customHeight="false" outlineLevel="0" collapsed="false">
      <c r="A1658" s="31" t="n">
        <v>1654</v>
      </c>
      <c r="B1658" s="32" t="str">
        <f aca="false">IF(OR(C1658="",I1658="",G1658=""),"",IFERROR(VLOOKUP(I1658,Setup!$A$9:$B$11,2,0),"???")&amp;"-"&amp;G1658&amp;"-"&amp;TEXT(COUNTIFS(I$5:I1658,I1658,G$5:G1658,G1658),"0000"))</f>
        <v/>
      </c>
      <c r="C1658" s="26"/>
      <c r="D1658" s="26"/>
      <c r="E1658" s="27"/>
      <c r="F1658" s="27"/>
      <c r="G1658" s="31" t="str">
        <f aca="false">IF(F1658="","",IF(F1658&lt;=5,"A",IF(F1658&lt;=8,"B",IF(F1658&lt;=10,"C","D"))))</f>
        <v/>
      </c>
      <c r="H1658" s="28"/>
      <c r="I1658" s="27"/>
      <c r="J1658" s="26"/>
      <c r="K1658" s="27"/>
      <c r="L1658" s="27"/>
      <c r="M1658" s="27"/>
      <c r="N1658" s="27"/>
      <c r="O1658" s="31" t="str">
        <f aca="false">IF(G1658="","",VLOOKUP(G1658,Setup!$A$14:$C$17,3,0))</f>
        <v/>
      </c>
      <c r="P1658" s="27"/>
      <c r="Q1658" s="33" t="str">
        <f aca="false">IF(OR(P1658="",M1658&lt;&gt;"Paid",O1658=""),"",P1658/O1658)</f>
        <v/>
      </c>
      <c r="R1658" s="34" t="str">
        <f aca="false">IF(Q1658="","",Q1658+N(H1658)*0.000000001)</f>
        <v/>
      </c>
      <c r="S1658" s="32" t="str">
        <f aca="false">IF(R1658="","",SUMPRODUCT((I$5:I$4004=I1658)*ISNUMBER(R$5:R$4004)*(R$5:R$4004&gt;R1658))+1)</f>
        <v/>
      </c>
      <c r="T1658" s="32" t="str">
        <f aca="false">IF(S1658="","",IF(S1658&lt;=Setup!$B$5,"🏆 WINNER",""))</f>
        <v/>
      </c>
      <c r="U1658" s="31" t="str">
        <f aca="false">IF(S1658="","",I1658&amp;"|"&amp;S1658)</f>
        <v/>
      </c>
    </row>
    <row r="1659" customFormat="false" ht="15" hidden="false" customHeight="false" outlineLevel="0" collapsed="false">
      <c r="A1659" s="24" t="n">
        <v>1655</v>
      </c>
      <c r="B1659" s="25" t="str">
        <f aca="false">IF(OR(C1659="",I1659="",G1659=""),"",IFERROR(VLOOKUP(I1659,Setup!$A$9:$B$11,2,0),"???")&amp;"-"&amp;G1659&amp;"-"&amp;TEXT(COUNTIFS(I$5:I1659,I1659,G$5:G1659,G1659),"0000"))</f>
        <v/>
      </c>
      <c r="C1659" s="26"/>
      <c r="D1659" s="26"/>
      <c r="E1659" s="27"/>
      <c r="F1659" s="27"/>
      <c r="G1659" s="24" t="str">
        <f aca="false">IF(F1659="","",IF(F1659&lt;=5,"A",IF(F1659&lt;=8,"B",IF(F1659&lt;=10,"C","D"))))</f>
        <v/>
      </c>
      <c r="H1659" s="28"/>
      <c r="I1659" s="27"/>
      <c r="J1659" s="26"/>
      <c r="K1659" s="27"/>
      <c r="L1659" s="27"/>
      <c r="M1659" s="27"/>
      <c r="N1659" s="27"/>
      <c r="O1659" s="24" t="str">
        <f aca="false">IF(G1659="","",VLOOKUP(G1659,Setup!$A$14:$C$17,3,0))</f>
        <v/>
      </c>
      <c r="P1659" s="27"/>
      <c r="Q1659" s="29" t="str">
        <f aca="false">IF(OR(P1659="",M1659&lt;&gt;"Paid",O1659=""),"",P1659/O1659)</f>
        <v/>
      </c>
      <c r="R1659" s="30" t="str">
        <f aca="false">IF(Q1659="","",Q1659+N(H1659)*0.000000001)</f>
        <v/>
      </c>
      <c r="S1659" s="25" t="str">
        <f aca="false">IF(R1659="","",SUMPRODUCT((I$5:I$4004=I1659)*ISNUMBER(R$5:R$4004)*(R$5:R$4004&gt;R1659))+1)</f>
        <v/>
      </c>
      <c r="T1659" s="25" t="str">
        <f aca="false">IF(S1659="","",IF(S1659&lt;=Setup!$B$5,"🏆 WINNER",""))</f>
        <v/>
      </c>
      <c r="U1659" s="24" t="str">
        <f aca="false">IF(S1659="","",I1659&amp;"|"&amp;S1659)</f>
        <v/>
      </c>
    </row>
    <row r="1660" customFormat="false" ht="15" hidden="false" customHeight="false" outlineLevel="0" collapsed="false">
      <c r="A1660" s="31" t="n">
        <v>1656</v>
      </c>
      <c r="B1660" s="32" t="str">
        <f aca="false">IF(OR(C1660="",I1660="",G1660=""),"",IFERROR(VLOOKUP(I1660,Setup!$A$9:$B$11,2,0),"???")&amp;"-"&amp;G1660&amp;"-"&amp;TEXT(COUNTIFS(I$5:I1660,I1660,G$5:G1660,G1660),"0000"))</f>
        <v/>
      </c>
      <c r="C1660" s="26"/>
      <c r="D1660" s="26"/>
      <c r="E1660" s="27"/>
      <c r="F1660" s="27"/>
      <c r="G1660" s="31" t="str">
        <f aca="false">IF(F1660="","",IF(F1660&lt;=5,"A",IF(F1660&lt;=8,"B",IF(F1660&lt;=10,"C","D"))))</f>
        <v/>
      </c>
      <c r="H1660" s="28"/>
      <c r="I1660" s="27"/>
      <c r="J1660" s="26"/>
      <c r="K1660" s="27"/>
      <c r="L1660" s="27"/>
      <c r="M1660" s="27"/>
      <c r="N1660" s="27"/>
      <c r="O1660" s="31" t="str">
        <f aca="false">IF(G1660="","",VLOOKUP(G1660,Setup!$A$14:$C$17,3,0))</f>
        <v/>
      </c>
      <c r="P1660" s="27"/>
      <c r="Q1660" s="33" t="str">
        <f aca="false">IF(OR(P1660="",M1660&lt;&gt;"Paid",O1660=""),"",P1660/O1660)</f>
        <v/>
      </c>
      <c r="R1660" s="34" t="str">
        <f aca="false">IF(Q1660="","",Q1660+N(H1660)*0.000000001)</f>
        <v/>
      </c>
      <c r="S1660" s="32" t="str">
        <f aca="false">IF(R1660="","",SUMPRODUCT((I$5:I$4004=I1660)*ISNUMBER(R$5:R$4004)*(R$5:R$4004&gt;R1660))+1)</f>
        <v/>
      </c>
      <c r="T1660" s="32" t="str">
        <f aca="false">IF(S1660="","",IF(S1660&lt;=Setup!$B$5,"🏆 WINNER",""))</f>
        <v/>
      </c>
      <c r="U1660" s="31" t="str">
        <f aca="false">IF(S1660="","",I1660&amp;"|"&amp;S1660)</f>
        <v/>
      </c>
    </row>
    <row r="1661" customFormat="false" ht="15" hidden="false" customHeight="false" outlineLevel="0" collapsed="false">
      <c r="A1661" s="24" t="n">
        <v>1657</v>
      </c>
      <c r="B1661" s="25" t="str">
        <f aca="false">IF(OR(C1661="",I1661="",G1661=""),"",IFERROR(VLOOKUP(I1661,Setup!$A$9:$B$11,2,0),"???")&amp;"-"&amp;G1661&amp;"-"&amp;TEXT(COUNTIFS(I$5:I1661,I1661,G$5:G1661,G1661),"0000"))</f>
        <v/>
      </c>
      <c r="C1661" s="26"/>
      <c r="D1661" s="26"/>
      <c r="E1661" s="27"/>
      <c r="F1661" s="27"/>
      <c r="G1661" s="24" t="str">
        <f aca="false">IF(F1661="","",IF(F1661&lt;=5,"A",IF(F1661&lt;=8,"B",IF(F1661&lt;=10,"C","D"))))</f>
        <v/>
      </c>
      <c r="H1661" s="28"/>
      <c r="I1661" s="27"/>
      <c r="J1661" s="26"/>
      <c r="K1661" s="27"/>
      <c r="L1661" s="27"/>
      <c r="M1661" s="27"/>
      <c r="N1661" s="27"/>
      <c r="O1661" s="24" t="str">
        <f aca="false">IF(G1661="","",VLOOKUP(G1661,Setup!$A$14:$C$17,3,0))</f>
        <v/>
      </c>
      <c r="P1661" s="27"/>
      <c r="Q1661" s="29" t="str">
        <f aca="false">IF(OR(P1661="",M1661&lt;&gt;"Paid",O1661=""),"",P1661/O1661)</f>
        <v/>
      </c>
      <c r="R1661" s="30" t="str">
        <f aca="false">IF(Q1661="","",Q1661+N(H1661)*0.000000001)</f>
        <v/>
      </c>
      <c r="S1661" s="25" t="str">
        <f aca="false">IF(R1661="","",SUMPRODUCT((I$5:I$4004=I1661)*ISNUMBER(R$5:R$4004)*(R$5:R$4004&gt;R1661))+1)</f>
        <v/>
      </c>
      <c r="T1661" s="25" t="str">
        <f aca="false">IF(S1661="","",IF(S1661&lt;=Setup!$B$5,"🏆 WINNER",""))</f>
        <v/>
      </c>
      <c r="U1661" s="24" t="str">
        <f aca="false">IF(S1661="","",I1661&amp;"|"&amp;S1661)</f>
        <v/>
      </c>
    </row>
    <row r="1662" customFormat="false" ht="15" hidden="false" customHeight="false" outlineLevel="0" collapsed="false">
      <c r="A1662" s="31" t="n">
        <v>1658</v>
      </c>
      <c r="B1662" s="32" t="str">
        <f aca="false">IF(OR(C1662="",I1662="",G1662=""),"",IFERROR(VLOOKUP(I1662,Setup!$A$9:$B$11,2,0),"???")&amp;"-"&amp;G1662&amp;"-"&amp;TEXT(COUNTIFS(I$5:I1662,I1662,G$5:G1662,G1662),"0000"))</f>
        <v/>
      </c>
      <c r="C1662" s="26"/>
      <c r="D1662" s="26"/>
      <c r="E1662" s="27"/>
      <c r="F1662" s="27"/>
      <c r="G1662" s="31" t="str">
        <f aca="false">IF(F1662="","",IF(F1662&lt;=5,"A",IF(F1662&lt;=8,"B",IF(F1662&lt;=10,"C","D"))))</f>
        <v/>
      </c>
      <c r="H1662" s="28"/>
      <c r="I1662" s="27"/>
      <c r="J1662" s="26"/>
      <c r="K1662" s="27"/>
      <c r="L1662" s="27"/>
      <c r="M1662" s="27"/>
      <c r="N1662" s="27"/>
      <c r="O1662" s="31" t="str">
        <f aca="false">IF(G1662="","",VLOOKUP(G1662,Setup!$A$14:$C$17,3,0))</f>
        <v/>
      </c>
      <c r="P1662" s="27"/>
      <c r="Q1662" s="33" t="str">
        <f aca="false">IF(OR(P1662="",M1662&lt;&gt;"Paid",O1662=""),"",P1662/O1662)</f>
        <v/>
      </c>
      <c r="R1662" s="34" t="str">
        <f aca="false">IF(Q1662="","",Q1662+N(H1662)*0.000000001)</f>
        <v/>
      </c>
      <c r="S1662" s="32" t="str">
        <f aca="false">IF(R1662="","",SUMPRODUCT((I$5:I$4004=I1662)*ISNUMBER(R$5:R$4004)*(R$5:R$4004&gt;R1662))+1)</f>
        <v/>
      </c>
      <c r="T1662" s="32" t="str">
        <f aca="false">IF(S1662="","",IF(S1662&lt;=Setup!$B$5,"🏆 WINNER",""))</f>
        <v/>
      </c>
      <c r="U1662" s="31" t="str">
        <f aca="false">IF(S1662="","",I1662&amp;"|"&amp;S1662)</f>
        <v/>
      </c>
    </row>
    <row r="1663" customFormat="false" ht="15" hidden="false" customHeight="false" outlineLevel="0" collapsed="false">
      <c r="A1663" s="24" t="n">
        <v>1659</v>
      </c>
      <c r="B1663" s="25" t="str">
        <f aca="false">IF(OR(C1663="",I1663="",G1663=""),"",IFERROR(VLOOKUP(I1663,Setup!$A$9:$B$11,2,0),"???")&amp;"-"&amp;G1663&amp;"-"&amp;TEXT(COUNTIFS(I$5:I1663,I1663,G$5:G1663,G1663),"0000"))</f>
        <v/>
      </c>
      <c r="C1663" s="26"/>
      <c r="D1663" s="26"/>
      <c r="E1663" s="27"/>
      <c r="F1663" s="27"/>
      <c r="G1663" s="24" t="str">
        <f aca="false">IF(F1663="","",IF(F1663&lt;=5,"A",IF(F1663&lt;=8,"B",IF(F1663&lt;=10,"C","D"))))</f>
        <v/>
      </c>
      <c r="H1663" s="28"/>
      <c r="I1663" s="27"/>
      <c r="J1663" s="26"/>
      <c r="K1663" s="27"/>
      <c r="L1663" s="27"/>
      <c r="M1663" s="27"/>
      <c r="N1663" s="27"/>
      <c r="O1663" s="24" t="str">
        <f aca="false">IF(G1663="","",VLOOKUP(G1663,Setup!$A$14:$C$17,3,0))</f>
        <v/>
      </c>
      <c r="P1663" s="27"/>
      <c r="Q1663" s="29" t="str">
        <f aca="false">IF(OR(P1663="",M1663&lt;&gt;"Paid",O1663=""),"",P1663/O1663)</f>
        <v/>
      </c>
      <c r="R1663" s="30" t="str">
        <f aca="false">IF(Q1663="","",Q1663+N(H1663)*0.000000001)</f>
        <v/>
      </c>
      <c r="S1663" s="25" t="str">
        <f aca="false">IF(R1663="","",SUMPRODUCT((I$5:I$4004=I1663)*ISNUMBER(R$5:R$4004)*(R$5:R$4004&gt;R1663))+1)</f>
        <v/>
      </c>
      <c r="T1663" s="25" t="str">
        <f aca="false">IF(S1663="","",IF(S1663&lt;=Setup!$B$5,"🏆 WINNER",""))</f>
        <v/>
      </c>
      <c r="U1663" s="24" t="str">
        <f aca="false">IF(S1663="","",I1663&amp;"|"&amp;S1663)</f>
        <v/>
      </c>
    </row>
    <row r="1664" customFormat="false" ht="15" hidden="false" customHeight="false" outlineLevel="0" collapsed="false">
      <c r="A1664" s="31" t="n">
        <v>1660</v>
      </c>
      <c r="B1664" s="32" t="str">
        <f aca="false">IF(OR(C1664="",I1664="",G1664=""),"",IFERROR(VLOOKUP(I1664,Setup!$A$9:$B$11,2,0),"???")&amp;"-"&amp;G1664&amp;"-"&amp;TEXT(COUNTIFS(I$5:I1664,I1664,G$5:G1664,G1664),"0000"))</f>
        <v/>
      </c>
      <c r="C1664" s="26"/>
      <c r="D1664" s="26"/>
      <c r="E1664" s="27"/>
      <c r="F1664" s="27"/>
      <c r="G1664" s="31" t="str">
        <f aca="false">IF(F1664="","",IF(F1664&lt;=5,"A",IF(F1664&lt;=8,"B",IF(F1664&lt;=10,"C","D"))))</f>
        <v/>
      </c>
      <c r="H1664" s="28"/>
      <c r="I1664" s="27"/>
      <c r="J1664" s="26"/>
      <c r="K1664" s="27"/>
      <c r="L1664" s="27"/>
      <c r="M1664" s="27"/>
      <c r="N1664" s="27"/>
      <c r="O1664" s="31" t="str">
        <f aca="false">IF(G1664="","",VLOOKUP(G1664,Setup!$A$14:$C$17,3,0))</f>
        <v/>
      </c>
      <c r="P1664" s="27"/>
      <c r="Q1664" s="33" t="str">
        <f aca="false">IF(OR(P1664="",M1664&lt;&gt;"Paid",O1664=""),"",P1664/O1664)</f>
        <v/>
      </c>
      <c r="R1664" s="34" t="str">
        <f aca="false">IF(Q1664="","",Q1664+N(H1664)*0.000000001)</f>
        <v/>
      </c>
      <c r="S1664" s="32" t="str">
        <f aca="false">IF(R1664="","",SUMPRODUCT((I$5:I$4004=I1664)*ISNUMBER(R$5:R$4004)*(R$5:R$4004&gt;R1664))+1)</f>
        <v/>
      </c>
      <c r="T1664" s="32" t="str">
        <f aca="false">IF(S1664="","",IF(S1664&lt;=Setup!$B$5,"🏆 WINNER",""))</f>
        <v/>
      </c>
      <c r="U1664" s="31" t="str">
        <f aca="false">IF(S1664="","",I1664&amp;"|"&amp;S1664)</f>
        <v/>
      </c>
    </row>
    <row r="1665" customFormat="false" ht="15" hidden="false" customHeight="false" outlineLevel="0" collapsed="false">
      <c r="A1665" s="24" t="n">
        <v>1661</v>
      </c>
      <c r="B1665" s="25" t="str">
        <f aca="false">IF(OR(C1665="",I1665="",G1665=""),"",IFERROR(VLOOKUP(I1665,Setup!$A$9:$B$11,2,0),"???")&amp;"-"&amp;G1665&amp;"-"&amp;TEXT(COUNTIFS(I$5:I1665,I1665,G$5:G1665,G1665),"0000"))</f>
        <v/>
      </c>
      <c r="C1665" s="26"/>
      <c r="D1665" s="26"/>
      <c r="E1665" s="27"/>
      <c r="F1665" s="27"/>
      <c r="G1665" s="24" t="str">
        <f aca="false">IF(F1665="","",IF(F1665&lt;=5,"A",IF(F1665&lt;=8,"B",IF(F1665&lt;=10,"C","D"))))</f>
        <v/>
      </c>
      <c r="H1665" s="28"/>
      <c r="I1665" s="27"/>
      <c r="J1665" s="26"/>
      <c r="K1665" s="27"/>
      <c r="L1665" s="27"/>
      <c r="M1665" s="27"/>
      <c r="N1665" s="27"/>
      <c r="O1665" s="24" t="str">
        <f aca="false">IF(G1665="","",VLOOKUP(G1665,Setup!$A$14:$C$17,3,0))</f>
        <v/>
      </c>
      <c r="P1665" s="27"/>
      <c r="Q1665" s="29" t="str">
        <f aca="false">IF(OR(P1665="",M1665&lt;&gt;"Paid",O1665=""),"",P1665/O1665)</f>
        <v/>
      </c>
      <c r="R1665" s="30" t="str">
        <f aca="false">IF(Q1665="","",Q1665+N(H1665)*0.000000001)</f>
        <v/>
      </c>
      <c r="S1665" s="25" t="str">
        <f aca="false">IF(R1665="","",SUMPRODUCT((I$5:I$4004=I1665)*ISNUMBER(R$5:R$4004)*(R$5:R$4004&gt;R1665))+1)</f>
        <v/>
      </c>
      <c r="T1665" s="25" t="str">
        <f aca="false">IF(S1665="","",IF(S1665&lt;=Setup!$B$5,"🏆 WINNER",""))</f>
        <v/>
      </c>
      <c r="U1665" s="24" t="str">
        <f aca="false">IF(S1665="","",I1665&amp;"|"&amp;S1665)</f>
        <v/>
      </c>
    </row>
    <row r="1666" customFormat="false" ht="15" hidden="false" customHeight="false" outlineLevel="0" collapsed="false">
      <c r="A1666" s="31" t="n">
        <v>1662</v>
      </c>
      <c r="B1666" s="32" t="str">
        <f aca="false">IF(OR(C1666="",I1666="",G1666=""),"",IFERROR(VLOOKUP(I1666,Setup!$A$9:$B$11,2,0),"???")&amp;"-"&amp;G1666&amp;"-"&amp;TEXT(COUNTIFS(I$5:I1666,I1666,G$5:G1666,G1666),"0000"))</f>
        <v/>
      </c>
      <c r="C1666" s="26"/>
      <c r="D1666" s="26"/>
      <c r="E1666" s="27"/>
      <c r="F1666" s="27"/>
      <c r="G1666" s="31" t="str">
        <f aca="false">IF(F1666="","",IF(F1666&lt;=5,"A",IF(F1666&lt;=8,"B",IF(F1666&lt;=10,"C","D"))))</f>
        <v/>
      </c>
      <c r="H1666" s="28"/>
      <c r="I1666" s="27"/>
      <c r="J1666" s="26"/>
      <c r="K1666" s="27"/>
      <c r="L1666" s="27"/>
      <c r="M1666" s="27"/>
      <c r="N1666" s="27"/>
      <c r="O1666" s="31" t="str">
        <f aca="false">IF(G1666="","",VLOOKUP(G1666,Setup!$A$14:$C$17,3,0))</f>
        <v/>
      </c>
      <c r="P1666" s="27"/>
      <c r="Q1666" s="33" t="str">
        <f aca="false">IF(OR(P1666="",M1666&lt;&gt;"Paid",O1666=""),"",P1666/O1666)</f>
        <v/>
      </c>
      <c r="R1666" s="34" t="str">
        <f aca="false">IF(Q1666="","",Q1666+N(H1666)*0.000000001)</f>
        <v/>
      </c>
      <c r="S1666" s="32" t="str">
        <f aca="false">IF(R1666="","",SUMPRODUCT((I$5:I$4004=I1666)*ISNUMBER(R$5:R$4004)*(R$5:R$4004&gt;R1666))+1)</f>
        <v/>
      </c>
      <c r="T1666" s="32" t="str">
        <f aca="false">IF(S1666="","",IF(S1666&lt;=Setup!$B$5,"🏆 WINNER",""))</f>
        <v/>
      </c>
      <c r="U1666" s="31" t="str">
        <f aca="false">IF(S1666="","",I1666&amp;"|"&amp;S1666)</f>
        <v/>
      </c>
    </row>
    <row r="1667" customFormat="false" ht="15" hidden="false" customHeight="false" outlineLevel="0" collapsed="false">
      <c r="A1667" s="24" t="n">
        <v>1663</v>
      </c>
      <c r="B1667" s="25" t="str">
        <f aca="false">IF(OR(C1667="",I1667="",G1667=""),"",IFERROR(VLOOKUP(I1667,Setup!$A$9:$B$11,2,0),"???")&amp;"-"&amp;G1667&amp;"-"&amp;TEXT(COUNTIFS(I$5:I1667,I1667,G$5:G1667,G1667),"0000"))</f>
        <v/>
      </c>
      <c r="C1667" s="26"/>
      <c r="D1667" s="26"/>
      <c r="E1667" s="27"/>
      <c r="F1667" s="27"/>
      <c r="G1667" s="24" t="str">
        <f aca="false">IF(F1667="","",IF(F1667&lt;=5,"A",IF(F1667&lt;=8,"B",IF(F1667&lt;=10,"C","D"))))</f>
        <v/>
      </c>
      <c r="H1667" s="28"/>
      <c r="I1667" s="27"/>
      <c r="J1667" s="26"/>
      <c r="K1667" s="27"/>
      <c r="L1667" s="27"/>
      <c r="M1667" s="27"/>
      <c r="N1667" s="27"/>
      <c r="O1667" s="24" t="str">
        <f aca="false">IF(G1667="","",VLOOKUP(G1667,Setup!$A$14:$C$17,3,0))</f>
        <v/>
      </c>
      <c r="P1667" s="27"/>
      <c r="Q1667" s="29" t="str">
        <f aca="false">IF(OR(P1667="",M1667&lt;&gt;"Paid",O1667=""),"",P1667/O1667)</f>
        <v/>
      </c>
      <c r="R1667" s="30" t="str">
        <f aca="false">IF(Q1667="","",Q1667+N(H1667)*0.000000001)</f>
        <v/>
      </c>
      <c r="S1667" s="25" t="str">
        <f aca="false">IF(R1667="","",SUMPRODUCT((I$5:I$4004=I1667)*ISNUMBER(R$5:R$4004)*(R$5:R$4004&gt;R1667))+1)</f>
        <v/>
      </c>
      <c r="T1667" s="25" t="str">
        <f aca="false">IF(S1667="","",IF(S1667&lt;=Setup!$B$5,"🏆 WINNER",""))</f>
        <v/>
      </c>
      <c r="U1667" s="24" t="str">
        <f aca="false">IF(S1667="","",I1667&amp;"|"&amp;S1667)</f>
        <v/>
      </c>
    </row>
    <row r="1668" customFormat="false" ht="15" hidden="false" customHeight="false" outlineLevel="0" collapsed="false">
      <c r="A1668" s="31" t="n">
        <v>1664</v>
      </c>
      <c r="B1668" s="32" t="str">
        <f aca="false">IF(OR(C1668="",I1668="",G1668=""),"",IFERROR(VLOOKUP(I1668,Setup!$A$9:$B$11,2,0),"???")&amp;"-"&amp;G1668&amp;"-"&amp;TEXT(COUNTIFS(I$5:I1668,I1668,G$5:G1668,G1668),"0000"))</f>
        <v/>
      </c>
      <c r="C1668" s="26"/>
      <c r="D1668" s="26"/>
      <c r="E1668" s="27"/>
      <c r="F1668" s="27"/>
      <c r="G1668" s="31" t="str">
        <f aca="false">IF(F1668="","",IF(F1668&lt;=5,"A",IF(F1668&lt;=8,"B",IF(F1668&lt;=10,"C","D"))))</f>
        <v/>
      </c>
      <c r="H1668" s="28"/>
      <c r="I1668" s="27"/>
      <c r="J1668" s="26"/>
      <c r="K1668" s="27"/>
      <c r="L1668" s="27"/>
      <c r="M1668" s="27"/>
      <c r="N1668" s="27"/>
      <c r="O1668" s="31" t="str">
        <f aca="false">IF(G1668="","",VLOOKUP(G1668,Setup!$A$14:$C$17,3,0))</f>
        <v/>
      </c>
      <c r="P1668" s="27"/>
      <c r="Q1668" s="33" t="str">
        <f aca="false">IF(OR(P1668="",M1668&lt;&gt;"Paid",O1668=""),"",P1668/O1668)</f>
        <v/>
      </c>
      <c r="R1668" s="34" t="str">
        <f aca="false">IF(Q1668="","",Q1668+N(H1668)*0.000000001)</f>
        <v/>
      </c>
      <c r="S1668" s="32" t="str">
        <f aca="false">IF(R1668="","",SUMPRODUCT((I$5:I$4004=I1668)*ISNUMBER(R$5:R$4004)*(R$5:R$4004&gt;R1668))+1)</f>
        <v/>
      </c>
      <c r="T1668" s="32" t="str">
        <f aca="false">IF(S1668="","",IF(S1668&lt;=Setup!$B$5,"🏆 WINNER",""))</f>
        <v/>
      </c>
      <c r="U1668" s="31" t="str">
        <f aca="false">IF(S1668="","",I1668&amp;"|"&amp;S1668)</f>
        <v/>
      </c>
    </row>
    <row r="1669" customFormat="false" ht="15" hidden="false" customHeight="false" outlineLevel="0" collapsed="false">
      <c r="A1669" s="24" t="n">
        <v>1665</v>
      </c>
      <c r="B1669" s="25" t="str">
        <f aca="false">IF(OR(C1669="",I1669="",G1669=""),"",IFERROR(VLOOKUP(I1669,Setup!$A$9:$B$11,2,0),"???")&amp;"-"&amp;G1669&amp;"-"&amp;TEXT(COUNTIFS(I$5:I1669,I1669,G$5:G1669,G1669),"0000"))</f>
        <v/>
      </c>
      <c r="C1669" s="26"/>
      <c r="D1669" s="26"/>
      <c r="E1669" s="27"/>
      <c r="F1669" s="27"/>
      <c r="G1669" s="24" t="str">
        <f aca="false">IF(F1669="","",IF(F1669&lt;=5,"A",IF(F1669&lt;=8,"B",IF(F1669&lt;=10,"C","D"))))</f>
        <v/>
      </c>
      <c r="H1669" s="28"/>
      <c r="I1669" s="27"/>
      <c r="J1669" s="26"/>
      <c r="K1669" s="27"/>
      <c r="L1669" s="27"/>
      <c r="M1669" s="27"/>
      <c r="N1669" s="27"/>
      <c r="O1669" s="24" t="str">
        <f aca="false">IF(G1669="","",VLOOKUP(G1669,Setup!$A$14:$C$17,3,0))</f>
        <v/>
      </c>
      <c r="P1669" s="27"/>
      <c r="Q1669" s="29" t="str">
        <f aca="false">IF(OR(P1669="",M1669&lt;&gt;"Paid",O1669=""),"",P1669/O1669)</f>
        <v/>
      </c>
      <c r="R1669" s="30" t="str">
        <f aca="false">IF(Q1669="","",Q1669+N(H1669)*0.000000001)</f>
        <v/>
      </c>
      <c r="S1669" s="25" t="str">
        <f aca="false">IF(R1669="","",SUMPRODUCT((I$5:I$4004=I1669)*ISNUMBER(R$5:R$4004)*(R$5:R$4004&gt;R1669))+1)</f>
        <v/>
      </c>
      <c r="T1669" s="25" t="str">
        <f aca="false">IF(S1669="","",IF(S1669&lt;=Setup!$B$5,"🏆 WINNER",""))</f>
        <v/>
      </c>
      <c r="U1669" s="24" t="str">
        <f aca="false">IF(S1669="","",I1669&amp;"|"&amp;S1669)</f>
        <v/>
      </c>
    </row>
    <row r="1670" customFormat="false" ht="15" hidden="false" customHeight="false" outlineLevel="0" collapsed="false">
      <c r="A1670" s="31" t="n">
        <v>1666</v>
      </c>
      <c r="B1670" s="32" t="str">
        <f aca="false">IF(OR(C1670="",I1670="",G1670=""),"",IFERROR(VLOOKUP(I1670,Setup!$A$9:$B$11,2,0),"???")&amp;"-"&amp;G1670&amp;"-"&amp;TEXT(COUNTIFS(I$5:I1670,I1670,G$5:G1670,G1670),"0000"))</f>
        <v/>
      </c>
      <c r="C1670" s="26"/>
      <c r="D1670" s="26"/>
      <c r="E1670" s="27"/>
      <c r="F1670" s="27"/>
      <c r="G1670" s="31" t="str">
        <f aca="false">IF(F1670="","",IF(F1670&lt;=5,"A",IF(F1670&lt;=8,"B",IF(F1670&lt;=10,"C","D"))))</f>
        <v/>
      </c>
      <c r="H1670" s="28"/>
      <c r="I1670" s="27"/>
      <c r="J1670" s="26"/>
      <c r="K1670" s="27"/>
      <c r="L1670" s="27"/>
      <c r="M1670" s="27"/>
      <c r="N1670" s="27"/>
      <c r="O1670" s="31" t="str">
        <f aca="false">IF(G1670="","",VLOOKUP(G1670,Setup!$A$14:$C$17,3,0))</f>
        <v/>
      </c>
      <c r="P1670" s="27"/>
      <c r="Q1670" s="33" t="str">
        <f aca="false">IF(OR(P1670="",M1670&lt;&gt;"Paid",O1670=""),"",P1670/O1670)</f>
        <v/>
      </c>
      <c r="R1670" s="34" t="str">
        <f aca="false">IF(Q1670="","",Q1670+N(H1670)*0.000000001)</f>
        <v/>
      </c>
      <c r="S1670" s="32" t="str">
        <f aca="false">IF(R1670="","",SUMPRODUCT((I$5:I$4004=I1670)*ISNUMBER(R$5:R$4004)*(R$5:R$4004&gt;R1670))+1)</f>
        <v/>
      </c>
      <c r="T1670" s="32" t="str">
        <f aca="false">IF(S1670="","",IF(S1670&lt;=Setup!$B$5,"🏆 WINNER",""))</f>
        <v/>
      </c>
      <c r="U1670" s="31" t="str">
        <f aca="false">IF(S1670="","",I1670&amp;"|"&amp;S1670)</f>
        <v/>
      </c>
    </row>
    <row r="1671" customFormat="false" ht="15" hidden="false" customHeight="false" outlineLevel="0" collapsed="false">
      <c r="A1671" s="24" t="n">
        <v>1667</v>
      </c>
      <c r="B1671" s="25" t="str">
        <f aca="false">IF(OR(C1671="",I1671="",G1671=""),"",IFERROR(VLOOKUP(I1671,Setup!$A$9:$B$11,2,0),"???")&amp;"-"&amp;G1671&amp;"-"&amp;TEXT(COUNTIFS(I$5:I1671,I1671,G$5:G1671,G1671),"0000"))</f>
        <v/>
      </c>
      <c r="C1671" s="26"/>
      <c r="D1671" s="26"/>
      <c r="E1671" s="27"/>
      <c r="F1671" s="27"/>
      <c r="G1671" s="24" t="str">
        <f aca="false">IF(F1671="","",IF(F1671&lt;=5,"A",IF(F1671&lt;=8,"B",IF(F1671&lt;=10,"C","D"))))</f>
        <v/>
      </c>
      <c r="H1671" s="28"/>
      <c r="I1671" s="27"/>
      <c r="J1671" s="26"/>
      <c r="K1671" s="27"/>
      <c r="L1671" s="27"/>
      <c r="M1671" s="27"/>
      <c r="N1671" s="27"/>
      <c r="O1671" s="24" t="str">
        <f aca="false">IF(G1671="","",VLOOKUP(G1671,Setup!$A$14:$C$17,3,0))</f>
        <v/>
      </c>
      <c r="P1671" s="27"/>
      <c r="Q1671" s="29" t="str">
        <f aca="false">IF(OR(P1671="",M1671&lt;&gt;"Paid",O1671=""),"",P1671/O1671)</f>
        <v/>
      </c>
      <c r="R1671" s="30" t="str">
        <f aca="false">IF(Q1671="","",Q1671+N(H1671)*0.000000001)</f>
        <v/>
      </c>
      <c r="S1671" s="25" t="str">
        <f aca="false">IF(R1671="","",SUMPRODUCT((I$5:I$4004=I1671)*ISNUMBER(R$5:R$4004)*(R$5:R$4004&gt;R1671))+1)</f>
        <v/>
      </c>
      <c r="T1671" s="25" t="str">
        <f aca="false">IF(S1671="","",IF(S1671&lt;=Setup!$B$5,"🏆 WINNER",""))</f>
        <v/>
      </c>
      <c r="U1671" s="24" t="str">
        <f aca="false">IF(S1671="","",I1671&amp;"|"&amp;S1671)</f>
        <v/>
      </c>
    </row>
    <row r="1672" customFormat="false" ht="15" hidden="false" customHeight="false" outlineLevel="0" collapsed="false">
      <c r="A1672" s="31" t="n">
        <v>1668</v>
      </c>
      <c r="B1672" s="32" t="str">
        <f aca="false">IF(OR(C1672="",I1672="",G1672=""),"",IFERROR(VLOOKUP(I1672,Setup!$A$9:$B$11,2,0),"???")&amp;"-"&amp;G1672&amp;"-"&amp;TEXT(COUNTIFS(I$5:I1672,I1672,G$5:G1672,G1672),"0000"))</f>
        <v/>
      </c>
      <c r="C1672" s="26"/>
      <c r="D1672" s="26"/>
      <c r="E1672" s="27"/>
      <c r="F1672" s="27"/>
      <c r="G1672" s="31" t="str">
        <f aca="false">IF(F1672="","",IF(F1672&lt;=5,"A",IF(F1672&lt;=8,"B",IF(F1672&lt;=10,"C","D"))))</f>
        <v/>
      </c>
      <c r="H1672" s="28"/>
      <c r="I1672" s="27"/>
      <c r="J1672" s="26"/>
      <c r="K1672" s="27"/>
      <c r="L1672" s="27"/>
      <c r="M1672" s="27"/>
      <c r="N1672" s="27"/>
      <c r="O1672" s="31" t="str">
        <f aca="false">IF(G1672="","",VLOOKUP(G1672,Setup!$A$14:$C$17,3,0))</f>
        <v/>
      </c>
      <c r="P1672" s="27"/>
      <c r="Q1672" s="33" t="str">
        <f aca="false">IF(OR(P1672="",M1672&lt;&gt;"Paid",O1672=""),"",P1672/O1672)</f>
        <v/>
      </c>
      <c r="R1672" s="34" t="str">
        <f aca="false">IF(Q1672="","",Q1672+N(H1672)*0.000000001)</f>
        <v/>
      </c>
      <c r="S1672" s="32" t="str">
        <f aca="false">IF(R1672="","",SUMPRODUCT((I$5:I$4004=I1672)*ISNUMBER(R$5:R$4004)*(R$5:R$4004&gt;R1672))+1)</f>
        <v/>
      </c>
      <c r="T1672" s="32" t="str">
        <f aca="false">IF(S1672="","",IF(S1672&lt;=Setup!$B$5,"🏆 WINNER",""))</f>
        <v/>
      </c>
      <c r="U1672" s="31" t="str">
        <f aca="false">IF(S1672="","",I1672&amp;"|"&amp;S1672)</f>
        <v/>
      </c>
    </row>
    <row r="1673" customFormat="false" ht="15" hidden="false" customHeight="false" outlineLevel="0" collapsed="false">
      <c r="A1673" s="24" t="n">
        <v>1669</v>
      </c>
      <c r="B1673" s="25" t="str">
        <f aca="false">IF(OR(C1673="",I1673="",G1673=""),"",IFERROR(VLOOKUP(I1673,Setup!$A$9:$B$11,2,0),"???")&amp;"-"&amp;G1673&amp;"-"&amp;TEXT(COUNTIFS(I$5:I1673,I1673,G$5:G1673,G1673),"0000"))</f>
        <v/>
      </c>
      <c r="C1673" s="26"/>
      <c r="D1673" s="26"/>
      <c r="E1673" s="27"/>
      <c r="F1673" s="27"/>
      <c r="G1673" s="24" t="str">
        <f aca="false">IF(F1673="","",IF(F1673&lt;=5,"A",IF(F1673&lt;=8,"B",IF(F1673&lt;=10,"C","D"))))</f>
        <v/>
      </c>
      <c r="H1673" s="28"/>
      <c r="I1673" s="27"/>
      <c r="J1673" s="26"/>
      <c r="K1673" s="27"/>
      <c r="L1673" s="27"/>
      <c r="M1673" s="27"/>
      <c r="N1673" s="27"/>
      <c r="O1673" s="24" t="str">
        <f aca="false">IF(G1673="","",VLOOKUP(G1673,Setup!$A$14:$C$17,3,0))</f>
        <v/>
      </c>
      <c r="P1673" s="27"/>
      <c r="Q1673" s="29" t="str">
        <f aca="false">IF(OR(P1673="",M1673&lt;&gt;"Paid",O1673=""),"",P1673/O1673)</f>
        <v/>
      </c>
      <c r="R1673" s="30" t="str">
        <f aca="false">IF(Q1673="","",Q1673+N(H1673)*0.000000001)</f>
        <v/>
      </c>
      <c r="S1673" s="25" t="str">
        <f aca="false">IF(R1673="","",SUMPRODUCT((I$5:I$4004=I1673)*ISNUMBER(R$5:R$4004)*(R$5:R$4004&gt;R1673))+1)</f>
        <v/>
      </c>
      <c r="T1673" s="25" t="str">
        <f aca="false">IF(S1673="","",IF(S1673&lt;=Setup!$B$5,"🏆 WINNER",""))</f>
        <v/>
      </c>
      <c r="U1673" s="24" t="str">
        <f aca="false">IF(S1673="","",I1673&amp;"|"&amp;S1673)</f>
        <v/>
      </c>
    </row>
    <row r="1674" customFormat="false" ht="15" hidden="false" customHeight="false" outlineLevel="0" collapsed="false">
      <c r="A1674" s="31" t="n">
        <v>1670</v>
      </c>
      <c r="B1674" s="32" t="str">
        <f aca="false">IF(OR(C1674="",I1674="",G1674=""),"",IFERROR(VLOOKUP(I1674,Setup!$A$9:$B$11,2,0),"???")&amp;"-"&amp;G1674&amp;"-"&amp;TEXT(COUNTIFS(I$5:I1674,I1674,G$5:G1674,G1674),"0000"))</f>
        <v/>
      </c>
      <c r="C1674" s="26"/>
      <c r="D1674" s="26"/>
      <c r="E1674" s="27"/>
      <c r="F1674" s="27"/>
      <c r="G1674" s="31" t="str">
        <f aca="false">IF(F1674="","",IF(F1674&lt;=5,"A",IF(F1674&lt;=8,"B",IF(F1674&lt;=10,"C","D"))))</f>
        <v/>
      </c>
      <c r="H1674" s="28"/>
      <c r="I1674" s="27"/>
      <c r="J1674" s="26"/>
      <c r="K1674" s="27"/>
      <c r="L1674" s="27"/>
      <c r="M1674" s="27"/>
      <c r="N1674" s="27"/>
      <c r="O1674" s="31" t="str">
        <f aca="false">IF(G1674="","",VLOOKUP(G1674,Setup!$A$14:$C$17,3,0))</f>
        <v/>
      </c>
      <c r="P1674" s="27"/>
      <c r="Q1674" s="33" t="str">
        <f aca="false">IF(OR(P1674="",M1674&lt;&gt;"Paid",O1674=""),"",P1674/O1674)</f>
        <v/>
      </c>
      <c r="R1674" s="34" t="str">
        <f aca="false">IF(Q1674="","",Q1674+N(H1674)*0.000000001)</f>
        <v/>
      </c>
      <c r="S1674" s="32" t="str">
        <f aca="false">IF(R1674="","",SUMPRODUCT((I$5:I$4004=I1674)*ISNUMBER(R$5:R$4004)*(R$5:R$4004&gt;R1674))+1)</f>
        <v/>
      </c>
      <c r="T1674" s="32" t="str">
        <f aca="false">IF(S1674="","",IF(S1674&lt;=Setup!$B$5,"🏆 WINNER",""))</f>
        <v/>
      </c>
      <c r="U1674" s="31" t="str">
        <f aca="false">IF(S1674="","",I1674&amp;"|"&amp;S1674)</f>
        <v/>
      </c>
    </row>
    <row r="1675" customFormat="false" ht="15" hidden="false" customHeight="false" outlineLevel="0" collapsed="false">
      <c r="A1675" s="24" t="n">
        <v>1671</v>
      </c>
      <c r="B1675" s="25" t="str">
        <f aca="false">IF(OR(C1675="",I1675="",G1675=""),"",IFERROR(VLOOKUP(I1675,Setup!$A$9:$B$11,2,0),"???")&amp;"-"&amp;G1675&amp;"-"&amp;TEXT(COUNTIFS(I$5:I1675,I1675,G$5:G1675,G1675),"0000"))</f>
        <v/>
      </c>
      <c r="C1675" s="26"/>
      <c r="D1675" s="26"/>
      <c r="E1675" s="27"/>
      <c r="F1675" s="27"/>
      <c r="G1675" s="24" t="str">
        <f aca="false">IF(F1675="","",IF(F1675&lt;=5,"A",IF(F1675&lt;=8,"B",IF(F1675&lt;=10,"C","D"))))</f>
        <v/>
      </c>
      <c r="H1675" s="28"/>
      <c r="I1675" s="27"/>
      <c r="J1675" s="26"/>
      <c r="K1675" s="27"/>
      <c r="L1675" s="27"/>
      <c r="M1675" s="27"/>
      <c r="N1675" s="27"/>
      <c r="O1675" s="24" t="str">
        <f aca="false">IF(G1675="","",VLOOKUP(G1675,Setup!$A$14:$C$17,3,0))</f>
        <v/>
      </c>
      <c r="P1675" s="27"/>
      <c r="Q1675" s="29" t="str">
        <f aca="false">IF(OR(P1675="",M1675&lt;&gt;"Paid",O1675=""),"",P1675/O1675)</f>
        <v/>
      </c>
      <c r="R1675" s="30" t="str">
        <f aca="false">IF(Q1675="","",Q1675+N(H1675)*0.000000001)</f>
        <v/>
      </c>
      <c r="S1675" s="25" t="str">
        <f aca="false">IF(R1675="","",SUMPRODUCT((I$5:I$4004=I1675)*ISNUMBER(R$5:R$4004)*(R$5:R$4004&gt;R1675))+1)</f>
        <v/>
      </c>
      <c r="T1675" s="25" t="str">
        <f aca="false">IF(S1675="","",IF(S1675&lt;=Setup!$B$5,"🏆 WINNER",""))</f>
        <v/>
      </c>
      <c r="U1675" s="24" t="str">
        <f aca="false">IF(S1675="","",I1675&amp;"|"&amp;S1675)</f>
        <v/>
      </c>
    </row>
    <row r="1676" customFormat="false" ht="15" hidden="false" customHeight="false" outlineLevel="0" collapsed="false">
      <c r="A1676" s="31" t="n">
        <v>1672</v>
      </c>
      <c r="B1676" s="32" t="str">
        <f aca="false">IF(OR(C1676="",I1676="",G1676=""),"",IFERROR(VLOOKUP(I1676,Setup!$A$9:$B$11,2,0),"???")&amp;"-"&amp;G1676&amp;"-"&amp;TEXT(COUNTIFS(I$5:I1676,I1676,G$5:G1676,G1676),"0000"))</f>
        <v/>
      </c>
      <c r="C1676" s="26"/>
      <c r="D1676" s="26"/>
      <c r="E1676" s="27"/>
      <c r="F1676" s="27"/>
      <c r="G1676" s="31" t="str">
        <f aca="false">IF(F1676="","",IF(F1676&lt;=5,"A",IF(F1676&lt;=8,"B",IF(F1676&lt;=10,"C","D"))))</f>
        <v/>
      </c>
      <c r="H1676" s="28"/>
      <c r="I1676" s="27"/>
      <c r="J1676" s="26"/>
      <c r="K1676" s="27"/>
      <c r="L1676" s="27"/>
      <c r="M1676" s="27"/>
      <c r="N1676" s="27"/>
      <c r="O1676" s="31" t="str">
        <f aca="false">IF(G1676="","",VLOOKUP(G1676,Setup!$A$14:$C$17,3,0))</f>
        <v/>
      </c>
      <c r="P1676" s="27"/>
      <c r="Q1676" s="33" t="str">
        <f aca="false">IF(OR(P1676="",M1676&lt;&gt;"Paid",O1676=""),"",P1676/O1676)</f>
        <v/>
      </c>
      <c r="R1676" s="34" t="str">
        <f aca="false">IF(Q1676="","",Q1676+N(H1676)*0.000000001)</f>
        <v/>
      </c>
      <c r="S1676" s="32" t="str">
        <f aca="false">IF(R1676="","",SUMPRODUCT((I$5:I$4004=I1676)*ISNUMBER(R$5:R$4004)*(R$5:R$4004&gt;R1676))+1)</f>
        <v/>
      </c>
      <c r="T1676" s="32" t="str">
        <f aca="false">IF(S1676="","",IF(S1676&lt;=Setup!$B$5,"🏆 WINNER",""))</f>
        <v/>
      </c>
      <c r="U1676" s="31" t="str">
        <f aca="false">IF(S1676="","",I1676&amp;"|"&amp;S1676)</f>
        <v/>
      </c>
    </row>
    <row r="1677" customFormat="false" ht="15" hidden="false" customHeight="false" outlineLevel="0" collapsed="false">
      <c r="A1677" s="24" t="n">
        <v>1673</v>
      </c>
      <c r="B1677" s="25" t="str">
        <f aca="false">IF(OR(C1677="",I1677="",G1677=""),"",IFERROR(VLOOKUP(I1677,Setup!$A$9:$B$11,2,0),"???")&amp;"-"&amp;G1677&amp;"-"&amp;TEXT(COUNTIFS(I$5:I1677,I1677,G$5:G1677,G1677),"0000"))</f>
        <v/>
      </c>
      <c r="C1677" s="26"/>
      <c r="D1677" s="26"/>
      <c r="E1677" s="27"/>
      <c r="F1677" s="27"/>
      <c r="G1677" s="24" t="str">
        <f aca="false">IF(F1677="","",IF(F1677&lt;=5,"A",IF(F1677&lt;=8,"B",IF(F1677&lt;=10,"C","D"))))</f>
        <v/>
      </c>
      <c r="H1677" s="28"/>
      <c r="I1677" s="27"/>
      <c r="J1677" s="26"/>
      <c r="K1677" s="27"/>
      <c r="L1677" s="27"/>
      <c r="M1677" s="27"/>
      <c r="N1677" s="27"/>
      <c r="O1677" s="24" t="str">
        <f aca="false">IF(G1677="","",VLOOKUP(G1677,Setup!$A$14:$C$17,3,0))</f>
        <v/>
      </c>
      <c r="P1677" s="27"/>
      <c r="Q1677" s="29" t="str">
        <f aca="false">IF(OR(P1677="",M1677&lt;&gt;"Paid",O1677=""),"",P1677/O1677)</f>
        <v/>
      </c>
      <c r="R1677" s="30" t="str">
        <f aca="false">IF(Q1677="","",Q1677+N(H1677)*0.000000001)</f>
        <v/>
      </c>
      <c r="S1677" s="25" t="str">
        <f aca="false">IF(R1677="","",SUMPRODUCT((I$5:I$4004=I1677)*ISNUMBER(R$5:R$4004)*(R$5:R$4004&gt;R1677))+1)</f>
        <v/>
      </c>
      <c r="T1677" s="25" t="str">
        <f aca="false">IF(S1677="","",IF(S1677&lt;=Setup!$B$5,"🏆 WINNER",""))</f>
        <v/>
      </c>
      <c r="U1677" s="24" t="str">
        <f aca="false">IF(S1677="","",I1677&amp;"|"&amp;S1677)</f>
        <v/>
      </c>
    </row>
    <row r="1678" customFormat="false" ht="15" hidden="false" customHeight="false" outlineLevel="0" collapsed="false">
      <c r="A1678" s="31" t="n">
        <v>1674</v>
      </c>
      <c r="B1678" s="32" t="str">
        <f aca="false">IF(OR(C1678="",I1678="",G1678=""),"",IFERROR(VLOOKUP(I1678,Setup!$A$9:$B$11,2,0),"???")&amp;"-"&amp;G1678&amp;"-"&amp;TEXT(COUNTIFS(I$5:I1678,I1678,G$5:G1678,G1678),"0000"))</f>
        <v/>
      </c>
      <c r="C1678" s="26"/>
      <c r="D1678" s="26"/>
      <c r="E1678" s="27"/>
      <c r="F1678" s="27"/>
      <c r="G1678" s="31" t="str">
        <f aca="false">IF(F1678="","",IF(F1678&lt;=5,"A",IF(F1678&lt;=8,"B",IF(F1678&lt;=10,"C","D"))))</f>
        <v/>
      </c>
      <c r="H1678" s="28"/>
      <c r="I1678" s="27"/>
      <c r="J1678" s="26"/>
      <c r="K1678" s="27"/>
      <c r="L1678" s="27"/>
      <c r="M1678" s="27"/>
      <c r="N1678" s="27"/>
      <c r="O1678" s="31" t="str">
        <f aca="false">IF(G1678="","",VLOOKUP(G1678,Setup!$A$14:$C$17,3,0))</f>
        <v/>
      </c>
      <c r="P1678" s="27"/>
      <c r="Q1678" s="33" t="str">
        <f aca="false">IF(OR(P1678="",M1678&lt;&gt;"Paid",O1678=""),"",P1678/O1678)</f>
        <v/>
      </c>
      <c r="R1678" s="34" t="str">
        <f aca="false">IF(Q1678="","",Q1678+N(H1678)*0.000000001)</f>
        <v/>
      </c>
      <c r="S1678" s="32" t="str">
        <f aca="false">IF(R1678="","",SUMPRODUCT((I$5:I$4004=I1678)*ISNUMBER(R$5:R$4004)*(R$5:R$4004&gt;R1678))+1)</f>
        <v/>
      </c>
      <c r="T1678" s="32" t="str">
        <f aca="false">IF(S1678="","",IF(S1678&lt;=Setup!$B$5,"🏆 WINNER",""))</f>
        <v/>
      </c>
      <c r="U1678" s="31" t="str">
        <f aca="false">IF(S1678="","",I1678&amp;"|"&amp;S1678)</f>
        <v/>
      </c>
    </row>
    <row r="1679" customFormat="false" ht="15" hidden="false" customHeight="false" outlineLevel="0" collapsed="false">
      <c r="A1679" s="24" t="n">
        <v>1675</v>
      </c>
      <c r="B1679" s="25" t="str">
        <f aca="false">IF(OR(C1679="",I1679="",G1679=""),"",IFERROR(VLOOKUP(I1679,Setup!$A$9:$B$11,2,0),"???")&amp;"-"&amp;G1679&amp;"-"&amp;TEXT(COUNTIFS(I$5:I1679,I1679,G$5:G1679,G1679),"0000"))</f>
        <v/>
      </c>
      <c r="C1679" s="26"/>
      <c r="D1679" s="26"/>
      <c r="E1679" s="27"/>
      <c r="F1679" s="27"/>
      <c r="G1679" s="24" t="str">
        <f aca="false">IF(F1679="","",IF(F1679&lt;=5,"A",IF(F1679&lt;=8,"B",IF(F1679&lt;=10,"C","D"))))</f>
        <v/>
      </c>
      <c r="H1679" s="28"/>
      <c r="I1679" s="27"/>
      <c r="J1679" s="26"/>
      <c r="K1679" s="27"/>
      <c r="L1679" s="27"/>
      <c r="M1679" s="27"/>
      <c r="N1679" s="27"/>
      <c r="O1679" s="24" t="str">
        <f aca="false">IF(G1679="","",VLOOKUP(G1679,Setup!$A$14:$C$17,3,0))</f>
        <v/>
      </c>
      <c r="P1679" s="27"/>
      <c r="Q1679" s="29" t="str">
        <f aca="false">IF(OR(P1679="",M1679&lt;&gt;"Paid",O1679=""),"",P1679/O1679)</f>
        <v/>
      </c>
      <c r="R1679" s="30" t="str">
        <f aca="false">IF(Q1679="","",Q1679+N(H1679)*0.000000001)</f>
        <v/>
      </c>
      <c r="S1679" s="25" t="str">
        <f aca="false">IF(R1679="","",SUMPRODUCT((I$5:I$4004=I1679)*ISNUMBER(R$5:R$4004)*(R$5:R$4004&gt;R1679))+1)</f>
        <v/>
      </c>
      <c r="T1679" s="25" t="str">
        <f aca="false">IF(S1679="","",IF(S1679&lt;=Setup!$B$5,"🏆 WINNER",""))</f>
        <v/>
      </c>
      <c r="U1679" s="24" t="str">
        <f aca="false">IF(S1679="","",I1679&amp;"|"&amp;S1679)</f>
        <v/>
      </c>
    </row>
    <row r="1680" customFormat="false" ht="15" hidden="false" customHeight="false" outlineLevel="0" collapsed="false">
      <c r="A1680" s="31" t="n">
        <v>1676</v>
      </c>
      <c r="B1680" s="32" t="str">
        <f aca="false">IF(OR(C1680="",I1680="",G1680=""),"",IFERROR(VLOOKUP(I1680,Setup!$A$9:$B$11,2,0),"???")&amp;"-"&amp;G1680&amp;"-"&amp;TEXT(COUNTIFS(I$5:I1680,I1680,G$5:G1680,G1680),"0000"))</f>
        <v/>
      </c>
      <c r="C1680" s="26"/>
      <c r="D1680" s="26"/>
      <c r="E1680" s="27"/>
      <c r="F1680" s="27"/>
      <c r="G1680" s="31" t="str">
        <f aca="false">IF(F1680="","",IF(F1680&lt;=5,"A",IF(F1680&lt;=8,"B",IF(F1680&lt;=10,"C","D"))))</f>
        <v/>
      </c>
      <c r="H1680" s="28"/>
      <c r="I1680" s="27"/>
      <c r="J1680" s="26"/>
      <c r="K1680" s="27"/>
      <c r="L1680" s="27"/>
      <c r="M1680" s="27"/>
      <c r="N1680" s="27"/>
      <c r="O1680" s="31" t="str">
        <f aca="false">IF(G1680="","",VLOOKUP(G1680,Setup!$A$14:$C$17,3,0))</f>
        <v/>
      </c>
      <c r="P1680" s="27"/>
      <c r="Q1680" s="33" t="str">
        <f aca="false">IF(OR(P1680="",M1680&lt;&gt;"Paid",O1680=""),"",P1680/O1680)</f>
        <v/>
      </c>
      <c r="R1680" s="34" t="str">
        <f aca="false">IF(Q1680="","",Q1680+N(H1680)*0.000000001)</f>
        <v/>
      </c>
      <c r="S1680" s="32" t="str">
        <f aca="false">IF(R1680="","",SUMPRODUCT((I$5:I$4004=I1680)*ISNUMBER(R$5:R$4004)*(R$5:R$4004&gt;R1680))+1)</f>
        <v/>
      </c>
      <c r="T1680" s="32" t="str">
        <f aca="false">IF(S1680="","",IF(S1680&lt;=Setup!$B$5,"🏆 WINNER",""))</f>
        <v/>
      </c>
      <c r="U1680" s="31" t="str">
        <f aca="false">IF(S1680="","",I1680&amp;"|"&amp;S1680)</f>
        <v/>
      </c>
    </row>
    <row r="1681" customFormat="false" ht="15" hidden="false" customHeight="false" outlineLevel="0" collapsed="false">
      <c r="A1681" s="24" t="n">
        <v>1677</v>
      </c>
      <c r="B1681" s="25" t="str">
        <f aca="false">IF(OR(C1681="",I1681="",G1681=""),"",IFERROR(VLOOKUP(I1681,Setup!$A$9:$B$11,2,0),"???")&amp;"-"&amp;G1681&amp;"-"&amp;TEXT(COUNTIFS(I$5:I1681,I1681,G$5:G1681,G1681),"0000"))</f>
        <v/>
      </c>
      <c r="C1681" s="26"/>
      <c r="D1681" s="26"/>
      <c r="E1681" s="27"/>
      <c r="F1681" s="27"/>
      <c r="G1681" s="24" t="str">
        <f aca="false">IF(F1681="","",IF(F1681&lt;=5,"A",IF(F1681&lt;=8,"B",IF(F1681&lt;=10,"C","D"))))</f>
        <v/>
      </c>
      <c r="H1681" s="28"/>
      <c r="I1681" s="27"/>
      <c r="J1681" s="26"/>
      <c r="K1681" s="27"/>
      <c r="L1681" s="27"/>
      <c r="M1681" s="27"/>
      <c r="N1681" s="27"/>
      <c r="O1681" s="24" t="str">
        <f aca="false">IF(G1681="","",VLOOKUP(G1681,Setup!$A$14:$C$17,3,0))</f>
        <v/>
      </c>
      <c r="P1681" s="27"/>
      <c r="Q1681" s="29" t="str">
        <f aca="false">IF(OR(P1681="",M1681&lt;&gt;"Paid",O1681=""),"",P1681/O1681)</f>
        <v/>
      </c>
      <c r="R1681" s="30" t="str">
        <f aca="false">IF(Q1681="","",Q1681+N(H1681)*0.000000001)</f>
        <v/>
      </c>
      <c r="S1681" s="25" t="str">
        <f aca="false">IF(R1681="","",SUMPRODUCT((I$5:I$4004=I1681)*ISNUMBER(R$5:R$4004)*(R$5:R$4004&gt;R1681))+1)</f>
        <v/>
      </c>
      <c r="T1681" s="25" t="str">
        <f aca="false">IF(S1681="","",IF(S1681&lt;=Setup!$B$5,"🏆 WINNER",""))</f>
        <v/>
      </c>
      <c r="U1681" s="24" t="str">
        <f aca="false">IF(S1681="","",I1681&amp;"|"&amp;S1681)</f>
        <v/>
      </c>
    </row>
    <row r="1682" customFormat="false" ht="15" hidden="false" customHeight="false" outlineLevel="0" collapsed="false">
      <c r="A1682" s="31" t="n">
        <v>1678</v>
      </c>
      <c r="B1682" s="32" t="str">
        <f aca="false">IF(OR(C1682="",I1682="",G1682=""),"",IFERROR(VLOOKUP(I1682,Setup!$A$9:$B$11,2,0),"???")&amp;"-"&amp;G1682&amp;"-"&amp;TEXT(COUNTIFS(I$5:I1682,I1682,G$5:G1682,G1682),"0000"))</f>
        <v/>
      </c>
      <c r="C1682" s="26"/>
      <c r="D1682" s="26"/>
      <c r="E1682" s="27"/>
      <c r="F1682" s="27"/>
      <c r="G1682" s="31" t="str">
        <f aca="false">IF(F1682="","",IF(F1682&lt;=5,"A",IF(F1682&lt;=8,"B",IF(F1682&lt;=10,"C","D"))))</f>
        <v/>
      </c>
      <c r="H1682" s="28"/>
      <c r="I1682" s="27"/>
      <c r="J1682" s="26"/>
      <c r="K1682" s="27"/>
      <c r="L1682" s="27"/>
      <c r="M1682" s="27"/>
      <c r="N1682" s="27"/>
      <c r="O1682" s="31" t="str">
        <f aca="false">IF(G1682="","",VLOOKUP(G1682,Setup!$A$14:$C$17,3,0))</f>
        <v/>
      </c>
      <c r="P1682" s="27"/>
      <c r="Q1682" s="33" t="str">
        <f aca="false">IF(OR(P1682="",M1682&lt;&gt;"Paid",O1682=""),"",P1682/O1682)</f>
        <v/>
      </c>
      <c r="R1682" s="34" t="str">
        <f aca="false">IF(Q1682="","",Q1682+N(H1682)*0.000000001)</f>
        <v/>
      </c>
      <c r="S1682" s="32" t="str">
        <f aca="false">IF(R1682="","",SUMPRODUCT((I$5:I$4004=I1682)*ISNUMBER(R$5:R$4004)*(R$5:R$4004&gt;R1682))+1)</f>
        <v/>
      </c>
      <c r="T1682" s="32" t="str">
        <f aca="false">IF(S1682="","",IF(S1682&lt;=Setup!$B$5,"🏆 WINNER",""))</f>
        <v/>
      </c>
      <c r="U1682" s="31" t="str">
        <f aca="false">IF(S1682="","",I1682&amp;"|"&amp;S1682)</f>
        <v/>
      </c>
    </row>
    <row r="1683" customFormat="false" ht="15" hidden="false" customHeight="false" outlineLevel="0" collapsed="false">
      <c r="A1683" s="24" t="n">
        <v>1679</v>
      </c>
      <c r="B1683" s="25" t="str">
        <f aca="false">IF(OR(C1683="",I1683="",G1683=""),"",IFERROR(VLOOKUP(I1683,Setup!$A$9:$B$11,2,0),"???")&amp;"-"&amp;G1683&amp;"-"&amp;TEXT(COUNTIFS(I$5:I1683,I1683,G$5:G1683,G1683),"0000"))</f>
        <v/>
      </c>
      <c r="C1683" s="26"/>
      <c r="D1683" s="26"/>
      <c r="E1683" s="27"/>
      <c r="F1683" s="27"/>
      <c r="G1683" s="24" t="str">
        <f aca="false">IF(F1683="","",IF(F1683&lt;=5,"A",IF(F1683&lt;=8,"B",IF(F1683&lt;=10,"C","D"))))</f>
        <v/>
      </c>
      <c r="H1683" s="28"/>
      <c r="I1683" s="27"/>
      <c r="J1683" s="26"/>
      <c r="K1683" s="27"/>
      <c r="L1683" s="27"/>
      <c r="M1683" s="27"/>
      <c r="N1683" s="27"/>
      <c r="O1683" s="24" t="str">
        <f aca="false">IF(G1683="","",VLOOKUP(G1683,Setup!$A$14:$C$17,3,0))</f>
        <v/>
      </c>
      <c r="P1683" s="27"/>
      <c r="Q1683" s="29" t="str">
        <f aca="false">IF(OR(P1683="",M1683&lt;&gt;"Paid",O1683=""),"",P1683/O1683)</f>
        <v/>
      </c>
      <c r="R1683" s="30" t="str">
        <f aca="false">IF(Q1683="","",Q1683+N(H1683)*0.000000001)</f>
        <v/>
      </c>
      <c r="S1683" s="25" t="str">
        <f aca="false">IF(R1683="","",SUMPRODUCT((I$5:I$4004=I1683)*ISNUMBER(R$5:R$4004)*(R$5:R$4004&gt;R1683))+1)</f>
        <v/>
      </c>
      <c r="T1683" s="25" t="str">
        <f aca="false">IF(S1683="","",IF(S1683&lt;=Setup!$B$5,"🏆 WINNER",""))</f>
        <v/>
      </c>
      <c r="U1683" s="24" t="str">
        <f aca="false">IF(S1683="","",I1683&amp;"|"&amp;S1683)</f>
        <v/>
      </c>
    </row>
    <row r="1684" customFormat="false" ht="15" hidden="false" customHeight="false" outlineLevel="0" collapsed="false">
      <c r="A1684" s="31" t="n">
        <v>1680</v>
      </c>
      <c r="B1684" s="32" t="str">
        <f aca="false">IF(OR(C1684="",I1684="",G1684=""),"",IFERROR(VLOOKUP(I1684,Setup!$A$9:$B$11,2,0),"???")&amp;"-"&amp;G1684&amp;"-"&amp;TEXT(COUNTIFS(I$5:I1684,I1684,G$5:G1684,G1684),"0000"))</f>
        <v/>
      </c>
      <c r="C1684" s="26"/>
      <c r="D1684" s="26"/>
      <c r="E1684" s="27"/>
      <c r="F1684" s="27"/>
      <c r="G1684" s="31" t="str">
        <f aca="false">IF(F1684="","",IF(F1684&lt;=5,"A",IF(F1684&lt;=8,"B",IF(F1684&lt;=10,"C","D"))))</f>
        <v/>
      </c>
      <c r="H1684" s="28"/>
      <c r="I1684" s="27"/>
      <c r="J1684" s="26"/>
      <c r="K1684" s="27"/>
      <c r="L1684" s="27"/>
      <c r="M1684" s="27"/>
      <c r="N1684" s="27"/>
      <c r="O1684" s="31" t="str">
        <f aca="false">IF(G1684="","",VLOOKUP(G1684,Setup!$A$14:$C$17,3,0))</f>
        <v/>
      </c>
      <c r="P1684" s="27"/>
      <c r="Q1684" s="33" t="str">
        <f aca="false">IF(OR(P1684="",M1684&lt;&gt;"Paid",O1684=""),"",P1684/O1684)</f>
        <v/>
      </c>
      <c r="R1684" s="34" t="str">
        <f aca="false">IF(Q1684="","",Q1684+N(H1684)*0.000000001)</f>
        <v/>
      </c>
      <c r="S1684" s="32" t="str">
        <f aca="false">IF(R1684="","",SUMPRODUCT((I$5:I$4004=I1684)*ISNUMBER(R$5:R$4004)*(R$5:R$4004&gt;R1684))+1)</f>
        <v/>
      </c>
      <c r="T1684" s="32" t="str">
        <f aca="false">IF(S1684="","",IF(S1684&lt;=Setup!$B$5,"🏆 WINNER",""))</f>
        <v/>
      </c>
      <c r="U1684" s="31" t="str">
        <f aca="false">IF(S1684="","",I1684&amp;"|"&amp;S1684)</f>
        <v/>
      </c>
    </row>
    <row r="1685" customFormat="false" ht="15" hidden="false" customHeight="false" outlineLevel="0" collapsed="false">
      <c r="A1685" s="24" t="n">
        <v>1681</v>
      </c>
      <c r="B1685" s="25" t="str">
        <f aca="false">IF(OR(C1685="",I1685="",G1685=""),"",IFERROR(VLOOKUP(I1685,Setup!$A$9:$B$11,2,0),"???")&amp;"-"&amp;G1685&amp;"-"&amp;TEXT(COUNTIFS(I$5:I1685,I1685,G$5:G1685,G1685),"0000"))</f>
        <v/>
      </c>
      <c r="C1685" s="26"/>
      <c r="D1685" s="26"/>
      <c r="E1685" s="27"/>
      <c r="F1685" s="27"/>
      <c r="G1685" s="24" t="str">
        <f aca="false">IF(F1685="","",IF(F1685&lt;=5,"A",IF(F1685&lt;=8,"B",IF(F1685&lt;=10,"C","D"))))</f>
        <v/>
      </c>
      <c r="H1685" s="28"/>
      <c r="I1685" s="27"/>
      <c r="J1685" s="26"/>
      <c r="K1685" s="27"/>
      <c r="L1685" s="27"/>
      <c r="M1685" s="27"/>
      <c r="N1685" s="27"/>
      <c r="O1685" s="24" t="str">
        <f aca="false">IF(G1685="","",VLOOKUP(G1685,Setup!$A$14:$C$17,3,0))</f>
        <v/>
      </c>
      <c r="P1685" s="27"/>
      <c r="Q1685" s="29" t="str">
        <f aca="false">IF(OR(P1685="",M1685&lt;&gt;"Paid",O1685=""),"",P1685/O1685)</f>
        <v/>
      </c>
      <c r="R1685" s="30" t="str">
        <f aca="false">IF(Q1685="","",Q1685+N(H1685)*0.000000001)</f>
        <v/>
      </c>
      <c r="S1685" s="25" t="str">
        <f aca="false">IF(R1685="","",SUMPRODUCT((I$5:I$4004=I1685)*ISNUMBER(R$5:R$4004)*(R$5:R$4004&gt;R1685))+1)</f>
        <v/>
      </c>
      <c r="T1685" s="25" t="str">
        <f aca="false">IF(S1685="","",IF(S1685&lt;=Setup!$B$5,"🏆 WINNER",""))</f>
        <v/>
      </c>
      <c r="U1685" s="24" t="str">
        <f aca="false">IF(S1685="","",I1685&amp;"|"&amp;S1685)</f>
        <v/>
      </c>
    </row>
    <row r="1686" customFormat="false" ht="15" hidden="false" customHeight="false" outlineLevel="0" collapsed="false">
      <c r="A1686" s="31" t="n">
        <v>1682</v>
      </c>
      <c r="B1686" s="32" t="str">
        <f aca="false">IF(OR(C1686="",I1686="",G1686=""),"",IFERROR(VLOOKUP(I1686,Setup!$A$9:$B$11,2,0),"???")&amp;"-"&amp;G1686&amp;"-"&amp;TEXT(COUNTIFS(I$5:I1686,I1686,G$5:G1686,G1686),"0000"))</f>
        <v/>
      </c>
      <c r="C1686" s="26"/>
      <c r="D1686" s="26"/>
      <c r="E1686" s="27"/>
      <c r="F1686" s="27"/>
      <c r="G1686" s="31" t="str">
        <f aca="false">IF(F1686="","",IF(F1686&lt;=5,"A",IF(F1686&lt;=8,"B",IF(F1686&lt;=10,"C","D"))))</f>
        <v/>
      </c>
      <c r="H1686" s="28"/>
      <c r="I1686" s="27"/>
      <c r="J1686" s="26"/>
      <c r="K1686" s="27"/>
      <c r="L1686" s="27"/>
      <c r="M1686" s="27"/>
      <c r="N1686" s="27"/>
      <c r="O1686" s="31" t="str">
        <f aca="false">IF(G1686="","",VLOOKUP(G1686,Setup!$A$14:$C$17,3,0))</f>
        <v/>
      </c>
      <c r="P1686" s="27"/>
      <c r="Q1686" s="33" t="str">
        <f aca="false">IF(OR(P1686="",M1686&lt;&gt;"Paid",O1686=""),"",P1686/O1686)</f>
        <v/>
      </c>
      <c r="R1686" s="34" t="str">
        <f aca="false">IF(Q1686="","",Q1686+N(H1686)*0.000000001)</f>
        <v/>
      </c>
      <c r="S1686" s="32" t="str">
        <f aca="false">IF(R1686="","",SUMPRODUCT((I$5:I$4004=I1686)*ISNUMBER(R$5:R$4004)*(R$5:R$4004&gt;R1686))+1)</f>
        <v/>
      </c>
      <c r="T1686" s="32" t="str">
        <f aca="false">IF(S1686="","",IF(S1686&lt;=Setup!$B$5,"🏆 WINNER",""))</f>
        <v/>
      </c>
      <c r="U1686" s="31" t="str">
        <f aca="false">IF(S1686="","",I1686&amp;"|"&amp;S1686)</f>
        <v/>
      </c>
    </row>
    <row r="1687" customFormat="false" ht="15" hidden="false" customHeight="false" outlineLevel="0" collapsed="false">
      <c r="A1687" s="24" t="n">
        <v>1683</v>
      </c>
      <c r="B1687" s="25" t="str">
        <f aca="false">IF(OR(C1687="",I1687="",G1687=""),"",IFERROR(VLOOKUP(I1687,Setup!$A$9:$B$11,2,0),"???")&amp;"-"&amp;G1687&amp;"-"&amp;TEXT(COUNTIFS(I$5:I1687,I1687,G$5:G1687,G1687),"0000"))</f>
        <v/>
      </c>
      <c r="C1687" s="26"/>
      <c r="D1687" s="26"/>
      <c r="E1687" s="27"/>
      <c r="F1687" s="27"/>
      <c r="G1687" s="24" t="str">
        <f aca="false">IF(F1687="","",IF(F1687&lt;=5,"A",IF(F1687&lt;=8,"B",IF(F1687&lt;=10,"C","D"))))</f>
        <v/>
      </c>
      <c r="H1687" s="28"/>
      <c r="I1687" s="27"/>
      <c r="J1687" s="26"/>
      <c r="K1687" s="27"/>
      <c r="L1687" s="27"/>
      <c r="M1687" s="27"/>
      <c r="N1687" s="27"/>
      <c r="O1687" s="24" t="str">
        <f aca="false">IF(G1687="","",VLOOKUP(G1687,Setup!$A$14:$C$17,3,0))</f>
        <v/>
      </c>
      <c r="P1687" s="27"/>
      <c r="Q1687" s="29" t="str">
        <f aca="false">IF(OR(P1687="",M1687&lt;&gt;"Paid",O1687=""),"",P1687/O1687)</f>
        <v/>
      </c>
      <c r="R1687" s="30" t="str">
        <f aca="false">IF(Q1687="","",Q1687+N(H1687)*0.000000001)</f>
        <v/>
      </c>
      <c r="S1687" s="25" t="str">
        <f aca="false">IF(R1687="","",SUMPRODUCT((I$5:I$4004=I1687)*ISNUMBER(R$5:R$4004)*(R$5:R$4004&gt;R1687))+1)</f>
        <v/>
      </c>
      <c r="T1687" s="25" t="str">
        <f aca="false">IF(S1687="","",IF(S1687&lt;=Setup!$B$5,"🏆 WINNER",""))</f>
        <v/>
      </c>
      <c r="U1687" s="24" t="str">
        <f aca="false">IF(S1687="","",I1687&amp;"|"&amp;S1687)</f>
        <v/>
      </c>
    </row>
    <row r="1688" customFormat="false" ht="15" hidden="false" customHeight="false" outlineLevel="0" collapsed="false">
      <c r="A1688" s="31" t="n">
        <v>1684</v>
      </c>
      <c r="B1688" s="32" t="str">
        <f aca="false">IF(OR(C1688="",I1688="",G1688=""),"",IFERROR(VLOOKUP(I1688,Setup!$A$9:$B$11,2,0),"???")&amp;"-"&amp;G1688&amp;"-"&amp;TEXT(COUNTIFS(I$5:I1688,I1688,G$5:G1688,G1688),"0000"))</f>
        <v/>
      </c>
      <c r="C1688" s="26"/>
      <c r="D1688" s="26"/>
      <c r="E1688" s="27"/>
      <c r="F1688" s="27"/>
      <c r="G1688" s="31" t="str">
        <f aca="false">IF(F1688="","",IF(F1688&lt;=5,"A",IF(F1688&lt;=8,"B",IF(F1688&lt;=10,"C","D"))))</f>
        <v/>
      </c>
      <c r="H1688" s="28"/>
      <c r="I1688" s="27"/>
      <c r="J1688" s="26"/>
      <c r="K1688" s="27"/>
      <c r="L1688" s="27"/>
      <c r="M1688" s="27"/>
      <c r="N1688" s="27"/>
      <c r="O1688" s="31" t="str">
        <f aca="false">IF(G1688="","",VLOOKUP(G1688,Setup!$A$14:$C$17,3,0))</f>
        <v/>
      </c>
      <c r="P1688" s="27"/>
      <c r="Q1688" s="33" t="str">
        <f aca="false">IF(OR(P1688="",M1688&lt;&gt;"Paid",O1688=""),"",P1688/O1688)</f>
        <v/>
      </c>
      <c r="R1688" s="34" t="str">
        <f aca="false">IF(Q1688="","",Q1688+N(H1688)*0.000000001)</f>
        <v/>
      </c>
      <c r="S1688" s="32" t="str">
        <f aca="false">IF(R1688="","",SUMPRODUCT((I$5:I$4004=I1688)*ISNUMBER(R$5:R$4004)*(R$5:R$4004&gt;R1688))+1)</f>
        <v/>
      </c>
      <c r="T1688" s="32" t="str">
        <f aca="false">IF(S1688="","",IF(S1688&lt;=Setup!$B$5,"🏆 WINNER",""))</f>
        <v/>
      </c>
      <c r="U1688" s="31" t="str">
        <f aca="false">IF(S1688="","",I1688&amp;"|"&amp;S1688)</f>
        <v/>
      </c>
    </row>
    <row r="1689" customFormat="false" ht="15" hidden="false" customHeight="false" outlineLevel="0" collapsed="false">
      <c r="A1689" s="24" t="n">
        <v>1685</v>
      </c>
      <c r="B1689" s="25" t="str">
        <f aca="false">IF(OR(C1689="",I1689="",G1689=""),"",IFERROR(VLOOKUP(I1689,Setup!$A$9:$B$11,2,0),"???")&amp;"-"&amp;G1689&amp;"-"&amp;TEXT(COUNTIFS(I$5:I1689,I1689,G$5:G1689,G1689),"0000"))</f>
        <v/>
      </c>
      <c r="C1689" s="26"/>
      <c r="D1689" s="26"/>
      <c r="E1689" s="27"/>
      <c r="F1689" s="27"/>
      <c r="G1689" s="24" t="str">
        <f aca="false">IF(F1689="","",IF(F1689&lt;=5,"A",IF(F1689&lt;=8,"B",IF(F1689&lt;=10,"C","D"))))</f>
        <v/>
      </c>
      <c r="H1689" s="28"/>
      <c r="I1689" s="27"/>
      <c r="J1689" s="26"/>
      <c r="K1689" s="27"/>
      <c r="L1689" s="27"/>
      <c r="M1689" s="27"/>
      <c r="N1689" s="27"/>
      <c r="O1689" s="24" t="str">
        <f aca="false">IF(G1689="","",VLOOKUP(G1689,Setup!$A$14:$C$17,3,0))</f>
        <v/>
      </c>
      <c r="P1689" s="27"/>
      <c r="Q1689" s="29" t="str">
        <f aca="false">IF(OR(P1689="",M1689&lt;&gt;"Paid",O1689=""),"",P1689/O1689)</f>
        <v/>
      </c>
      <c r="R1689" s="30" t="str">
        <f aca="false">IF(Q1689="","",Q1689+N(H1689)*0.000000001)</f>
        <v/>
      </c>
      <c r="S1689" s="25" t="str">
        <f aca="false">IF(R1689="","",SUMPRODUCT((I$5:I$4004=I1689)*ISNUMBER(R$5:R$4004)*(R$5:R$4004&gt;R1689))+1)</f>
        <v/>
      </c>
      <c r="T1689" s="25" t="str">
        <f aca="false">IF(S1689="","",IF(S1689&lt;=Setup!$B$5,"🏆 WINNER",""))</f>
        <v/>
      </c>
      <c r="U1689" s="24" t="str">
        <f aca="false">IF(S1689="","",I1689&amp;"|"&amp;S1689)</f>
        <v/>
      </c>
    </row>
    <row r="1690" customFormat="false" ht="15" hidden="false" customHeight="false" outlineLevel="0" collapsed="false">
      <c r="A1690" s="31" t="n">
        <v>1686</v>
      </c>
      <c r="B1690" s="32" t="str">
        <f aca="false">IF(OR(C1690="",I1690="",G1690=""),"",IFERROR(VLOOKUP(I1690,Setup!$A$9:$B$11,2,0),"???")&amp;"-"&amp;G1690&amp;"-"&amp;TEXT(COUNTIFS(I$5:I1690,I1690,G$5:G1690,G1690),"0000"))</f>
        <v/>
      </c>
      <c r="C1690" s="26"/>
      <c r="D1690" s="26"/>
      <c r="E1690" s="27"/>
      <c r="F1690" s="27"/>
      <c r="G1690" s="31" t="str">
        <f aca="false">IF(F1690="","",IF(F1690&lt;=5,"A",IF(F1690&lt;=8,"B",IF(F1690&lt;=10,"C","D"))))</f>
        <v/>
      </c>
      <c r="H1690" s="28"/>
      <c r="I1690" s="27"/>
      <c r="J1690" s="26"/>
      <c r="K1690" s="27"/>
      <c r="L1690" s="27"/>
      <c r="M1690" s="27"/>
      <c r="N1690" s="27"/>
      <c r="O1690" s="31" t="str">
        <f aca="false">IF(G1690="","",VLOOKUP(G1690,Setup!$A$14:$C$17,3,0))</f>
        <v/>
      </c>
      <c r="P1690" s="27"/>
      <c r="Q1690" s="33" t="str">
        <f aca="false">IF(OR(P1690="",M1690&lt;&gt;"Paid",O1690=""),"",P1690/O1690)</f>
        <v/>
      </c>
      <c r="R1690" s="34" t="str">
        <f aca="false">IF(Q1690="","",Q1690+N(H1690)*0.000000001)</f>
        <v/>
      </c>
      <c r="S1690" s="32" t="str">
        <f aca="false">IF(R1690="","",SUMPRODUCT((I$5:I$4004=I1690)*ISNUMBER(R$5:R$4004)*(R$5:R$4004&gt;R1690))+1)</f>
        <v/>
      </c>
      <c r="T1690" s="32" t="str">
        <f aca="false">IF(S1690="","",IF(S1690&lt;=Setup!$B$5,"🏆 WINNER",""))</f>
        <v/>
      </c>
      <c r="U1690" s="31" t="str">
        <f aca="false">IF(S1690="","",I1690&amp;"|"&amp;S1690)</f>
        <v/>
      </c>
    </row>
    <row r="1691" customFormat="false" ht="15" hidden="false" customHeight="false" outlineLevel="0" collapsed="false">
      <c r="A1691" s="24" t="n">
        <v>1687</v>
      </c>
      <c r="B1691" s="25" t="str">
        <f aca="false">IF(OR(C1691="",I1691="",G1691=""),"",IFERROR(VLOOKUP(I1691,Setup!$A$9:$B$11,2,0),"???")&amp;"-"&amp;G1691&amp;"-"&amp;TEXT(COUNTIFS(I$5:I1691,I1691,G$5:G1691,G1691),"0000"))</f>
        <v/>
      </c>
      <c r="C1691" s="26"/>
      <c r="D1691" s="26"/>
      <c r="E1691" s="27"/>
      <c r="F1691" s="27"/>
      <c r="G1691" s="24" t="str">
        <f aca="false">IF(F1691="","",IF(F1691&lt;=5,"A",IF(F1691&lt;=8,"B",IF(F1691&lt;=10,"C","D"))))</f>
        <v/>
      </c>
      <c r="H1691" s="28"/>
      <c r="I1691" s="27"/>
      <c r="J1691" s="26"/>
      <c r="K1691" s="27"/>
      <c r="L1691" s="27"/>
      <c r="M1691" s="27"/>
      <c r="N1691" s="27"/>
      <c r="O1691" s="24" t="str">
        <f aca="false">IF(G1691="","",VLOOKUP(G1691,Setup!$A$14:$C$17,3,0))</f>
        <v/>
      </c>
      <c r="P1691" s="27"/>
      <c r="Q1691" s="29" t="str">
        <f aca="false">IF(OR(P1691="",M1691&lt;&gt;"Paid",O1691=""),"",P1691/O1691)</f>
        <v/>
      </c>
      <c r="R1691" s="30" t="str">
        <f aca="false">IF(Q1691="","",Q1691+N(H1691)*0.000000001)</f>
        <v/>
      </c>
      <c r="S1691" s="25" t="str">
        <f aca="false">IF(R1691="","",SUMPRODUCT((I$5:I$4004=I1691)*ISNUMBER(R$5:R$4004)*(R$5:R$4004&gt;R1691))+1)</f>
        <v/>
      </c>
      <c r="T1691" s="25" t="str">
        <f aca="false">IF(S1691="","",IF(S1691&lt;=Setup!$B$5,"🏆 WINNER",""))</f>
        <v/>
      </c>
      <c r="U1691" s="24" t="str">
        <f aca="false">IF(S1691="","",I1691&amp;"|"&amp;S1691)</f>
        <v/>
      </c>
    </row>
    <row r="1692" customFormat="false" ht="15" hidden="false" customHeight="false" outlineLevel="0" collapsed="false">
      <c r="A1692" s="31" t="n">
        <v>1688</v>
      </c>
      <c r="B1692" s="32" t="str">
        <f aca="false">IF(OR(C1692="",I1692="",G1692=""),"",IFERROR(VLOOKUP(I1692,Setup!$A$9:$B$11,2,0),"???")&amp;"-"&amp;G1692&amp;"-"&amp;TEXT(COUNTIFS(I$5:I1692,I1692,G$5:G1692,G1692),"0000"))</f>
        <v/>
      </c>
      <c r="C1692" s="26"/>
      <c r="D1692" s="26"/>
      <c r="E1692" s="27"/>
      <c r="F1692" s="27"/>
      <c r="G1692" s="31" t="str">
        <f aca="false">IF(F1692="","",IF(F1692&lt;=5,"A",IF(F1692&lt;=8,"B",IF(F1692&lt;=10,"C","D"))))</f>
        <v/>
      </c>
      <c r="H1692" s="28"/>
      <c r="I1692" s="27"/>
      <c r="J1692" s="26"/>
      <c r="K1692" s="27"/>
      <c r="L1692" s="27"/>
      <c r="M1692" s="27"/>
      <c r="N1692" s="27"/>
      <c r="O1692" s="31" t="str">
        <f aca="false">IF(G1692="","",VLOOKUP(G1692,Setup!$A$14:$C$17,3,0))</f>
        <v/>
      </c>
      <c r="P1692" s="27"/>
      <c r="Q1692" s="33" t="str">
        <f aca="false">IF(OR(P1692="",M1692&lt;&gt;"Paid",O1692=""),"",P1692/O1692)</f>
        <v/>
      </c>
      <c r="R1692" s="34" t="str">
        <f aca="false">IF(Q1692="","",Q1692+N(H1692)*0.000000001)</f>
        <v/>
      </c>
      <c r="S1692" s="32" t="str">
        <f aca="false">IF(R1692="","",SUMPRODUCT((I$5:I$4004=I1692)*ISNUMBER(R$5:R$4004)*(R$5:R$4004&gt;R1692))+1)</f>
        <v/>
      </c>
      <c r="T1692" s="32" t="str">
        <f aca="false">IF(S1692="","",IF(S1692&lt;=Setup!$B$5,"🏆 WINNER",""))</f>
        <v/>
      </c>
      <c r="U1692" s="31" t="str">
        <f aca="false">IF(S1692="","",I1692&amp;"|"&amp;S1692)</f>
        <v/>
      </c>
    </row>
    <row r="1693" customFormat="false" ht="15" hidden="false" customHeight="false" outlineLevel="0" collapsed="false">
      <c r="A1693" s="24" t="n">
        <v>1689</v>
      </c>
      <c r="B1693" s="25" t="str">
        <f aca="false">IF(OR(C1693="",I1693="",G1693=""),"",IFERROR(VLOOKUP(I1693,Setup!$A$9:$B$11,2,0),"???")&amp;"-"&amp;G1693&amp;"-"&amp;TEXT(COUNTIFS(I$5:I1693,I1693,G$5:G1693,G1693),"0000"))</f>
        <v/>
      </c>
      <c r="C1693" s="26"/>
      <c r="D1693" s="26"/>
      <c r="E1693" s="27"/>
      <c r="F1693" s="27"/>
      <c r="G1693" s="24" t="str">
        <f aca="false">IF(F1693="","",IF(F1693&lt;=5,"A",IF(F1693&lt;=8,"B",IF(F1693&lt;=10,"C","D"))))</f>
        <v/>
      </c>
      <c r="H1693" s="28"/>
      <c r="I1693" s="27"/>
      <c r="J1693" s="26"/>
      <c r="K1693" s="27"/>
      <c r="L1693" s="27"/>
      <c r="M1693" s="27"/>
      <c r="N1693" s="27"/>
      <c r="O1693" s="24" t="str">
        <f aca="false">IF(G1693="","",VLOOKUP(G1693,Setup!$A$14:$C$17,3,0))</f>
        <v/>
      </c>
      <c r="P1693" s="27"/>
      <c r="Q1693" s="29" t="str">
        <f aca="false">IF(OR(P1693="",M1693&lt;&gt;"Paid",O1693=""),"",P1693/O1693)</f>
        <v/>
      </c>
      <c r="R1693" s="30" t="str">
        <f aca="false">IF(Q1693="","",Q1693+N(H1693)*0.000000001)</f>
        <v/>
      </c>
      <c r="S1693" s="25" t="str">
        <f aca="false">IF(R1693="","",SUMPRODUCT((I$5:I$4004=I1693)*ISNUMBER(R$5:R$4004)*(R$5:R$4004&gt;R1693))+1)</f>
        <v/>
      </c>
      <c r="T1693" s="25" t="str">
        <f aca="false">IF(S1693="","",IF(S1693&lt;=Setup!$B$5,"🏆 WINNER",""))</f>
        <v/>
      </c>
      <c r="U1693" s="24" t="str">
        <f aca="false">IF(S1693="","",I1693&amp;"|"&amp;S1693)</f>
        <v/>
      </c>
    </row>
    <row r="1694" customFormat="false" ht="15" hidden="false" customHeight="false" outlineLevel="0" collapsed="false">
      <c r="A1694" s="31" t="n">
        <v>1690</v>
      </c>
      <c r="B1694" s="32" t="str">
        <f aca="false">IF(OR(C1694="",I1694="",G1694=""),"",IFERROR(VLOOKUP(I1694,Setup!$A$9:$B$11,2,0),"???")&amp;"-"&amp;G1694&amp;"-"&amp;TEXT(COUNTIFS(I$5:I1694,I1694,G$5:G1694,G1694),"0000"))</f>
        <v/>
      </c>
      <c r="C1694" s="26"/>
      <c r="D1694" s="26"/>
      <c r="E1694" s="27"/>
      <c r="F1694" s="27"/>
      <c r="G1694" s="31" t="str">
        <f aca="false">IF(F1694="","",IF(F1694&lt;=5,"A",IF(F1694&lt;=8,"B",IF(F1694&lt;=10,"C","D"))))</f>
        <v/>
      </c>
      <c r="H1694" s="28"/>
      <c r="I1694" s="27"/>
      <c r="J1694" s="26"/>
      <c r="K1694" s="27"/>
      <c r="L1694" s="27"/>
      <c r="M1694" s="27"/>
      <c r="N1694" s="27"/>
      <c r="O1694" s="31" t="str">
        <f aca="false">IF(G1694="","",VLOOKUP(G1694,Setup!$A$14:$C$17,3,0))</f>
        <v/>
      </c>
      <c r="P1694" s="27"/>
      <c r="Q1694" s="33" t="str">
        <f aca="false">IF(OR(P1694="",M1694&lt;&gt;"Paid",O1694=""),"",P1694/O1694)</f>
        <v/>
      </c>
      <c r="R1694" s="34" t="str">
        <f aca="false">IF(Q1694="","",Q1694+N(H1694)*0.000000001)</f>
        <v/>
      </c>
      <c r="S1694" s="32" t="str">
        <f aca="false">IF(R1694="","",SUMPRODUCT((I$5:I$4004=I1694)*ISNUMBER(R$5:R$4004)*(R$5:R$4004&gt;R1694))+1)</f>
        <v/>
      </c>
      <c r="T1694" s="32" t="str">
        <f aca="false">IF(S1694="","",IF(S1694&lt;=Setup!$B$5,"🏆 WINNER",""))</f>
        <v/>
      </c>
      <c r="U1694" s="31" t="str">
        <f aca="false">IF(S1694="","",I1694&amp;"|"&amp;S1694)</f>
        <v/>
      </c>
    </row>
    <row r="1695" customFormat="false" ht="15" hidden="false" customHeight="false" outlineLevel="0" collapsed="false">
      <c r="A1695" s="24" t="n">
        <v>1691</v>
      </c>
      <c r="B1695" s="25" t="str">
        <f aca="false">IF(OR(C1695="",I1695="",G1695=""),"",IFERROR(VLOOKUP(I1695,Setup!$A$9:$B$11,2,0),"???")&amp;"-"&amp;G1695&amp;"-"&amp;TEXT(COUNTIFS(I$5:I1695,I1695,G$5:G1695,G1695),"0000"))</f>
        <v/>
      </c>
      <c r="C1695" s="26"/>
      <c r="D1695" s="26"/>
      <c r="E1695" s="27"/>
      <c r="F1695" s="27"/>
      <c r="G1695" s="24" t="str">
        <f aca="false">IF(F1695="","",IF(F1695&lt;=5,"A",IF(F1695&lt;=8,"B",IF(F1695&lt;=10,"C","D"))))</f>
        <v/>
      </c>
      <c r="H1695" s="28"/>
      <c r="I1695" s="27"/>
      <c r="J1695" s="26"/>
      <c r="K1695" s="27"/>
      <c r="L1695" s="27"/>
      <c r="M1695" s="27"/>
      <c r="N1695" s="27"/>
      <c r="O1695" s="24" t="str">
        <f aca="false">IF(G1695="","",VLOOKUP(G1695,Setup!$A$14:$C$17,3,0))</f>
        <v/>
      </c>
      <c r="P1695" s="27"/>
      <c r="Q1695" s="29" t="str">
        <f aca="false">IF(OR(P1695="",M1695&lt;&gt;"Paid",O1695=""),"",P1695/O1695)</f>
        <v/>
      </c>
      <c r="R1695" s="30" t="str">
        <f aca="false">IF(Q1695="","",Q1695+N(H1695)*0.000000001)</f>
        <v/>
      </c>
      <c r="S1695" s="25" t="str">
        <f aca="false">IF(R1695="","",SUMPRODUCT((I$5:I$4004=I1695)*ISNUMBER(R$5:R$4004)*(R$5:R$4004&gt;R1695))+1)</f>
        <v/>
      </c>
      <c r="T1695" s="25" t="str">
        <f aca="false">IF(S1695="","",IF(S1695&lt;=Setup!$B$5,"🏆 WINNER",""))</f>
        <v/>
      </c>
      <c r="U1695" s="24" t="str">
        <f aca="false">IF(S1695="","",I1695&amp;"|"&amp;S1695)</f>
        <v/>
      </c>
    </row>
    <row r="1696" customFormat="false" ht="15" hidden="false" customHeight="false" outlineLevel="0" collapsed="false">
      <c r="A1696" s="31" t="n">
        <v>1692</v>
      </c>
      <c r="B1696" s="32" t="str">
        <f aca="false">IF(OR(C1696="",I1696="",G1696=""),"",IFERROR(VLOOKUP(I1696,Setup!$A$9:$B$11,2,0),"???")&amp;"-"&amp;G1696&amp;"-"&amp;TEXT(COUNTIFS(I$5:I1696,I1696,G$5:G1696,G1696),"0000"))</f>
        <v/>
      </c>
      <c r="C1696" s="26"/>
      <c r="D1696" s="26"/>
      <c r="E1696" s="27"/>
      <c r="F1696" s="27"/>
      <c r="G1696" s="31" t="str">
        <f aca="false">IF(F1696="","",IF(F1696&lt;=5,"A",IF(F1696&lt;=8,"B",IF(F1696&lt;=10,"C","D"))))</f>
        <v/>
      </c>
      <c r="H1696" s="28"/>
      <c r="I1696" s="27"/>
      <c r="J1696" s="26"/>
      <c r="K1696" s="27"/>
      <c r="L1696" s="27"/>
      <c r="M1696" s="27"/>
      <c r="N1696" s="27"/>
      <c r="O1696" s="31" t="str">
        <f aca="false">IF(G1696="","",VLOOKUP(G1696,Setup!$A$14:$C$17,3,0))</f>
        <v/>
      </c>
      <c r="P1696" s="27"/>
      <c r="Q1696" s="33" t="str">
        <f aca="false">IF(OR(P1696="",M1696&lt;&gt;"Paid",O1696=""),"",P1696/O1696)</f>
        <v/>
      </c>
      <c r="R1696" s="34" t="str">
        <f aca="false">IF(Q1696="","",Q1696+N(H1696)*0.000000001)</f>
        <v/>
      </c>
      <c r="S1696" s="32" t="str">
        <f aca="false">IF(R1696="","",SUMPRODUCT((I$5:I$4004=I1696)*ISNUMBER(R$5:R$4004)*(R$5:R$4004&gt;R1696))+1)</f>
        <v/>
      </c>
      <c r="T1696" s="32" t="str">
        <f aca="false">IF(S1696="","",IF(S1696&lt;=Setup!$B$5,"🏆 WINNER",""))</f>
        <v/>
      </c>
      <c r="U1696" s="31" t="str">
        <f aca="false">IF(S1696="","",I1696&amp;"|"&amp;S1696)</f>
        <v/>
      </c>
    </row>
    <row r="1697" customFormat="false" ht="15" hidden="false" customHeight="false" outlineLevel="0" collapsed="false">
      <c r="A1697" s="24" t="n">
        <v>1693</v>
      </c>
      <c r="B1697" s="25" t="str">
        <f aca="false">IF(OR(C1697="",I1697="",G1697=""),"",IFERROR(VLOOKUP(I1697,Setup!$A$9:$B$11,2,0),"???")&amp;"-"&amp;G1697&amp;"-"&amp;TEXT(COUNTIFS(I$5:I1697,I1697,G$5:G1697,G1697),"0000"))</f>
        <v/>
      </c>
      <c r="C1697" s="26"/>
      <c r="D1697" s="26"/>
      <c r="E1697" s="27"/>
      <c r="F1697" s="27"/>
      <c r="G1697" s="24" t="str">
        <f aca="false">IF(F1697="","",IF(F1697&lt;=5,"A",IF(F1697&lt;=8,"B",IF(F1697&lt;=10,"C","D"))))</f>
        <v/>
      </c>
      <c r="H1697" s="28"/>
      <c r="I1697" s="27"/>
      <c r="J1697" s="26"/>
      <c r="K1697" s="27"/>
      <c r="L1697" s="27"/>
      <c r="M1697" s="27"/>
      <c r="N1697" s="27"/>
      <c r="O1697" s="24" t="str">
        <f aca="false">IF(G1697="","",VLOOKUP(G1697,Setup!$A$14:$C$17,3,0))</f>
        <v/>
      </c>
      <c r="P1697" s="27"/>
      <c r="Q1697" s="29" t="str">
        <f aca="false">IF(OR(P1697="",M1697&lt;&gt;"Paid",O1697=""),"",P1697/O1697)</f>
        <v/>
      </c>
      <c r="R1697" s="30" t="str">
        <f aca="false">IF(Q1697="","",Q1697+N(H1697)*0.000000001)</f>
        <v/>
      </c>
      <c r="S1697" s="25" t="str">
        <f aca="false">IF(R1697="","",SUMPRODUCT((I$5:I$4004=I1697)*ISNUMBER(R$5:R$4004)*(R$5:R$4004&gt;R1697))+1)</f>
        <v/>
      </c>
      <c r="T1697" s="25" t="str">
        <f aca="false">IF(S1697="","",IF(S1697&lt;=Setup!$B$5,"🏆 WINNER",""))</f>
        <v/>
      </c>
      <c r="U1697" s="24" t="str">
        <f aca="false">IF(S1697="","",I1697&amp;"|"&amp;S1697)</f>
        <v/>
      </c>
    </row>
    <row r="1698" customFormat="false" ht="15" hidden="false" customHeight="false" outlineLevel="0" collapsed="false">
      <c r="A1698" s="31" t="n">
        <v>1694</v>
      </c>
      <c r="B1698" s="32" t="str">
        <f aca="false">IF(OR(C1698="",I1698="",G1698=""),"",IFERROR(VLOOKUP(I1698,Setup!$A$9:$B$11,2,0),"???")&amp;"-"&amp;G1698&amp;"-"&amp;TEXT(COUNTIFS(I$5:I1698,I1698,G$5:G1698,G1698),"0000"))</f>
        <v/>
      </c>
      <c r="C1698" s="26"/>
      <c r="D1698" s="26"/>
      <c r="E1698" s="27"/>
      <c r="F1698" s="27"/>
      <c r="G1698" s="31" t="str">
        <f aca="false">IF(F1698="","",IF(F1698&lt;=5,"A",IF(F1698&lt;=8,"B",IF(F1698&lt;=10,"C","D"))))</f>
        <v/>
      </c>
      <c r="H1698" s="28"/>
      <c r="I1698" s="27"/>
      <c r="J1698" s="26"/>
      <c r="K1698" s="27"/>
      <c r="L1698" s="27"/>
      <c r="M1698" s="27"/>
      <c r="N1698" s="27"/>
      <c r="O1698" s="31" t="str">
        <f aca="false">IF(G1698="","",VLOOKUP(G1698,Setup!$A$14:$C$17,3,0))</f>
        <v/>
      </c>
      <c r="P1698" s="27"/>
      <c r="Q1698" s="33" t="str">
        <f aca="false">IF(OR(P1698="",M1698&lt;&gt;"Paid",O1698=""),"",P1698/O1698)</f>
        <v/>
      </c>
      <c r="R1698" s="34" t="str">
        <f aca="false">IF(Q1698="","",Q1698+N(H1698)*0.000000001)</f>
        <v/>
      </c>
      <c r="S1698" s="32" t="str">
        <f aca="false">IF(R1698="","",SUMPRODUCT((I$5:I$4004=I1698)*ISNUMBER(R$5:R$4004)*(R$5:R$4004&gt;R1698))+1)</f>
        <v/>
      </c>
      <c r="T1698" s="32" t="str">
        <f aca="false">IF(S1698="","",IF(S1698&lt;=Setup!$B$5,"🏆 WINNER",""))</f>
        <v/>
      </c>
      <c r="U1698" s="31" t="str">
        <f aca="false">IF(S1698="","",I1698&amp;"|"&amp;S1698)</f>
        <v/>
      </c>
    </row>
    <row r="1699" customFormat="false" ht="15" hidden="false" customHeight="false" outlineLevel="0" collapsed="false">
      <c r="A1699" s="24" t="n">
        <v>1695</v>
      </c>
      <c r="B1699" s="25" t="str">
        <f aca="false">IF(OR(C1699="",I1699="",G1699=""),"",IFERROR(VLOOKUP(I1699,Setup!$A$9:$B$11,2,0),"???")&amp;"-"&amp;G1699&amp;"-"&amp;TEXT(COUNTIFS(I$5:I1699,I1699,G$5:G1699,G1699),"0000"))</f>
        <v/>
      </c>
      <c r="C1699" s="26"/>
      <c r="D1699" s="26"/>
      <c r="E1699" s="27"/>
      <c r="F1699" s="27"/>
      <c r="G1699" s="24" t="str">
        <f aca="false">IF(F1699="","",IF(F1699&lt;=5,"A",IF(F1699&lt;=8,"B",IF(F1699&lt;=10,"C","D"))))</f>
        <v/>
      </c>
      <c r="H1699" s="28"/>
      <c r="I1699" s="27"/>
      <c r="J1699" s="26"/>
      <c r="K1699" s="27"/>
      <c r="L1699" s="27"/>
      <c r="M1699" s="27"/>
      <c r="N1699" s="27"/>
      <c r="O1699" s="24" t="str">
        <f aca="false">IF(G1699="","",VLOOKUP(G1699,Setup!$A$14:$C$17,3,0))</f>
        <v/>
      </c>
      <c r="P1699" s="27"/>
      <c r="Q1699" s="29" t="str">
        <f aca="false">IF(OR(P1699="",M1699&lt;&gt;"Paid",O1699=""),"",P1699/O1699)</f>
        <v/>
      </c>
      <c r="R1699" s="30" t="str">
        <f aca="false">IF(Q1699="","",Q1699+N(H1699)*0.000000001)</f>
        <v/>
      </c>
      <c r="S1699" s="25" t="str">
        <f aca="false">IF(R1699="","",SUMPRODUCT((I$5:I$4004=I1699)*ISNUMBER(R$5:R$4004)*(R$5:R$4004&gt;R1699))+1)</f>
        <v/>
      </c>
      <c r="T1699" s="25" t="str">
        <f aca="false">IF(S1699="","",IF(S1699&lt;=Setup!$B$5,"🏆 WINNER",""))</f>
        <v/>
      </c>
      <c r="U1699" s="24" t="str">
        <f aca="false">IF(S1699="","",I1699&amp;"|"&amp;S1699)</f>
        <v/>
      </c>
    </row>
    <row r="1700" customFormat="false" ht="15" hidden="false" customHeight="false" outlineLevel="0" collapsed="false">
      <c r="A1700" s="31" t="n">
        <v>1696</v>
      </c>
      <c r="B1700" s="32" t="str">
        <f aca="false">IF(OR(C1700="",I1700="",G1700=""),"",IFERROR(VLOOKUP(I1700,Setup!$A$9:$B$11,2,0),"???")&amp;"-"&amp;G1700&amp;"-"&amp;TEXT(COUNTIFS(I$5:I1700,I1700,G$5:G1700,G1700),"0000"))</f>
        <v/>
      </c>
      <c r="C1700" s="26"/>
      <c r="D1700" s="26"/>
      <c r="E1700" s="27"/>
      <c r="F1700" s="27"/>
      <c r="G1700" s="31" t="str">
        <f aca="false">IF(F1700="","",IF(F1700&lt;=5,"A",IF(F1700&lt;=8,"B",IF(F1700&lt;=10,"C","D"))))</f>
        <v/>
      </c>
      <c r="H1700" s="28"/>
      <c r="I1700" s="27"/>
      <c r="J1700" s="26"/>
      <c r="K1700" s="27"/>
      <c r="L1700" s="27"/>
      <c r="M1700" s="27"/>
      <c r="N1700" s="27"/>
      <c r="O1700" s="31" t="str">
        <f aca="false">IF(G1700="","",VLOOKUP(G1700,Setup!$A$14:$C$17,3,0))</f>
        <v/>
      </c>
      <c r="P1700" s="27"/>
      <c r="Q1700" s="33" t="str">
        <f aca="false">IF(OR(P1700="",M1700&lt;&gt;"Paid",O1700=""),"",P1700/O1700)</f>
        <v/>
      </c>
      <c r="R1700" s="34" t="str">
        <f aca="false">IF(Q1700="","",Q1700+N(H1700)*0.000000001)</f>
        <v/>
      </c>
      <c r="S1700" s="32" t="str">
        <f aca="false">IF(R1700="","",SUMPRODUCT((I$5:I$4004=I1700)*ISNUMBER(R$5:R$4004)*(R$5:R$4004&gt;R1700))+1)</f>
        <v/>
      </c>
      <c r="T1700" s="32" t="str">
        <f aca="false">IF(S1700="","",IF(S1700&lt;=Setup!$B$5,"🏆 WINNER",""))</f>
        <v/>
      </c>
      <c r="U1700" s="31" t="str">
        <f aca="false">IF(S1700="","",I1700&amp;"|"&amp;S1700)</f>
        <v/>
      </c>
    </row>
    <row r="1701" customFormat="false" ht="15" hidden="false" customHeight="false" outlineLevel="0" collapsed="false">
      <c r="A1701" s="24" t="n">
        <v>1697</v>
      </c>
      <c r="B1701" s="25" t="str">
        <f aca="false">IF(OR(C1701="",I1701="",G1701=""),"",IFERROR(VLOOKUP(I1701,Setup!$A$9:$B$11,2,0),"???")&amp;"-"&amp;G1701&amp;"-"&amp;TEXT(COUNTIFS(I$5:I1701,I1701,G$5:G1701,G1701),"0000"))</f>
        <v/>
      </c>
      <c r="C1701" s="26"/>
      <c r="D1701" s="26"/>
      <c r="E1701" s="27"/>
      <c r="F1701" s="27"/>
      <c r="G1701" s="24" t="str">
        <f aca="false">IF(F1701="","",IF(F1701&lt;=5,"A",IF(F1701&lt;=8,"B",IF(F1701&lt;=10,"C","D"))))</f>
        <v/>
      </c>
      <c r="H1701" s="28"/>
      <c r="I1701" s="27"/>
      <c r="J1701" s="26"/>
      <c r="K1701" s="27"/>
      <c r="L1701" s="27"/>
      <c r="M1701" s="27"/>
      <c r="N1701" s="27"/>
      <c r="O1701" s="24" t="str">
        <f aca="false">IF(G1701="","",VLOOKUP(G1701,Setup!$A$14:$C$17,3,0))</f>
        <v/>
      </c>
      <c r="P1701" s="27"/>
      <c r="Q1701" s="29" t="str">
        <f aca="false">IF(OR(P1701="",M1701&lt;&gt;"Paid",O1701=""),"",P1701/O1701)</f>
        <v/>
      </c>
      <c r="R1701" s="30" t="str">
        <f aca="false">IF(Q1701="","",Q1701+N(H1701)*0.000000001)</f>
        <v/>
      </c>
      <c r="S1701" s="25" t="str">
        <f aca="false">IF(R1701="","",SUMPRODUCT((I$5:I$4004=I1701)*ISNUMBER(R$5:R$4004)*(R$5:R$4004&gt;R1701))+1)</f>
        <v/>
      </c>
      <c r="T1701" s="25" t="str">
        <f aca="false">IF(S1701="","",IF(S1701&lt;=Setup!$B$5,"🏆 WINNER",""))</f>
        <v/>
      </c>
      <c r="U1701" s="24" t="str">
        <f aca="false">IF(S1701="","",I1701&amp;"|"&amp;S1701)</f>
        <v/>
      </c>
    </row>
    <row r="1702" customFormat="false" ht="15" hidden="false" customHeight="false" outlineLevel="0" collapsed="false">
      <c r="A1702" s="31" t="n">
        <v>1698</v>
      </c>
      <c r="B1702" s="32" t="str">
        <f aca="false">IF(OR(C1702="",I1702="",G1702=""),"",IFERROR(VLOOKUP(I1702,Setup!$A$9:$B$11,2,0),"???")&amp;"-"&amp;G1702&amp;"-"&amp;TEXT(COUNTIFS(I$5:I1702,I1702,G$5:G1702,G1702),"0000"))</f>
        <v/>
      </c>
      <c r="C1702" s="26"/>
      <c r="D1702" s="26"/>
      <c r="E1702" s="27"/>
      <c r="F1702" s="27"/>
      <c r="G1702" s="31" t="str">
        <f aca="false">IF(F1702="","",IF(F1702&lt;=5,"A",IF(F1702&lt;=8,"B",IF(F1702&lt;=10,"C","D"))))</f>
        <v/>
      </c>
      <c r="H1702" s="28"/>
      <c r="I1702" s="27"/>
      <c r="J1702" s="26"/>
      <c r="K1702" s="27"/>
      <c r="L1702" s="27"/>
      <c r="M1702" s="27"/>
      <c r="N1702" s="27"/>
      <c r="O1702" s="31" t="str">
        <f aca="false">IF(G1702="","",VLOOKUP(G1702,Setup!$A$14:$C$17,3,0))</f>
        <v/>
      </c>
      <c r="P1702" s="27"/>
      <c r="Q1702" s="33" t="str">
        <f aca="false">IF(OR(P1702="",M1702&lt;&gt;"Paid",O1702=""),"",P1702/O1702)</f>
        <v/>
      </c>
      <c r="R1702" s="34" t="str">
        <f aca="false">IF(Q1702="","",Q1702+N(H1702)*0.000000001)</f>
        <v/>
      </c>
      <c r="S1702" s="32" t="str">
        <f aca="false">IF(R1702="","",SUMPRODUCT((I$5:I$4004=I1702)*ISNUMBER(R$5:R$4004)*(R$5:R$4004&gt;R1702))+1)</f>
        <v/>
      </c>
      <c r="T1702" s="32" t="str">
        <f aca="false">IF(S1702="","",IF(S1702&lt;=Setup!$B$5,"🏆 WINNER",""))</f>
        <v/>
      </c>
      <c r="U1702" s="31" t="str">
        <f aca="false">IF(S1702="","",I1702&amp;"|"&amp;S1702)</f>
        <v/>
      </c>
    </row>
    <row r="1703" customFormat="false" ht="15" hidden="false" customHeight="false" outlineLevel="0" collapsed="false">
      <c r="A1703" s="24" t="n">
        <v>1699</v>
      </c>
      <c r="B1703" s="25" t="str">
        <f aca="false">IF(OR(C1703="",I1703="",G1703=""),"",IFERROR(VLOOKUP(I1703,Setup!$A$9:$B$11,2,0),"???")&amp;"-"&amp;G1703&amp;"-"&amp;TEXT(COUNTIFS(I$5:I1703,I1703,G$5:G1703,G1703),"0000"))</f>
        <v/>
      </c>
      <c r="C1703" s="26"/>
      <c r="D1703" s="26"/>
      <c r="E1703" s="27"/>
      <c r="F1703" s="27"/>
      <c r="G1703" s="24" t="str">
        <f aca="false">IF(F1703="","",IF(F1703&lt;=5,"A",IF(F1703&lt;=8,"B",IF(F1703&lt;=10,"C","D"))))</f>
        <v/>
      </c>
      <c r="H1703" s="28"/>
      <c r="I1703" s="27"/>
      <c r="J1703" s="26"/>
      <c r="K1703" s="27"/>
      <c r="L1703" s="27"/>
      <c r="M1703" s="27"/>
      <c r="N1703" s="27"/>
      <c r="O1703" s="24" t="str">
        <f aca="false">IF(G1703="","",VLOOKUP(G1703,Setup!$A$14:$C$17,3,0))</f>
        <v/>
      </c>
      <c r="P1703" s="27"/>
      <c r="Q1703" s="29" t="str">
        <f aca="false">IF(OR(P1703="",M1703&lt;&gt;"Paid",O1703=""),"",P1703/O1703)</f>
        <v/>
      </c>
      <c r="R1703" s="30" t="str">
        <f aca="false">IF(Q1703="","",Q1703+N(H1703)*0.000000001)</f>
        <v/>
      </c>
      <c r="S1703" s="25" t="str">
        <f aca="false">IF(R1703="","",SUMPRODUCT((I$5:I$4004=I1703)*ISNUMBER(R$5:R$4004)*(R$5:R$4004&gt;R1703))+1)</f>
        <v/>
      </c>
      <c r="T1703" s="25" t="str">
        <f aca="false">IF(S1703="","",IF(S1703&lt;=Setup!$B$5,"🏆 WINNER",""))</f>
        <v/>
      </c>
      <c r="U1703" s="24" t="str">
        <f aca="false">IF(S1703="","",I1703&amp;"|"&amp;S1703)</f>
        <v/>
      </c>
    </row>
    <row r="1704" customFormat="false" ht="15" hidden="false" customHeight="false" outlineLevel="0" collapsed="false">
      <c r="A1704" s="31" t="n">
        <v>1700</v>
      </c>
      <c r="B1704" s="32" t="str">
        <f aca="false">IF(OR(C1704="",I1704="",G1704=""),"",IFERROR(VLOOKUP(I1704,Setup!$A$9:$B$11,2,0),"???")&amp;"-"&amp;G1704&amp;"-"&amp;TEXT(COUNTIFS(I$5:I1704,I1704,G$5:G1704,G1704),"0000"))</f>
        <v/>
      </c>
      <c r="C1704" s="26"/>
      <c r="D1704" s="26"/>
      <c r="E1704" s="27"/>
      <c r="F1704" s="27"/>
      <c r="G1704" s="31" t="str">
        <f aca="false">IF(F1704="","",IF(F1704&lt;=5,"A",IF(F1704&lt;=8,"B",IF(F1704&lt;=10,"C","D"))))</f>
        <v/>
      </c>
      <c r="H1704" s="28"/>
      <c r="I1704" s="27"/>
      <c r="J1704" s="26"/>
      <c r="K1704" s="27"/>
      <c r="L1704" s="27"/>
      <c r="M1704" s="27"/>
      <c r="N1704" s="27"/>
      <c r="O1704" s="31" t="str">
        <f aca="false">IF(G1704="","",VLOOKUP(G1704,Setup!$A$14:$C$17,3,0))</f>
        <v/>
      </c>
      <c r="P1704" s="27"/>
      <c r="Q1704" s="33" t="str">
        <f aca="false">IF(OR(P1704="",M1704&lt;&gt;"Paid",O1704=""),"",P1704/O1704)</f>
        <v/>
      </c>
      <c r="R1704" s="34" t="str">
        <f aca="false">IF(Q1704="","",Q1704+N(H1704)*0.000000001)</f>
        <v/>
      </c>
      <c r="S1704" s="32" t="str">
        <f aca="false">IF(R1704="","",SUMPRODUCT((I$5:I$4004=I1704)*ISNUMBER(R$5:R$4004)*(R$5:R$4004&gt;R1704))+1)</f>
        <v/>
      </c>
      <c r="T1704" s="32" t="str">
        <f aca="false">IF(S1704="","",IF(S1704&lt;=Setup!$B$5,"🏆 WINNER",""))</f>
        <v/>
      </c>
      <c r="U1704" s="31" t="str">
        <f aca="false">IF(S1704="","",I1704&amp;"|"&amp;S1704)</f>
        <v/>
      </c>
    </row>
    <row r="1705" customFormat="false" ht="15" hidden="false" customHeight="false" outlineLevel="0" collapsed="false">
      <c r="A1705" s="24" t="n">
        <v>1701</v>
      </c>
      <c r="B1705" s="25" t="str">
        <f aca="false">IF(OR(C1705="",I1705="",G1705=""),"",IFERROR(VLOOKUP(I1705,Setup!$A$9:$B$11,2,0),"???")&amp;"-"&amp;G1705&amp;"-"&amp;TEXT(COUNTIFS(I$5:I1705,I1705,G$5:G1705,G1705),"0000"))</f>
        <v/>
      </c>
      <c r="C1705" s="26"/>
      <c r="D1705" s="26"/>
      <c r="E1705" s="27"/>
      <c r="F1705" s="27"/>
      <c r="G1705" s="24" t="str">
        <f aca="false">IF(F1705="","",IF(F1705&lt;=5,"A",IF(F1705&lt;=8,"B",IF(F1705&lt;=10,"C","D"))))</f>
        <v/>
      </c>
      <c r="H1705" s="28"/>
      <c r="I1705" s="27"/>
      <c r="J1705" s="26"/>
      <c r="K1705" s="27"/>
      <c r="L1705" s="27"/>
      <c r="M1705" s="27"/>
      <c r="N1705" s="27"/>
      <c r="O1705" s="24" t="str">
        <f aca="false">IF(G1705="","",VLOOKUP(G1705,Setup!$A$14:$C$17,3,0))</f>
        <v/>
      </c>
      <c r="P1705" s="27"/>
      <c r="Q1705" s="29" t="str">
        <f aca="false">IF(OR(P1705="",M1705&lt;&gt;"Paid",O1705=""),"",P1705/O1705)</f>
        <v/>
      </c>
      <c r="R1705" s="30" t="str">
        <f aca="false">IF(Q1705="","",Q1705+N(H1705)*0.000000001)</f>
        <v/>
      </c>
      <c r="S1705" s="25" t="str">
        <f aca="false">IF(R1705="","",SUMPRODUCT((I$5:I$4004=I1705)*ISNUMBER(R$5:R$4004)*(R$5:R$4004&gt;R1705))+1)</f>
        <v/>
      </c>
      <c r="T1705" s="25" t="str">
        <f aca="false">IF(S1705="","",IF(S1705&lt;=Setup!$B$5,"🏆 WINNER",""))</f>
        <v/>
      </c>
      <c r="U1705" s="24" t="str">
        <f aca="false">IF(S1705="","",I1705&amp;"|"&amp;S1705)</f>
        <v/>
      </c>
    </row>
    <row r="1706" customFormat="false" ht="15" hidden="false" customHeight="false" outlineLevel="0" collapsed="false">
      <c r="A1706" s="31" t="n">
        <v>1702</v>
      </c>
      <c r="B1706" s="32" t="str">
        <f aca="false">IF(OR(C1706="",I1706="",G1706=""),"",IFERROR(VLOOKUP(I1706,Setup!$A$9:$B$11,2,0),"???")&amp;"-"&amp;G1706&amp;"-"&amp;TEXT(COUNTIFS(I$5:I1706,I1706,G$5:G1706,G1706),"0000"))</f>
        <v/>
      </c>
      <c r="C1706" s="26"/>
      <c r="D1706" s="26"/>
      <c r="E1706" s="27"/>
      <c r="F1706" s="27"/>
      <c r="G1706" s="31" t="str">
        <f aca="false">IF(F1706="","",IF(F1706&lt;=5,"A",IF(F1706&lt;=8,"B",IF(F1706&lt;=10,"C","D"))))</f>
        <v/>
      </c>
      <c r="H1706" s="28"/>
      <c r="I1706" s="27"/>
      <c r="J1706" s="26"/>
      <c r="K1706" s="27"/>
      <c r="L1706" s="27"/>
      <c r="M1706" s="27"/>
      <c r="N1706" s="27"/>
      <c r="O1706" s="31" t="str">
        <f aca="false">IF(G1706="","",VLOOKUP(G1706,Setup!$A$14:$C$17,3,0))</f>
        <v/>
      </c>
      <c r="P1706" s="27"/>
      <c r="Q1706" s="33" t="str">
        <f aca="false">IF(OR(P1706="",M1706&lt;&gt;"Paid",O1706=""),"",P1706/O1706)</f>
        <v/>
      </c>
      <c r="R1706" s="34" t="str">
        <f aca="false">IF(Q1706="","",Q1706+N(H1706)*0.000000001)</f>
        <v/>
      </c>
      <c r="S1706" s="32" t="str">
        <f aca="false">IF(R1706="","",SUMPRODUCT((I$5:I$4004=I1706)*ISNUMBER(R$5:R$4004)*(R$5:R$4004&gt;R1706))+1)</f>
        <v/>
      </c>
      <c r="T1706" s="32" t="str">
        <f aca="false">IF(S1706="","",IF(S1706&lt;=Setup!$B$5,"🏆 WINNER",""))</f>
        <v/>
      </c>
      <c r="U1706" s="31" t="str">
        <f aca="false">IF(S1706="","",I1706&amp;"|"&amp;S1706)</f>
        <v/>
      </c>
    </row>
    <row r="1707" customFormat="false" ht="15" hidden="false" customHeight="false" outlineLevel="0" collapsed="false">
      <c r="A1707" s="24" t="n">
        <v>1703</v>
      </c>
      <c r="B1707" s="25" t="str">
        <f aca="false">IF(OR(C1707="",I1707="",G1707=""),"",IFERROR(VLOOKUP(I1707,Setup!$A$9:$B$11,2,0),"???")&amp;"-"&amp;G1707&amp;"-"&amp;TEXT(COUNTIFS(I$5:I1707,I1707,G$5:G1707,G1707),"0000"))</f>
        <v/>
      </c>
      <c r="C1707" s="26"/>
      <c r="D1707" s="26"/>
      <c r="E1707" s="27"/>
      <c r="F1707" s="27"/>
      <c r="G1707" s="24" t="str">
        <f aca="false">IF(F1707="","",IF(F1707&lt;=5,"A",IF(F1707&lt;=8,"B",IF(F1707&lt;=10,"C","D"))))</f>
        <v/>
      </c>
      <c r="H1707" s="28"/>
      <c r="I1707" s="27"/>
      <c r="J1707" s="26"/>
      <c r="K1707" s="27"/>
      <c r="L1707" s="27"/>
      <c r="M1707" s="27"/>
      <c r="N1707" s="27"/>
      <c r="O1707" s="24" t="str">
        <f aca="false">IF(G1707="","",VLOOKUP(G1707,Setup!$A$14:$C$17,3,0))</f>
        <v/>
      </c>
      <c r="P1707" s="27"/>
      <c r="Q1707" s="29" t="str">
        <f aca="false">IF(OR(P1707="",M1707&lt;&gt;"Paid",O1707=""),"",P1707/O1707)</f>
        <v/>
      </c>
      <c r="R1707" s="30" t="str">
        <f aca="false">IF(Q1707="","",Q1707+N(H1707)*0.000000001)</f>
        <v/>
      </c>
      <c r="S1707" s="25" t="str">
        <f aca="false">IF(R1707="","",SUMPRODUCT((I$5:I$4004=I1707)*ISNUMBER(R$5:R$4004)*(R$5:R$4004&gt;R1707))+1)</f>
        <v/>
      </c>
      <c r="T1707" s="25" t="str">
        <f aca="false">IF(S1707="","",IF(S1707&lt;=Setup!$B$5,"🏆 WINNER",""))</f>
        <v/>
      </c>
      <c r="U1707" s="24" t="str">
        <f aca="false">IF(S1707="","",I1707&amp;"|"&amp;S1707)</f>
        <v/>
      </c>
    </row>
    <row r="1708" customFormat="false" ht="15" hidden="false" customHeight="false" outlineLevel="0" collapsed="false">
      <c r="A1708" s="31" t="n">
        <v>1704</v>
      </c>
      <c r="B1708" s="32" t="str">
        <f aca="false">IF(OR(C1708="",I1708="",G1708=""),"",IFERROR(VLOOKUP(I1708,Setup!$A$9:$B$11,2,0),"???")&amp;"-"&amp;G1708&amp;"-"&amp;TEXT(COUNTIFS(I$5:I1708,I1708,G$5:G1708,G1708),"0000"))</f>
        <v/>
      </c>
      <c r="C1708" s="26"/>
      <c r="D1708" s="26"/>
      <c r="E1708" s="27"/>
      <c r="F1708" s="27"/>
      <c r="G1708" s="31" t="str">
        <f aca="false">IF(F1708="","",IF(F1708&lt;=5,"A",IF(F1708&lt;=8,"B",IF(F1708&lt;=10,"C","D"))))</f>
        <v/>
      </c>
      <c r="H1708" s="28"/>
      <c r="I1708" s="27"/>
      <c r="J1708" s="26"/>
      <c r="K1708" s="27"/>
      <c r="L1708" s="27"/>
      <c r="M1708" s="27"/>
      <c r="N1708" s="27"/>
      <c r="O1708" s="31" t="str">
        <f aca="false">IF(G1708="","",VLOOKUP(G1708,Setup!$A$14:$C$17,3,0))</f>
        <v/>
      </c>
      <c r="P1708" s="27"/>
      <c r="Q1708" s="33" t="str">
        <f aca="false">IF(OR(P1708="",M1708&lt;&gt;"Paid",O1708=""),"",P1708/O1708)</f>
        <v/>
      </c>
      <c r="R1708" s="34" t="str">
        <f aca="false">IF(Q1708="","",Q1708+N(H1708)*0.000000001)</f>
        <v/>
      </c>
      <c r="S1708" s="32" t="str">
        <f aca="false">IF(R1708="","",SUMPRODUCT((I$5:I$4004=I1708)*ISNUMBER(R$5:R$4004)*(R$5:R$4004&gt;R1708))+1)</f>
        <v/>
      </c>
      <c r="T1708" s="32" t="str">
        <f aca="false">IF(S1708="","",IF(S1708&lt;=Setup!$B$5,"🏆 WINNER",""))</f>
        <v/>
      </c>
      <c r="U1708" s="31" t="str">
        <f aca="false">IF(S1708="","",I1708&amp;"|"&amp;S1708)</f>
        <v/>
      </c>
    </row>
    <row r="1709" customFormat="false" ht="15" hidden="false" customHeight="false" outlineLevel="0" collapsed="false">
      <c r="A1709" s="24" t="n">
        <v>1705</v>
      </c>
      <c r="B1709" s="25" t="str">
        <f aca="false">IF(OR(C1709="",I1709="",G1709=""),"",IFERROR(VLOOKUP(I1709,Setup!$A$9:$B$11,2,0),"???")&amp;"-"&amp;G1709&amp;"-"&amp;TEXT(COUNTIFS(I$5:I1709,I1709,G$5:G1709,G1709),"0000"))</f>
        <v/>
      </c>
      <c r="C1709" s="26"/>
      <c r="D1709" s="26"/>
      <c r="E1709" s="27"/>
      <c r="F1709" s="27"/>
      <c r="G1709" s="24" t="str">
        <f aca="false">IF(F1709="","",IF(F1709&lt;=5,"A",IF(F1709&lt;=8,"B",IF(F1709&lt;=10,"C","D"))))</f>
        <v/>
      </c>
      <c r="H1709" s="28"/>
      <c r="I1709" s="27"/>
      <c r="J1709" s="26"/>
      <c r="K1709" s="27"/>
      <c r="L1709" s="27"/>
      <c r="M1709" s="27"/>
      <c r="N1709" s="27"/>
      <c r="O1709" s="24" t="str">
        <f aca="false">IF(G1709="","",VLOOKUP(G1709,Setup!$A$14:$C$17,3,0))</f>
        <v/>
      </c>
      <c r="P1709" s="27"/>
      <c r="Q1709" s="29" t="str">
        <f aca="false">IF(OR(P1709="",M1709&lt;&gt;"Paid",O1709=""),"",P1709/O1709)</f>
        <v/>
      </c>
      <c r="R1709" s="30" t="str">
        <f aca="false">IF(Q1709="","",Q1709+N(H1709)*0.000000001)</f>
        <v/>
      </c>
      <c r="S1709" s="25" t="str">
        <f aca="false">IF(R1709="","",SUMPRODUCT((I$5:I$4004=I1709)*ISNUMBER(R$5:R$4004)*(R$5:R$4004&gt;R1709))+1)</f>
        <v/>
      </c>
      <c r="T1709" s="25" t="str">
        <f aca="false">IF(S1709="","",IF(S1709&lt;=Setup!$B$5,"🏆 WINNER",""))</f>
        <v/>
      </c>
      <c r="U1709" s="24" t="str">
        <f aca="false">IF(S1709="","",I1709&amp;"|"&amp;S1709)</f>
        <v/>
      </c>
    </row>
    <row r="1710" customFormat="false" ht="15" hidden="false" customHeight="false" outlineLevel="0" collapsed="false">
      <c r="A1710" s="31" t="n">
        <v>1706</v>
      </c>
      <c r="B1710" s="32" t="str">
        <f aca="false">IF(OR(C1710="",I1710="",G1710=""),"",IFERROR(VLOOKUP(I1710,Setup!$A$9:$B$11,2,0),"???")&amp;"-"&amp;G1710&amp;"-"&amp;TEXT(COUNTIFS(I$5:I1710,I1710,G$5:G1710,G1710),"0000"))</f>
        <v/>
      </c>
      <c r="C1710" s="26"/>
      <c r="D1710" s="26"/>
      <c r="E1710" s="27"/>
      <c r="F1710" s="27"/>
      <c r="G1710" s="31" t="str">
        <f aca="false">IF(F1710="","",IF(F1710&lt;=5,"A",IF(F1710&lt;=8,"B",IF(F1710&lt;=10,"C","D"))))</f>
        <v/>
      </c>
      <c r="H1710" s="28"/>
      <c r="I1710" s="27"/>
      <c r="J1710" s="26"/>
      <c r="K1710" s="27"/>
      <c r="L1710" s="27"/>
      <c r="M1710" s="27"/>
      <c r="N1710" s="27"/>
      <c r="O1710" s="31" t="str">
        <f aca="false">IF(G1710="","",VLOOKUP(G1710,Setup!$A$14:$C$17,3,0))</f>
        <v/>
      </c>
      <c r="P1710" s="27"/>
      <c r="Q1710" s="33" t="str">
        <f aca="false">IF(OR(P1710="",M1710&lt;&gt;"Paid",O1710=""),"",P1710/O1710)</f>
        <v/>
      </c>
      <c r="R1710" s="34" t="str">
        <f aca="false">IF(Q1710="","",Q1710+N(H1710)*0.000000001)</f>
        <v/>
      </c>
      <c r="S1710" s="32" t="str">
        <f aca="false">IF(R1710="","",SUMPRODUCT((I$5:I$4004=I1710)*ISNUMBER(R$5:R$4004)*(R$5:R$4004&gt;R1710))+1)</f>
        <v/>
      </c>
      <c r="T1710" s="32" t="str">
        <f aca="false">IF(S1710="","",IF(S1710&lt;=Setup!$B$5,"🏆 WINNER",""))</f>
        <v/>
      </c>
      <c r="U1710" s="31" t="str">
        <f aca="false">IF(S1710="","",I1710&amp;"|"&amp;S1710)</f>
        <v/>
      </c>
    </row>
    <row r="1711" customFormat="false" ht="15" hidden="false" customHeight="false" outlineLevel="0" collapsed="false">
      <c r="A1711" s="24" t="n">
        <v>1707</v>
      </c>
      <c r="B1711" s="25" t="str">
        <f aca="false">IF(OR(C1711="",I1711="",G1711=""),"",IFERROR(VLOOKUP(I1711,Setup!$A$9:$B$11,2,0),"???")&amp;"-"&amp;G1711&amp;"-"&amp;TEXT(COUNTIFS(I$5:I1711,I1711,G$5:G1711,G1711),"0000"))</f>
        <v/>
      </c>
      <c r="C1711" s="26"/>
      <c r="D1711" s="26"/>
      <c r="E1711" s="27"/>
      <c r="F1711" s="27"/>
      <c r="G1711" s="24" t="str">
        <f aca="false">IF(F1711="","",IF(F1711&lt;=5,"A",IF(F1711&lt;=8,"B",IF(F1711&lt;=10,"C","D"))))</f>
        <v/>
      </c>
      <c r="H1711" s="28"/>
      <c r="I1711" s="27"/>
      <c r="J1711" s="26"/>
      <c r="K1711" s="27"/>
      <c r="L1711" s="27"/>
      <c r="M1711" s="27"/>
      <c r="N1711" s="27"/>
      <c r="O1711" s="24" t="str">
        <f aca="false">IF(G1711="","",VLOOKUP(G1711,Setup!$A$14:$C$17,3,0))</f>
        <v/>
      </c>
      <c r="P1711" s="27"/>
      <c r="Q1711" s="29" t="str">
        <f aca="false">IF(OR(P1711="",M1711&lt;&gt;"Paid",O1711=""),"",P1711/O1711)</f>
        <v/>
      </c>
      <c r="R1711" s="30" t="str">
        <f aca="false">IF(Q1711="","",Q1711+N(H1711)*0.000000001)</f>
        <v/>
      </c>
      <c r="S1711" s="25" t="str">
        <f aca="false">IF(R1711="","",SUMPRODUCT((I$5:I$4004=I1711)*ISNUMBER(R$5:R$4004)*(R$5:R$4004&gt;R1711))+1)</f>
        <v/>
      </c>
      <c r="T1711" s="25" t="str">
        <f aca="false">IF(S1711="","",IF(S1711&lt;=Setup!$B$5,"🏆 WINNER",""))</f>
        <v/>
      </c>
      <c r="U1711" s="24" t="str">
        <f aca="false">IF(S1711="","",I1711&amp;"|"&amp;S1711)</f>
        <v/>
      </c>
    </row>
    <row r="1712" customFormat="false" ht="15" hidden="false" customHeight="false" outlineLevel="0" collapsed="false">
      <c r="A1712" s="31" t="n">
        <v>1708</v>
      </c>
      <c r="B1712" s="32" t="str">
        <f aca="false">IF(OR(C1712="",I1712="",G1712=""),"",IFERROR(VLOOKUP(I1712,Setup!$A$9:$B$11,2,0),"???")&amp;"-"&amp;G1712&amp;"-"&amp;TEXT(COUNTIFS(I$5:I1712,I1712,G$5:G1712,G1712),"0000"))</f>
        <v/>
      </c>
      <c r="C1712" s="26"/>
      <c r="D1712" s="26"/>
      <c r="E1712" s="27"/>
      <c r="F1712" s="27"/>
      <c r="G1712" s="31" t="str">
        <f aca="false">IF(F1712="","",IF(F1712&lt;=5,"A",IF(F1712&lt;=8,"B",IF(F1712&lt;=10,"C","D"))))</f>
        <v/>
      </c>
      <c r="H1712" s="28"/>
      <c r="I1712" s="27"/>
      <c r="J1712" s="26"/>
      <c r="K1712" s="27"/>
      <c r="L1712" s="27"/>
      <c r="M1712" s="27"/>
      <c r="N1712" s="27"/>
      <c r="O1712" s="31" t="str">
        <f aca="false">IF(G1712="","",VLOOKUP(G1712,Setup!$A$14:$C$17,3,0))</f>
        <v/>
      </c>
      <c r="P1712" s="27"/>
      <c r="Q1712" s="33" t="str">
        <f aca="false">IF(OR(P1712="",M1712&lt;&gt;"Paid",O1712=""),"",P1712/O1712)</f>
        <v/>
      </c>
      <c r="R1712" s="34" t="str">
        <f aca="false">IF(Q1712="","",Q1712+N(H1712)*0.000000001)</f>
        <v/>
      </c>
      <c r="S1712" s="32" t="str">
        <f aca="false">IF(R1712="","",SUMPRODUCT((I$5:I$4004=I1712)*ISNUMBER(R$5:R$4004)*(R$5:R$4004&gt;R1712))+1)</f>
        <v/>
      </c>
      <c r="T1712" s="32" t="str">
        <f aca="false">IF(S1712="","",IF(S1712&lt;=Setup!$B$5,"🏆 WINNER",""))</f>
        <v/>
      </c>
      <c r="U1712" s="31" t="str">
        <f aca="false">IF(S1712="","",I1712&amp;"|"&amp;S1712)</f>
        <v/>
      </c>
    </row>
    <row r="1713" customFormat="false" ht="15" hidden="false" customHeight="false" outlineLevel="0" collapsed="false">
      <c r="A1713" s="24" t="n">
        <v>1709</v>
      </c>
      <c r="B1713" s="25" t="str">
        <f aca="false">IF(OR(C1713="",I1713="",G1713=""),"",IFERROR(VLOOKUP(I1713,Setup!$A$9:$B$11,2,0),"???")&amp;"-"&amp;G1713&amp;"-"&amp;TEXT(COUNTIFS(I$5:I1713,I1713,G$5:G1713,G1713),"0000"))</f>
        <v/>
      </c>
      <c r="C1713" s="26"/>
      <c r="D1713" s="26"/>
      <c r="E1713" s="27"/>
      <c r="F1713" s="27"/>
      <c r="G1713" s="24" t="str">
        <f aca="false">IF(F1713="","",IF(F1713&lt;=5,"A",IF(F1713&lt;=8,"B",IF(F1713&lt;=10,"C","D"))))</f>
        <v/>
      </c>
      <c r="H1713" s="28"/>
      <c r="I1713" s="27"/>
      <c r="J1713" s="26"/>
      <c r="K1713" s="27"/>
      <c r="L1713" s="27"/>
      <c r="M1713" s="27"/>
      <c r="N1713" s="27"/>
      <c r="O1713" s="24" t="str">
        <f aca="false">IF(G1713="","",VLOOKUP(G1713,Setup!$A$14:$C$17,3,0))</f>
        <v/>
      </c>
      <c r="P1713" s="27"/>
      <c r="Q1713" s="29" t="str">
        <f aca="false">IF(OR(P1713="",M1713&lt;&gt;"Paid",O1713=""),"",P1713/O1713)</f>
        <v/>
      </c>
      <c r="R1713" s="30" t="str">
        <f aca="false">IF(Q1713="","",Q1713+N(H1713)*0.000000001)</f>
        <v/>
      </c>
      <c r="S1713" s="25" t="str">
        <f aca="false">IF(R1713="","",SUMPRODUCT((I$5:I$4004=I1713)*ISNUMBER(R$5:R$4004)*(R$5:R$4004&gt;R1713))+1)</f>
        <v/>
      </c>
      <c r="T1713" s="25" t="str">
        <f aca="false">IF(S1713="","",IF(S1713&lt;=Setup!$B$5,"🏆 WINNER",""))</f>
        <v/>
      </c>
      <c r="U1713" s="24" t="str">
        <f aca="false">IF(S1713="","",I1713&amp;"|"&amp;S1713)</f>
        <v/>
      </c>
    </row>
    <row r="1714" customFormat="false" ht="15" hidden="false" customHeight="false" outlineLevel="0" collapsed="false">
      <c r="A1714" s="31" t="n">
        <v>1710</v>
      </c>
      <c r="B1714" s="32" t="str">
        <f aca="false">IF(OR(C1714="",I1714="",G1714=""),"",IFERROR(VLOOKUP(I1714,Setup!$A$9:$B$11,2,0),"???")&amp;"-"&amp;G1714&amp;"-"&amp;TEXT(COUNTIFS(I$5:I1714,I1714,G$5:G1714,G1714),"0000"))</f>
        <v/>
      </c>
      <c r="C1714" s="26"/>
      <c r="D1714" s="26"/>
      <c r="E1714" s="27"/>
      <c r="F1714" s="27"/>
      <c r="G1714" s="31" t="str">
        <f aca="false">IF(F1714="","",IF(F1714&lt;=5,"A",IF(F1714&lt;=8,"B",IF(F1714&lt;=10,"C","D"))))</f>
        <v/>
      </c>
      <c r="H1714" s="28"/>
      <c r="I1714" s="27"/>
      <c r="J1714" s="26"/>
      <c r="K1714" s="27"/>
      <c r="L1714" s="27"/>
      <c r="M1714" s="27"/>
      <c r="N1714" s="27"/>
      <c r="O1714" s="31" t="str">
        <f aca="false">IF(G1714="","",VLOOKUP(G1714,Setup!$A$14:$C$17,3,0))</f>
        <v/>
      </c>
      <c r="P1714" s="27"/>
      <c r="Q1714" s="33" t="str">
        <f aca="false">IF(OR(P1714="",M1714&lt;&gt;"Paid",O1714=""),"",P1714/O1714)</f>
        <v/>
      </c>
      <c r="R1714" s="34" t="str">
        <f aca="false">IF(Q1714="","",Q1714+N(H1714)*0.000000001)</f>
        <v/>
      </c>
      <c r="S1714" s="32" t="str">
        <f aca="false">IF(R1714="","",SUMPRODUCT((I$5:I$4004=I1714)*ISNUMBER(R$5:R$4004)*(R$5:R$4004&gt;R1714))+1)</f>
        <v/>
      </c>
      <c r="T1714" s="32" t="str">
        <f aca="false">IF(S1714="","",IF(S1714&lt;=Setup!$B$5,"🏆 WINNER",""))</f>
        <v/>
      </c>
      <c r="U1714" s="31" t="str">
        <f aca="false">IF(S1714="","",I1714&amp;"|"&amp;S1714)</f>
        <v/>
      </c>
    </row>
    <row r="1715" customFormat="false" ht="15" hidden="false" customHeight="false" outlineLevel="0" collapsed="false">
      <c r="A1715" s="24" t="n">
        <v>1711</v>
      </c>
      <c r="B1715" s="25" t="str">
        <f aca="false">IF(OR(C1715="",I1715="",G1715=""),"",IFERROR(VLOOKUP(I1715,Setup!$A$9:$B$11,2,0),"???")&amp;"-"&amp;G1715&amp;"-"&amp;TEXT(COUNTIFS(I$5:I1715,I1715,G$5:G1715,G1715),"0000"))</f>
        <v/>
      </c>
      <c r="C1715" s="26"/>
      <c r="D1715" s="26"/>
      <c r="E1715" s="27"/>
      <c r="F1715" s="27"/>
      <c r="G1715" s="24" t="str">
        <f aca="false">IF(F1715="","",IF(F1715&lt;=5,"A",IF(F1715&lt;=8,"B",IF(F1715&lt;=10,"C","D"))))</f>
        <v/>
      </c>
      <c r="H1715" s="28"/>
      <c r="I1715" s="27"/>
      <c r="J1715" s="26"/>
      <c r="K1715" s="27"/>
      <c r="L1715" s="27"/>
      <c r="M1715" s="27"/>
      <c r="N1715" s="27"/>
      <c r="O1715" s="24" t="str">
        <f aca="false">IF(G1715="","",VLOOKUP(G1715,Setup!$A$14:$C$17,3,0))</f>
        <v/>
      </c>
      <c r="P1715" s="27"/>
      <c r="Q1715" s="29" t="str">
        <f aca="false">IF(OR(P1715="",M1715&lt;&gt;"Paid",O1715=""),"",P1715/O1715)</f>
        <v/>
      </c>
      <c r="R1715" s="30" t="str">
        <f aca="false">IF(Q1715="","",Q1715+N(H1715)*0.000000001)</f>
        <v/>
      </c>
      <c r="S1715" s="25" t="str">
        <f aca="false">IF(R1715="","",SUMPRODUCT((I$5:I$4004=I1715)*ISNUMBER(R$5:R$4004)*(R$5:R$4004&gt;R1715))+1)</f>
        <v/>
      </c>
      <c r="T1715" s="25" t="str">
        <f aca="false">IF(S1715="","",IF(S1715&lt;=Setup!$B$5,"🏆 WINNER",""))</f>
        <v/>
      </c>
      <c r="U1715" s="24" t="str">
        <f aca="false">IF(S1715="","",I1715&amp;"|"&amp;S1715)</f>
        <v/>
      </c>
    </row>
    <row r="1716" customFormat="false" ht="15" hidden="false" customHeight="false" outlineLevel="0" collapsed="false">
      <c r="A1716" s="31" t="n">
        <v>1712</v>
      </c>
      <c r="B1716" s="32" t="str">
        <f aca="false">IF(OR(C1716="",I1716="",G1716=""),"",IFERROR(VLOOKUP(I1716,Setup!$A$9:$B$11,2,0),"???")&amp;"-"&amp;G1716&amp;"-"&amp;TEXT(COUNTIFS(I$5:I1716,I1716,G$5:G1716,G1716),"0000"))</f>
        <v/>
      </c>
      <c r="C1716" s="26"/>
      <c r="D1716" s="26"/>
      <c r="E1716" s="27"/>
      <c r="F1716" s="27"/>
      <c r="G1716" s="31" t="str">
        <f aca="false">IF(F1716="","",IF(F1716&lt;=5,"A",IF(F1716&lt;=8,"B",IF(F1716&lt;=10,"C","D"))))</f>
        <v/>
      </c>
      <c r="H1716" s="28"/>
      <c r="I1716" s="27"/>
      <c r="J1716" s="26"/>
      <c r="K1716" s="27"/>
      <c r="L1716" s="27"/>
      <c r="M1716" s="27"/>
      <c r="N1716" s="27"/>
      <c r="O1716" s="31" t="str">
        <f aca="false">IF(G1716="","",VLOOKUP(G1716,Setup!$A$14:$C$17,3,0))</f>
        <v/>
      </c>
      <c r="P1716" s="27"/>
      <c r="Q1716" s="33" t="str">
        <f aca="false">IF(OR(P1716="",M1716&lt;&gt;"Paid",O1716=""),"",P1716/O1716)</f>
        <v/>
      </c>
      <c r="R1716" s="34" t="str">
        <f aca="false">IF(Q1716="","",Q1716+N(H1716)*0.000000001)</f>
        <v/>
      </c>
      <c r="S1716" s="32" t="str">
        <f aca="false">IF(R1716="","",SUMPRODUCT((I$5:I$4004=I1716)*ISNUMBER(R$5:R$4004)*(R$5:R$4004&gt;R1716))+1)</f>
        <v/>
      </c>
      <c r="T1716" s="32" t="str">
        <f aca="false">IF(S1716="","",IF(S1716&lt;=Setup!$B$5,"🏆 WINNER",""))</f>
        <v/>
      </c>
      <c r="U1716" s="31" t="str">
        <f aca="false">IF(S1716="","",I1716&amp;"|"&amp;S1716)</f>
        <v/>
      </c>
    </row>
    <row r="1717" customFormat="false" ht="15" hidden="false" customHeight="false" outlineLevel="0" collapsed="false">
      <c r="A1717" s="24" t="n">
        <v>1713</v>
      </c>
      <c r="B1717" s="25" t="str">
        <f aca="false">IF(OR(C1717="",I1717="",G1717=""),"",IFERROR(VLOOKUP(I1717,Setup!$A$9:$B$11,2,0),"???")&amp;"-"&amp;G1717&amp;"-"&amp;TEXT(COUNTIFS(I$5:I1717,I1717,G$5:G1717,G1717),"0000"))</f>
        <v/>
      </c>
      <c r="C1717" s="26"/>
      <c r="D1717" s="26"/>
      <c r="E1717" s="27"/>
      <c r="F1717" s="27"/>
      <c r="G1717" s="24" t="str">
        <f aca="false">IF(F1717="","",IF(F1717&lt;=5,"A",IF(F1717&lt;=8,"B",IF(F1717&lt;=10,"C","D"))))</f>
        <v/>
      </c>
      <c r="H1717" s="28"/>
      <c r="I1717" s="27"/>
      <c r="J1717" s="26"/>
      <c r="K1717" s="27"/>
      <c r="L1717" s="27"/>
      <c r="M1717" s="27"/>
      <c r="N1717" s="27"/>
      <c r="O1717" s="24" t="str">
        <f aca="false">IF(G1717="","",VLOOKUP(G1717,Setup!$A$14:$C$17,3,0))</f>
        <v/>
      </c>
      <c r="P1717" s="27"/>
      <c r="Q1717" s="29" t="str">
        <f aca="false">IF(OR(P1717="",M1717&lt;&gt;"Paid",O1717=""),"",P1717/O1717)</f>
        <v/>
      </c>
      <c r="R1717" s="30" t="str">
        <f aca="false">IF(Q1717="","",Q1717+N(H1717)*0.000000001)</f>
        <v/>
      </c>
      <c r="S1717" s="25" t="str">
        <f aca="false">IF(R1717="","",SUMPRODUCT((I$5:I$4004=I1717)*ISNUMBER(R$5:R$4004)*(R$5:R$4004&gt;R1717))+1)</f>
        <v/>
      </c>
      <c r="T1717" s="25" t="str">
        <f aca="false">IF(S1717="","",IF(S1717&lt;=Setup!$B$5,"🏆 WINNER",""))</f>
        <v/>
      </c>
      <c r="U1717" s="24" t="str">
        <f aca="false">IF(S1717="","",I1717&amp;"|"&amp;S1717)</f>
        <v/>
      </c>
    </row>
    <row r="1718" customFormat="false" ht="15" hidden="false" customHeight="false" outlineLevel="0" collapsed="false">
      <c r="A1718" s="31" t="n">
        <v>1714</v>
      </c>
      <c r="B1718" s="32" t="str">
        <f aca="false">IF(OR(C1718="",I1718="",G1718=""),"",IFERROR(VLOOKUP(I1718,Setup!$A$9:$B$11,2,0),"???")&amp;"-"&amp;G1718&amp;"-"&amp;TEXT(COUNTIFS(I$5:I1718,I1718,G$5:G1718,G1718),"0000"))</f>
        <v/>
      </c>
      <c r="C1718" s="26"/>
      <c r="D1718" s="26"/>
      <c r="E1718" s="27"/>
      <c r="F1718" s="27"/>
      <c r="G1718" s="31" t="str">
        <f aca="false">IF(F1718="","",IF(F1718&lt;=5,"A",IF(F1718&lt;=8,"B",IF(F1718&lt;=10,"C","D"))))</f>
        <v/>
      </c>
      <c r="H1718" s="28"/>
      <c r="I1718" s="27"/>
      <c r="J1718" s="26"/>
      <c r="K1718" s="27"/>
      <c r="L1718" s="27"/>
      <c r="M1718" s="27"/>
      <c r="N1718" s="27"/>
      <c r="O1718" s="31" t="str">
        <f aca="false">IF(G1718="","",VLOOKUP(G1718,Setup!$A$14:$C$17,3,0))</f>
        <v/>
      </c>
      <c r="P1718" s="27"/>
      <c r="Q1718" s="33" t="str">
        <f aca="false">IF(OR(P1718="",M1718&lt;&gt;"Paid",O1718=""),"",P1718/O1718)</f>
        <v/>
      </c>
      <c r="R1718" s="34" t="str">
        <f aca="false">IF(Q1718="","",Q1718+N(H1718)*0.000000001)</f>
        <v/>
      </c>
      <c r="S1718" s="32" t="str">
        <f aca="false">IF(R1718="","",SUMPRODUCT((I$5:I$4004=I1718)*ISNUMBER(R$5:R$4004)*(R$5:R$4004&gt;R1718))+1)</f>
        <v/>
      </c>
      <c r="T1718" s="32" t="str">
        <f aca="false">IF(S1718="","",IF(S1718&lt;=Setup!$B$5,"🏆 WINNER",""))</f>
        <v/>
      </c>
      <c r="U1718" s="31" t="str">
        <f aca="false">IF(S1718="","",I1718&amp;"|"&amp;S1718)</f>
        <v/>
      </c>
    </row>
    <row r="1719" customFormat="false" ht="15" hidden="false" customHeight="false" outlineLevel="0" collapsed="false">
      <c r="A1719" s="24" t="n">
        <v>1715</v>
      </c>
      <c r="B1719" s="25" t="str">
        <f aca="false">IF(OR(C1719="",I1719="",G1719=""),"",IFERROR(VLOOKUP(I1719,Setup!$A$9:$B$11,2,0),"???")&amp;"-"&amp;G1719&amp;"-"&amp;TEXT(COUNTIFS(I$5:I1719,I1719,G$5:G1719,G1719),"0000"))</f>
        <v/>
      </c>
      <c r="C1719" s="26"/>
      <c r="D1719" s="26"/>
      <c r="E1719" s="27"/>
      <c r="F1719" s="27"/>
      <c r="G1719" s="24" t="str">
        <f aca="false">IF(F1719="","",IF(F1719&lt;=5,"A",IF(F1719&lt;=8,"B",IF(F1719&lt;=10,"C","D"))))</f>
        <v/>
      </c>
      <c r="H1719" s="28"/>
      <c r="I1719" s="27"/>
      <c r="J1719" s="26"/>
      <c r="K1719" s="27"/>
      <c r="L1719" s="27"/>
      <c r="M1719" s="27"/>
      <c r="N1719" s="27"/>
      <c r="O1719" s="24" t="str">
        <f aca="false">IF(G1719="","",VLOOKUP(G1719,Setup!$A$14:$C$17,3,0))</f>
        <v/>
      </c>
      <c r="P1719" s="27"/>
      <c r="Q1719" s="29" t="str">
        <f aca="false">IF(OR(P1719="",M1719&lt;&gt;"Paid",O1719=""),"",P1719/O1719)</f>
        <v/>
      </c>
      <c r="R1719" s="30" t="str">
        <f aca="false">IF(Q1719="","",Q1719+N(H1719)*0.000000001)</f>
        <v/>
      </c>
      <c r="S1719" s="25" t="str">
        <f aca="false">IF(R1719="","",SUMPRODUCT((I$5:I$4004=I1719)*ISNUMBER(R$5:R$4004)*(R$5:R$4004&gt;R1719))+1)</f>
        <v/>
      </c>
      <c r="T1719" s="25" t="str">
        <f aca="false">IF(S1719="","",IF(S1719&lt;=Setup!$B$5,"🏆 WINNER",""))</f>
        <v/>
      </c>
      <c r="U1719" s="24" t="str">
        <f aca="false">IF(S1719="","",I1719&amp;"|"&amp;S1719)</f>
        <v/>
      </c>
    </row>
    <row r="1720" customFormat="false" ht="15" hidden="false" customHeight="false" outlineLevel="0" collapsed="false">
      <c r="A1720" s="31" t="n">
        <v>1716</v>
      </c>
      <c r="B1720" s="32" t="str">
        <f aca="false">IF(OR(C1720="",I1720="",G1720=""),"",IFERROR(VLOOKUP(I1720,Setup!$A$9:$B$11,2,0),"???")&amp;"-"&amp;G1720&amp;"-"&amp;TEXT(COUNTIFS(I$5:I1720,I1720,G$5:G1720,G1720),"0000"))</f>
        <v/>
      </c>
      <c r="C1720" s="26"/>
      <c r="D1720" s="26"/>
      <c r="E1720" s="27"/>
      <c r="F1720" s="27"/>
      <c r="G1720" s="31" t="str">
        <f aca="false">IF(F1720="","",IF(F1720&lt;=5,"A",IF(F1720&lt;=8,"B",IF(F1720&lt;=10,"C","D"))))</f>
        <v/>
      </c>
      <c r="H1720" s="28"/>
      <c r="I1720" s="27"/>
      <c r="J1720" s="26"/>
      <c r="K1720" s="27"/>
      <c r="L1720" s="27"/>
      <c r="M1720" s="27"/>
      <c r="N1720" s="27"/>
      <c r="O1720" s="31" t="str">
        <f aca="false">IF(G1720="","",VLOOKUP(G1720,Setup!$A$14:$C$17,3,0))</f>
        <v/>
      </c>
      <c r="P1720" s="27"/>
      <c r="Q1720" s="33" t="str">
        <f aca="false">IF(OR(P1720="",M1720&lt;&gt;"Paid",O1720=""),"",P1720/O1720)</f>
        <v/>
      </c>
      <c r="R1720" s="34" t="str">
        <f aca="false">IF(Q1720="","",Q1720+N(H1720)*0.000000001)</f>
        <v/>
      </c>
      <c r="S1720" s="32" t="str">
        <f aca="false">IF(R1720="","",SUMPRODUCT((I$5:I$4004=I1720)*ISNUMBER(R$5:R$4004)*(R$5:R$4004&gt;R1720))+1)</f>
        <v/>
      </c>
      <c r="T1720" s="32" t="str">
        <f aca="false">IF(S1720="","",IF(S1720&lt;=Setup!$B$5,"🏆 WINNER",""))</f>
        <v/>
      </c>
      <c r="U1720" s="31" t="str">
        <f aca="false">IF(S1720="","",I1720&amp;"|"&amp;S1720)</f>
        <v/>
      </c>
    </row>
    <row r="1721" customFormat="false" ht="15" hidden="false" customHeight="false" outlineLevel="0" collapsed="false">
      <c r="A1721" s="24" t="n">
        <v>1717</v>
      </c>
      <c r="B1721" s="25" t="str">
        <f aca="false">IF(OR(C1721="",I1721="",G1721=""),"",IFERROR(VLOOKUP(I1721,Setup!$A$9:$B$11,2,0),"???")&amp;"-"&amp;G1721&amp;"-"&amp;TEXT(COUNTIFS(I$5:I1721,I1721,G$5:G1721,G1721),"0000"))</f>
        <v/>
      </c>
      <c r="C1721" s="26"/>
      <c r="D1721" s="26"/>
      <c r="E1721" s="27"/>
      <c r="F1721" s="27"/>
      <c r="G1721" s="24" t="str">
        <f aca="false">IF(F1721="","",IF(F1721&lt;=5,"A",IF(F1721&lt;=8,"B",IF(F1721&lt;=10,"C","D"))))</f>
        <v/>
      </c>
      <c r="H1721" s="28"/>
      <c r="I1721" s="27"/>
      <c r="J1721" s="26"/>
      <c r="K1721" s="27"/>
      <c r="L1721" s="27"/>
      <c r="M1721" s="27"/>
      <c r="N1721" s="27"/>
      <c r="O1721" s="24" t="str">
        <f aca="false">IF(G1721="","",VLOOKUP(G1721,Setup!$A$14:$C$17,3,0))</f>
        <v/>
      </c>
      <c r="P1721" s="27"/>
      <c r="Q1721" s="29" t="str">
        <f aca="false">IF(OR(P1721="",M1721&lt;&gt;"Paid",O1721=""),"",P1721/O1721)</f>
        <v/>
      </c>
      <c r="R1721" s="30" t="str">
        <f aca="false">IF(Q1721="","",Q1721+N(H1721)*0.000000001)</f>
        <v/>
      </c>
      <c r="S1721" s="25" t="str">
        <f aca="false">IF(R1721="","",SUMPRODUCT((I$5:I$4004=I1721)*ISNUMBER(R$5:R$4004)*(R$5:R$4004&gt;R1721))+1)</f>
        <v/>
      </c>
      <c r="T1721" s="25" t="str">
        <f aca="false">IF(S1721="","",IF(S1721&lt;=Setup!$B$5,"🏆 WINNER",""))</f>
        <v/>
      </c>
      <c r="U1721" s="24" t="str">
        <f aca="false">IF(S1721="","",I1721&amp;"|"&amp;S1721)</f>
        <v/>
      </c>
    </row>
    <row r="1722" customFormat="false" ht="15" hidden="false" customHeight="false" outlineLevel="0" collapsed="false">
      <c r="A1722" s="31" t="n">
        <v>1718</v>
      </c>
      <c r="B1722" s="32" t="str">
        <f aca="false">IF(OR(C1722="",I1722="",G1722=""),"",IFERROR(VLOOKUP(I1722,Setup!$A$9:$B$11,2,0),"???")&amp;"-"&amp;G1722&amp;"-"&amp;TEXT(COUNTIFS(I$5:I1722,I1722,G$5:G1722,G1722),"0000"))</f>
        <v/>
      </c>
      <c r="C1722" s="26"/>
      <c r="D1722" s="26"/>
      <c r="E1722" s="27"/>
      <c r="F1722" s="27"/>
      <c r="G1722" s="31" t="str">
        <f aca="false">IF(F1722="","",IF(F1722&lt;=5,"A",IF(F1722&lt;=8,"B",IF(F1722&lt;=10,"C","D"))))</f>
        <v/>
      </c>
      <c r="H1722" s="28"/>
      <c r="I1722" s="27"/>
      <c r="J1722" s="26"/>
      <c r="K1722" s="27"/>
      <c r="L1722" s="27"/>
      <c r="M1722" s="27"/>
      <c r="N1722" s="27"/>
      <c r="O1722" s="31" t="str">
        <f aca="false">IF(G1722="","",VLOOKUP(G1722,Setup!$A$14:$C$17,3,0))</f>
        <v/>
      </c>
      <c r="P1722" s="27"/>
      <c r="Q1722" s="33" t="str">
        <f aca="false">IF(OR(P1722="",M1722&lt;&gt;"Paid",O1722=""),"",P1722/O1722)</f>
        <v/>
      </c>
      <c r="R1722" s="34" t="str">
        <f aca="false">IF(Q1722="","",Q1722+N(H1722)*0.000000001)</f>
        <v/>
      </c>
      <c r="S1722" s="32" t="str">
        <f aca="false">IF(R1722="","",SUMPRODUCT((I$5:I$4004=I1722)*ISNUMBER(R$5:R$4004)*(R$5:R$4004&gt;R1722))+1)</f>
        <v/>
      </c>
      <c r="T1722" s="32" t="str">
        <f aca="false">IF(S1722="","",IF(S1722&lt;=Setup!$B$5,"🏆 WINNER",""))</f>
        <v/>
      </c>
      <c r="U1722" s="31" t="str">
        <f aca="false">IF(S1722="","",I1722&amp;"|"&amp;S1722)</f>
        <v/>
      </c>
    </row>
    <row r="1723" customFormat="false" ht="15" hidden="false" customHeight="false" outlineLevel="0" collapsed="false">
      <c r="A1723" s="24" t="n">
        <v>1719</v>
      </c>
      <c r="B1723" s="25" t="str">
        <f aca="false">IF(OR(C1723="",I1723="",G1723=""),"",IFERROR(VLOOKUP(I1723,Setup!$A$9:$B$11,2,0),"???")&amp;"-"&amp;G1723&amp;"-"&amp;TEXT(COUNTIFS(I$5:I1723,I1723,G$5:G1723,G1723),"0000"))</f>
        <v/>
      </c>
      <c r="C1723" s="26"/>
      <c r="D1723" s="26"/>
      <c r="E1723" s="27"/>
      <c r="F1723" s="27"/>
      <c r="G1723" s="24" t="str">
        <f aca="false">IF(F1723="","",IF(F1723&lt;=5,"A",IF(F1723&lt;=8,"B",IF(F1723&lt;=10,"C","D"))))</f>
        <v/>
      </c>
      <c r="H1723" s="28"/>
      <c r="I1723" s="27"/>
      <c r="J1723" s="26"/>
      <c r="K1723" s="27"/>
      <c r="L1723" s="27"/>
      <c r="M1723" s="27"/>
      <c r="N1723" s="27"/>
      <c r="O1723" s="24" t="str">
        <f aca="false">IF(G1723="","",VLOOKUP(G1723,Setup!$A$14:$C$17,3,0))</f>
        <v/>
      </c>
      <c r="P1723" s="27"/>
      <c r="Q1723" s="29" t="str">
        <f aca="false">IF(OR(P1723="",M1723&lt;&gt;"Paid",O1723=""),"",P1723/O1723)</f>
        <v/>
      </c>
      <c r="R1723" s="30" t="str">
        <f aca="false">IF(Q1723="","",Q1723+N(H1723)*0.000000001)</f>
        <v/>
      </c>
      <c r="S1723" s="25" t="str">
        <f aca="false">IF(R1723="","",SUMPRODUCT((I$5:I$4004=I1723)*ISNUMBER(R$5:R$4004)*(R$5:R$4004&gt;R1723))+1)</f>
        <v/>
      </c>
      <c r="T1723" s="25" t="str">
        <f aca="false">IF(S1723="","",IF(S1723&lt;=Setup!$B$5,"🏆 WINNER",""))</f>
        <v/>
      </c>
      <c r="U1723" s="24" t="str">
        <f aca="false">IF(S1723="","",I1723&amp;"|"&amp;S1723)</f>
        <v/>
      </c>
    </row>
    <row r="1724" customFormat="false" ht="15" hidden="false" customHeight="false" outlineLevel="0" collapsed="false">
      <c r="A1724" s="31" t="n">
        <v>1720</v>
      </c>
      <c r="B1724" s="32" t="str">
        <f aca="false">IF(OR(C1724="",I1724="",G1724=""),"",IFERROR(VLOOKUP(I1724,Setup!$A$9:$B$11,2,0),"???")&amp;"-"&amp;G1724&amp;"-"&amp;TEXT(COUNTIFS(I$5:I1724,I1724,G$5:G1724,G1724),"0000"))</f>
        <v/>
      </c>
      <c r="C1724" s="26"/>
      <c r="D1724" s="26"/>
      <c r="E1724" s="27"/>
      <c r="F1724" s="27"/>
      <c r="G1724" s="31" t="str">
        <f aca="false">IF(F1724="","",IF(F1724&lt;=5,"A",IF(F1724&lt;=8,"B",IF(F1724&lt;=10,"C","D"))))</f>
        <v/>
      </c>
      <c r="H1724" s="28"/>
      <c r="I1724" s="27"/>
      <c r="J1724" s="26"/>
      <c r="K1724" s="27"/>
      <c r="L1724" s="27"/>
      <c r="M1724" s="27"/>
      <c r="N1724" s="27"/>
      <c r="O1724" s="31" t="str">
        <f aca="false">IF(G1724="","",VLOOKUP(G1724,Setup!$A$14:$C$17,3,0))</f>
        <v/>
      </c>
      <c r="P1724" s="27"/>
      <c r="Q1724" s="33" t="str">
        <f aca="false">IF(OR(P1724="",M1724&lt;&gt;"Paid",O1724=""),"",P1724/O1724)</f>
        <v/>
      </c>
      <c r="R1724" s="34" t="str">
        <f aca="false">IF(Q1724="","",Q1724+N(H1724)*0.000000001)</f>
        <v/>
      </c>
      <c r="S1724" s="32" t="str">
        <f aca="false">IF(R1724="","",SUMPRODUCT((I$5:I$4004=I1724)*ISNUMBER(R$5:R$4004)*(R$5:R$4004&gt;R1724))+1)</f>
        <v/>
      </c>
      <c r="T1724" s="32" t="str">
        <f aca="false">IF(S1724="","",IF(S1724&lt;=Setup!$B$5,"🏆 WINNER",""))</f>
        <v/>
      </c>
      <c r="U1724" s="31" t="str">
        <f aca="false">IF(S1724="","",I1724&amp;"|"&amp;S1724)</f>
        <v/>
      </c>
    </row>
    <row r="1725" customFormat="false" ht="15" hidden="false" customHeight="false" outlineLevel="0" collapsed="false">
      <c r="A1725" s="24" t="n">
        <v>1721</v>
      </c>
      <c r="B1725" s="25" t="str">
        <f aca="false">IF(OR(C1725="",I1725="",G1725=""),"",IFERROR(VLOOKUP(I1725,Setup!$A$9:$B$11,2,0),"???")&amp;"-"&amp;G1725&amp;"-"&amp;TEXT(COUNTIFS(I$5:I1725,I1725,G$5:G1725,G1725),"0000"))</f>
        <v/>
      </c>
      <c r="C1725" s="26"/>
      <c r="D1725" s="26"/>
      <c r="E1725" s="27"/>
      <c r="F1725" s="27"/>
      <c r="G1725" s="24" t="str">
        <f aca="false">IF(F1725="","",IF(F1725&lt;=5,"A",IF(F1725&lt;=8,"B",IF(F1725&lt;=10,"C","D"))))</f>
        <v/>
      </c>
      <c r="H1725" s="28"/>
      <c r="I1725" s="27"/>
      <c r="J1725" s="26"/>
      <c r="K1725" s="27"/>
      <c r="L1725" s="27"/>
      <c r="M1725" s="27"/>
      <c r="N1725" s="27"/>
      <c r="O1725" s="24" t="str">
        <f aca="false">IF(G1725="","",VLOOKUP(G1725,Setup!$A$14:$C$17,3,0))</f>
        <v/>
      </c>
      <c r="P1725" s="27"/>
      <c r="Q1725" s="29" t="str">
        <f aca="false">IF(OR(P1725="",M1725&lt;&gt;"Paid",O1725=""),"",P1725/O1725)</f>
        <v/>
      </c>
      <c r="R1725" s="30" t="str">
        <f aca="false">IF(Q1725="","",Q1725+N(H1725)*0.000000001)</f>
        <v/>
      </c>
      <c r="S1725" s="25" t="str">
        <f aca="false">IF(R1725="","",SUMPRODUCT((I$5:I$4004=I1725)*ISNUMBER(R$5:R$4004)*(R$5:R$4004&gt;R1725))+1)</f>
        <v/>
      </c>
      <c r="T1725" s="25" t="str">
        <f aca="false">IF(S1725="","",IF(S1725&lt;=Setup!$B$5,"🏆 WINNER",""))</f>
        <v/>
      </c>
      <c r="U1725" s="24" t="str">
        <f aca="false">IF(S1725="","",I1725&amp;"|"&amp;S1725)</f>
        <v/>
      </c>
    </row>
    <row r="1726" customFormat="false" ht="15" hidden="false" customHeight="false" outlineLevel="0" collapsed="false">
      <c r="A1726" s="31" t="n">
        <v>1722</v>
      </c>
      <c r="B1726" s="32" t="str">
        <f aca="false">IF(OR(C1726="",I1726="",G1726=""),"",IFERROR(VLOOKUP(I1726,Setup!$A$9:$B$11,2,0),"???")&amp;"-"&amp;G1726&amp;"-"&amp;TEXT(COUNTIFS(I$5:I1726,I1726,G$5:G1726,G1726),"0000"))</f>
        <v/>
      </c>
      <c r="C1726" s="26"/>
      <c r="D1726" s="26"/>
      <c r="E1726" s="27"/>
      <c r="F1726" s="27"/>
      <c r="G1726" s="31" t="str">
        <f aca="false">IF(F1726="","",IF(F1726&lt;=5,"A",IF(F1726&lt;=8,"B",IF(F1726&lt;=10,"C","D"))))</f>
        <v/>
      </c>
      <c r="H1726" s="28"/>
      <c r="I1726" s="27"/>
      <c r="J1726" s="26"/>
      <c r="K1726" s="27"/>
      <c r="L1726" s="27"/>
      <c r="M1726" s="27"/>
      <c r="N1726" s="27"/>
      <c r="O1726" s="31" t="str">
        <f aca="false">IF(G1726="","",VLOOKUP(G1726,Setup!$A$14:$C$17,3,0))</f>
        <v/>
      </c>
      <c r="P1726" s="27"/>
      <c r="Q1726" s="33" t="str">
        <f aca="false">IF(OR(P1726="",M1726&lt;&gt;"Paid",O1726=""),"",P1726/O1726)</f>
        <v/>
      </c>
      <c r="R1726" s="34" t="str">
        <f aca="false">IF(Q1726="","",Q1726+N(H1726)*0.000000001)</f>
        <v/>
      </c>
      <c r="S1726" s="32" t="str">
        <f aca="false">IF(R1726="","",SUMPRODUCT((I$5:I$4004=I1726)*ISNUMBER(R$5:R$4004)*(R$5:R$4004&gt;R1726))+1)</f>
        <v/>
      </c>
      <c r="T1726" s="32" t="str">
        <f aca="false">IF(S1726="","",IF(S1726&lt;=Setup!$B$5,"🏆 WINNER",""))</f>
        <v/>
      </c>
      <c r="U1726" s="31" t="str">
        <f aca="false">IF(S1726="","",I1726&amp;"|"&amp;S1726)</f>
        <v/>
      </c>
    </row>
    <row r="1727" customFormat="false" ht="15" hidden="false" customHeight="false" outlineLevel="0" collapsed="false">
      <c r="A1727" s="24" t="n">
        <v>1723</v>
      </c>
      <c r="B1727" s="25" t="str">
        <f aca="false">IF(OR(C1727="",I1727="",G1727=""),"",IFERROR(VLOOKUP(I1727,Setup!$A$9:$B$11,2,0),"???")&amp;"-"&amp;G1727&amp;"-"&amp;TEXT(COUNTIFS(I$5:I1727,I1727,G$5:G1727,G1727),"0000"))</f>
        <v/>
      </c>
      <c r="C1727" s="26"/>
      <c r="D1727" s="26"/>
      <c r="E1727" s="27"/>
      <c r="F1727" s="27"/>
      <c r="G1727" s="24" t="str">
        <f aca="false">IF(F1727="","",IF(F1727&lt;=5,"A",IF(F1727&lt;=8,"B",IF(F1727&lt;=10,"C","D"))))</f>
        <v/>
      </c>
      <c r="H1727" s="28"/>
      <c r="I1727" s="27"/>
      <c r="J1727" s="26"/>
      <c r="K1727" s="27"/>
      <c r="L1727" s="27"/>
      <c r="M1727" s="27"/>
      <c r="N1727" s="27"/>
      <c r="O1727" s="24" t="str">
        <f aca="false">IF(G1727="","",VLOOKUP(G1727,Setup!$A$14:$C$17,3,0))</f>
        <v/>
      </c>
      <c r="P1727" s="27"/>
      <c r="Q1727" s="29" t="str">
        <f aca="false">IF(OR(P1727="",M1727&lt;&gt;"Paid",O1727=""),"",P1727/O1727)</f>
        <v/>
      </c>
      <c r="R1727" s="30" t="str">
        <f aca="false">IF(Q1727="","",Q1727+N(H1727)*0.000000001)</f>
        <v/>
      </c>
      <c r="S1727" s="25" t="str">
        <f aca="false">IF(R1727="","",SUMPRODUCT((I$5:I$4004=I1727)*ISNUMBER(R$5:R$4004)*(R$5:R$4004&gt;R1727))+1)</f>
        <v/>
      </c>
      <c r="T1727" s="25" t="str">
        <f aca="false">IF(S1727="","",IF(S1727&lt;=Setup!$B$5,"🏆 WINNER",""))</f>
        <v/>
      </c>
      <c r="U1727" s="24" t="str">
        <f aca="false">IF(S1727="","",I1727&amp;"|"&amp;S1727)</f>
        <v/>
      </c>
    </row>
    <row r="1728" customFormat="false" ht="15" hidden="false" customHeight="false" outlineLevel="0" collapsed="false">
      <c r="A1728" s="31" t="n">
        <v>1724</v>
      </c>
      <c r="B1728" s="32" t="str">
        <f aca="false">IF(OR(C1728="",I1728="",G1728=""),"",IFERROR(VLOOKUP(I1728,Setup!$A$9:$B$11,2,0),"???")&amp;"-"&amp;G1728&amp;"-"&amp;TEXT(COUNTIFS(I$5:I1728,I1728,G$5:G1728,G1728),"0000"))</f>
        <v/>
      </c>
      <c r="C1728" s="26"/>
      <c r="D1728" s="26"/>
      <c r="E1728" s="27"/>
      <c r="F1728" s="27"/>
      <c r="G1728" s="31" t="str">
        <f aca="false">IF(F1728="","",IF(F1728&lt;=5,"A",IF(F1728&lt;=8,"B",IF(F1728&lt;=10,"C","D"))))</f>
        <v/>
      </c>
      <c r="H1728" s="28"/>
      <c r="I1728" s="27"/>
      <c r="J1728" s="26"/>
      <c r="K1728" s="27"/>
      <c r="L1728" s="27"/>
      <c r="M1728" s="27"/>
      <c r="N1728" s="27"/>
      <c r="O1728" s="31" t="str">
        <f aca="false">IF(G1728="","",VLOOKUP(G1728,Setup!$A$14:$C$17,3,0))</f>
        <v/>
      </c>
      <c r="P1728" s="27"/>
      <c r="Q1728" s="33" t="str">
        <f aca="false">IF(OR(P1728="",M1728&lt;&gt;"Paid",O1728=""),"",P1728/O1728)</f>
        <v/>
      </c>
      <c r="R1728" s="34" t="str">
        <f aca="false">IF(Q1728="","",Q1728+N(H1728)*0.000000001)</f>
        <v/>
      </c>
      <c r="S1728" s="32" t="str">
        <f aca="false">IF(R1728="","",SUMPRODUCT((I$5:I$4004=I1728)*ISNUMBER(R$5:R$4004)*(R$5:R$4004&gt;R1728))+1)</f>
        <v/>
      </c>
      <c r="T1728" s="32" t="str">
        <f aca="false">IF(S1728="","",IF(S1728&lt;=Setup!$B$5,"🏆 WINNER",""))</f>
        <v/>
      </c>
      <c r="U1728" s="31" t="str">
        <f aca="false">IF(S1728="","",I1728&amp;"|"&amp;S1728)</f>
        <v/>
      </c>
    </row>
    <row r="1729" customFormat="false" ht="15" hidden="false" customHeight="false" outlineLevel="0" collapsed="false">
      <c r="A1729" s="24" t="n">
        <v>1725</v>
      </c>
      <c r="B1729" s="25" t="str">
        <f aca="false">IF(OR(C1729="",I1729="",G1729=""),"",IFERROR(VLOOKUP(I1729,Setup!$A$9:$B$11,2,0),"???")&amp;"-"&amp;G1729&amp;"-"&amp;TEXT(COUNTIFS(I$5:I1729,I1729,G$5:G1729,G1729),"0000"))</f>
        <v/>
      </c>
      <c r="C1729" s="26"/>
      <c r="D1729" s="26"/>
      <c r="E1729" s="27"/>
      <c r="F1729" s="27"/>
      <c r="G1729" s="24" t="str">
        <f aca="false">IF(F1729="","",IF(F1729&lt;=5,"A",IF(F1729&lt;=8,"B",IF(F1729&lt;=10,"C","D"))))</f>
        <v/>
      </c>
      <c r="H1729" s="28"/>
      <c r="I1729" s="27"/>
      <c r="J1729" s="26"/>
      <c r="K1729" s="27"/>
      <c r="L1729" s="27"/>
      <c r="M1729" s="27"/>
      <c r="N1729" s="27"/>
      <c r="O1729" s="24" t="str">
        <f aca="false">IF(G1729="","",VLOOKUP(G1729,Setup!$A$14:$C$17,3,0))</f>
        <v/>
      </c>
      <c r="P1729" s="27"/>
      <c r="Q1729" s="29" t="str">
        <f aca="false">IF(OR(P1729="",M1729&lt;&gt;"Paid",O1729=""),"",P1729/O1729)</f>
        <v/>
      </c>
      <c r="R1729" s="30" t="str">
        <f aca="false">IF(Q1729="","",Q1729+N(H1729)*0.000000001)</f>
        <v/>
      </c>
      <c r="S1729" s="25" t="str">
        <f aca="false">IF(R1729="","",SUMPRODUCT((I$5:I$4004=I1729)*ISNUMBER(R$5:R$4004)*(R$5:R$4004&gt;R1729))+1)</f>
        <v/>
      </c>
      <c r="T1729" s="25" t="str">
        <f aca="false">IF(S1729="","",IF(S1729&lt;=Setup!$B$5,"🏆 WINNER",""))</f>
        <v/>
      </c>
      <c r="U1729" s="24" t="str">
        <f aca="false">IF(S1729="","",I1729&amp;"|"&amp;S1729)</f>
        <v/>
      </c>
    </row>
    <row r="1730" customFormat="false" ht="15" hidden="false" customHeight="false" outlineLevel="0" collapsed="false">
      <c r="A1730" s="31" t="n">
        <v>1726</v>
      </c>
      <c r="B1730" s="32" t="str">
        <f aca="false">IF(OR(C1730="",I1730="",G1730=""),"",IFERROR(VLOOKUP(I1730,Setup!$A$9:$B$11,2,0),"???")&amp;"-"&amp;G1730&amp;"-"&amp;TEXT(COUNTIFS(I$5:I1730,I1730,G$5:G1730,G1730),"0000"))</f>
        <v/>
      </c>
      <c r="C1730" s="26"/>
      <c r="D1730" s="26"/>
      <c r="E1730" s="27"/>
      <c r="F1730" s="27"/>
      <c r="G1730" s="31" t="str">
        <f aca="false">IF(F1730="","",IF(F1730&lt;=5,"A",IF(F1730&lt;=8,"B",IF(F1730&lt;=10,"C","D"))))</f>
        <v/>
      </c>
      <c r="H1730" s="28"/>
      <c r="I1730" s="27"/>
      <c r="J1730" s="26"/>
      <c r="K1730" s="27"/>
      <c r="L1730" s="27"/>
      <c r="M1730" s="27"/>
      <c r="N1730" s="27"/>
      <c r="O1730" s="31" t="str">
        <f aca="false">IF(G1730="","",VLOOKUP(G1730,Setup!$A$14:$C$17,3,0))</f>
        <v/>
      </c>
      <c r="P1730" s="27"/>
      <c r="Q1730" s="33" t="str">
        <f aca="false">IF(OR(P1730="",M1730&lt;&gt;"Paid",O1730=""),"",P1730/O1730)</f>
        <v/>
      </c>
      <c r="R1730" s="34" t="str">
        <f aca="false">IF(Q1730="","",Q1730+N(H1730)*0.000000001)</f>
        <v/>
      </c>
      <c r="S1730" s="32" t="str">
        <f aca="false">IF(R1730="","",SUMPRODUCT((I$5:I$4004=I1730)*ISNUMBER(R$5:R$4004)*(R$5:R$4004&gt;R1730))+1)</f>
        <v/>
      </c>
      <c r="T1730" s="32" t="str">
        <f aca="false">IF(S1730="","",IF(S1730&lt;=Setup!$B$5,"🏆 WINNER",""))</f>
        <v/>
      </c>
      <c r="U1730" s="31" t="str">
        <f aca="false">IF(S1730="","",I1730&amp;"|"&amp;S1730)</f>
        <v/>
      </c>
    </row>
    <row r="1731" customFormat="false" ht="15" hidden="false" customHeight="false" outlineLevel="0" collapsed="false">
      <c r="A1731" s="24" t="n">
        <v>1727</v>
      </c>
      <c r="B1731" s="25" t="str">
        <f aca="false">IF(OR(C1731="",I1731="",G1731=""),"",IFERROR(VLOOKUP(I1731,Setup!$A$9:$B$11,2,0),"???")&amp;"-"&amp;G1731&amp;"-"&amp;TEXT(COUNTIFS(I$5:I1731,I1731,G$5:G1731,G1731),"0000"))</f>
        <v/>
      </c>
      <c r="C1731" s="26"/>
      <c r="D1731" s="26"/>
      <c r="E1731" s="27"/>
      <c r="F1731" s="27"/>
      <c r="G1731" s="24" t="str">
        <f aca="false">IF(F1731="","",IF(F1731&lt;=5,"A",IF(F1731&lt;=8,"B",IF(F1731&lt;=10,"C","D"))))</f>
        <v/>
      </c>
      <c r="H1731" s="28"/>
      <c r="I1731" s="27"/>
      <c r="J1731" s="26"/>
      <c r="K1731" s="27"/>
      <c r="L1731" s="27"/>
      <c r="M1731" s="27"/>
      <c r="N1731" s="27"/>
      <c r="O1731" s="24" t="str">
        <f aca="false">IF(G1731="","",VLOOKUP(G1731,Setup!$A$14:$C$17,3,0))</f>
        <v/>
      </c>
      <c r="P1731" s="27"/>
      <c r="Q1731" s="29" t="str">
        <f aca="false">IF(OR(P1731="",M1731&lt;&gt;"Paid",O1731=""),"",P1731/O1731)</f>
        <v/>
      </c>
      <c r="R1731" s="30" t="str">
        <f aca="false">IF(Q1731="","",Q1731+N(H1731)*0.000000001)</f>
        <v/>
      </c>
      <c r="S1731" s="25" t="str">
        <f aca="false">IF(R1731="","",SUMPRODUCT((I$5:I$4004=I1731)*ISNUMBER(R$5:R$4004)*(R$5:R$4004&gt;R1731))+1)</f>
        <v/>
      </c>
      <c r="T1731" s="25" t="str">
        <f aca="false">IF(S1731="","",IF(S1731&lt;=Setup!$B$5,"🏆 WINNER",""))</f>
        <v/>
      </c>
      <c r="U1731" s="24" t="str">
        <f aca="false">IF(S1731="","",I1731&amp;"|"&amp;S1731)</f>
        <v/>
      </c>
    </row>
    <row r="1732" customFormat="false" ht="15" hidden="false" customHeight="false" outlineLevel="0" collapsed="false">
      <c r="A1732" s="31" t="n">
        <v>1728</v>
      </c>
      <c r="B1732" s="32" t="str">
        <f aca="false">IF(OR(C1732="",I1732="",G1732=""),"",IFERROR(VLOOKUP(I1732,Setup!$A$9:$B$11,2,0),"???")&amp;"-"&amp;G1732&amp;"-"&amp;TEXT(COUNTIFS(I$5:I1732,I1732,G$5:G1732,G1732),"0000"))</f>
        <v/>
      </c>
      <c r="C1732" s="26"/>
      <c r="D1732" s="26"/>
      <c r="E1732" s="27"/>
      <c r="F1732" s="27"/>
      <c r="G1732" s="31" t="str">
        <f aca="false">IF(F1732="","",IF(F1732&lt;=5,"A",IF(F1732&lt;=8,"B",IF(F1732&lt;=10,"C","D"))))</f>
        <v/>
      </c>
      <c r="H1732" s="28"/>
      <c r="I1732" s="27"/>
      <c r="J1732" s="26"/>
      <c r="K1732" s="27"/>
      <c r="L1732" s="27"/>
      <c r="M1732" s="27"/>
      <c r="N1732" s="27"/>
      <c r="O1732" s="31" t="str">
        <f aca="false">IF(G1732="","",VLOOKUP(G1732,Setup!$A$14:$C$17,3,0))</f>
        <v/>
      </c>
      <c r="P1732" s="27"/>
      <c r="Q1732" s="33" t="str">
        <f aca="false">IF(OR(P1732="",M1732&lt;&gt;"Paid",O1732=""),"",P1732/O1732)</f>
        <v/>
      </c>
      <c r="R1732" s="34" t="str">
        <f aca="false">IF(Q1732="","",Q1732+N(H1732)*0.000000001)</f>
        <v/>
      </c>
      <c r="S1732" s="32" t="str">
        <f aca="false">IF(R1732="","",SUMPRODUCT((I$5:I$4004=I1732)*ISNUMBER(R$5:R$4004)*(R$5:R$4004&gt;R1732))+1)</f>
        <v/>
      </c>
      <c r="T1732" s="32" t="str">
        <f aca="false">IF(S1732="","",IF(S1732&lt;=Setup!$B$5,"🏆 WINNER",""))</f>
        <v/>
      </c>
      <c r="U1732" s="31" t="str">
        <f aca="false">IF(S1732="","",I1732&amp;"|"&amp;S1732)</f>
        <v/>
      </c>
    </row>
    <row r="1733" customFormat="false" ht="15" hidden="false" customHeight="false" outlineLevel="0" collapsed="false">
      <c r="A1733" s="24" t="n">
        <v>1729</v>
      </c>
      <c r="B1733" s="25" t="str">
        <f aca="false">IF(OR(C1733="",I1733="",G1733=""),"",IFERROR(VLOOKUP(I1733,Setup!$A$9:$B$11,2,0),"???")&amp;"-"&amp;G1733&amp;"-"&amp;TEXT(COUNTIFS(I$5:I1733,I1733,G$5:G1733,G1733),"0000"))</f>
        <v/>
      </c>
      <c r="C1733" s="26"/>
      <c r="D1733" s="26"/>
      <c r="E1733" s="27"/>
      <c r="F1733" s="27"/>
      <c r="G1733" s="24" t="str">
        <f aca="false">IF(F1733="","",IF(F1733&lt;=5,"A",IF(F1733&lt;=8,"B",IF(F1733&lt;=10,"C","D"))))</f>
        <v/>
      </c>
      <c r="H1733" s="28"/>
      <c r="I1733" s="27"/>
      <c r="J1733" s="26"/>
      <c r="K1733" s="27"/>
      <c r="L1733" s="27"/>
      <c r="M1733" s="27"/>
      <c r="N1733" s="27"/>
      <c r="O1733" s="24" t="str">
        <f aca="false">IF(G1733="","",VLOOKUP(G1733,Setup!$A$14:$C$17,3,0))</f>
        <v/>
      </c>
      <c r="P1733" s="27"/>
      <c r="Q1733" s="29" t="str">
        <f aca="false">IF(OR(P1733="",M1733&lt;&gt;"Paid",O1733=""),"",P1733/O1733)</f>
        <v/>
      </c>
      <c r="R1733" s="30" t="str">
        <f aca="false">IF(Q1733="","",Q1733+N(H1733)*0.000000001)</f>
        <v/>
      </c>
      <c r="S1733" s="25" t="str">
        <f aca="false">IF(R1733="","",SUMPRODUCT((I$5:I$4004=I1733)*ISNUMBER(R$5:R$4004)*(R$5:R$4004&gt;R1733))+1)</f>
        <v/>
      </c>
      <c r="T1733" s="25" t="str">
        <f aca="false">IF(S1733="","",IF(S1733&lt;=Setup!$B$5,"🏆 WINNER",""))</f>
        <v/>
      </c>
      <c r="U1733" s="24" t="str">
        <f aca="false">IF(S1733="","",I1733&amp;"|"&amp;S1733)</f>
        <v/>
      </c>
    </row>
    <row r="1734" customFormat="false" ht="15" hidden="false" customHeight="false" outlineLevel="0" collapsed="false">
      <c r="A1734" s="31" t="n">
        <v>1730</v>
      </c>
      <c r="B1734" s="32" t="str">
        <f aca="false">IF(OR(C1734="",I1734="",G1734=""),"",IFERROR(VLOOKUP(I1734,Setup!$A$9:$B$11,2,0),"???")&amp;"-"&amp;G1734&amp;"-"&amp;TEXT(COUNTIFS(I$5:I1734,I1734,G$5:G1734,G1734),"0000"))</f>
        <v/>
      </c>
      <c r="C1734" s="26"/>
      <c r="D1734" s="26"/>
      <c r="E1734" s="27"/>
      <c r="F1734" s="27"/>
      <c r="G1734" s="31" t="str">
        <f aca="false">IF(F1734="","",IF(F1734&lt;=5,"A",IF(F1734&lt;=8,"B",IF(F1734&lt;=10,"C","D"))))</f>
        <v/>
      </c>
      <c r="H1734" s="28"/>
      <c r="I1734" s="27"/>
      <c r="J1734" s="26"/>
      <c r="K1734" s="27"/>
      <c r="L1734" s="27"/>
      <c r="M1734" s="27"/>
      <c r="N1734" s="27"/>
      <c r="O1734" s="31" t="str">
        <f aca="false">IF(G1734="","",VLOOKUP(G1734,Setup!$A$14:$C$17,3,0))</f>
        <v/>
      </c>
      <c r="P1734" s="27"/>
      <c r="Q1734" s="33" t="str">
        <f aca="false">IF(OR(P1734="",M1734&lt;&gt;"Paid",O1734=""),"",P1734/O1734)</f>
        <v/>
      </c>
      <c r="R1734" s="34" t="str">
        <f aca="false">IF(Q1734="","",Q1734+N(H1734)*0.000000001)</f>
        <v/>
      </c>
      <c r="S1734" s="32" t="str">
        <f aca="false">IF(R1734="","",SUMPRODUCT((I$5:I$4004=I1734)*ISNUMBER(R$5:R$4004)*(R$5:R$4004&gt;R1734))+1)</f>
        <v/>
      </c>
      <c r="T1734" s="32" t="str">
        <f aca="false">IF(S1734="","",IF(S1734&lt;=Setup!$B$5,"🏆 WINNER",""))</f>
        <v/>
      </c>
      <c r="U1734" s="31" t="str">
        <f aca="false">IF(S1734="","",I1734&amp;"|"&amp;S1734)</f>
        <v/>
      </c>
    </row>
    <row r="1735" customFormat="false" ht="15" hidden="false" customHeight="false" outlineLevel="0" collapsed="false">
      <c r="A1735" s="24" t="n">
        <v>1731</v>
      </c>
      <c r="B1735" s="25" t="str">
        <f aca="false">IF(OR(C1735="",I1735="",G1735=""),"",IFERROR(VLOOKUP(I1735,Setup!$A$9:$B$11,2,0),"???")&amp;"-"&amp;G1735&amp;"-"&amp;TEXT(COUNTIFS(I$5:I1735,I1735,G$5:G1735,G1735),"0000"))</f>
        <v/>
      </c>
      <c r="C1735" s="26"/>
      <c r="D1735" s="26"/>
      <c r="E1735" s="27"/>
      <c r="F1735" s="27"/>
      <c r="G1735" s="24" t="str">
        <f aca="false">IF(F1735="","",IF(F1735&lt;=5,"A",IF(F1735&lt;=8,"B",IF(F1735&lt;=10,"C","D"))))</f>
        <v/>
      </c>
      <c r="H1735" s="28"/>
      <c r="I1735" s="27"/>
      <c r="J1735" s="26"/>
      <c r="K1735" s="27"/>
      <c r="L1735" s="27"/>
      <c r="M1735" s="27"/>
      <c r="N1735" s="27"/>
      <c r="O1735" s="24" t="str">
        <f aca="false">IF(G1735="","",VLOOKUP(G1735,Setup!$A$14:$C$17,3,0))</f>
        <v/>
      </c>
      <c r="P1735" s="27"/>
      <c r="Q1735" s="29" t="str">
        <f aca="false">IF(OR(P1735="",M1735&lt;&gt;"Paid",O1735=""),"",P1735/O1735)</f>
        <v/>
      </c>
      <c r="R1735" s="30" t="str">
        <f aca="false">IF(Q1735="","",Q1735+N(H1735)*0.000000001)</f>
        <v/>
      </c>
      <c r="S1735" s="25" t="str">
        <f aca="false">IF(R1735="","",SUMPRODUCT((I$5:I$4004=I1735)*ISNUMBER(R$5:R$4004)*(R$5:R$4004&gt;R1735))+1)</f>
        <v/>
      </c>
      <c r="T1735" s="25" t="str">
        <f aca="false">IF(S1735="","",IF(S1735&lt;=Setup!$B$5,"🏆 WINNER",""))</f>
        <v/>
      </c>
      <c r="U1735" s="24" t="str">
        <f aca="false">IF(S1735="","",I1735&amp;"|"&amp;S1735)</f>
        <v/>
      </c>
    </row>
    <row r="1736" customFormat="false" ht="15" hidden="false" customHeight="false" outlineLevel="0" collapsed="false">
      <c r="A1736" s="31" t="n">
        <v>1732</v>
      </c>
      <c r="B1736" s="32" t="str">
        <f aca="false">IF(OR(C1736="",I1736="",G1736=""),"",IFERROR(VLOOKUP(I1736,Setup!$A$9:$B$11,2,0),"???")&amp;"-"&amp;G1736&amp;"-"&amp;TEXT(COUNTIFS(I$5:I1736,I1736,G$5:G1736,G1736),"0000"))</f>
        <v/>
      </c>
      <c r="C1736" s="26"/>
      <c r="D1736" s="26"/>
      <c r="E1736" s="27"/>
      <c r="F1736" s="27"/>
      <c r="G1736" s="31" t="str">
        <f aca="false">IF(F1736="","",IF(F1736&lt;=5,"A",IF(F1736&lt;=8,"B",IF(F1736&lt;=10,"C","D"))))</f>
        <v/>
      </c>
      <c r="H1736" s="28"/>
      <c r="I1736" s="27"/>
      <c r="J1736" s="26"/>
      <c r="K1736" s="27"/>
      <c r="L1736" s="27"/>
      <c r="M1736" s="27"/>
      <c r="N1736" s="27"/>
      <c r="O1736" s="31" t="str">
        <f aca="false">IF(G1736="","",VLOOKUP(G1736,Setup!$A$14:$C$17,3,0))</f>
        <v/>
      </c>
      <c r="P1736" s="27"/>
      <c r="Q1736" s="33" t="str">
        <f aca="false">IF(OR(P1736="",M1736&lt;&gt;"Paid",O1736=""),"",P1736/O1736)</f>
        <v/>
      </c>
      <c r="R1736" s="34" t="str">
        <f aca="false">IF(Q1736="","",Q1736+N(H1736)*0.000000001)</f>
        <v/>
      </c>
      <c r="S1736" s="32" t="str">
        <f aca="false">IF(R1736="","",SUMPRODUCT((I$5:I$4004=I1736)*ISNUMBER(R$5:R$4004)*(R$5:R$4004&gt;R1736))+1)</f>
        <v/>
      </c>
      <c r="T1736" s="32" t="str">
        <f aca="false">IF(S1736="","",IF(S1736&lt;=Setup!$B$5,"🏆 WINNER",""))</f>
        <v/>
      </c>
      <c r="U1736" s="31" t="str">
        <f aca="false">IF(S1736="","",I1736&amp;"|"&amp;S1736)</f>
        <v/>
      </c>
    </row>
    <row r="1737" customFormat="false" ht="15" hidden="false" customHeight="false" outlineLevel="0" collapsed="false">
      <c r="A1737" s="24" t="n">
        <v>1733</v>
      </c>
      <c r="B1737" s="25" t="str">
        <f aca="false">IF(OR(C1737="",I1737="",G1737=""),"",IFERROR(VLOOKUP(I1737,Setup!$A$9:$B$11,2,0),"???")&amp;"-"&amp;G1737&amp;"-"&amp;TEXT(COUNTIFS(I$5:I1737,I1737,G$5:G1737,G1737),"0000"))</f>
        <v/>
      </c>
      <c r="C1737" s="26"/>
      <c r="D1737" s="26"/>
      <c r="E1737" s="27"/>
      <c r="F1737" s="27"/>
      <c r="G1737" s="24" t="str">
        <f aca="false">IF(F1737="","",IF(F1737&lt;=5,"A",IF(F1737&lt;=8,"B",IF(F1737&lt;=10,"C","D"))))</f>
        <v/>
      </c>
      <c r="H1737" s="28"/>
      <c r="I1737" s="27"/>
      <c r="J1737" s="26"/>
      <c r="K1737" s="27"/>
      <c r="L1737" s="27"/>
      <c r="M1737" s="27"/>
      <c r="N1737" s="27"/>
      <c r="O1737" s="24" t="str">
        <f aca="false">IF(G1737="","",VLOOKUP(G1737,Setup!$A$14:$C$17,3,0))</f>
        <v/>
      </c>
      <c r="P1737" s="27"/>
      <c r="Q1737" s="29" t="str">
        <f aca="false">IF(OR(P1737="",M1737&lt;&gt;"Paid",O1737=""),"",P1737/O1737)</f>
        <v/>
      </c>
      <c r="R1737" s="30" t="str">
        <f aca="false">IF(Q1737="","",Q1737+N(H1737)*0.000000001)</f>
        <v/>
      </c>
      <c r="S1737" s="25" t="str">
        <f aca="false">IF(R1737="","",SUMPRODUCT((I$5:I$4004=I1737)*ISNUMBER(R$5:R$4004)*(R$5:R$4004&gt;R1737))+1)</f>
        <v/>
      </c>
      <c r="T1737" s="25" t="str">
        <f aca="false">IF(S1737="","",IF(S1737&lt;=Setup!$B$5,"🏆 WINNER",""))</f>
        <v/>
      </c>
      <c r="U1737" s="24" t="str">
        <f aca="false">IF(S1737="","",I1737&amp;"|"&amp;S1737)</f>
        <v/>
      </c>
    </row>
    <row r="1738" customFormat="false" ht="15" hidden="false" customHeight="false" outlineLevel="0" collapsed="false">
      <c r="A1738" s="31" t="n">
        <v>1734</v>
      </c>
      <c r="B1738" s="32" t="str">
        <f aca="false">IF(OR(C1738="",I1738="",G1738=""),"",IFERROR(VLOOKUP(I1738,Setup!$A$9:$B$11,2,0),"???")&amp;"-"&amp;G1738&amp;"-"&amp;TEXT(COUNTIFS(I$5:I1738,I1738,G$5:G1738,G1738),"0000"))</f>
        <v/>
      </c>
      <c r="C1738" s="26"/>
      <c r="D1738" s="26"/>
      <c r="E1738" s="27"/>
      <c r="F1738" s="27"/>
      <c r="G1738" s="31" t="str">
        <f aca="false">IF(F1738="","",IF(F1738&lt;=5,"A",IF(F1738&lt;=8,"B",IF(F1738&lt;=10,"C","D"))))</f>
        <v/>
      </c>
      <c r="H1738" s="28"/>
      <c r="I1738" s="27"/>
      <c r="J1738" s="26"/>
      <c r="K1738" s="27"/>
      <c r="L1738" s="27"/>
      <c r="M1738" s="27"/>
      <c r="N1738" s="27"/>
      <c r="O1738" s="31" t="str">
        <f aca="false">IF(G1738="","",VLOOKUP(G1738,Setup!$A$14:$C$17,3,0))</f>
        <v/>
      </c>
      <c r="P1738" s="27"/>
      <c r="Q1738" s="33" t="str">
        <f aca="false">IF(OR(P1738="",M1738&lt;&gt;"Paid",O1738=""),"",P1738/O1738)</f>
        <v/>
      </c>
      <c r="R1738" s="34" t="str">
        <f aca="false">IF(Q1738="","",Q1738+N(H1738)*0.000000001)</f>
        <v/>
      </c>
      <c r="S1738" s="32" t="str">
        <f aca="false">IF(R1738="","",SUMPRODUCT((I$5:I$4004=I1738)*ISNUMBER(R$5:R$4004)*(R$5:R$4004&gt;R1738))+1)</f>
        <v/>
      </c>
      <c r="T1738" s="32" t="str">
        <f aca="false">IF(S1738="","",IF(S1738&lt;=Setup!$B$5,"🏆 WINNER",""))</f>
        <v/>
      </c>
      <c r="U1738" s="31" t="str">
        <f aca="false">IF(S1738="","",I1738&amp;"|"&amp;S1738)</f>
        <v/>
      </c>
    </row>
    <row r="1739" customFormat="false" ht="15" hidden="false" customHeight="false" outlineLevel="0" collapsed="false">
      <c r="A1739" s="24" t="n">
        <v>1735</v>
      </c>
      <c r="B1739" s="25" t="str">
        <f aca="false">IF(OR(C1739="",I1739="",G1739=""),"",IFERROR(VLOOKUP(I1739,Setup!$A$9:$B$11,2,0),"???")&amp;"-"&amp;G1739&amp;"-"&amp;TEXT(COUNTIFS(I$5:I1739,I1739,G$5:G1739,G1739),"0000"))</f>
        <v/>
      </c>
      <c r="C1739" s="26"/>
      <c r="D1739" s="26"/>
      <c r="E1739" s="27"/>
      <c r="F1739" s="27"/>
      <c r="G1739" s="24" t="str">
        <f aca="false">IF(F1739="","",IF(F1739&lt;=5,"A",IF(F1739&lt;=8,"B",IF(F1739&lt;=10,"C","D"))))</f>
        <v/>
      </c>
      <c r="H1739" s="28"/>
      <c r="I1739" s="27"/>
      <c r="J1739" s="26"/>
      <c r="K1739" s="27"/>
      <c r="L1739" s="27"/>
      <c r="M1739" s="27"/>
      <c r="N1739" s="27"/>
      <c r="O1739" s="24" t="str">
        <f aca="false">IF(G1739="","",VLOOKUP(G1739,Setup!$A$14:$C$17,3,0))</f>
        <v/>
      </c>
      <c r="P1739" s="27"/>
      <c r="Q1739" s="29" t="str">
        <f aca="false">IF(OR(P1739="",M1739&lt;&gt;"Paid",O1739=""),"",P1739/O1739)</f>
        <v/>
      </c>
      <c r="R1739" s="30" t="str">
        <f aca="false">IF(Q1739="","",Q1739+N(H1739)*0.000000001)</f>
        <v/>
      </c>
      <c r="S1739" s="25" t="str">
        <f aca="false">IF(R1739="","",SUMPRODUCT((I$5:I$4004=I1739)*ISNUMBER(R$5:R$4004)*(R$5:R$4004&gt;R1739))+1)</f>
        <v/>
      </c>
      <c r="T1739" s="25" t="str">
        <f aca="false">IF(S1739="","",IF(S1739&lt;=Setup!$B$5,"🏆 WINNER",""))</f>
        <v/>
      </c>
      <c r="U1739" s="24" t="str">
        <f aca="false">IF(S1739="","",I1739&amp;"|"&amp;S1739)</f>
        <v/>
      </c>
    </row>
    <row r="1740" customFormat="false" ht="15" hidden="false" customHeight="false" outlineLevel="0" collapsed="false">
      <c r="A1740" s="31" t="n">
        <v>1736</v>
      </c>
      <c r="B1740" s="32" t="str">
        <f aca="false">IF(OR(C1740="",I1740="",G1740=""),"",IFERROR(VLOOKUP(I1740,Setup!$A$9:$B$11,2,0),"???")&amp;"-"&amp;G1740&amp;"-"&amp;TEXT(COUNTIFS(I$5:I1740,I1740,G$5:G1740,G1740),"0000"))</f>
        <v/>
      </c>
      <c r="C1740" s="26"/>
      <c r="D1740" s="26"/>
      <c r="E1740" s="27"/>
      <c r="F1740" s="27"/>
      <c r="G1740" s="31" t="str">
        <f aca="false">IF(F1740="","",IF(F1740&lt;=5,"A",IF(F1740&lt;=8,"B",IF(F1740&lt;=10,"C","D"))))</f>
        <v/>
      </c>
      <c r="H1740" s="28"/>
      <c r="I1740" s="27"/>
      <c r="J1740" s="26"/>
      <c r="K1740" s="27"/>
      <c r="L1740" s="27"/>
      <c r="M1740" s="27"/>
      <c r="N1740" s="27"/>
      <c r="O1740" s="31" t="str">
        <f aca="false">IF(G1740="","",VLOOKUP(G1740,Setup!$A$14:$C$17,3,0))</f>
        <v/>
      </c>
      <c r="P1740" s="27"/>
      <c r="Q1740" s="33" t="str">
        <f aca="false">IF(OR(P1740="",M1740&lt;&gt;"Paid",O1740=""),"",P1740/O1740)</f>
        <v/>
      </c>
      <c r="R1740" s="34" t="str">
        <f aca="false">IF(Q1740="","",Q1740+N(H1740)*0.000000001)</f>
        <v/>
      </c>
      <c r="S1740" s="32" t="str">
        <f aca="false">IF(R1740="","",SUMPRODUCT((I$5:I$4004=I1740)*ISNUMBER(R$5:R$4004)*(R$5:R$4004&gt;R1740))+1)</f>
        <v/>
      </c>
      <c r="T1740" s="32" t="str">
        <f aca="false">IF(S1740="","",IF(S1740&lt;=Setup!$B$5,"🏆 WINNER",""))</f>
        <v/>
      </c>
      <c r="U1740" s="31" t="str">
        <f aca="false">IF(S1740="","",I1740&amp;"|"&amp;S1740)</f>
        <v/>
      </c>
    </row>
    <row r="1741" customFormat="false" ht="15" hidden="false" customHeight="false" outlineLevel="0" collapsed="false">
      <c r="A1741" s="24" t="n">
        <v>1737</v>
      </c>
      <c r="B1741" s="25" t="str">
        <f aca="false">IF(OR(C1741="",I1741="",G1741=""),"",IFERROR(VLOOKUP(I1741,Setup!$A$9:$B$11,2,0),"???")&amp;"-"&amp;G1741&amp;"-"&amp;TEXT(COUNTIFS(I$5:I1741,I1741,G$5:G1741,G1741),"0000"))</f>
        <v/>
      </c>
      <c r="C1741" s="26"/>
      <c r="D1741" s="26"/>
      <c r="E1741" s="27"/>
      <c r="F1741" s="27"/>
      <c r="G1741" s="24" t="str">
        <f aca="false">IF(F1741="","",IF(F1741&lt;=5,"A",IF(F1741&lt;=8,"B",IF(F1741&lt;=10,"C","D"))))</f>
        <v/>
      </c>
      <c r="H1741" s="28"/>
      <c r="I1741" s="27"/>
      <c r="J1741" s="26"/>
      <c r="K1741" s="27"/>
      <c r="L1741" s="27"/>
      <c r="M1741" s="27"/>
      <c r="N1741" s="27"/>
      <c r="O1741" s="24" t="str">
        <f aca="false">IF(G1741="","",VLOOKUP(G1741,Setup!$A$14:$C$17,3,0))</f>
        <v/>
      </c>
      <c r="P1741" s="27"/>
      <c r="Q1741" s="29" t="str">
        <f aca="false">IF(OR(P1741="",M1741&lt;&gt;"Paid",O1741=""),"",P1741/O1741)</f>
        <v/>
      </c>
      <c r="R1741" s="30" t="str">
        <f aca="false">IF(Q1741="","",Q1741+N(H1741)*0.000000001)</f>
        <v/>
      </c>
      <c r="S1741" s="25" t="str">
        <f aca="false">IF(R1741="","",SUMPRODUCT((I$5:I$4004=I1741)*ISNUMBER(R$5:R$4004)*(R$5:R$4004&gt;R1741))+1)</f>
        <v/>
      </c>
      <c r="T1741" s="25" t="str">
        <f aca="false">IF(S1741="","",IF(S1741&lt;=Setup!$B$5,"🏆 WINNER",""))</f>
        <v/>
      </c>
      <c r="U1741" s="24" t="str">
        <f aca="false">IF(S1741="","",I1741&amp;"|"&amp;S1741)</f>
        <v/>
      </c>
    </row>
    <row r="1742" customFormat="false" ht="15" hidden="false" customHeight="false" outlineLevel="0" collapsed="false">
      <c r="A1742" s="31" t="n">
        <v>1738</v>
      </c>
      <c r="B1742" s="32" t="str">
        <f aca="false">IF(OR(C1742="",I1742="",G1742=""),"",IFERROR(VLOOKUP(I1742,Setup!$A$9:$B$11,2,0),"???")&amp;"-"&amp;G1742&amp;"-"&amp;TEXT(COUNTIFS(I$5:I1742,I1742,G$5:G1742,G1742),"0000"))</f>
        <v/>
      </c>
      <c r="C1742" s="26"/>
      <c r="D1742" s="26"/>
      <c r="E1742" s="27"/>
      <c r="F1742" s="27"/>
      <c r="G1742" s="31" t="str">
        <f aca="false">IF(F1742="","",IF(F1742&lt;=5,"A",IF(F1742&lt;=8,"B",IF(F1742&lt;=10,"C","D"))))</f>
        <v/>
      </c>
      <c r="H1742" s="28"/>
      <c r="I1742" s="27"/>
      <c r="J1742" s="26"/>
      <c r="K1742" s="27"/>
      <c r="L1742" s="27"/>
      <c r="M1742" s="27"/>
      <c r="N1742" s="27"/>
      <c r="O1742" s="31" t="str">
        <f aca="false">IF(G1742="","",VLOOKUP(G1742,Setup!$A$14:$C$17,3,0))</f>
        <v/>
      </c>
      <c r="P1742" s="27"/>
      <c r="Q1742" s="33" t="str">
        <f aca="false">IF(OR(P1742="",M1742&lt;&gt;"Paid",O1742=""),"",P1742/O1742)</f>
        <v/>
      </c>
      <c r="R1742" s="34" t="str">
        <f aca="false">IF(Q1742="","",Q1742+N(H1742)*0.000000001)</f>
        <v/>
      </c>
      <c r="S1742" s="32" t="str">
        <f aca="false">IF(R1742="","",SUMPRODUCT((I$5:I$4004=I1742)*ISNUMBER(R$5:R$4004)*(R$5:R$4004&gt;R1742))+1)</f>
        <v/>
      </c>
      <c r="T1742" s="32" t="str">
        <f aca="false">IF(S1742="","",IF(S1742&lt;=Setup!$B$5,"🏆 WINNER",""))</f>
        <v/>
      </c>
      <c r="U1742" s="31" t="str">
        <f aca="false">IF(S1742="","",I1742&amp;"|"&amp;S1742)</f>
        <v/>
      </c>
    </row>
    <row r="1743" customFormat="false" ht="15" hidden="false" customHeight="false" outlineLevel="0" collapsed="false">
      <c r="A1743" s="24" t="n">
        <v>1739</v>
      </c>
      <c r="B1743" s="25" t="str">
        <f aca="false">IF(OR(C1743="",I1743="",G1743=""),"",IFERROR(VLOOKUP(I1743,Setup!$A$9:$B$11,2,0),"???")&amp;"-"&amp;G1743&amp;"-"&amp;TEXT(COUNTIFS(I$5:I1743,I1743,G$5:G1743,G1743),"0000"))</f>
        <v/>
      </c>
      <c r="C1743" s="26"/>
      <c r="D1743" s="26"/>
      <c r="E1743" s="27"/>
      <c r="F1743" s="27"/>
      <c r="G1743" s="24" t="str">
        <f aca="false">IF(F1743="","",IF(F1743&lt;=5,"A",IF(F1743&lt;=8,"B",IF(F1743&lt;=10,"C","D"))))</f>
        <v/>
      </c>
      <c r="H1743" s="28"/>
      <c r="I1743" s="27"/>
      <c r="J1743" s="26"/>
      <c r="K1743" s="27"/>
      <c r="L1743" s="27"/>
      <c r="M1743" s="27"/>
      <c r="N1743" s="27"/>
      <c r="O1743" s="24" t="str">
        <f aca="false">IF(G1743="","",VLOOKUP(G1743,Setup!$A$14:$C$17,3,0))</f>
        <v/>
      </c>
      <c r="P1743" s="27"/>
      <c r="Q1743" s="29" t="str">
        <f aca="false">IF(OR(P1743="",M1743&lt;&gt;"Paid",O1743=""),"",P1743/O1743)</f>
        <v/>
      </c>
      <c r="R1743" s="30" t="str">
        <f aca="false">IF(Q1743="","",Q1743+N(H1743)*0.000000001)</f>
        <v/>
      </c>
      <c r="S1743" s="25" t="str">
        <f aca="false">IF(R1743="","",SUMPRODUCT((I$5:I$4004=I1743)*ISNUMBER(R$5:R$4004)*(R$5:R$4004&gt;R1743))+1)</f>
        <v/>
      </c>
      <c r="T1743" s="25" t="str">
        <f aca="false">IF(S1743="","",IF(S1743&lt;=Setup!$B$5,"🏆 WINNER",""))</f>
        <v/>
      </c>
      <c r="U1743" s="24" t="str">
        <f aca="false">IF(S1743="","",I1743&amp;"|"&amp;S1743)</f>
        <v/>
      </c>
    </row>
    <row r="1744" customFormat="false" ht="15" hidden="false" customHeight="false" outlineLevel="0" collapsed="false">
      <c r="A1744" s="31" t="n">
        <v>1740</v>
      </c>
      <c r="B1744" s="32" t="str">
        <f aca="false">IF(OR(C1744="",I1744="",G1744=""),"",IFERROR(VLOOKUP(I1744,Setup!$A$9:$B$11,2,0),"???")&amp;"-"&amp;G1744&amp;"-"&amp;TEXT(COUNTIFS(I$5:I1744,I1744,G$5:G1744,G1744),"0000"))</f>
        <v/>
      </c>
      <c r="C1744" s="26"/>
      <c r="D1744" s="26"/>
      <c r="E1744" s="27"/>
      <c r="F1744" s="27"/>
      <c r="G1744" s="31" t="str">
        <f aca="false">IF(F1744="","",IF(F1744&lt;=5,"A",IF(F1744&lt;=8,"B",IF(F1744&lt;=10,"C","D"))))</f>
        <v/>
      </c>
      <c r="H1744" s="28"/>
      <c r="I1744" s="27"/>
      <c r="J1744" s="26"/>
      <c r="K1744" s="27"/>
      <c r="L1744" s="27"/>
      <c r="M1744" s="27"/>
      <c r="N1744" s="27"/>
      <c r="O1744" s="31" t="str">
        <f aca="false">IF(G1744="","",VLOOKUP(G1744,Setup!$A$14:$C$17,3,0))</f>
        <v/>
      </c>
      <c r="P1744" s="27"/>
      <c r="Q1744" s="33" t="str">
        <f aca="false">IF(OR(P1744="",M1744&lt;&gt;"Paid",O1744=""),"",P1744/O1744)</f>
        <v/>
      </c>
      <c r="R1744" s="34" t="str">
        <f aca="false">IF(Q1744="","",Q1744+N(H1744)*0.000000001)</f>
        <v/>
      </c>
      <c r="S1744" s="32" t="str">
        <f aca="false">IF(R1744="","",SUMPRODUCT((I$5:I$4004=I1744)*ISNUMBER(R$5:R$4004)*(R$5:R$4004&gt;R1744))+1)</f>
        <v/>
      </c>
      <c r="T1744" s="32" t="str">
        <f aca="false">IF(S1744="","",IF(S1744&lt;=Setup!$B$5,"🏆 WINNER",""))</f>
        <v/>
      </c>
      <c r="U1744" s="31" t="str">
        <f aca="false">IF(S1744="","",I1744&amp;"|"&amp;S1744)</f>
        <v/>
      </c>
    </row>
    <row r="1745" customFormat="false" ht="15" hidden="false" customHeight="false" outlineLevel="0" collapsed="false">
      <c r="A1745" s="24" t="n">
        <v>1741</v>
      </c>
      <c r="B1745" s="25" t="str">
        <f aca="false">IF(OR(C1745="",I1745="",G1745=""),"",IFERROR(VLOOKUP(I1745,Setup!$A$9:$B$11,2,0),"???")&amp;"-"&amp;G1745&amp;"-"&amp;TEXT(COUNTIFS(I$5:I1745,I1745,G$5:G1745,G1745),"0000"))</f>
        <v/>
      </c>
      <c r="C1745" s="26"/>
      <c r="D1745" s="26"/>
      <c r="E1745" s="27"/>
      <c r="F1745" s="27"/>
      <c r="G1745" s="24" t="str">
        <f aca="false">IF(F1745="","",IF(F1745&lt;=5,"A",IF(F1745&lt;=8,"B",IF(F1745&lt;=10,"C","D"))))</f>
        <v/>
      </c>
      <c r="H1745" s="28"/>
      <c r="I1745" s="27"/>
      <c r="J1745" s="26"/>
      <c r="K1745" s="27"/>
      <c r="L1745" s="27"/>
      <c r="M1745" s="27"/>
      <c r="N1745" s="27"/>
      <c r="O1745" s="24" t="str">
        <f aca="false">IF(G1745="","",VLOOKUP(G1745,Setup!$A$14:$C$17,3,0))</f>
        <v/>
      </c>
      <c r="P1745" s="27"/>
      <c r="Q1745" s="29" t="str">
        <f aca="false">IF(OR(P1745="",M1745&lt;&gt;"Paid",O1745=""),"",P1745/O1745)</f>
        <v/>
      </c>
      <c r="R1745" s="30" t="str">
        <f aca="false">IF(Q1745="","",Q1745+N(H1745)*0.000000001)</f>
        <v/>
      </c>
      <c r="S1745" s="25" t="str">
        <f aca="false">IF(R1745="","",SUMPRODUCT((I$5:I$4004=I1745)*ISNUMBER(R$5:R$4004)*(R$5:R$4004&gt;R1745))+1)</f>
        <v/>
      </c>
      <c r="T1745" s="25" t="str">
        <f aca="false">IF(S1745="","",IF(S1745&lt;=Setup!$B$5,"🏆 WINNER",""))</f>
        <v/>
      </c>
      <c r="U1745" s="24" t="str">
        <f aca="false">IF(S1745="","",I1745&amp;"|"&amp;S1745)</f>
        <v/>
      </c>
    </row>
    <row r="1746" customFormat="false" ht="15" hidden="false" customHeight="false" outlineLevel="0" collapsed="false">
      <c r="A1746" s="31" t="n">
        <v>1742</v>
      </c>
      <c r="B1746" s="32" t="str">
        <f aca="false">IF(OR(C1746="",I1746="",G1746=""),"",IFERROR(VLOOKUP(I1746,Setup!$A$9:$B$11,2,0),"???")&amp;"-"&amp;G1746&amp;"-"&amp;TEXT(COUNTIFS(I$5:I1746,I1746,G$5:G1746,G1746),"0000"))</f>
        <v/>
      </c>
      <c r="C1746" s="26"/>
      <c r="D1746" s="26"/>
      <c r="E1746" s="27"/>
      <c r="F1746" s="27"/>
      <c r="G1746" s="31" t="str">
        <f aca="false">IF(F1746="","",IF(F1746&lt;=5,"A",IF(F1746&lt;=8,"B",IF(F1746&lt;=10,"C","D"))))</f>
        <v/>
      </c>
      <c r="H1746" s="28"/>
      <c r="I1746" s="27"/>
      <c r="J1746" s="26"/>
      <c r="K1746" s="27"/>
      <c r="L1746" s="27"/>
      <c r="M1746" s="27"/>
      <c r="N1746" s="27"/>
      <c r="O1746" s="31" t="str">
        <f aca="false">IF(G1746="","",VLOOKUP(G1746,Setup!$A$14:$C$17,3,0))</f>
        <v/>
      </c>
      <c r="P1746" s="27"/>
      <c r="Q1746" s="33" t="str">
        <f aca="false">IF(OR(P1746="",M1746&lt;&gt;"Paid",O1746=""),"",P1746/O1746)</f>
        <v/>
      </c>
      <c r="R1746" s="34" t="str">
        <f aca="false">IF(Q1746="","",Q1746+N(H1746)*0.000000001)</f>
        <v/>
      </c>
      <c r="S1746" s="32" t="str">
        <f aca="false">IF(R1746="","",SUMPRODUCT((I$5:I$4004=I1746)*ISNUMBER(R$5:R$4004)*(R$5:R$4004&gt;R1746))+1)</f>
        <v/>
      </c>
      <c r="T1746" s="32" t="str">
        <f aca="false">IF(S1746="","",IF(S1746&lt;=Setup!$B$5,"🏆 WINNER",""))</f>
        <v/>
      </c>
      <c r="U1746" s="31" t="str">
        <f aca="false">IF(S1746="","",I1746&amp;"|"&amp;S1746)</f>
        <v/>
      </c>
    </row>
    <row r="1747" customFormat="false" ht="15" hidden="false" customHeight="false" outlineLevel="0" collapsed="false">
      <c r="A1747" s="24" t="n">
        <v>1743</v>
      </c>
      <c r="B1747" s="25" t="str">
        <f aca="false">IF(OR(C1747="",I1747="",G1747=""),"",IFERROR(VLOOKUP(I1747,Setup!$A$9:$B$11,2,0),"???")&amp;"-"&amp;G1747&amp;"-"&amp;TEXT(COUNTIFS(I$5:I1747,I1747,G$5:G1747,G1747),"0000"))</f>
        <v/>
      </c>
      <c r="C1747" s="26"/>
      <c r="D1747" s="26"/>
      <c r="E1747" s="27"/>
      <c r="F1747" s="27"/>
      <c r="G1747" s="24" t="str">
        <f aca="false">IF(F1747="","",IF(F1747&lt;=5,"A",IF(F1747&lt;=8,"B",IF(F1747&lt;=10,"C","D"))))</f>
        <v/>
      </c>
      <c r="H1747" s="28"/>
      <c r="I1747" s="27"/>
      <c r="J1747" s="26"/>
      <c r="K1747" s="27"/>
      <c r="L1747" s="27"/>
      <c r="M1747" s="27"/>
      <c r="N1747" s="27"/>
      <c r="O1747" s="24" t="str">
        <f aca="false">IF(G1747="","",VLOOKUP(G1747,Setup!$A$14:$C$17,3,0))</f>
        <v/>
      </c>
      <c r="P1747" s="27"/>
      <c r="Q1747" s="29" t="str">
        <f aca="false">IF(OR(P1747="",M1747&lt;&gt;"Paid",O1747=""),"",P1747/O1747)</f>
        <v/>
      </c>
      <c r="R1747" s="30" t="str">
        <f aca="false">IF(Q1747="","",Q1747+N(H1747)*0.000000001)</f>
        <v/>
      </c>
      <c r="S1747" s="25" t="str">
        <f aca="false">IF(R1747="","",SUMPRODUCT((I$5:I$4004=I1747)*ISNUMBER(R$5:R$4004)*(R$5:R$4004&gt;R1747))+1)</f>
        <v/>
      </c>
      <c r="T1747" s="25" t="str">
        <f aca="false">IF(S1747="","",IF(S1747&lt;=Setup!$B$5,"🏆 WINNER",""))</f>
        <v/>
      </c>
      <c r="U1747" s="24" t="str">
        <f aca="false">IF(S1747="","",I1747&amp;"|"&amp;S1747)</f>
        <v/>
      </c>
    </row>
    <row r="1748" customFormat="false" ht="15" hidden="false" customHeight="false" outlineLevel="0" collapsed="false">
      <c r="A1748" s="31" t="n">
        <v>1744</v>
      </c>
      <c r="B1748" s="32" t="str">
        <f aca="false">IF(OR(C1748="",I1748="",G1748=""),"",IFERROR(VLOOKUP(I1748,Setup!$A$9:$B$11,2,0),"???")&amp;"-"&amp;G1748&amp;"-"&amp;TEXT(COUNTIFS(I$5:I1748,I1748,G$5:G1748,G1748),"0000"))</f>
        <v/>
      </c>
      <c r="C1748" s="26"/>
      <c r="D1748" s="26"/>
      <c r="E1748" s="27"/>
      <c r="F1748" s="27"/>
      <c r="G1748" s="31" t="str">
        <f aca="false">IF(F1748="","",IF(F1748&lt;=5,"A",IF(F1748&lt;=8,"B",IF(F1748&lt;=10,"C","D"))))</f>
        <v/>
      </c>
      <c r="H1748" s="28"/>
      <c r="I1748" s="27"/>
      <c r="J1748" s="26"/>
      <c r="K1748" s="27"/>
      <c r="L1748" s="27"/>
      <c r="M1748" s="27"/>
      <c r="N1748" s="27"/>
      <c r="O1748" s="31" t="str">
        <f aca="false">IF(G1748="","",VLOOKUP(G1748,Setup!$A$14:$C$17,3,0))</f>
        <v/>
      </c>
      <c r="P1748" s="27"/>
      <c r="Q1748" s="33" t="str">
        <f aca="false">IF(OR(P1748="",M1748&lt;&gt;"Paid",O1748=""),"",P1748/O1748)</f>
        <v/>
      </c>
      <c r="R1748" s="34" t="str">
        <f aca="false">IF(Q1748="","",Q1748+N(H1748)*0.000000001)</f>
        <v/>
      </c>
      <c r="S1748" s="32" t="str">
        <f aca="false">IF(R1748="","",SUMPRODUCT((I$5:I$4004=I1748)*ISNUMBER(R$5:R$4004)*(R$5:R$4004&gt;R1748))+1)</f>
        <v/>
      </c>
      <c r="T1748" s="32" t="str">
        <f aca="false">IF(S1748="","",IF(S1748&lt;=Setup!$B$5,"🏆 WINNER",""))</f>
        <v/>
      </c>
      <c r="U1748" s="31" t="str">
        <f aca="false">IF(S1748="","",I1748&amp;"|"&amp;S1748)</f>
        <v/>
      </c>
    </row>
    <row r="1749" customFormat="false" ht="15" hidden="false" customHeight="false" outlineLevel="0" collapsed="false">
      <c r="A1749" s="24" t="n">
        <v>1745</v>
      </c>
      <c r="B1749" s="25" t="str">
        <f aca="false">IF(OR(C1749="",I1749="",G1749=""),"",IFERROR(VLOOKUP(I1749,Setup!$A$9:$B$11,2,0),"???")&amp;"-"&amp;G1749&amp;"-"&amp;TEXT(COUNTIFS(I$5:I1749,I1749,G$5:G1749,G1749),"0000"))</f>
        <v/>
      </c>
      <c r="C1749" s="26"/>
      <c r="D1749" s="26"/>
      <c r="E1749" s="27"/>
      <c r="F1749" s="27"/>
      <c r="G1749" s="24" t="str">
        <f aca="false">IF(F1749="","",IF(F1749&lt;=5,"A",IF(F1749&lt;=8,"B",IF(F1749&lt;=10,"C","D"))))</f>
        <v/>
      </c>
      <c r="H1749" s="28"/>
      <c r="I1749" s="27"/>
      <c r="J1749" s="26"/>
      <c r="K1749" s="27"/>
      <c r="L1749" s="27"/>
      <c r="M1749" s="27"/>
      <c r="N1749" s="27"/>
      <c r="O1749" s="24" t="str">
        <f aca="false">IF(G1749="","",VLOOKUP(G1749,Setup!$A$14:$C$17,3,0))</f>
        <v/>
      </c>
      <c r="P1749" s="27"/>
      <c r="Q1749" s="29" t="str">
        <f aca="false">IF(OR(P1749="",M1749&lt;&gt;"Paid",O1749=""),"",P1749/O1749)</f>
        <v/>
      </c>
      <c r="R1749" s="30" t="str">
        <f aca="false">IF(Q1749="","",Q1749+N(H1749)*0.000000001)</f>
        <v/>
      </c>
      <c r="S1749" s="25" t="str">
        <f aca="false">IF(R1749="","",SUMPRODUCT((I$5:I$4004=I1749)*ISNUMBER(R$5:R$4004)*(R$5:R$4004&gt;R1749))+1)</f>
        <v/>
      </c>
      <c r="T1749" s="25" t="str">
        <f aca="false">IF(S1749="","",IF(S1749&lt;=Setup!$B$5,"🏆 WINNER",""))</f>
        <v/>
      </c>
      <c r="U1749" s="24" t="str">
        <f aca="false">IF(S1749="","",I1749&amp;"|"&amp;S1749)</f>
        <v/>
      </c>
    </row>
    <row r="1750" customFormat="false" ht="15" hidden="false" customHeight="false" outlineLevel="0" collapsed="false">
      <c r="A1750" s="31" t="n">
        <v>1746</v>
      </c>
      <c r="B1750" s="32" t="str">
        <f aca="false">IF(OR(C1750="",I1750="",G1750=""),"",IFERROR(VLOOKUP(I1750,Setup!$A$9:$B$11,2,0),"???")&amp;"-"&amp;G1750&amp;"-"&amp;TEXT(COUNTIFS(I$5:I1750,I1750,G$5:G1750,G1750),"0000"))</f>
        <v/>
      </c>
      <c r="C1750" s="26"/>
      <c r="D1750" s="26"/>
      <c r="E1750" s="27"/>
      <c r="F1750" s="27"/>
      <c r="G1750" s="31" t="str">
        <f aca="false">IF(F1750="","",IF(F1750&lt;=5,"A",IF(F1750&lt;=8,"B",IF(F1750&lt;=10,"C","D"))))</f>
        <v/>
      </c>
      <c r="H1750" s="28"/>
      <c r="I1750" s="27"/>
      <c r="J1750" s="26"/>
      <c r="K1750" s="27"/>
      <c r="L1750" s="27"/>
      <c r="M1750" s="27"/>
      <c r="N1750" s="27"/>
      <c r="O1750" s="31" t="str">
        <f aca="false">IF(G1750="","",VLOOKUP(G1750,Setup!$A$14:$C$17,3,0))</f>
        <v/>
      </c>
      <c r="P1750" s="27"/>
      <c r="Q1750" s="33" t="str">
        <f aca="false">IF(OR(P1750="",M1750&lt;&gt;"Paid",O1750=""),"",P1750/O1750)</f>
        <v/>
      </c>
      <c r="R1750" s="34" t="str">
        <f aca="false">IF(Q1750="","",Q1750+N(H1750)*0.000000001)</f>
        <v/>
      </c>
      <c r="S1750" s="32" t="str">
        <f aca="false">IF(R1750="","",SUMPRODUCT((I$5:I$4004=I1750)*ISNUMBER(R$5:R$4004)*(R$5:R$4004&gt;R1750))+1)</f>
        <v/>
      </c>
      <c r="T1750" s="32" t="str">
        <f aca="false">IF(S1750="","",IF(S1750&lt;=Setup!$B$5,"🏆 WINNER",""))</f>
        <v/>
      </c>
      <c r="U1750" s="31" t="str">
        <f aca="false">IF(S1750="","",I1750&amp;"|"&amp;S1750)</f>
        <v/>
      </c>
    </row>
    <row r="1751" customFormat="false" ht="15" hidden="false" customHeight="false" outlineLevel="0" collapsed="false">
      <c r="A1751" s="24" t="n">
        <v>1747</v>
      </c>
      <c r="B1751" s="25" t="str">
        <f aca="false">IF(OR(C1751="",I1751="",G1751=""),"",IFERROR(VLOOKUP(I1751,Setup!$A$9:$B$11,2,0),"???")&amp;"-"&amp;G1751&amp;"-"&amp;TEXT(COUNTIFS(I$5:I1751,I1751,G$5:G1751,G1751),"0000"))</f>
        <v/>
      </c>
      <c r="C1751" s="26"/>
      <c r="D1751" s="26"/>
      <c r="E1751" s="27"/>
      <c r="F1751" s="27"/>
      <c r="G1751" s="24" t="str">
        <f aca="false">IF(F1751="","",IF(F1751&lt;=5,"A",IF(F1751&lt;=8,"B",IF(F1751&lt;=10,"C","D"))))</f>
        <v/>
      </c>
      <c r="H1751" s="28"/>
      <c r="I1751" s="27"/>
      <c r="J1751" s="26"/>
      <c r="K1751" s="27"/>
      <c r="L1751" s="27"/>
      <c r="M1751" s="27"/>
      <c r="N1751" s="27"/>
      <c r="O1751" s="24" t="str">
        <f aca="false">IF(G1751="","",VLOOKUP(G1751,Setup!$A$14:$C$17,3,0))</f>
        <v/>
      </c>
      <c r="P1751" s="27"/>
      <c r="Q1751" s="29" t="str">
        <f aca="false">IF(OR(P1751="",M1751&lt;&gt;"Paid",O1751=""),"",P1751/O1751)</f>
        <v/>
      </c>
      <c r="R1751" s="30" t="str">
        <f aca="false">IF(Q1751="","",Q1751+N(H1751)*0.000000001)</f>
        <v/>
      </c>
      <c r="S1751" s="25" t="str">
        <f aca="false">IF(R1751="","",SUMPRODUCT((I$5:I$4004=I1751)*ISNUMBER(R$5:R$4004)*(R$5:R$4004&gt;R1751))+1)</f>
        <v/>
      </c>
      <c r="T1751" s="25" t="str">
        <f aca="false">IF(S1751="","",IF(S1751&lt;=Setup!$B$5,"🏆 WINNER",""))</f>
        <v/>
      </c>
      <c r="U1751" s="24" t="str">
        <f aca="false">IF(S1751="","",I1751&amp;"|"&amp;S1751)</f>
        <v/>
      </c>
    </row>
    <row r="1752" customFormat="false" ht="15" hidden="false" customHeight="false" outlineLevel="0" collapsed="false">
      <c r="A1752" s="31" t="n">
        <v>1748</v>
      </c>
      <c r="B1752" s="32" t="str">
        <f aca="false">IF(OR(C1752="",I1752="",G1752=""),"",IFERROR(VLOOKUP(I1752,Setup!$A$9:$B$11,2,0),"???")&amp;"-"&amp;G1752&amp;"-"&amp;TEXT(COUNTIFS(I$5:I1752,I1752,G$5:G1752,G1752),"0000"))</f>
        <v/>
      </c>
      <c r="C1752" s="26"/>
      <c r="D1752" s="26"/>
      <c r="E1752" s="27"/>
      <c r="F1752" s="27"/>
      <c r="G1752" s="31" t="str">
        <f aca="false">IF(F1752="","",IF(F1752&lt;=5,"A",IF(F1752&lt;=8,"B",IF(F1752&lt;=10,"C","D"))))</f>
        <v/>
      </c>
      <c r="H1752" s="28"/>
      <c r="I1752" s="27"/>
      <c r="J1752" s="26"/>
      <c r="K1752" s="27"/>
      <c r="L1752" s="27"/>
      <c r="M1752" s="27"/>
      <c r="N1752" s="27"/>
      <c r="O1752" s="31" t="str">
        <f aca="false">IF(G1752="","",VLOOKUP(G1752,Setup!$A$14:$C$17,3,0))</f>
        <v/>
      </c>
      <c r="P1752" s="27"/>
      <c r="Q1752" s="33" t="str">
        <f aca="false">IF(OR(P1752="",M1752&lt;&gt;"Paid",O1752=""),"",P1752/O1752)</f>
        <v/>
      </c>
      <c r="R1752" s="34" t="str">
        <f aca="false">IF(Q1752="","",Q1752+N(H1752)*0.000000001)</f>
        <v/>
      </c>
      <c r="S1752" s="32" t="str">
        <f aca="false">IF(R1752="","",SUMPRODUCT((I$5:I$4004=I1752)*ISNUMBER(R$5:R$4004)*(R$5:R$4004&gt;R1752))+1)</f>
        <v/>
      </c>
      <c r="T1752" s="32" t="str">
        <f aca="false">IF(S1752="","",IF(S1752&lt;=Setup!$B$5,"🏆 WINNER",""))</f>
        <v/>
      </c>
      <c r="U1752" s="31" t="str">
        <f aca="false">IF(S1752="","",I1752&amp;"|"&amp;S1752)</f>
        <v/>
      </c>
    </row>
    <row r="1753" customFormat="false" ht="15" hidden="false" customHeight="false" outlineLevel="0" collapsed="false">
      <c r="A1753" s="24" t="n">
        <v>1749</v>
      </c>
      <c r="B1753" s="25" t="str">
        <f aca="false">IF(OR(C1753="",I1753="",G1753=""),"",IFERROR(VLOOKUP(I1753,Setup!$A$9:$B$11,2,0),"???")&amp;"-"&amp;G1753&amp;"-"&amp;TEXT(COUNTIFS(I$5:I1753,I1753,G$5:G1753,G1753),"0000"))</f>
        <v/>
      </c>
      <c r="C1753" s="26"/>
      <c r="D1753" s="26"/>
      <c r="E1753" s="27"/>
      <c r="F1753" s="27"/>
      <c r="G1753" s="24" t="str">
        <f aca="false">IF(F1753="","",IF(F1753&lt;=5,"A",IF(F1753&lt;=8,"B",IF(F1753&lt;=10,"C","D"))))</f>
        <v/>
      </c>
      <c r="H1753" s="28"/>
      <c r="I1753" s="27"/>
      <c r="J1753" s="26"/>
      <c r="K1753" s="27"/>
      <c r="L1753" s="27"/>
      <c r="M1753" s="27"/>
      <c r="N1753" s="27"/>
      <c r="O1753" s="24" t="str">
        <f aca="false">IF(G1753="","",VLOOKUP(G1753,Setup!$A$14:$C$17,3,0))</f>
        <v/>
      </c>
      <c r="P1753" s="27"/>
      <c r="Q1753" s="29" t="str">
        <f aca="false">IF(OR(P1753="",M1753&lt;&gt;"Paid",O1753=""),"",P1753/O1753)</f>
        <v/>
      </c>
      <c r="R1753" s="30" t="str">
        <f aca="false">IF(Q1753="","",Q1753+N(H1753)*0.000000001)</f>
        <v/>
      </c>
      <c r="S1753" s="25" t="str">
        <f aca="false">IF(R1753="","",SUMPRODUCT((I$5:I$4004=I1753)*ISNUMBER(R$5:R$4004)*(R$5:R$4004&gt;R1753))+1)</f>
        <v/>
      </c>
      <c r="T1753" s="25" t="str">
        <f aca="false">IF(S1753="","",IF(S1753&lt;=Setup!$B$5,"🏆 WINNER",""))</f>
        <v/>
      </c>
      <c r="U1753" s="24" t="str">
        <f aca="false">IF(S1753="","",I1753&amp;"|"&amp;S1753)</f>
        <v/>
      </c>
    </row>
    <row r="1754" customFormat="false" ht="15" hidden="false" customHeight="false" outlineLevel="0" collapsed="false">
      <c r="A1754" s="31" t="n">
        <v>1750</v>
      </c>
      <c r="B1754" s="32" t="str">
        <f aca="false">IF(OR(C1754="",I1754="",G1754=""),"",IFERROR(VLOOKUP(I1754,Setup!$A$9:$B$11,2,0),"???")&amp;"-"&amp;G1754&amp;"-"&amp;TEXT(COUNTIFS(I$5:I1754,I1754,G$5:G1754,G1754),"0000"))</f>
        <v/>
      </c>
      <c r="C1754" s="26"/>
      <c r="D1754" s="26"/>
      <c r="E1754" s="27"/>
      <c r="F1754" s="27"/>
      <c r="G1754" s="31" t="str">
        <f aca="false">IF(F1754="","",IF(F1754&lt;=5,"A",IF(F1754&lt;=8,"B",IF(F1754&lt;=10,"C","D"))))</f>
        <v/>
      </c>
      <c r="H1754" s="28"/>
      <c r="I1754" s="27"/>
      <c r="J1754" s="26"/>
      <c r="K1754" s="27"/>
      <c r="L1754" s="27"/>
      <c r="M1754" s="27"/>
      <c r="N1754" s="27"/>
      <c r="O1754" s="31" t="str">
        <f aca="false">IF(G1754="","",VLOOKUP(G1754,Setup!$A$14:$C$17,3,0))</f>
        <v/>
      </c>
      <c r="P1754" s="27"/>
      <c r="Q1754" s="33" t="str">
        <f aca="false">IF(OR(P1754="",M1754&lt;&gt;"Paid",O1754=""),"",P1754/O1754)</f>
        <v/>
      </c>
      <c r="R1754" s="34" t="str">
        <f aca="false">IF(Q1754="","",Q1754+N(H1754)*0.000000001)</f>
        <v/>
      </c>
      <c r="S1754" s="32" t="str">
        <f aca="false">IF(R1754="","",SUMPRODUCT((I$5:I$4004=I1754)*ISNUMBER(R$5:R$4004)*(R$5:R$4004&gt;R1754))+1)</f>
        <v/>
      </c>
      <c r="T1754" s="32" t="str">
        <f aca="false">IF(S1754="","",IF(S1754&lt;=Setup!$B$5,"🏆 WINNER",""))</f>
        <v/>
      </c>
      <c r="U1754" s="31" t="str">
        <f aca="false">IF(S1754="","",I1754&amp;"|"&amp;S1754)</f>
        <v/>
      </c>
    </row>
    <row r="1755" customFormat="false" ht="15" hidden="false" customHeight="false" outlineLevel="0" collapsed="false">
      <c r="A1755" s="24" t="n">
        <v>1751</v>
      </c>
      <c r="B1755" s="25" t="str">
        <f aca="false">IF(OR(C1755="",I1755="",G1755=""),"",IFERROR(VLOOKUP(I1755,Setup!$A$9:$B$11,2,0),"???")&amp;"-"&amp;G1755&amp;"-"&amp;TEXT(COUNTIFS(I$5:I1755,I1755,G$5:G1755,G1755),"0000"))</f>
        <v/>
      </c>
      <c r="C1755" s="26"/>
      <c r="D1755" s="26"/>
      <c r="E1755" s="27"/>
      <c r="F1755" s="27"/>
      <c r="G1755" s="24" t="str">
        <f aca="false">IF(F1755="","",IF(F1755&lt;=5,"A",IF(F1755&lt;=8,"B",IF(F1755&lt;=10,"C","D"))))</f>
        <v/>
      </c>
      <c r="H1755" s="28"/>
      <c r="I1755" s="27"/>
      <c r="J1755" s="26"/>
      <c r="K1755" s="27"/>
      <c r="L1755" s="27"/>
      <c r="M1755" s="27"/>
      <c r="N1755" s="27"/>
      <c r="O1755" s="24" t="str">
        <f aca="false">IF(G1755="","",VLOOKUP(G1755,Setup!$A$14:$C$17,3,0))</f>
        <v/>
      </c>
      <c r="P1755" s="27"/>
      <c r="Q1755" s="29" t="str">
        <f aca="false">IF(OR(P1755="",M1755&lt;&gt;"Paid",O1755=""),"",P1755/O1755)</f>
        <v/>
      </c>
      <c r="R1755" s="30" t="str">
        <f aca="false">IF(Q1755="","",Q1755+N(H1755)*0.000000001)</f>
        <v/>
      </c>
      <c r="S1755" s="25" t="str">
        <f aca="false">IF(R1755="","",SUMPRODUCT((I$5:I$4004=I1755)*ISNUMBER(R$5:R$4004)*(R$5:R$4004&gt;R1755))+1)</f>
        <v/>
      </c>
      <c r="T1755" s="25" t="str">
        <f aca="false">IF(S1755="","",IF(S1755&lt;=Setup!$B$5,"🏆 WINNER",""))</f>
        <v/>
      </c>
      <c r="U1755" s="24" t="str">
        <f aca="false">IF(S1755="","",I1755&amp;"|"&amp;S1755)</f>
        <v/>
      </c>
    </row>
    <row r="1756" customFormat="false" ht="15" hidden="false" customHeight="false" outlineLevel="0" collapsed="false">
      <c r="A1756" s="31" t="n">
        <v>1752</v>
      </c>
      <c r="B1756" s="32" t="str">
        <f aca="false">IF(OR(C1756="",I1756="",G1756=""),"",IFERROR(VLOOKUP(I1756,Setup!$A$9:$B$11,2,0),"???")&amp;"-"&amp;G1756&amp;"-"&amp;TEXT(COUNTIFS(I$5:I1756,I1756,G$5:G1756,G1756),"0000"))</f>
        <v/>
      </c>
      <c r="C1756" s="26"/>
      <c r="D1756" s="26"/>
      <c r="E1756" s="27"/>
      <c r="F1756" s="27"/>
      <c r="G1756" s="31" t="str">
        <f aca="false">IF(F1756="","",IF(F1756&lt;=5,"A",IF(F1756&lt;=8,"B",IF(F1756&lt;=10,"C","D"))))</f>
        <v/>
      </c>
      <c r="H1756" s="28"/>
      <c r="I1756" s="27"/>
      <c r="J1756" s="26"/>
      <c r="K1756" s="27"/>
      <c r="L1756" s="27"/>
      <c r="M1756" s="27"/>
      <c r="N1756" s="27"/>
      <c r="O1756" s="31" t="str">
        <f aca="false">IF(G1756="","",VLOOKUP(G1756,Setup!$A$14:$C$17,3,0))</f>
        <v/>
      </c>
      <c r="P1756" s="27"/>
      <c r="Q1756" s="33" t="str">
        <f aca="false">IF(OR(P1756="",M1756&lt;&gt;"Paid",O1756=""),"",P1756/O1756)</f>
        <v/>
      </c>
      <c r="R1756" s="34" t="str">
        <f aca="false">IF(Q1756="","",Q1756+N(H1756)*0.000000001)</f>
        <v/>
      </c>
      <c r="S1756" s="32" t="str">
        <f aca="false">IF(R1756="","",SUMPRODUCT((I$5:I$4004=I1756)*ISNUMBER(R$5:R$4004)*(R$5:R$4004&gt;R1756))+1)</f>
        <v/>
      </c>
      <c r="T1756" s="32" t="str">
        <f aca="false">IF(S1756="","",IF(S1756&lt;=Setup!$B$5,"🏆 WINNER",""))</f>
        <v/>
      </c>
      <c r="U1756" s="31" t="str">
        <f aca="false">IF(S1756="","",I1756&amp;"|"&amp;S1756)</f>
        <v/>
      </c>
    </row>
    <row r="1757" customFormat="false" ht="15" hidden="false" customHeight="false" outlineLevel="0" collapsed="false">
      <c r="A1757" s="24" t="n">
        <v>1753</v>
      </c>
      <c r="B1757" s="25" t="str">
        <f aca="false">IF(OR(C1757="",I1757="",G1757=""),"",IFERROR(VLOOKUP(I1757,Setup!$A$9:$B$11,2,0),"???")&amp;"-"&amp;G1757&amp;"-"&amp;TEXT(COUNTIFS(I$5:I1757,I1757,G$5:G1757,G1757),"0000"))</f>
        <v/>
      </c>
      <c r="C1757" s="26"/>
      <c r="D1757" s="26"/>
      <c r="E1757" s="27"/>
      <c r="F1757" s="27"/>
      <c r="G1757" s="24" t="str">
        <f aca="false">IF(F1757="","",IF(F1757&lt;=5,"A",IF(F1757&lt;=8,"B",IF(F1757&lt;=10,"C","D"))))</f>
        <v/>
      </c>
      <c r="H1757" s="28"/>
      <c r="I1757" s="27"/>
      <c r="J1757" s="26"/>
      <c r="K1757" s="27"/>
      <c r="L1757" s="27"/>
      <c r="M1757" s="27"/>
      <c r="N1757" s="27"/>
      <c r="O1757" s="24" t="str">
        <f aca="false">IF(G1757="","",VLOOKUP(G1757,Setup!$A$14:$C$17,3,0))</f>
        <v/>
      </c>
      <c r="P1757" s="27"/>
      <c r="Q1757" s="29" t="str">
        <f aca="false">IF(OR(P1757="",M1757&lt;&gt;"Paid",O1757=""),"",P1757/O1757)</f>
        <v/>
      </c>
      <c r="R1757" s="30" t="str">
        <f aca="false">IF(Q1757="","",Q1757+N(H1757)*0.000000001)</f>
        <v/>
      </c>
      <c r="S1757" s="25" t="str">
        <f aca="false">IF(R1757="","",SUMPRODUCT((I$5:I$4004=I1757)*ISNUMBER(R$5:R$4004)*(R$5:R$4004&gt;R1757))+1)</f>
        <v/>
      </c>
      <c r="T1757" s="25" t="str">
        <f aca="false">IF(S1757="","",IF(S1757&lt;=Setup!$B$5,"🏆 WINNER",""))</f>
        <v/>
      </c>
      <c r="U1757" s="24" t="str">
        <f aca="false">IF(S1757="","",I1757&amp;"|"&amp;S1757)</f>
        <v/>
      </c>
    </row>
    <row r="1758" customFormat="false" ht="15" hidden="false" customHeight="false" outlineLevel="0" collapsed="false">
      <c r="A1758" s="31" t="n">
        <v>1754</v>
      </c>
      <c r="B1758" s="32" t="str">
        <f aca="false">IF(OR(C1758="",I1758="",G1758=""),"",IFERROR(VLOOKUP(I1758,Setup!$A$9:$B$11,2,0),"???")&amp;"-"&amp;G1758&amp;"-"&amp;TEXT(COUNTIFS(I$5:I1758,I1758,G$5:G1758,G1758),"0000"))</f>
        <v/>
      </c>
      <c r="C1758" s="26"/>
      <c r="D1758" s="26"/>
      <c r="E1758" s="27"/>
      <c r="F1758" s="27"/>
      <c r="G1758" s="31" t="str">
        <f aca="false">IF(F1758="","",IF(F1758&lt;=5,"A",IF(F1758&lt;=8,"B",IF(F1758&lt;=10,"C","D"))))</f>
        <v/>
      </c>
      <c r="H1758" s="28"/>
      <c r="I1758" s="27"/>
      <c r="J1758" s="26"/>
      <c r="K1758" s="27"/>
      <c r="L1758" s="27"/>
      <c r="M1758" s="27"/>
      <c r="N1758" s="27"/>
      <c r="O1758" s="31" t="str">
        <f aca="false">IF(G1758="","",VLOOKUP(G1758,Setup!$A$14:$C$17,3,0))</f>
        <v/>
      </c>
      <c r="P1758" s="27"/>
      <c r="Q1758" s="33" t="str">
        <f aca="false">IF(OR(P1758="",M1758&lt;&gt;"Paid",O1758=""),"",P1758/O1758)</f>
        <v/>
      </c>
      <c r="R1758" s="34" t="str">
        <f aca="false">IF(Q1758="","",Q1758+N(H1758)*0.000000001)</f>
        <v/>
      </c>
      <c r="S1758" s="32" t="str">
        <f aca="false">IF(R1758="","",SUMPRODUCT((I$5:I$4004=I1758)*ISNUMBER(R$5:R$4004)*(R$5:R$4004&gt;R1758))+1)</f>
        <v/>
      </c>
      <c r="T1758" s="32" t="str">
        <f aca="false">IF(S1758="","",IF(S1758&lt;=Setup!$B$5,"🏆 WINNER",""))</f>
        <v/>
      </c>
      <c r="U1758" s="31" t="str">
        <f aca="false">IF(S1758="","",I1758&amp;"|"&amp;S1758)</f>
        <v/>
      </c>
    </row>
    <row r="1759" customFormat="false" ht="15" hidden="false" customHeight="false" outlineLevel="0" collapsed="false">
      <c r="A1759" s="24" t="n">
        <v>1755</v>
      </c>
      <c r="B1759" s="25" t="str">
        <f aca="false">IF(OR(C1759="",I1759="",G1759=""),"",IFERROR(VLOOKUP(I1759,Setup!$A$9:$B$11,2,0),"???")&amp;"-"&amp;G1759&amp;"-"&amp;TEXT(COUNTIFS(I$5:I1759,I1759,G$5:G1759,G1759),"0000"))</f>
        <v/>
      </c>
      <c r="C1759" s="26"/>
      <c r="D1759" s="26"/>
      <c r="E1759" s="27"/>
      <c r="F1759" s="27"/>
      <c r="G1759" s="24" t="str">
        <f aca="false">IF(F1759="","",IF(F1759&lt;=5,"A",IF(F1759&lt;=8,"B",IF(F1759&lt;=10,"C","D"))))</f>
        <v/>
      </c>
      <c r="H1759" s="28"/>
      <c r="I1759" s="27"/>
      <c r="J1759" s="26"/>
      <c r="K1759" s="27"/>
      <c r="L1759" s="27"/>
      <c r="M1759" s="27"/>
      <c r="N1759" s="27"/>
      <c r="O1759" s="24" t="str">
        <f aca="false">IF(G1759="","",VLOOKUP(G1759,Setup!$A$14:$C$17,3,0))</f>
        <v/>
      </c>
      <c r="P1759" s="27"/>
      <c r="Q1759" s="29" t="str">
        <f aca="false">IF(OR(P1759="",M1759&lt;&gt;"Paid",O1759=""),"",P1759/O1759)</f>
        <v/>
      </c>
      <c r="R1759" s="30" t="str">
        <f aca="false">IF(Q1759="","",Q1759+N(H1759)*0.000000001)</f>
        <v/>
      </c>
      <c r="S1759" s="25" t="str">
        <f aca="false">IF(R1759="","",SUMPRODUCT((I$5:I$4004=I1759)*ISNUMBER(R$5:R$4004)*(R$5:R$4004&gt;R1759))+1)</f>
        <v/>
      </c>
      <c r="T1759" s="25" t="str">
        <f aca="false">IF(S1759="","",IF(S1759&lt;=Setup!$B$5,"🏆 WINNER",""))</f>
        <v/>
      </c>
      <c r="U1759" s="24" t="str">
        <f aca="false">IF(S1759="","",I1759&amp;"|"&amp;S1759)</f>
        <v/>
      </c>
    </row>
    <row r="1760" customFormat="false" ht="15" hidden="false" customHeight="false" outlineLevel="0" collapsed="false">
      <c r="A1760" s="31" t="n">
        <v>1756</v>
      </c>
      <c r="B1760" s="32" t="str">
        <f aca="false">IF(OR(C1760="",I1760="",G1760=""),"",IFERROR(VLOOKUP(I1760,Setup!$A$9:$B$11,2,0),"???")&amp;"-"&amp;G1760&amp;"-"&amp;TEXT(COUNTIFS(I$5:I1760,I1760,G$5:G1760,G1760),"0000"))</f>
        <v/>
      </c>
      <c r="C1760" s="26"/>
      <c r="D1760" s="26"/>
      <c r="E1760" s="27"/>
      <c r="F1760" s="27"/>
      <c r="G1760" s="31" t="str">
        <f aca="false">IF(F1760="","",IF(F1760&lt;=5,"A",IF(F1760&lt;=8,"B",IF(F1760&lt;=10,"C","D"))))</f>
        <v/>
      </c>
      <c r="H1760" s="28"/>
      <c r="I1760" s="27"/>
      <c r="J1760" s="26"/>
      <c r="K1760" s="27"/>
      <c r="L1760" s="27"/>
      <c r="M1760" s="27"/>
      <c r="N1760" s="27"/>
      <c r="O1760" s="31" t="str">
        <f aca="false">IF(G1760="","",VLOOKUP(G1760,Setup!$A$14:$C$17,3,0))</f>
        <v/>
      </c>
      <c r="P1760" s="27"/>
      <c r="Q1760" s="33" t="str">
        <f aca="false">IF(OR(P1760="",M1760&lt;&gt;"Paid",O1760=""),"",P1760/O1760)</f>
        <v/>
      </c>
      <c r="R1760" s="34" t="str">
        <f aca="false">IF(Q1760="","",Q1760+N(H1760)*0.000000001)</f>
        <v/>
      </c>
      <c r="S1760" s="32" t="str">
        <f aca="false">IF(R1760="","",SUMPRODUCT((I$5:I$4004=I1760)*ISNUMBER(R$5:R$4004)*(R$5:R$4004&gt;R1760))+1)</f>
        <v/>
      </c>
      <c r="T1760" s="32" t="str">
        <f aca="false">IF(S1760="","",IF(S1760&lt;=Setup!$B$5,"🏆 WINNER",""))</f>
        <v/>
      </c>
      <c r="U1760" s="31" t="str">
        <f aca="false">IF(S1760="","",I1760&amp;"|"&amp;S1760)</f>
        <v/>
      </c>
    </row>
    <row r="1761" customFormat="false" ht="15" hidden="false" customHeight="false" outlineLevel="0" collapsed="false">
      <c r="A1761" s="24" t="n">
        <v>1757</v>
      </c>
      <c r="B1761" s="25" t="str">
        <f aca="false">IF(OR(C1761="",I1761="",G1761=""),"",IFERROR(VLOOKUP(I1761,Setup!$A$9:$B$11,2,0),"???")&amp;"-"&amp;G1761&amp;"-"&amp;TEXT(COUNTIFS(I$5:I1761,I1761,G$5:G1761,G1761),"0000"))</f>
        <v/>
      </c>
      <c r="C1761" s="26"/>
      <c r="D1761" s="26"/>
      <c r="E1761" s="27"/>
      <c r="F1761" s="27"/>
      <c r="G1761" s="24" t="str">
        <f aca="false">IF(F1761="","",IF(F1761&lt;=5,"A",IF(F1761&lt;=8,"B",IF(F1761&lt;=10,"C","D"))))</f>
        <v/>
      </c>
      <c r="H1761" s="28"/>
      <c r="I1761" s="27"/>
      <c r="J1761" s="26"/>
      <c r="K1761" s="27"/>
      <c r="L1761" s="27"/>
      <c r="M1761" s="27"/>
      <c r="N1761" s="27"/>
      <c r="O1761" s="24" t="str">
        <f aca="false">IF(G1761="","",VLOOKUP(G1761,Setup!$A$14:$C$17,3,0))</f>
        <v/>
      </c>
      <c r="P1761" s="27"/>
      <c r="Q1761" s="29" t="str">
        <f aca="false">IF(OR(P1761="",M1761&lt;&gt;"Paid",O1761=""),"",P1761/O1761)</f>
        <v/>
      </c>
      <c r="R1761" s="30" t="str">
        <f aca="false">IF(Q1761="","",Q1761+N(H1761)*0.000000001)</f>
        <v/>
      </c>
      <c r="S1761" s="25" t="str">
        <f aca="false">IF(R1761="","",SUMPRODUCT((I$5:I$4004=I1761)*ISNUMBER(R$5:R$4004)*(R$5:R$4004&gt;R1761))+1)</f>
        <v/>
      </c>
      <c r="T1761" s="25" t="str">
        <f aca="false">IF(S1761="","",IF(S1761&lt;=Setup!$B$5,"🏆 WINNER",""))</f>
        <v/>
      </c>
      <c r="U1761" s="24" t="str">
        <f aca="false">IF(S1761="","",I1761&amp;"|"&amp;S1761)</f>
        <v/>
      </c>
    </row>
    <row r="1762" customFormat="false" ht="15" hidden="false" customHeight="false" outlineLevel="0" collapsed="false">
      <c r="A1762" s="31" t="n">
        <v>1758</v>
      </c>
      <c r="B1762" s="32" t="str">
        <f aca="false">IF(OR(C1762="",I1762="",G1762=""),"",IFERROR(VLOOKUP(I1762,Setup!$A$9:$B$11,2,0),"???")&amp;"-"&amp;G1762&amp;"-"&amp;TEXT(COUNTIFS(I$5:I1762,I1762,G$5:G1762,G1762),"0000"))</f>
        <v/>
      </c>
      <c r="C1762" s="26"/>
      <c r="D1762" s="26"/>
      <c r="E1762" s="27"/>
      <c r="F1762" s="27"/>
      <c r="G1762" s="31" t="str">
        <f aca="false">IF(F1762="","",IF(F1762&lt;=5,"A",IF(F1762&lt;=8,"B",IF(F1762&lt;=10,"C","D"))))</f>
        <v/>
      </c>
      <c r="H1762" s="28"/>
      <c r="I1762" s="27"/>
      <c r="J1762" s="26"/>
      <c r="K1762" s="27"/>
      <c r="L1762" s="27"/>
      <c r="M1762" s="27"/>
      <c r="N1762" s="27"/>
      <c r="O1762" s="31" t="str">
        <f aca="false">IF(G1762="","",VLOOKUP(G1762,Setup!$A$14:$C$17,3,0))</f>
        <v/>
      </c>
      <c r="P1762" s="27"/>
      <c r="Q1762" s="33" t="str">
        <f aca="false">IF(OR(P1762="",M1762&lt;&gt;"Paid",O1762=""),"",P1762/O1762)</f>
        <v/>
      </c>
      <c r="R1762" s="34" t="str">
        <f aca="false">IF(Q1762="","",Q1762+N(H1762)*0.000000001)</f>
        <v/>
      </c>
      <c r="S1762" s="32" t="str">
        <f aca="false">IF(R1762="","",SUMPRODUCT((I$5:I$4004=I1762)*ISNUMBER(R$5:R$4004)*(R$5:R$4004&gt;R1762))+1)</f>
        <v/>
      </c>
      <c r="T1762" s="32" t="str">
        <f aca="false">IF(S1762="","",IF(S1762&lt;=Setup!$B$5,"🏆 WINNER",""))</f>
        <v/>
      </c>
      <c r="U1762" s="31" t="str">
        <f aca="false">IF(S1762="","",I1762&amp;"|"&amp;S1762)</f>
        <v/>
      </c>
    </row>
    <row r="1763" customFormat="false" ht="15" hidden="false" customHeight="false" outlineLevel="0" collapsed="false">
      <c r="A1763" s="24" t="n">
        <v>1759</v>
      </c>
      <c r="B1763" s="25" t="str">
        <f aca="false">IF(OR(C1763="",I1763="",G1763=""),"",IFERROR(VLOOKUP(I1763,Setup!$A$9:$B$11,2,0),"???")&amp;"-"&amp;G1763&amp;"-"&amp;TEXT(COUNTIFS(I$5:I1763,I1763,G$5:G1763,G1763),"0000"))</f>
        <v/>
      </c>
      <c r="C1763" s="26"/>
      <c r="D1763" s="26"/>
      <c r="E1763" s="27"/>
      <c r="F1763" s="27"/>
      <c r="G1763" s="24" t="str">
        <f aca="false">IF(F1763="","",IF(F1763&lt;=5,"A",IF(F1763&lt;=8,"B",IF(F1763&lt;=10,"C","D"))))</f>
        <v/>
      </c>
      <c r="H1763" s="28"/>
      <c r="I1763" s="27"/>
      <c r="J1763" s="26"/>
      <c r="K1763" s="27"/>
      <c r="L1763" s="27"/>
      <c r="M1763" s="27"/>
      <c r="N1763" s="27"/>
      <c r="O1763" s="24" t="str">
        <f aca="false">IF(G1763="","",VLOOKUP(G1763,Setup!$A$14:$C$17,3,0))</f>
        <v/>
      </c>
      <c r="P1763" s="27"/>
      <c r="Q1763" s="29" t="str">
        <f aca="false">IF(OR(P1763="",M1763&lt;&gt;"Paid",O1763=""),"",P1763/O1763)</f>
        <v/>
      </c>
      <c r="R1763" s="30" t="str">
        <f aca="false">IF(Q1763="","",Q1763+N(H1763)*0.000000001)</f>
        <v/>
      </c>
      <c r="S1763" s="25" t="str">
        <f aca="false">IF(R1763="","",SUMPRODUCT((I$5:I$4004=I1763)*ISNUMBER(R$5:R$4004)*(R$5:R$4004&gt;R1763))+1)</f>
        <v/>
      </c>
      <c r="T1763" s="25" t="str">
        <f aca="false">IF(S1763="","",IF(S1763&lt;=Setup!$B$5,"🏆 WINNER",""))</f>
        <v/>
      </c>
      <c r="U1763" s="24" t="str">
        <f aca="false">IF(S1763="","",I1763&amp;"|"&amp;S1763)</f>
        <v/>
      </c>
    </row>
    <row r="1764" customFormat="false" ht="15" hidden="false" customHeight="false" outlineLevel="0" collapsed="false">
      <c r="A1764" s="31" t="n">
        <v>1760</v>
      </c>
      <c r="B1764" s="32" t="str">
        <f aca="false">IF(OR(C1764="",I1764="",G1764=""),"",IFERROR(VLOOKUP(I1764,Setup!$A$9:$B$11,2,0),"???")&amp;"-"&amp;G1764&amp;"-"&amp;TEXT(COUNTIFS(I$5:I1764,I1764,G$5:G1764,G1764),"0000"))</f>
        <v/>
      </c>
      <c r="C1764" s="26"/>
      <c r="D1764" s="26"/>
      <c r="E1764" s="27"/>
      <c r="F1764" s="27"/>
      <c r="G1764" s="31" t="str">
        <f aca="false">IF(F1764="","",IF(F1764&lt;=5,"A",IF(F1764&lt;=8,"B",IF(F1764&lt;=10,"C","D"))))</f>
        <v/>
      </c>
      <c r="H1764" s="28"/>
      <c r="I1764" s="27"/>
      <c r="J1764" s="26"/>
      <c r="K1764" s="27"/>
      <c r="L1764" s="27"/>
      <c r="M1764" s="27"/>
      <c r="N1764" s="27"/>
      <c r="O1764" s="31" t="str">
        <f aca="false">IF(G1764="","",VLOOKUP(G1764,Setup!$A$14:$C$17,3,0))</f>
        <v/>
      </c>
      <c r="P1764" s="27"/>
      <c r="Q1764" s="33" t="str">
        <f aca="false">IF(OR(P1764="",M1764&lt;&gt;"Paid",O1764=""),"",P1764/O1764)</f>
        <v/>
      </c>
      <c r="R1764" s="34" t="str">
        <f aca="false">IF(Q1764="","",Q1764+N(H1764)*0.000000001)</f>
        <v/>
      </c>
      <c r="S1764" s="32" t="str">
        <f aca="false">IF(R1764="","",SUMPRODUCT((I$5:I$4004=I1764)*ISNUMBER(R$5:R$4004)*(R$5:R$4004&gt;R1764))+1)</f>
        <v/>
      </c>
      <c r="T1764" s="32" t="str">
        <f aca="false">IF(S1764="","",IF(S1764&lt;=Setup!$B$5,"🏆 WINNER",""))</f>
        <v/>
      </c>
      <c r="U1764" s="31" t="str">
        <f aca="false">IF(S1764="","",I1764&amp;"|"&amp;S1764)</f>
        <v/>
      </c>
    </row>
    <row r="1765" customFormat="false" ht="15" hidden="false" customHeight="false" outlineLevel="0" collapsed="false">
      <c r="A1765" s="24" t="n">
        <v>1761</v>
      </c>
      <c r="B1765" s="25" t="str">
        <f aca="false">IF(OR(C1765="",I1765="",G1765=""),"",IFERROR(VLOOKUP(I1765,Setup!$A$9:$B$11,2,0),"???")&amp;"-"&amp;G1765&amp;"-"&amp;TEXT(COUNTIFS(I$5:I1765,I1765,G$5:G1765,G1765),"0000"))</f>
        <v/>
      </c>
      <c r="C1765" s="26"/>
      <c r="D1765" s="26"/>
      <c r="E1765" s="27"/>
      <c r="F1765" s="27"/>
      <c r="G1765" s="24" t="str">
        <f aca="false">IF(F1765="","",IF(F1765&lt;=5,"A",IF(F1765&lt;=8,"B",IF(F1765&lt;=10,"C","D"))))</f>
        <v/>
      </c>
      <c r="H1765" s="28"/>
      <c r="I1765" s="27"/>
      <c r="J1765" s="26"/>
      <c r="K1765" s="27"/>
      <c r="L1765" s="27"/>
      <c r="M1765" s="27"/>
      <c r="N1765" s="27"/>
      <c r="O1765" s="24" t="str">
        <f aca="false">IF(G1765="","",VLOOKUP(G1765,Setup!$A$14:$C$17,3,0))</f>
        <v/>
      </c>
      <c r="P1765" s="27"/>
      <c r="Q1765" s="29" t="str">
        <f aca="false">IF(OR(P1765="",M1765&lt;&gt;"Paid",O1765=""),"",P1765/O1765)</f>
        <v/>
      </c>
      <c r="R1765" s="30" t="str">
        <f aca="false">IF(Q1765="","",Q1765+N(H1765)*0.000000001)</f>
        <v/>
      </c>
      <c r="S1765" s="25" t="str">
        <f aca="false">IF(R1765="","",SUMPRODUCT((I$5:I$4004=I1765)*ISNUMBER(R$5:R$4004)*(R$5:R$4004&gt;R1765))+1)</f>
        <v/>
      </c>
      <c r="T1765" s="25" t="str">
        <f aca="false">IF(S1765="","",IF(S1765&lt;=Setup!$B$5,"🏆 WINNER",""))</f>
        <v/>
      </c>
      <c r="U1765" s="24" t="str">
        <f aca="false">IF(S1765="","",I1765&amp;"|"&amp;S1765)</f>
        <v/>
      </c>
    </row>
    <row r="1766" customFormat="false" ht="15" hidden="false" customHeight="false" outlineLevel="0" collapsed="false">
      <c r="A1766" s="31" t="n">
        <v>1762</v>
      </c>
      <c r="B1766" s="32" t="str">
        <f aca="false">IF(OR(C1766="",I1766="",G1766=""),"",IFERROR(VLOOKUP(I1766,Setup!$A$9:$B$11,2,0),"???")&amp;"-"&amp;G1766&amp;"-"&amp;TEXT(COUNTIFS(I$5:I1766,I1766,G$5:G1766,G1766),"0000"))</f>
        <v/>
      </c>
      <c r="C1766" s="26"/>
      <c r="D1766" s="26"/>
      <c r="E1766" s="27"/>
      <c r="F1766" s="27"/>
      <c r="G1766" s="31" t="str">
        <f aca="false">IF(F1766="","",IF(F1766&lt;=5,"A",IF(F1766&lt;=8,"B",IF(F1766&lt;=10,"C","D"))))</f>
        <v/>
      </c>
      <c r="H1766" s="28"/>
      <c r="I1766" s="27"/>
      <c r="J1766" s="26"/>
      <c r="K1766" s="27"/>
      <c r="L1766" s="27"/>
      <c r="M1766" s="27"/>
      <c r="N1766" s="27"/>
      <c r="O1766" s="31" t="str">
        <f aca="false">IF(G1766="","",VLOOKUP(G1766,Setup!$A$14:$C$17,3,0))</f>
        <v/>
      </c>
      <c r="P1766" s="27"/>
      <c r="Q1766" s="33" t="str">
        <f aca="false">IF(OR(P1766="",M1766&lt;&gt;"Paid",O1766=""),"",P1766/O1766)</f>
        <v/>
      </c>
      <c r="R1766" s="34" t="str">
        <f aca="false">IF(Q1766="","",Q1766+N(H1766)*0.000000001)</f>
        <v/>
      </c>
      <c r="S1766" s="32" t="str">
        <f aca="false">IF(R1766="","",SUMPRODUCT((I$5:I$4004=I1766)*ISNUMBER(R$5:R$4004)*(R$5:R$4004&gt;R1766))+1)</f>
        <v/>
      </c>
      <c r="T1766" s="32" t="str">
        <f aca="false">IF(S1766="","",IF(S1766&lt;=Setup!$B$5,"🏆 WINNER",""))</f>
        <v/>
      </c>
      <c r="U1766" s="31" t="str">
        <f aca="false">IF(S1766="","",I1766&amp;"|"&amp;S1766)</f>
        <v/>
      </c>
    </row>
    <row r="1767" customFormat="false" ht="15" hidden="false" customHeight="false" outlineLevel="0" collapsed="false">
      <c r="A1767" s="24" t="n">
        <v>1763</v>
      </c>
      <c r="B1767" s="25" t="str">
        <f aca="false">IF(OR(C1767="",I1767="",G1767=""),"",IFERROR(VLOOKUP(I1767,Setup!$A$9:$B$11,2,0),"???")&amp;"-"&amp;G1767&amp;"-"&amp;TEXT(COUNTIFS(I$5:I1767,I1767,G$5:G1767,G1767),"0000"))</f>
        <v/>
      </c>
      <c r="C1767" s="26"/>
      <c r="D1767" s="26"/>
      <c r="E1767" s="27"/>
      <c r="F1767" s="27"/>
      <c r="G1767" s="24" t="str">
        <f aca="false">IF(F1767="","",IF(F1767&lt;=5,"A",IF(F1767&lt;=8,"B",IF(F1767&lt;=10,"C","D"))))</f>
        <v/>
      </c>
      <c r="H1767" s="28"/>
      <c r="I1767" s="27"/>
      <c r="J1767" s="26"/>
      <c r="K1767" s="27"/>
      <c r="L1767" s="27"/>
      <c r="M1767" s="27"/>
      <c r="N1767" s="27"/>
      <c r="O1767" s="24" t="str">
        <f aca="false">IF(G1767="","",VLOOKUP(G1767,Setup!$A$14:$C$17,3,0))</f>
        <v/>
      </c>
      <c r="P1767" s="27"/>
      <c r="Q1767" s="29" t="str">
        <f aca="false">IF(OR(P1767="",M1767&lt;&gt;"Paid",O1767=""),"",P1767/O1767)</f>
        <v/>
      </c>
      <c r="R1767" s="30" t="str">
        <f aca="false">IF(Q1767="","",Q1767+N(H1767)*0.000000001)</f>
        <v/>
      </c>
      <c r="S1767" s="25" t="str">
        <f aca="false">IF(R1767="","",SUMPRODUCT((I$5:I$4004=I1767)*ISNUMBER(R$5:R$4004)*(R$5:R$4004&gt;R1767))+1)</f>
        <v/>
      </c>
      <c r="T1767" s="25" t="str">
        <f aca="false">IF(S1767="","",IF(S1767&lt;=Setup!$B$5,"🏆 WINNER",""))</f>
        <v/>
      </c>
      <c r="U1767" s="24" t="str">
        <f aca="false">IF(S1767="","",I1767&amp;"|"&amp;S1767)</f>
        <v/>
      </c>
    </row>
    <row r="1768" customFormat="false" ht="15" hidden="false" customHeight="false" outlineLevel="0" collapsed="false">
      <c r="A1768" s="31" t="n">
        <v>1764</v>
      </c>
      <c r="B1768" s="32" t="str">
        <f aca="false">IF(OR(C1768="",I1768="",G1768=""),"",IFERROR(VLOOKUP(I1768,Setup!$A$9:$B$11,2,0),"???")&amp;"-"&amp;G1768&amp;"-"&amp;TEXT(COUNTIFS(I$5:I1768,I1768,G$5:G1768,G1768),"0000"))</f>
        <v/>
      </c>
      <c r="C1768" s="26"/>
      <c r="D1768" s="26"/>
      <c r="E1768" s="27"/>
      <c r="F1768" s="27"/>
      <c r="G1768" s="31" t="str">
        <f aca="false">IF(F1768="","",IF(F1768&lt;=5,"A",IF(F1768&lt;=8,"B",IF(F1768&lt;=10,"C","D"))))</f>
        <v/>
      </c>
      <c r="H1768" s="28"/>
      <c r="I1768" s="27"/>
      <c r="J1768" s="26"/>
      <c r="K1768" s="27"/>
      <c r="L1768" s="27"/>
      <c r="M1768" s="27"/>
      <c r="N1768" s="27"/>
      <c r="O1768" s="31" t="str">
        <f aca="false">IF(G1768="","",VLOOKUP(G1768,Setup!$A$14:$C$17,3,0))</f>
        <v/>
      </c>
      <c r="P1768" s="27"/>
      <c r="Q1768" s="33" t="str">
        <f aca="false">IF(OR(P1768="",M1768&lt;&gt;"Paid",O1768=""),"",P1768/O1768)</f>
        <v/>
      </c>
      <c r="R1768" s="34" t="str">
        <f aca="false">IF(Q1768="","",Q1768+N(H1768)*0.000000001)</f>
        <v/>
      </c>
      <c r="S1768" s="32" t="str">
        <f aca="false">IF(R1768="","",SUMPRODUCT((I$5:I$4004=I1768)*ISNUMBER(R$5:R$4004)*(R$5:R$4004&gt;R1768))+1)</f>
        <v/>
      </c>
      <c r="T1768" s="32" t="str">
        <f aca="false">IF(S1768="","",IF(S1768&lt;=Setup!$B$5,"🏆 WINNER",""))</f>
        <v/>
      </c>
      <c r="U1768" s="31" t="str">
        <f aca="false">IF(S1768="","",I1768&amp;"|"&amp;S1768)</f>
        <v/>
      </c>
    </row>
    <row r="1769" customFormat="false" ht="15" hidden="false" customHeight="false" outlineLevel="0" collapsed="false">
      <c r="A1769" s="24" t="n">
        <v>1765</v>
      </c>
      <c r="B1769" s="25" t="str">
        <f aca="false">IF(OR(C1769="",I1769="",G1769=""),"",IFERROR(VLOOKUP(I1769,Setup!$A$9:$B$11,2,0),"???")&amp;"-"&amp;G1769&amp;"-"&amp;TEXT(COUNTIFS(I$5:I1769,I1769,G$5:G1769,G1769),"0000"))</f>
        <v/>
      </c>
      <c r="C1769" s="26"/>
      <c r="D1769" s="26"/>
      <c r="E1769" s="27"/>
      <c r="F1769" s="27"/>
      <c r="G1769" s="24" t="str">
        <f aca="false">IF(F1769="","",IF(F1769&lt;=5,"A",IF(F1769&lt;=8,"B",IF(F1769&lt;=10,"C","D"))))</f>
        <v/>
      </c>
      <c r="H1769" s="28"/>
      <c r="I1769" s="27"/>
      <c r="J1769" s="26"/>
      <c r="K1769" s="27"/>
      <c r="L1769" s="27"/>
      <c r="M1769" s="27"/>
      <c r="N1769" s="27"/>
      <c r="O1769" s="24" t="str">
        <f aca="false">IF(G1769="","",VLOOKUP(G1769,Setup!$A$14:$C$17,3,0))</f>
        <v/>
      </c>
      <c r="P1769" s="27"/>
      <c r="Q1769" s="29" t="str">
        <f aca="false">IF(OR(P1769="",M1769&lt;&gt;"Paid",O1769=""),"",P1769/O1769)</f>
        <v/>
      </c>
      <c r="R1769" s="30" t="str">
        <f aca="false">IF(Q1769="","",Q1769+N(H1769)*0.000000001)</f>
        <v/>
      </c>
      <c r="S1769" s="25" t="str">
        <f aca="false">IF(R1769="","",SUMPRODUCT((I$5:I$4004=I1769)*ISNUMBER(R$5:R$4004)*(R$5:R$4004&gt;R1769))+1)</f>
        <v/>
      </c>
      <c r="T1769" s="25" t="str">
        <f aca="false">IF(S1769="","",IF(S1769&lt;=Setup!$B$5,"🏆 WINNER",""))</f>
        <v/>
      </c>
      <c r="U1769" s="24" t="str">
        <f aca="false">IF(S1769="","",I1769&amp;"|"&amp;S1769)</f>
        <v/>
      </c>
    </row>
    <row r="1770" customFormat="false" ht="15" hidden="false" customHeight="false" outlineLevel="0" collapsed="false">
      <c r="A1770" s="31" t="n">
        <v>1766</v>
      </c>
      <c r="B1770" s="32" t="str">
        <f aca="false">IF(OR(C1770="",I1770="",G1770=""),"",IFERROR(VLOOKUP(I1770,Setup!$A$9:$B$11,2,0),"???")&amp;"-"&amp;G1770&amp;"-"&amp;TEXT(COUNTIFS(I$5:I1770,I1770,G$5:G1770,G1770),"0000"))</f>
        <v/>
      </c>
      <c r="C1770" s="26"/>
      <c r="D1770" s="26"/>
      <c r="E1770" s="27"/>
      <c r="F1770" s="27"/>
      <c r="G1770" s="31" t="str">
        <f aca="false">IF(F1770="","",IF(F1770&lt;=5,"A",IF(F1770&lt;=8,"B",IF(F1770&lt;=10,"C","D"))))</f>
        <v/>
      </c>
      <c r="H1770" s="28"/>
      <c r="I1770" s="27"/>
      <c r="J1770" s="26"/>
      <c r="K1770" s="27"/>
      <c r="L1770" s="27"/>
      <c r="M1770" s="27"/>
      <c r="N1770" s="27"/>
      <c r="O1770" s="31" t="str">
        <f aca="false">IF(G1770="","",VLOOKUP(G1770,Setup!$A$14:$C$17,3,0))</f>
        <v/>
      </c>
      <c r="P1770" s="27"/>
      <c r="Q1770" s="33" t="str">
        <f aca="false">IF(OR(P1770="",M1770&lt;&gt;"Paid",O1770=""),"",P1770/O1770)</f>
        <v/>
      </c>
      <c r="R1770" s="34" t="str">
        <f aca="false">IF(Q1770="","",Q1770+N(H1770)*0.000000001)</f>
        <v/>
      </c>
      <c r="S1770" s="32" t="str">
        <f aca="false">IF(R1770="","",SUMPRODUCT((I$5:I$4004=I1770)*ISNUMBER(R$5:R$4004)*(R$5:R$4004&gt;R1770))+1)</f>
        <v/>
      </c>
      <c r="T1770" s="32" t="str">
        <f aca="false">IF(S1770="","",IF(S1770&lt;=Setup!$B$5,"🏆 WINNER",""))</f>
        <v/>
      </c>
      <c r="U1770" s="31" t="str">
        <f aca="false">IF(S1770="","",I1770&amp;"|"&amp;S1770)</f>
        <v/>
      </c>
    </row>
    <row r="1771" customFormat="false" ht="15" hidden="false" customHeight="false" outlineLevel="0" collapsed="false">
      <c r="A1771" s="24" t="n">
        <v>1767</v>
      </c>
      <c r="B1771" s="25" t="str">
        <f aca="false">IF(OR(C1771="",I1771="",G1771=""),"",IFERROR(VLOOKUP(I1771,Setup!$A$9:$B$11,2,0),"???")&amp;"-"&amp;G1771&amp;"-"&amp;TEXT(COUNTIFS(I$5:I1771,I1771,G$5:G1771,G1771),"0000"))</f>
        <v/>
      </c>
      <c r="C1771" s="26"/>
      <c r="D1771" s="26"/>
      <c r="E1771" s="27"/>
      <c r="F1771" s="27"/>
      <c r="G1771" s="24" t="str">
        <f aca="false">IF(F1771="","",IF(F1771&lt;=5,"A",IF(F1771&lt;=8,"B",IF(F1771&lt;=10,"C","D"))))</f>
        <v/>
      </c>
      <c r="H1771" s="28"/>
      <c r="I1771" s="27"/>
      <c r="J1771" s="26"/>
      <c r="K1771" s="27"/>
      <c r="L1771" s="27"/>
      <c r="M1771" s="27"/>
      <c r="N1771" s="27"/>
      <c r="O1771" s="24" t="str">
        <f aca="false">IF(G1771="","",VLOOKUP(G1771,Setup!$A$14:$C$17,3,0))</f>
        <v/>
      </c>
      <c r="P1771" s="27"/>
      <c r="Q1771" s="29" t="str">
        <f aca="false">IF(OR(P1771="",M1771&lt;&gt;"Paid",O1771=""),"",P1771/O1771)</f>
        <v/>
      </c>
      <c r="R1771" s="30" t="str">
        <f aca="false">IF(Q1771="","",Q1771+N(H1771)*0.000000001)</f>
        <v/>
      </c>
      <c r="S1771" s="25" t="str">
        <f aca="false">IF(R1771="","",SUMPRODUCT((I$5:I$4004=I1771)*ISNUMBER(R$5:R$4004)*(R$5:R$4004&gt;R1771))+1)</f>
        <v/>
      </c>
      <c r="T1771" s="25" t="str">
        <f aca="false">IF(S1771="","",IF(S1771&lt;=Setup!$B$5,"🏆 WINNER",""))</f>
        <v/>
      </c>
      <c r="U1771" s="24" t="str">
        <f aca="false">IF(S1771="","",I1771&amp;"|"&amp;S1771)</f>
        <v/>
      </c>
    </row>
    <row r="1772" customFormat="false" ht="15" hidden="false" customHeight="false" outlineLevel="0" collapsed="false">
      <c r="A1772" s="31" t="n">
        <v>1768</v>
      </c>
      <c r="B1772" s="32" t="str">
        <f aca="false">IF(OR(C1772="",I1772="",G1772=""),"",IFERROR(VLOOKUP(I1772,Setup!$A$9:$B$11,2,0),"???")&amp;"-"&amp;G1772&amp;"-"&amp;TEXT(COUNTIFS(I$5:I1772,I1772,G$5:G1772,G1772),"0000"))</f>
        <v/>
      </c>
      <c r="C1772" s="26"/>
      <c r="D1772" s="26"/>
      <c r="E1772" s="27"/>
      <c r="F1772" s="27"/>
      <c r="G1772" s="31" t="str">
        <f aca="false">IF(F1772="","",IF(F1772&lt;=5,"A",IF(F1772&lt;=8,"B",IF(F1772&lt;=10,"C","D"))))</f>
        <v/>
      </c>
      <c r="H1772" s="28"/>
      <c r="I1772" s="27"/>
      <c r="J1772" s="26"/>
      <c r="K1772" s="27"/>
      <c r="L1772" s="27"/>
      <c r="M1772" s="27"/>
      <c r="N1772" s="27"/>
      <c r="O1772" s="31" t="str">
        <f aca="false">IF(G1772="","",VLOOKUP(G1772,Setup!$A$14:$C$17,3,0))</f>
        <v/>
      </c>
      <c r="P1772" s="27"/>
      <c r="Q1772" s="33" t="str">
        <f aca="false">IF(OR(P1772="",M1772&lt;&gt;"Paid",O1772=""),"",P1772/O1772)</f>
        <v/>
      </c>
      <c r="R1772" s="34" t="str">
        <f aca="false">IF(Q1772="","",Q1772+N(H1772)*0.000000001)</f>
        <v/>
      </c>
      <c r="S1772" s="32" t="str">
        <f aca="false">IF(R1772="","",SUMPRODUCT((I$5:I$4004=I1772)*ISNUMBER(R$5:R$4004)*(R$5:R$4004&gt;R1772))+1)</f>
        <v/>
      </c>
      <c r="T1772" s="32" t="str">
        <f aca="false">IF(S1772="","",IF(S1772&lt;=Setup!$B$5,"🏆 WINNER",""))</f>
        <v/>
      </c>
      <c r="U1772" s="31" t="str">
        <f aca="false">IF(S1772="","",I1772&amp;"|"&amp;S1772)</f>
        <v/>
      </c>
    </row>
    <row r="1773" customFormat="false" ht="15" hidden="false" customHeight="false" outlineLevel="0" collapsed="false">
      <c r="A1773" s="24" t="n">
        <v>1769</v>
      </c>
      <c r="B1773" s="25" t="str">
        <f aca="false">IF(OR(C1773="",I1773="",G1773=""),"",IFERROR(VLOOKUP(I1773,Setup!$A$9:$B$11,2,0),"???")&amp;"-"&amp;G1773&amp;"-"&amp;TEXT(COUNTIFS(I$5:I1773,I1773,G$5:G1773,G1773),"0000"))</f>
        <v/>
      </c>
      <c r="C1773" s="26"/>
      <c r="D1773" s="26"/>
      <c r="E1773" s="27"/>
      <c r="F1773" s="27"/>
      <c r="G1773" s="24" t="str">
        <f aca="false">IF(F1773="","",IF(F1773&lt;=5,"A",IF(F1773&lt;=8,"B",IF(F1773&lt;=10,"C","D"))))</f>
        <v/>
      </c>
      <c r="H1773" s="28"/>
      <c r="I1773" s="27"/>
      <c r="J1773" s="26"/>
      <c r="K1773" s="27"/>
      <c r="L1773" s="27"/>
      <c r="M1773" s="27"/>
      <c r="N1773" s="27"/>
      <c r="O1773" s="24" t="str">
        <f aca="false">IF(G1773="","",VLOOKUP(G1773,Setup!$A$14:$C$17,3,0))</f>
        <v/>
      </c>
      <c r="P1773" s="27"/>
      <c r="Q1773" s="29" t="str">
        <f aca="false">IF(OR(P1773="",M1773&lt;&gt;"Paid",O1773=""),"",P1773/O1773)</f>
        <v/>
      </c>
      <c r="R1773" s="30" t="str">
        <f aca="false">IF(Q1773="","",Q1773+N(H1773)*0.000000001)</f>
        <v/>
      </c>
      <c r="S1773" s="25" t="str">
        <f aca="false">IF(R1773="","",SUMPRODUCT((I$5:I$4004=I1773)*ISNUMBER(R$5:R$4004)*(R$5:R$4004&gt;R1773))+1)</f>
        <v/>
      </c>
      <c r="T1773" s="25" t="str">
        <f aca="false">IF(S1773="","",IF(S1773&lt;=Setup!$B$5,"🏆 WINNER",""))</f>
        <v/>
      </c>
      <c r="U1773" s="24" t="str">
        <f aca="false">IF(S1773="","",I1773&amp;"|"&amp;S1773)</f>
        <v/>
      </c>
    </row>
    <row r="1774" customFormat="false" ht="15" hidden="false" customHeight="false" outlineLevel="0" collapsed="false">
      <c r="A1774" s="31" t="n">
        <v>1770</v>
      </c>
      <c r="B1774" s="32" t="str">
        <f aca="false">IF(OR(C1774="",I1774="",G1774=""),"",IFERROR(VLOOKUP(I1774,Setup!$A$9:$B$11,2,0),"???")&amp;"-"&amp;G1774&amp;"-"&amp;TEXT(COUNTIFS(I$5:I1774,I1774,G$5:G1774,G1774),"0000"))</f>
        <v/>
      </c>
      <c r="C1774" s="26"/>
      <c r="D1774" s="26"/>
      <c r="E1774" s="27"/>
      <c r="F1774" s="27"/>
      <c r="G1774" s="31" t="str">
        <f aca="false">IF(F1774="","",IF(F1774&lt;=5,"A",IF(F1774&lt;=8,"B",IF(F1774&lt;=10,"C","D"))))</f>
        <v/>
      </c>
      <c r="H1774" s="28"/>
      <c r="I1774" s="27"/>
      <c r="J1774" s="26"/>
      <c r="K1774" s="27"/>
      <c r="L1774" s="27"/>
      <c r="M1774" s="27"/>
      <c r="N1774" s="27"/>
      <c r="O1774" s="31" t="str">
        <f aca="false">IF(G1774="","",VLOOKUP(G1774,Setup!$A$14:$C$17,3,0))</f>
        <v/>
      </c>
      <c r="P1774" s="27"/>
      <c r="Q1774" s="33" t="str">
        <f aca="false">IF(OR(P1774="",M1774&lt;&gt;"Paid",O1774=""),"",P1774/O1774)</f>
        <v/>
      </c>
      <c r="R1774" s="34" t="str">
        <f aca="false">IF(Q1774="","",Q1774+N(H1774)*0.000000001)</f>
        <v/>
      </c>
      <c r="S1774" s="32" t="str">
        <f aca="false">IF(R1774="","",SUMPRODUCT((I$5:I$4004=I1774)*ISNUMBER(R$5:R$4004)*(R$5:R$4004&gt;R1774))+1)</f>
        <v/>
      </c>
      <c r="T1774" s="32" t="str">
        <f aca="false">IF(S1774="","",IF(S1774&lt;=Setup!$B$5,"🏆 WINNER",""))</f>
        <v/>
      </c>
      <c r="U1774" s="31" t="str">
        <f aca="false">IF(S1774="","",I1774&amp;"|"&amp;S1774)</f>
        <v/>
      </c>
    </row>
    <row r="1775" customFormat="false" ht="15" hidden="false" customHeight="false" outlineLevel="0" collapsed="false">
      <c r="A1775" s="24" t="n">
        <v>1771</v>
      </c>
      <c r="B1775" s="25" t="str">
        <f aca="false">IF(OR(C1775="",I1775="",G1775=""),"",IFERROR(VLOOKUP(I1775,Setup!$A$9:$B$11,2,0),"???")&amp;"-"&amp;G1775&amp;"-"&amp;TEXT(COUNTIFS(I$5:I1775,I1775,G$5:G1775,G1775),"0000"))</f>
        <v/>
      </c>
      <c r="C1775" s="26"/>
      <c r="D1775" s="26"/>
      <c r="E1775" s="27"/>
      <c r="F1775" s="27"/>
      <c r="G1775" s="24" t="str">
        <f aca="false">IF(F1775="","",IF(F1775&lt;=5,"A",IF(F1775&lt;=8,"B",IF(F1775&lt;=10,"C","D"))))</f>
        <v/>
      </c>
      <c r="H1775" s="28"/>
      <c r="I1775" s="27"/>
      <c r="J1775" s="26"/>
      <c r="K1775" s="27"/>
      <c r="L1775" s="27"/>
      <c r="M1775" s="27"/>
      <c r="N1775" s="27"/>
      <c r="O1775" s="24" t="str">
        <f aca="false">IF(G1775="","",VLOOKUP(G1775,Setup!$A$14:$C$17,3,0))</f>
        <v/>
      </c>
      <c r="P1775" s="27"/>
      <c r="Q1775" s="29" t="str">
        <f aca="false">IF(OR(P1775="",M1775&lt;&gt;"Paid",O1775=""),"",P1775/O1775)</f>
        <v/>
      </c>
      <c r="R1775" s="30" t="str">
        <f aca="false">IF(Q1775="","",Q1775+N(H1775)*0.000000001)</f>
        <v/>
      </c>
      <c r="S1775" s="25" t="str">
        <f aca="false">IF(R1775="","",SUMPRODUCT((I$5:I$4004=I1775)*ISNUMBER(R$5:R$4004)*(R$5:R$4004&gt;R1775))+1)</f>
        <v/>
      </c>
      <c r="T1775" s="25" t="str">
        <f aca="false">IF(S1775="","",IF(S1775&lt;=Setup!$B$5,"🏆 WINNER",""))</f>
        <v/>
      </c>
      <c r="U1775" s="24" t="str">
        <f aca="false">IF(S1775="","",I1775&amp;"|"&amp;S1775)</f>
        <v/>
      </c>
    </row>
    <row r="1776" customFormat="false" ht="15" hidden="false" customHeight="false" outlineLevel="0" collapsed="false">
      <c r="A1776" s="31" t="n">
        <v>1772</v>
      </c>
      <c r="B1776" s="32" t="str">
        <f aca="false">IF(OR(C1776="",I1776="",G1776=""),"",IFERROR(VLOOKUP(I1776,Setup!$A$9:$B$11,2,0),"???")&amp;"-"&amp;G1776&amp;"-"&amp;TEXT(COUNTIFS(I$5:I1776,I1776,G$5:G1776,G1776),"0000"))</f>
        <v/>
      </c>
      <c r="C1776" s="26"/>
      <c r="D1776" s="26"/>
      <c r="E1776" s="27"/>
      <c r="F1776" s="27"/>
      <c r="G1776" s="31" t="str">
        <f aca="false">IF(F1776="","",IF(F1776&lt;=5,"A",IF(F1776&lt;=8,"B",IF(F1776&lt;=10,"C","D"))))</f>
        <v/>
      </c>
      <c r="H1776" s="28"/>
      <c r="I1776" s="27"/>
      <c r="J1776" s="26"/>
      <c r="K1776" s="27"/>
      <c r="L1776" s="27"/>
      <c r="M1776" s="27"/>
      <c r="N1776" s="27"/>
      <c r="O1776" s="31" t="str">
        <f aca="false">IF(G1776="","",VLOOKUP(G1776,Setup!$A$14:$C$17,3,0))</f>
        <v/>
      </c>
      <c r="P1776" s="27"/>
      <c r="Q1776" s="33" t="str">
        <f aca="false">IF(OR(P1776="",M1776&lt;&gt;"Paid",O1776=""),"",P1776/O1776)</f>
        <v/>
      </c>
      <c r="R1776" s="34" t="str">
        <f aca="false">IF(Q1776="","",Q1776+N(H1776)*0.000000001)</f>
        <v/>
      </c>
      <c r="S1776" s="32" t="str">
        <f aca="false">IF(R1776="","",SUMPRODUCT((I$5:I$4004=I1776)*ISNUMBER(R$5:R$4004)*(R$5:R$4004&gt;R1776))+1)</f>
        <v/>
      </c>
      <c r="T1776" s="32" t="str">
        <f aca="false">IF(S1776="","",IF(S1776&lt;=Setup!$B$5,"🏆 WINNER",""))</f>
        <v/>
      </c>
      <c r="U1776" s="31" t="str">
        <f aca="false">IF(S1776="","",I1776&amp;"|"&amp;S1776)</f>
        <v/>
      </c>
    </row>
    <row r="1777" customFormat="false" ht="15" hidden="false" customHeight="false" outlineLevel="0" collapsed="false">
      <c r="A1777" s="24" t="n">
        <v>1773</v>
      </c>
      <c r="B1777" s="25" t="str">
        <f aca="false">IF(OR(C1777="",I1777="",G1777=""),"",IFERROR(VLOOKUP(I1777,Setup!$A$9:$B$11,2,0),"???")&amp;"-"&amp;G1777&amp;"-"&amp;TEXT(COUNTIFS(I$5:I1777,I1777,G$5:G1777,G1777),"0000"))</f>
        <v/>
      </c>
      <c r="C1777" s="26"/>
      <c r="D1777" s="26"/>
      <c r="E1777" s="27"/>
      <c r="F1777" s="27"/>
      <c r="G1777" s="24" t="str">
        <f aca="false">IF(F1777="","",IF(F1777&lt;=5,"A",IF(F1777&lt;=8,"B",IF(F1777&lt;=10,"C","D"))))</f>
        <v/>
      </c>
      <c r="H1777" s="28"/>
      <c r="I1777" s="27"/>
      <c r="J1777" s="26"/>
      <c r="K1777" s="27"/>
      <c r="L1777" s="27"/>
      <c r="M1777" s="27"/>
      <c r="N1777" s="27"/>
      <c r="O1777" s="24" t="str">
        <f aca="false">IF(G1777="","",VLOOKUP(G1777,Setup!$A$14:$C$17,3,0))</f>
        <v/>
      </c>
      <c r="P1777" s="27"/>
      <c r="Q1777" s="29" t="str">
        <f aca="false">IF(OR(P1777="",M1777&lt;&gt;"Paid",O1777=""),"",P1777/O1777)</f>
        <v/>
      </c>
      <c r="R1777" s="30" t="str">
        <f aca="false">IF(Q1777="","",Q1777+N(H1777)*0.000000001)</f>
        <v/>
      </c>
      <c r="S1777" s="25" t="str">
        <f aca="false">IF(R1777="","",SUMPRODUCT((I$5:I$4004=I1777)*ISNUMBER(R$5:R$4004)*(R$5:R$4004&gt;R1777))+1)</f>
        <v/>
      </c>
      <c r="T1777" s="25" t="str">
        <f aca="false">IF(S1777="","",IF(S1777&lt;=Setup!$B$5,"🏆 WINNER",""))</f>
        <v/>
      </c>
      <c r="U1777" s="24" t="str">
        <f aca="false">IF(S1777="","",I1777&amp;"|"&amp;S1777)</f>
        <v/>
      </c>
    </row>
    <row r="1778" customFormat="false" ht="15" hidden="false" customHeight="false" outlineLevel="0" collapsed="false">
      <c r="A1778" s="31" t="n">
        <v>1774</v>
      </c>
      <c r="B1778" s="32" t="str">
        <f aca="false">IF(OR(C1778="",I1778="",G1778=""),"",IFERROR(VLOOKUP(I1778,Setup!$A$9:$B$11,2,0),"???")&amp;"-"&amp;G1778&amp;"-"&amp;TEXT(COUNTIFS(I$5:I1778,I1778,G$5:G1778,G1778),"0000"))</f>
        <v/>
      </c>
      <c r="C1778" s="26"/>
      <c r="D1778" s="26"/>
      <c r="E1778" s="27"/>
      <c r="F1778" s="27"/>
      <c r="G1778" s="31" t="str">
        <f aca="false">IF(F1778="","",IF(F1778&lt;=5,"A",IF(F1778&lt;=8,"B",IF(F1778&lt;=10,"C","D"))))</f>
        <v/>
      </c>
      <c r="H1778" s="28"/>
      <c r="I1778" s="27"/>
      <c r="J1778" s="26"/>
      <c r="K1778" s="27"/>
      <c r="L1778" s="27"/>
      <c r="M1778" s="27"/>
      <c r="N1778" s="27"/>
      <c r="O1778" s="31" t="str">
        <f aca="false">IF(G1778="","",VLOOKUP(G1778,Setup!$A$14:$C$17,3,0))</f>
        <v/>
      </c>
      <c r="P1778" s="27"/>
      <c r="Q1778" s="33" t="str">
        <f aca="false">IF(OR(P1778="",M1778&lt;&gt;"Paid",O1778=""),"",P1778/O1778)</f>
        <v/>
      </c>
      <c r="R1778" s="34" t="str">
        <f aca="false">IF(Q1778="","",Q1778+N(H1778)*0.000000001)</f>
        <v/>
      </c>
      <c r="S1778" s="32" t="str">
        <f aca="false">IF(R1778="","",SUMPRODUCT((I$5:I$4004=I1778)*ISNUMBER(R$5:R$4004)*(R$5:R$4004&gt;R1778))+1)</f>
        <v/>
      </c>
      <c r="T1778" s="32" t="str">
        <f aca="false">IF(S1778="","",IF(S1778&lt;=Setup!$B$5,"🏆 WINNER",""))</f>
        <v/>
      </c>
      <c r="U1778" s="31" t="str">
        <f aca="false">IF(S1778="","",I1778&amp;"|"&amp;S1778)</f>
        <v/>
      </c>
    </row>
    <row r="1779" customFormat="false" ht="15" hidden="false" customHeight="false" outlineLevel="0" collapsed="false">
      <c r="A1779" s="24" t="n">
        <v>1775</v>
      </c>
      <c r="B1779" s="25" t="str">
        <f aca="false">IF(OR(C1779="",I1779="",G1779=""),"",IFERROR(VLOOKUP(I1779,Setup!$A$9:$B$11,2,0),"???")&amp;"-"&amp;G1779&amp;"-"&amp;TEXT(COUNTIFS(I$5:I1779,I1779,G$5:G1779,G1779),"0000"))</f>
        <v/>
      </c>
      <c r="C1779" s="26"/>
      <c r="D1779" s="26"/>
      <c r="E1779" s="27"/>
      <c r="F1779" s="27"/>
      <c r="G1779" s="24" t="str">
        <f aca="false">IF(F1779="","",IF(F1779&lt;=5,"A",IF(F1779&lt;=8,"B",IF(F1779&lt;=10,"C","D"))))</f>
        <v/>
      </c>
      <c r="H1779" s="28"/>
      <c r="I1779" s="27"/>
      <c r="J1779" s="26"/>
      <c r="K1779" s="27"/>
      <c r="L1779" s="27"/>
      <c r="M1779" s="27"/>
      <c r="N1779" s="27"/>
      <c r="O1779" s="24" t="str">
        <f aca="false">IF(G1779="","",VLOOKUP(G1779,Setup!$A$14:$C$17,3,0))</f>
        <v/>
      </c>
      <c r="P1779" s="27"/>
      <c r="Q1779" s="29" t="str">
        <f aca="false">IF(OR(P1779="",M1779&lt;&gt;"Paid",O1779=""),"",P1779/O1779)</f>
        <v/>
      </c>
      <c r="R1779" s="30" t="str">
        <f aca="false">IF(Q1779="","",Q1779+N(H1779)*0.000000001)</f>
        <v/>
      </c>
      <c r="S1779" s="25" t="str">
        <f aca="false">IF(R1779="","",SUMPRODUCT((I$5:I$4004=I1779)*ISNUMBER(R$5:R$4004)*(R$5:R$4004&gt;R1779))+1)</f>
        <v/>
      </c>
      <c r="T1779" s="25" t="str">
        <f aca="false">IF(S1779="","",IF(S1779&lt;=Setup!$B$5,"🏆 WINNER",""))</f>
        <v/>
      </c>
      <c r="U1779" s="24" t="str">
        <f aca="false">IF(S1779="","",I1779&amp;"|"&amp;S1779)</f>
        <v/>
      </c>
    </row>
    <row r="1780" customFormat="false" ht="15" hidden="false" customHeight="false" outlineLevel="0" collapsed="false">
      <c r="A1780" s="31" t="n">
        <v>1776</v>
      </c>
      <c r="B1780" s="32" t="str">
        <f aca="false">IF(OR(C1780="",I1780="",G1780=""),"",IFERROR(VLOOKUP(I1780,Setup!$A$9:$B$11,2,0),"???")&amp;"-"&amp;G1780&amp;"-"&amp;TEXT(COUNTIFS(I$5:I1780,I1780,G$5:G1780,G1780),"0000"))</f>
        <v/>
      </c>
      <c r="C1780" s="26"/>
      <c r="D1780" s="26"/>
      <c r="E1780" s="27"/>
      <c r="F1780" s="27"/>
      <c r="G1780" s="31" t="str">
        <f aca="false">IF(F1780="","",IF(F1780&lt;=5,"A",IF(F1780&lt;=8,"B",IF(F1780&lt;=10,"C","D"))))</f>
        <v/>
      </c>
      <c r="H1780" s="28"/>
      <c r="I1780" s="27"/>
      <c r="J1780" s="26"/>
      <c r="K1780" s="27"/>
      <c r="L1780" s="27"/>
      <c r="M1780" s="27"/>
      <c r="N1780" s="27"/>
      <c r="O1780" s="31" t="str">
        <f aca="false">IF(G1780="","",VLOOKUP(G1780,Setup!$A$14:$C$17,3,0))</f>
        <v/>
      </c>
      <c r="P1780" s="27"/>
      <c r="Q1780" s="33" t="str">
        <f aca="false">IF(OR(P1780="",M1780&lt;&gt;"Paid",O1780=""),"",P1780/O1780)</f>
        <v/>
      </c>
      <c r="R1780" s="34" t="str">
        <f aca="false">IF(Q1780="","",Q1780+N(H1780)*0.000000001)</f>
        <v/>
      </c>
      <c r="S1780" s="32" t="str">
        <f aca="false">IF(R1780="","",SUMPRODUCT((I$5:I$4004=I1780)*ISNUMBER(R$5:R$4004)*(R$5:R$4004&gt;R1780))+1)</f>
        <v/>
      </c>
      <c r="T1780" s="32" t="str">
        <f aca="false">IF(S1780="","",IF(S1780&lt;=Setup!$B$5,"🏆 WINNER",""))</f>
        <v/>
      </c>
      <c r="U1780" s="31" t="str">
        <f aca="false">IF(S1780="","",I1780&amp;"|"&amp;S1780)</f>
        <v/>
      </c>
    </row>
    <row r="1781" customFormat="false" ht="15" hidden="false" customHeight="false" outlineLevel="0" collapsed="false">
      <c r="A1781" s="24" t="n">
        <v>1777</v>
      </c>
      <c r="B1781" s="25" t="str">
        <f aca="false">IF(OR(C1781="",I1781="",G1781=""),"",IFERROR(VLOOKUP(I1781,Setup!$A$9:$B$11,2,0),"???")&amp;"-"&amp;G1781&amp;"-"&amp;TEXT(COUNTIFS(I$5:I1781,I1781,G$5:G1781,G1781),"0000"))</f>
        <v/>
      </c>
      <c r="C1781" s="26"/>
      <c r="D1781" s="26"/>
      <c r="E1781" s="27"/>
      <c r="F1781" s="27"/>
      <c r="G1781" s="24" t="str">
        <f aca="false">IF(F1781="","",IF(F1781&lt;=5,"A",IF(F1781&lt;=8,"B",IF(F1781&lt;=10,"C","D"))))</f>
        <v/>
      </c>
      <c r="H1781" s="28"/>
      <c r="I1781" s="27"/>
      <c r="J1781" s="26"/>
      <c r="K1781" s="27"/>
      <c r="L1781" s="27"/>
      <c r="M1781" s="27"/>
      <c r="N1781" s="27"/>
      <c r="O1781" s="24" t="str">
        <f aca="false">IF(G1781="","",VLOOKUP(G1781,Setup!$A$14:$C$17,3,0))</f>
        <v/>
      </c>
      <c r="P1781" s="27"/>
      <c r="Q1781" s="29" t="str">
        <f aca="false">IF(OR(P1781="",M1781&lt;&gt;"Paid",O1781=""),"",P1781/O1781)</f>
        <v/>
      </c>
      <c r="R1781" s="30" t="str">
        <f aca="false">IF(Q1781="","",Q1781+N(H1781)*0.000000001)</f>
        <v/>
      </c>
      <c r="S1781" s="25" t="str">
        <f aca="false">IF(R1781="","",SUMPRODUCT((I$5:I$4004=I1781)*ISNUMBER(R$5:R$4004)*(R$5:R$4004&gt;R1781))+1)</f>
        <v/>
      </c>
      <c r="T1781" s="25" t="str">
        <f aca="false">IF(S1781="","",IF(S1781&lt;=Setup!$B$5,"🏆 WINNER",""))</f>
        <v/>
      </c>
      <c r="U1781" s="24" t="str">
        <f aca="false">IF(S1781="","",I1781&amp;"|"&amp;S1781)</f>
        <v/>
      </c>
    </row>
    <row r="1782" customFormat="false" ht="15" hidden="false" customHeight="false" outlineLevel="0" collapsed="false">
      <c r="A1782" s="31" t="n">
        <v>1778</v>
      </c>
      <c r="B1782" s="32" t="str">
        <f aca="false">IF(OR(C1782="",I1782="",G1782=""),"",IFERROR(VLOOKUP(I1782,Setup!$A$9:$B$11,2,0),"???")&amp;"-"&amp;G1782&amp;"-"&amp;TEXT(COUNTIFS(I$5:I1782,I1782,G$5:G1782,G1782),"0000"))</f>
        <v/>
      </c>
      <c r="C1782" s="26"/>
      <c r="D1782" s="26"/>
      <c r="E1782" s="27"/>
      <c r="F1782" s="27"/>
      <c r="G1782" s="31" t="str">
        <f aca="false">IF(F1782="","",IF(F1782&lt;=5,"A",IF(F1782&lt;=8,"B",IF(F1782&lt;=10,"C","D"))))</f>
        <v/>
      </c>
      <c r="H1782" s="28"/>
      <c r="I1782" s="27"/>
      <c r="J1782" s="26"/>
      <c r="K1782" s="27"/>
      <c r="L1782" s="27"/>
      <c r="M1782" s="27"/>
      <c r="N1782" s="27"/>
      <c r="O1782" s="31" t="str">
        <f aca="false">IF(G1782="","",VLOOKUP(G1782,Setup!$A$14:$C$17,3,0))</f>
        <v/>
      </c>
      <c r="P1782" s="27"/>
      <c r="Q1782" s="33" t="str">
        <f aca="false">IF(OR(P1782="",M1782&lt;&gt;"Paid",O1782=""),"",P1782/O1782)</f>
        <v/>
      </c>
      <c r="R1782" s="34" t="str">
        <f aca="false">IF(Q1782="","",Q1782+N(H1782)*0.000000001)</f>
        <v/>
      </c>
      <c r="S1782" s="32" t="str">
        <f aca="false">IF(R1782="","",SUMPRODUCT((I$5:I$4004=I1782)*ISNUMBER(R$5:R$4004)*(R$5:R$4004&gt;R1782))+1)</f>
        <v/>
      </c>
      <c r="T1782" s="32" t="str">
        <f aca="false">IF(S1782="","",IF(S1782&lt;=Setup!$B$5,"🏆 WINNER",""))</f>
        <v/>
      </c>
      <c r="U1782" s="31" t="str">
        <f aca="false">IF(S1782="","",I1782&amp;"|"&amp;S1782)</f>
        <v/>
      </c>
    </row>
    <row r="1783" customFormat="false" ht="15" hidden="false" customHeight="false" outlineLevel="0" collapsed="false">
      <c r="A1783" s="24" t="n">
        <v>1779</v>
      </c>
      <c r="B1783" s="25" t="str">
        <f aca="false">IF(OR(C1783="",I1783="",G1783=""),"",IFERROR(VLOOKUP(I1783,Setup!$A$9:$B$11,2,0),"???")&amp;"-"&amp;G1783&amp;"-"&amp;TEXT(COUNTIFS(I$5:I1783,I1783,G$5:G1783,G1783),"0000"))</f>
        <v/>
      </c>
      <c r="C1783" s="26"/>
      <c r="D1783" s="26"/>
      <c r="E1783" s="27"/>
      <c r="F1783" s="27"/>
      <c r="G1783" s="24" t="str">
        <f aca="false">IF(F1783="","",IF(F1783&lt;=5,"A",IF(F1783&lt;=8,"B",IF(F1783&lt;=10,"C","D"))))</f>
        <v/>
      </c>
      <c r="H1783" s="28"/>
      <c r="I1783" s="27"/>
      <c r="J1783" s="26"/>
      <c r="K1783" s="27"/>
      <c r="L1783" s="27"/>
      <c r="M1783" s="27"/>
      <c r="N1783" s="27"/>
      <c r="O1783" s="24" t="str">
        <f aca="false">IF(G1783="","",VLOOKUP(G1783,Setup!$A$14:$C$17,3,0))</f>
        <v/>
      </c>
      <c r="P1783" s="27"/>
      <c r="Q1783" s="29" t="str">
        <f aca="false">IF(OR(P1783="",M1783&lt;&gt;"Paid",O1783=""),"",P1783/O1783)</f>
        <v/>
      </c>
      <c r="R1783" s="30" t="str">
        <f aca="false">IF(Q1783="","",Q1783+N(H1783)*0.000000001)</f>
        <v/>
      </c>
      <c r="S1783" s="25" t="str">
        <f aca="false">IF(R1783="","",SUMPRODUCT((I$5:I$4004=I1783)*ISNUMBER(R$5:R$4004)*(R$5:R$4004&gt;R1783))+1)</f>
        <v/>
      </c>
      <c r="T1783" s="25" t="str">
        <f aca="false">IF(S1783="","",IF(S1783&lt;=Setup!$B$5,"🏆 WINNER",""))</f>
        <v/>
      </c>
      <c r="U1783" s="24" t="str">
        <f aca="false">IF(S1783="","",I1783&amp;"|"&amp;S1783)</f>
        <v/>
      </c>
    </row>
    <row r="1784" customFormat="false" ht="15" hidden="false" customHeight="false" outlineLevel="0" collapsed="false">
      <c r="A1784" s="31" t="n">
        <v>1780</v>
      </c>
      <c r="B1784" s="32" t="str">
        <f aca="false">IF(OR(C1784="",I1784="",G1784=""),"",IFERROR(VLOOKUP(I1784,Setup!$A$9:$B$11,2,0),"???")&amp;"-"&amp;G1784&amp;"-"&amp;TEXT(COUNTIFS(I$5:I1784,I1784,G$5:G1784,G1784),"0000"))</f>
        <v/>
      </c>
      <c r="C1784" s="26"/>
      <c r="D1784" s="26"/>
      <c r="E1784" s="27"/>
      <c r="F1784" s="27"/>
      <c r="G1784" s="31" t="str">
        <f aca="false">IF(F1784="","",IF(F1784&lt;=5,"A",IF(F1784&lt;=8,"B",IF(F1784&lt;=10,"C","D"))))</f>
        <v/>
      </c>
      <c r="H1784" s="28"/>
      <c r="I1784" s="27"/>
      <c r="J1784" s="26"/>
      <c r="K1784" s="27"/>
      <c r="L1784" s="27"/>
      <c r="M1784" s="27"/>
      <c r="N1784" s="27"/>
      <c r="O1784" s="31" t="str">
        <f aca="false">IF(G1784="","",VLOOKUP(G1784,Setup!$A$14:$C$17,3,0))</f>
        <v/>
      </c>
      <c r="P1784" s="27"/>
      <c r="Q1784" s="33" t="str">
        <f aca="false">IF(OR(P1784="",M1784&lt;&gt;"Paid",O1784=""),"",P1784/O1784)</f>
        <v/>
      </c>
      <c r="R1784" s="34" t="str">
        <f aca="false">IF(Q1784="","",Q1784+N(H1784)*0.000000001)</f>
        <v/>
      </c>
      <c r="S1784" s="32" t="str">
        <f aca="false">IF(R1784="","",SUMPRODUCT((I$5:I$4004=I1784)*ISNUMBER(R$5:R$4004)*(R$5:R$4004&gt;R1784))+1)</f>
        <v/>
      </c>
      <c r="T1784" s="32" t="str">
        <f aca="false">IF(S1784="","",IF(S1784&lt;=Setup!$B$5,"🏆 WINNER",""))</f>
        <v/>
      </c>
      <c r="U1784" s="31" t="str">
        <f aca="false">IF(S1784="","",I1784&amp;"|"&amp;S1784)</f>
        <v/>
      </c>
    </row>
    <row r="1785" customFormat="false" ht="15" hidden="false" customHeight="false" outlineLevel="0" collapsed="false">
      <c r="A1785" s="24" t="n">
        <v>1781</v>
      </c>
      <c r="B1785" s="25" t="str">
        <f aca="false">IF(OR(C1785="",I1785="",G1785=""),"",IFERROR(VLOOKUP(I1785,Setup!$A$9:$B$11,2,0),"???")&amp;"-"&amp;G1785&amp;"-"&amp;TEXT(COUNTIFS(I$5:I1785,I1785,G$5:G1785,G1785),"0000"))</f>
        <v/>
      </c>
      <c r="C1785" s="26"/>
      <c r="D1785" s="26"/>
      <c r="E1785" s="27"/>
      <c r="F1785" s="27"/>
      <c r="G1785" s="24" t="str">
        <f aca="false">IF(F1785="","",IF(F1785&lt;=5,"A",IF(F1785&lt;=8,"B",IF(F1785&lt;=10,"C","D"))))</f>
        <v/>
      </c>
      <c r="H1785" s="28"/>
      <c r="I1785" s="27"/>
      <c r="J1785" s="26"/>
      <c r="K1785" s="27"/>
      <c r="L1785" s="27"/>
      <c r="M1785" s="27"/>
      <c r="N1785" s="27"/>
      <c r="O1785" s="24" t="str">
        <f aca="false">IF(G1785="","",VLOOKUP(G1785,Setup!$A$14:$C$17,3,0))</f>
        <v/>
      </c>
      <c r="P1785" s="27"/>
      <c r="Q1785" s="29" t="str">
        <f aca="false">IF(OR(P1785="",M1785&lt;&gt;"Paid",O1785=""),"",P1785/O1785)</f>
        <v/>
      </c>
      <c r="R1785" s="30" t="str">
        <f aca="false">IF(Q1785="","",Q1785+N(H1785)*0.000000001)</f>
        <v/>
      </c>
      <c r="S1785" s="25" t="str">
        <f aca="false">IF(R1785="","",SUMPRODUCT((I$5:I$4004=I1785)*ISNUMBER(R$5:R$4004)*(R$5:R$4004&gt;R1785))+1)</f>
        <v/>
      </c>
      <c r="T1785" s="25" t="str">
        <f aca="false">IF(S1785="","",IF(S1785&lt;=Setup!$B$5,"🏆 WINNER",""))</f>
        <v/>
      </c>
      <c r="U1785" s="24" t="str">
        <f aca="false">IF(S1785="","",I1785&amp;"|"&amp;S1785)</f>
        <v/>
      </c>
    </row>
    <row r="1786" customFormat="false" ht="15" hidden="false" customHeight="false" outlineLevel="0" collapsed="false">
      <c r="A1786" s="31" t="n">
        <v>1782</v>
      </c>
      <c r="B1786" s="32" t="str">
        <f aca="false">IF(OR(C1786="",I1786="",G1786=""),"",IFERROR(VLOOKUP(I1786,Setup!$A$9:$B$11,2,0),"???")&amp;"-"&amp;G1786&amp;"-"&amp;TEXT(COUNTIFS(I$5:I1786,I1786,G$5:G1786,G1786),"0000"))</f>
        <v/>
      </c>
      <c r="C1786" s="26"/>
      <c r="D1786" s="26"/>
      <c r="E1786" s="27"/>
      <c r="F1786" s="27"/>
      <c r="G1786" s="31" t="str">
        <f aca="false">IF(F1786="","",IF(F1786&lt;=5,"A",IF(F1786&lt;=8,"B",IF(F1786&lt;=10,"C","D"))))</f>
        <v/>
      </c>
      <c r="H1786" s="28"/>
      <c r="I1786" s="27"/>
      <c r="J1786" s="26"/>
      <c r="K1786" s="27"/>
      <c r="L1786" s="27"/>
      <c r="M1786" s="27"/>
      <c r="N1786" s="27"/>
      <c r="O1786" s="31" t="str">
        <f aca="false">IF(G1786="","",VLOOKUP(G1786,Setup!$A$14:$C$17,3,0))</f>
        <v/>
      </c>
      <c r="P1786" s="27"/>
      <c r="Q1786" s="33" t="str">
        <f aca="false">IF(OR(P1786="",M1786&lt;&gt;"Paid",O1786=""),"",P1786/O1786)</f>
        <v/>
      </c>
      <c r="R1786" s="34" t="str">
        <f aca="false">IF(Q1786="","",Q1786+N(H1786)*0.000000001)</f>
        <v/>
      </c>
      <c r="S1786" s="32" t="str">
        <f aca="false">IF(R1786="","",SUMPRODUCT((I$5:I$4004=I1786)*ISNUMBER(R$5:R$4004)*(R$5:R$4004&gt;R1786))+1)</f>
        <v/>
      </c>
      <c r="T1786" s="32" t="str">
        <f aca="false">IF(S1786="","",IF(S1786&lt;=Setup!$B$5,"🏆 WINNER",""))</f>
        <v/>
      </c>
      <c r="U1786" s="31" t="str">
        <f aca="false">IF(S1786="","",I1786&amp;"|"&amp;S1786)</f>
        <v/>
      </c>
    </row>
    <row r="1787" customFormat="false" ht="15" hidden="false" customHeight="false" outlineLevel="0" collapsed="false">
      <c r="A1787" s="24" t="n">
        <v>1783</v>
      </c>
      <c r="B1787" s="25" t="str">
        <f aca="false">IF(OR(C1787="",I1787="",G1787=""),"",IFERROR(VLOOKUP(I1787,Setup!$A$9:$B$11,2,0),"???")&amp;"-"&amp;G1787&amp;"-"&amp;TEXT(COUNTIFS(I$5:I1787,I1787,G$5:G1787,G1787),"0000"))</f>
        <v/>
      </c>
      <c r="C1787" s="26"/>
      <c r="D1787" s="26"/>
      <c r="E1787" s="27"/>
      <c r="F1787" s="27"/>
      <c r="G1787" s="24" t="str">
        <f aca="false">IF(F1787="","",IF(F1787&lt;=5,"A",IF(F1787&lt;=8,"B",IF(F1787&lt;=10,"C","D"))))</f>
        <v/>
      </c>
      <c r="H1787" s="28"/>
      <c r="I1787" s="27"/>
      <c r="J1787" s="26"/>
      <c r="K1787" s="27"/>
      <c r="L1787" s="27"/>
      <c r="M1787" s="27"/>
      <c r="N1787" s="27"/>
      <c r="O1787" s="24" t="str">
        <f aca="false">IF(G1787="","",VLOOKUP(G1787,Setup!$A$14:$C$17,3,0))</f>
        <v/>
      </c>
      <c r="P1787" s="27"/>
      <c r="Q1787" s="29" t="str">
        <f aca="false">IF(OR(P1787="",M1787&lt;&gt;"Paid",O1787=""),"",P1787/O1787)</f>
        <v/>
      </c>
      <c r="R1787" s="30" t="str">
        <f aca="false">IF(Q1787="","",Q1787+N(H1787)*0.000000001)</f>
        <v/>
      </c>
      <c r="S1787" s="25" t="str">
        <f aca="false">IF(R1787="","",SUMPRODUCT((I$5:I$4004=I1787)*ISNUMBER(R$5:R$4004)*(R$5:R$4004&gt;R1787))+1)</f>
        <v/>
      </c>
      <c r="T1787" s="25" t="str">
        <f aca="false">IF(S1787="","",IF(S1787&lt;=Setup!$B$5,"🏆 WINNER",""))</f>
        <v/>
      </c>
      <c r="U1787" s="24" t="str">
        <f aca="false">IF(S1787="","",I1787&amp;"|"&amp;S1787)</f>
        <v/>
      </c>
    </row>
    <row r="1788" customFormat="false" ht="15" hidden="false" customHeight="false" outlineLevel="0" collapsed="false">
      <c r="A1788" s="31" t="n">
        <v>1784</v>
      </c>
      <c r="B1788" s="32" t="str">
        <f aca="false">IF(OR(C1788="",I1788="",G1788=""),"",IFERROR(VLOOKUP(I1788,Setup!$A$9:$B$11,2,0),"???")&amp;"-"&amp;G1788&amp;"-"&amp;TEXT(COUNTIFS(I$5:I1788,I1788,G$5:G1788,G1788),"0000"))</f>
        <v/>
      </c>
      <c r="C1788" s="26"/>
      <c r="D1788" s="26"/>
      <c r="E1788" s="27"/>
      <c r="F1788" s="27"/>
      <c r="G1788" s="31" t="str">
        <f aca="false">IF(F1788="","",IF(F1788&lt;=5,"A",IF(F1788&lt;=8,"B",IF(F1788&lt;=10,"C","D"))))</f>
        <v/>
      </c>
      <c r="H1788" s="28"/>
      <c r="I1788" s="27"/>
      <c r="J1788" s="26"/>
      <c r="K1788" s="27"/>
      <c r="L1788" s="27"/>
      <c r="M1788" s="27"/>
      <c r="N1788" s="27"/>
      <c r="O1788" s="31" t="str">
        <f aca="false">IF(G1788="","",VLOOKUP(G1788,Setup!$A$14:$C$17,3,0))</f>
        <v/>
      </c>
      <c r="P1788" s="27"/>
      <c r="Q1788" s="33" t="str">
        <f aca="false">IF(OR(P1788="",M1788&lt;&gt;"Paid",O1788=""),"",P1788/O1788)</f>
        <v/>
      </c>
      <c r="R1788" s="34" t="str">
        <f aca="false">IF(Q1788="","",Q1788+N(H1788)*0.000000001)</f>
        <v/>
      </c>
      <c r="S1788" s="32" t="str">
        <f aca="false">IF(R1788="","",SUMPRODUCT((I$5:I$4004=I1788)*ISNUMBER(R$5:R$4004)*(R$5:R$4004&gt;R1788))+1)</f>
        <v/>
      </c>
      <c r="T1788" s="32" t="str">
        <f aca="false">IF(S1788="","",IF(S1788&lt;=Setup!$B$5,"🏆 WINNER",""))</f>
        <v/>
      </c>
      <c r="U1788" s="31" t="str">
        <f aca="false">IF(S1788="","",I1788&amp;"|"&amp;S1788)</f>
        <v/>
      </c>
    </row>
    <row r="1789" customFormat="false" ht="15" hidden="false" customHeight="false" outlineLevel="0" collapsed="false">
      <c r="A1789" s="24" t="n">
        <v>1785</v>
      </c>
      <c r="B1789" s="25" t="str">
        <f aca="false">IF(OR(C1789="",I1789="",G1789=""),"",IFERROR(VLOOKUP(I1789,Setup!$A$9:$B$11,2,0),"???")&amp;"-"&amp;G1789&amp;"-"&amp;TEXT(COUNTIFS(I$5:I1789,I1789,G$5:G1789,G1789),"0000"))</f>
        <v/>
      </c>
      <c r="C1789" s="26"/>
      <c r="D1789" s="26"/>
      <c r="E1789" s="27"/>
      <c r="F1789" s="27"/>
      <c r="G1789" s="24" t="str">
        <f aca="false">IF(F1789="","",IF(F1789&lt;=5,"A",IF(F1789&lt;=8,"B",IF(F1789&lt;=10,"C","D"))))</f>
        <v/>
      </c>
      <c r="H1789" s="28"/>
      <c r="I1789" s="27"/>
      <c r="J1789" s="26"/>
      <c r="K1789" s="27"/>
      <c r="L1789" s="27"/>
      <c r="M1789" s="27"/>
      <c r="N1789" s="27"/>
      <c r="O1789" s="24" t="str">
        <f aca="false">IF(G1789="","",VLOOKUP(G1789,Setup!$A$14:$C$17,3,0))</f>
        <v/>
      </c>
      <c r="P1789" s="27"/>
      <c r="Q1789" s="29" t="str">
        <f aca="false">IF(OR(P1789="",M1789&lt;&gt;"Paid",O1789=""),"",P1789/O1789)</f>
        <v/>
      </c>
      <c r="R1789" s="30" t="str">
        <f aca="false">IF(Q1789="","",Q1789+N(H1789)*0.000000001)</f>
        <v/>
      </c>
      <c r="S1789" s="25" t="str">
        <f aca="false">IF(R1789="","",SUMPRODUCT((I$5:I$4004=I1789)*ISNUMBER(R$5:R$4004)*(R$5:R$4004&gt;R1789))+1)</f>
        <v/>
      </c>
      <c r="T1789" s="25" t="str">
        <f aca="false">IF(S1789="","",IF(S1789&lt;=Setup!$B$5,"🏆 WINNER",""))</f>
        <v/>
      </c>
      <c r="U1789" s="24" t="str">
        <f aca="false">IF(S1789="","",I1789&amp;"|"&amp;S1789)</f>
        <v/>
      </c>
    </row>
    <row r="1790" customFormat="false" ht="15" hidden="false" customHeight="false" outlineLevel="0" collapsed="false">
      <c r="A1790" s="31" t="n">
        <v>1786</v>
      </c>
      <c r="B1790" s="32" t="str">
        <f aca="false">IF(OR(C1790="",I1790="",G1790=""),"",IFERROR(VLOOKUP(I1790,Setup!$A$9:$B$11,2,0),"???")&amp;"-"&amp;G1790&amp;"-"&amp;TEXT(COUNTIFS(I$5:I1790,I1790,G$5:G1790,G1790),"0000"))</f>
        <v/>
      </c>
      <c r="C1790" s="26"/>
      <c r="D1790" s="26"/>
      <c r="E1790" s="27"/>
      <c r="F1790" s="27"/>
      <c r="G1790" s="31" t="str">
        <f aca="false">IF(F1790="","",IF(F1790&lt;=5,"A",IF(F1790&lt;=8,"B",IF(F1790&lt;=10,"C","D"))))</f>
        <v/>
      </c>
      <c r="H1790" s="28"/>
      <c r="I1790" s="27"/>
      <c r="J1790" s="26"/>
      <c r="K1790" s="27"/>
      <c r="L1790" s="27"/>
      <c r="M1790" s="27"/>
      <c r="N1790" s="27"/>
      <c r="O1790" s="31" t="str">
        <f aca="false">IF(G1790="","",VLOOKUP(G1790,Setup!$A$14:$C$17,3,0))</f>
        <v/>
      </c>
      <c r="P1790" s="27"/>
      <c r="Q1790" s="33" t="str">
        <f aca="false">IF(OR(P1790="",M1790&lt;&gt;"Paid",O1790=""),"",P1790/O1790)</f>
        <v/>
      </c>
      <c r="R1790" s="34" t="str">
        <f aca="false">IF(Q1790="","",Q1790+N(H1790)*0.000000001)</f>
        <v/>
      </c>
      <c r="S1790" s="32" t="str">
        <f aca="false">IF(R1790="","",SUMPRODUCT((I$5:I$4004=I1790)*ISNUMBER(R$5:R$4004)*(R$5:R$4004&gt;R1790))+1)</f>
        <v/>
      </c>
      <c r="T1790" s="32" t="str">
        <f aca="false">IF(S1790="","",IF(S1790&lt;=Setup!$B$5,"🏆 WINNER",""))</f>
        <v/>
      </c>
      <c r="U1790" s="31" t="str">
        <f aca="false">IF(S1790="","",I1790&amp;"|"&amp;S1790)</f>
        <v/>
      </c>
    </row>
    <row r="1791" customFormat="false" ht="15" hidden="false" customHeight="false" outlineLevel="0" collapsed="false">
      <c r="A1791" s="24" t="n">
        <v>1787</v>
      </c>
      <c r="B1791" s="25" t="str">
        <f aca="false">IF(OR(C1791="",I1791="",G1791=""),"",IFERROR(VLOOKUP(I1791,Setup!$A$9:$B$11,2,0),"???")&amp;"-"&amp;G1791&amp;"-"&amp;TEXT(COUNTIFS(I$5:I1791,I1791,G$5:G1791,G1791),"0000"))</f>
        <v/>
      </c>
      <c r="C1791" s="26"/>
      <c r="D1791" s="26"/>
      <c r="E1791" s="27"/>
      <c r="F1791" s="27"/>
      <c r="G1791" s="24" t="str">
        <f aca="false">IF(F1791="","",IF(F1791&lt;=5,"A",IF(F1791&lt;=8,"B",IF(F1791&lt;=10,"C","D"))))</f>
        <v/>
      </c>
      <c r="H1791" s="28"/>
      <c r="I1791" s="27"/>
      <c r="J1791" s="26"/>
      <c r="K1791" s="27"/>
      <c r="L1791" s="27"/>
      <c r="M1791" s="27"/>
      <c r="N1791" s="27"/>
      <c r="O1791" s="24" t="str">
        <f aca="false">IF(G1791="","",VLOOKUP(G1791,Setup!$A$14:$C$17,3,0))</f>
        <v/>
      </c>
      <c r="P1791" s="27"/>
      <c r="Q1791" s="29" t="str">
        <f aca="false">IF(OR(P1791="",M1791&lt;&gt;"Paid",O1791=""),"",P1791/O1791)</f>
        <v/>
      </c>
      <c r="R1791" s="30" t="str">
        <f aca="false">IF(Q1791="","",Q1791+N(H1791)*0.000000001)</f>
        <v/>
      </c>
      <c r="S1791" s="25" t="str">
        <f aca="false">IF(R1791="","",SUMPRODUCT((I$5:I$4004=I1791)*ISNUMBER(R$5:R$4004)*(R$5:R$4004&gt;R1791))+1)</f>
        <v/>
      </c>
      <c r="T1791" s="25" t="str">
        <f aca="false">IF(S1791="","",IF(S1791&lt;=Setup!$B$5,"🏆 WINNER",""))</f>
        <v/>
      </c>
      <c r="U1791" s="24" t="str">
        <f aca="false">IF(S1791="","",I1791&amp;"|"&amp;S1791)</f>
        <v/>
      </c>
    </row>
    <row r="1792" customFormat="false" ht="15" hidden="false" customHeight="false" outlineLevel="0" collapsed="false">
      <c r="A1792" s="31" t="n">
        <v>1788</v>
      </c>
      <c r="B1792" s="32" t="str">
        <f aca="false">IF(OR(C1792="",I1792="",G1792=""),"",IFERROR(VLOOKUP(I1792,Setup!$A$9:$B$11,2,0),"???")&amp;"-"&amp;G1792&amp;"-"&amp;TEXT(COUNTIFS(I$5:I1792,I1792,G$5:G1792,G1792),"0000"))</f>
        <v/>
      </c>
      <c r="C1792" s="26"/>
      <c r="D1792" s="26"/>
      <c r="E1792" s="27"/>
      <c r="F1792" s="27"/>
      <c r="G1792" s="31" t="str">
        <f aca="false">IF(F1792="","",IF(F1792&lt;=5,"A",IF(F1792&lt;=8,"B",IF(F1792&lt;=10,"C","D"))))</f>
        <v/>
      </c>
      <c r="H1792" s="28"/>
      <c r="I1792" s="27"/>
      <c r="J1792" s="26"/>
      <c r="K1792" s="27"/>
      <c r="L1792" s="27"/>
      <c r="M1792" s="27"/>
      <c r="N1792" s="27"/>
      <c r="O1792" s="31" t="str">
        <f aca="false">IF(G1792="","",VLOOKUP(G1792,Setup!$A$14:$C$17,3,0))</f>
        <v/>
      </c>
      <c r="P1792" s="27"/>
      <c r="Q1792" s="33" t="str">
        <f aca="false">IF(OR(P1792="",M1792&lt;&gt;"Paid",O1792=""),"",P1792/O1792)</f>
        <v/>
      </c>
      <c r="R1792" s="34" t="str">
        <f aca="false">IF(Q1792="","",Q1792+N(H1792)*0.000000001)</f>
        <v/>
      </c>
      <c r="S1792" s="32" t="str">
        <f aca="false">IF(R1792="","",SUMPRODUCT((I$5:I$4004=I1792)*ISNUMBER(R$5:R$4004)*(R$5:R$4004&gt;R1792))+1)</f>
        <v/>
      </c>
      <c r="T1792" s="32" t="str">
        <f aca="false">IF(S1792="","",IF(S1792&lt;=Setup!$B$5,"🏆 WINNER",""))</f>
        <v/>
      </c>
      <c r="U1792" s="31" t="str">
        <f aca="false">IF(S1792="","",I1792&amp;"|"&amp;S1792)</f>
        <v/>
      </c>
    </row>
    <row r="1793" customFormat="false" ht="15" hidden="false" customHeight="false" outlineLevel="0" collapsed="false">
      <c r="A1793" s="24" t="n">
        <v>1789</v>
      </c>
      <c r="B1793" s="25" t="str">
        <f aca="false">IF(OR(C1793="",I1793="",G1793=""),"",IFERROR(VLOOKUP(I1793,Setup!$A$9:$B$11,2,0),"???")&amp;"-"&amp;G1793&amp;"-"&amp;TEXT(COUNTIFS(I$5:I1793,I1793,G$5:G1793,G1793),"0000"))</f>
        <v/>
      </c>
      <c r="C1793" s="26"/>
      <c r="D1793" s="26"/>
      <c r="E1793" s="27"/>
      <c r="F1793" s="27"/>
      <c r="G1793" s="24" t="str">
        <f aca="false">IF(F1793="","",IF(F1793&lt;=5,"A",IF(F1793&lt;=8,"B",IF(F1793&lt;=10,"C","D"))))</f>
        <v/>
      </c>
      <c r="H1793" s="28"/>
      <c r="I1793" s="27"/>
      <c r="J1793" s="26"/>
      <c r="K1793" s="27"/>
      <c r="L1793" s="27"/>
      <c r="M1793" s="27"/>
      <c r="N1793" s="27"/>
      <c r="O1793" s="24" t="str">
        <f aca="false">IF(G1793="","",VLOOKUP(G1793,Setup!$A$14:$C$17,3,0))</f>
        <v/>
      </c>
      <c r="P1793" s="27"/>
      <c r="Q1793" s="29" t="str">
        <f aca="false">IF(OR(P1793="",M1793&lt;&gt;"Paid",O1793=""),"",P1793/O1793)</f>
        <v/>
      </c>
      <c r="R1793" s="30" t="str">
        <f aca="false">IF(Q1793="","",Q1793+N(H1793)*0.000000001)</f>
        <v/>
      </c>
      <c r="S1793" s="25" t="str">
        <f aca="false">IF(R1793="","",SUMPRODUCT((I$5:I$4004=I1793)*ISNUMBER(R$5:R$4004)*(R$5:R$4004&gt;R1793))+1)</f>
        <v/>
      </c>
      <c r="T1793" s="25" t="str">
        <f aca="false">IF(S1793="","",IF(S1793&lt;=Setup!$B$5,"🏆 WINNER",""))</f>
        <v/>
      </c>
      <c r="U1793" s="24" t="str">
        <f aca="false">IF(S1793="","",I1793&amp;"|"&amp;S1793)</f>
        <v/>
      </c>
    </row>
    <row r="1794" customFormat="false" ht="15" hidden="false" customHeight="false" outlineLevel="0" collapsed="false">
      <c r="A1794" s="31" t="n">
        <v>1790</v>
      </c>
      <c r="B1794" s="32" t="str">
        <f aca="false">IF(OR(C1794="",I1794="",G1794=""),"",IFERROR(VLOOKUP(I1794,Setup!$A$9:$B$11,2,0),"???")&amp;"-"&amp;G1794&amp;"-"&amp;TEXT(COUNTIFS(I$5:I1794,I1794,G$5:G1794,G1794),"0000"))</f>
        <v/>
      </c>
      <c r="C1794" s="26"/>
      <c r="D1794" s="26"/>
      <c r="E1794" s="27"/>
      <c r="F1794" s="27"/>
      <c r="G1794" s="31" t="str">
        <f aca="false">IF(F1794="","",IF(F1794&lt;=5,"A",IF(F1794&lt;=8,"B",IF(F1794&lt;=10,"C","D"))))</f>
        <v/>
      </c>
      <c r="H1794" s="28"/>
      <c r="I1794" s="27"/>
      <c r="J1794" s="26"/>
      <c r="K1794" s="27"/>
      <c r="L1794" s="27"/>
      <c r="M1794" s="27"/>
      <c r="N1794" s="27"/>
      <c r="O1794" s="31" t="str">
        <f aca="false">IF(G1794="","",VLOOKUP(G1794,Setup!$A$14:$C$17,3,0))</f>
        <v/>
      </c>
      <c r="P1794" s="27"/>
      <c r="Q1794" s="33" t="str">
        <f aca="false">IF(OR(P1794="",M1794&lt;&gt;"Paid",O1794=""),"",P1794/O1794)</f>
        <v/>
      </c>
      <c r="R1794" s="34" t="str">
        <f aca="false">IF(Q1794="","",Q1794+N(H1794)*0.000000001)</f>
        <v/>
      </c>
      <c r="S1794" s="32" t="str">
        <f aca="false">IF(R1794="","",SUMPRODUCT((I$5:I$4004=I1794)*ISNUMBER(R$5:R$4004)*(R$5:R$4004&gt;R1794))+1)</f>
        <v/>
      </c>
      <c r="T1794" s="32" t="str">
        <f aca="false">IF(S1794="","",IF(S1794&lt;=Setup!$B$5,"🏆 WINNER",""))</f>
        <v/>
      </c>
      <c r="U1794" s="31" t="str">
        <f aca="false">IF(S1794="","",I1794&amp;"|"&amp;S1794)</f>
        <v/>
      </c>
    </row>
    <row r="1795" customFormat="false" ht="15" hidden="false" customHeight="false" outlineLevel="0" collapsed="false">
      <c r="A1795" s="24" t="n">
        <v>1791</v>
      </c>
      <c r="B1795" s="25" t="str">
        <f aca="false">IF(OR(C1795="",I1795="",G1795=""),"",IFERROR(VLOOKUP(I1795,Setup!$A$9:$B$11,2,0),"???")&amp;"-"&amp;G1795&amp;"-"&amp;TEXT(COUNTIFS(I$5:I1795,I1795,G$5:G1795,G1795),"0000"))</f>
        <v/>
      </c>
      <c r="C1795" s="26"/>
      <c r="D1795" s="26"/>
      <c r="E1795" s="27"/>
      <c r="F1795" s="27"/>
      <c r="G1795" s="24" t="str">
        <f aca="false">IF(F1795="","",IF(F1795&lt;=5,"A",IF(F1795&lt;=8,"B",IF(F1795&lt;=10,"C","D"))))</f>
        <v/>
      </c>
      <c r="H1795" s="28"/>
      <c r="I1795" s="27"/>
      <c r="J1795" s="26"/>
      <c r="K1795" s="27"/>
      <c r="L1795" s="27"/>
      <c r="M1795" s="27"/>
      <c r="N1795" s="27"/>
      <c r="O1795" s="24" t="str">
        <f aca="false">IF(G1795="","",VLOOKUP(G1795,Setup!$A$14:$C$17,3,0))</f>
        <v/>
      </c>
      <c r="P1795" s="27"/>
      <c r="Q1795" s="29" t="str">
        <f aca="false">IF(OR(P1795="",M1795&lt;&gt;"Paid",O1795=""),"",P1795/O1795)</f>
        <v/>
      </c>
      <c r="R1795" s="30" t="str">
        <f aca="false">IF(Q1795="","",Q1795+N(H1795)*0.000000001)</f>
        <v/>
      </c>
      <c r="S1795" s="25" t="str">
        <f aca="false">IF(R1795="","",SUMPRODUCT((I$5:I$4004=I1795)*ISNUMBER(R$5:R$4004)*(R$5:R$4004&gt;R1795))+1)</f>
        <v/>
      </c>
      <c r="T1795" s="25" t="str">
        <f aca="false">IF(S1795="","",IF(S1795&lt;=Setup!$B$5,"🏆 WINNER",""))</f>
        <v/>
      </c>
      <c r="U1795" s="24" t="str">
        <f aca="false">IF(S1795="","",I1795&amp;"|"&amp;S1795)</f>
        <v/>
      </c>
    </row>
    <row r="1796" customFormat="false" ht="15" hidden="false" customHeight="false" outlineLevel="0" collapsed="false">
      <c r="A1796" s="31" t="n">
        <v>1792</v>
      </c>
      <c r="B1796" s="32" t="str">
        <f aca="false">IF(OR(C1796="",I1796="",G1796=""),"",IFERROR(VLOOKUP(I1796,Setup!$A$9:$B$11,2,0),"???")&amp;"-"&amp;G1796&amp;"-"&amp;TEXT(COUNTIFS(I$5:I1796,I1796,G$5:G1796,G1796),"0000"))</f>
        <v/>
      </c>
      <c r="C1796" s="26"/>
      <c r="D1796" s="26"/>
      <c r="E1796" s="27"/>
      <c r="F1796" s="27"/>
      <c r="G1796" s="31" t="str">
        <f aca="false">IF(F1796="","",IF(F1796&lt;=5,"A",IF(F1796&lt;=8,"B",IF(F1796&lt;=10,"C","D"))))</f>
        <v/>
      </c>
      <c r="H1796" s="28"/>
      <c r="I1796" s="27"/>
      <c r="J1796" s="26"/>
      <c r="K1796" s="27"/>
      <c r="L1796" s="27"/>
      <c r="M1796" s="27"/>
      <c r="N1796" s="27"/>
      <c r="O1796" s="31" t="str">
        <f aca="false">IF(G1796="","",VLOOKUP(G1796,Setup!$A$14:$C$17,3,0))</f>
        <v/>
      </c>
      <c r="P1796" s="27"/>
      <c r="Q1796" s="33" t="str">
        <f aca="false">IF(OR(P1796="",M1796&lt;&gt;"Paid",O1796=""),"",P1796/O1796)</f>
        <v/>
      </c>
      <c r="R1796" s="34" t="str">
        <f aca="false">IF(Q1796="","",Q1796+N(H1796)*0.000000001)</f>
        <v/>
      </c>
      <c r="S1796" s="32" t="str">
        <f aca="false">IF(R1796="","",SUMPRODUCT((I$5:I$4004=I1796)*ISNUMBER(R$5:R$4004)*(R$5:R$4004&gt;R1796))+1)</f>
        <v/>
      </c>
      <c r="T1796" s="32" t="str">
        <f aca="false">IF(S1796="","",IF(S1796&lt;=Setup!$B$5,"🏆 WINNER",""))</f>
        <v/>
      </c>
      <c r="U1796" s="31" t="str">
        <f aca="false">IF(S1796="","",I1796&amp;"|"&amp;S1796)</f>
        <v/>
      </c>
    </row>
    <row r="1797" customFormat="false" ht="15" hidden="false" customHeight="false" outlineLevel="0" collapsed="false">
      <c r="A1797" s="24" t="n">
        <v>1793</v>
      </c>
      <c r="B1797" s="25" t="str">
        <f aca="false">IF(OR(C1797="",I1797="",G1797=""),"",IFERROR(VLOOKUP(I1797,Setup!$A$9:$B$11,2,0),"???")&amp;"-"&amp;G1797&amp;"-"&amp;TEXT(COUNTIFS(I$5:I1797,I1797,G$5:G1797,G1797),"0000"))</f>
        <v/>
      </c>
      <c r="C1797" s="26"/>
      <c r="D1797" s="26"/>
      <c r="E1797" s="27"/>
      <c r="F1797" s="27"/>
      <c r="G1797" s="24" t="str">
        <f aca="false">IF(F1797="","",IF(F1797&lt;=5,"A",IF(F1797&lt;=8,"B",IF(F1797&lt;=10,"C","D"))))</f>
        <v/>
      </c>
      <c r="H1797" s="28"/>
      <c r="I1797" s="27"/>
      <c r="J1797" s="26"/>
      <c r="K1797" s="27"/>
      <c r="L1797" s="27"/>
      <c r="M1797" s="27"/>
      <c r="N1797" s="27"/>
      <c r="O1797" s="24" t="str">
        <f aca="false">IF(G1797="","",VLOOKUP(G1797,Setup!$A$14:$C$17,3,0))</f>
        <v/>
      </c>
      <c r="P1797" s="27"/>
      <c r="Q1797" s="29" t="str">
        <f aca="false">IF(OR(P1797="",M1797&lt;&gt;"Paid",O1797=""),"",P1797/O1797)</f>
        <v/>
      </c>
      <c r="R1797" s="30" t="str">
        <f aca="false">IF(Q1797="","",Q1797+N(H1797)*0.000000001)</f>
        <v/>
      </c>
      <c r="S1797" s="25" t="str">
        <f aca="false">IF(R1797="","",SUMPRODUCT((I$5:I$4004=I1797)*ISNUMBER(R$5:R$4004)*(R$5:R$4004&gt;R1797))+1)</f>
        <v/>
      </c>
      <c r="T1797" s="25" t="str">
        <f aca="false">IF(S1797="","",IF(S1797&lt;=Setup!$B$5,"🏆 WINNER",""))</f>
        <v/>
      </c>
      <c r="U1797" s="24" t="str">
        <f aca="false">IF(S1797="","",I1797&amp;"|"&amp;S1797)</f>
        <v/>
      </c>
    </row>
    <row r="1798" customFormat="false" ht="15" hidden="false" customHeight="false" outlineLevel="0" collapsed="false">
      <c r="A1798" s="31" t="n">
        <v>1794</v>
      </c>
      <c r="B1798" s="32" t="str">
        <f aca="false">IF(OR(C1798="",I1798="",G1798=""),"",IFERROR(VLOOKUP(I1798,Setup!$A$9:$B$11,2,0),"???")&amp;"-"&amp;G1798&amp;"-"&amp;TEXT(COUNTIFS(I$5:I1798,I1798,G$5:G1798,G1798),"0000"))</f>
        <v/>
      </c>
      <c r="C1798" s="26"/>
      <c r="D1798" s="26"/>
      <c r="E1798" s="27"/>
      <c r="F1798" s="27"/>
      <c r="G1798" s="31" t="str">
        <f aca="false">IF(F1798="","",IF(F1798&lt;=5,"A",IF(F1798&lt;=8,"B",IF(F1798&lt;=10,"C","D"))))</f>
        <v/>
      </c>
      <c r="H1798" s="28"/>
      <c r="I1798" s="27"/>
      <c r="J1798" s="26"/>
      <c r="K1798" s="27"/>
      <c r="L1798" s="27"/>
      <c r="M1798" s="27"/>
      <c r="N1798" s="27"/>
      <c r="O1798" s="31" t="str">
        <f aca="false">IF(G1798="","",VLOOKUP(G1798,Setup!$A$14:$C$17,3,0))</f>
        <v/>
      </c>
      <c r="P1798" s="27"/>
      <c r="Q1798" s="33" t="str">
        <f aca="false">IF(OR(P1798="",M1798&lt;&gt;"Paid",O1798=""),"",P1798/O1798)</f>
        <v/>
      </c>
      <c r="R1798" s="34" t="str">
        <f aca="false">IF(Q1798="","",Q1798+N(H1798)*0.000000001)</f>
        <v/>
      </c>
      <c r="S1798" s="32" t="str">
        <f aca="false">IF(R1798="","",SUMPRODUCT((I$5:I$4004=I1798)*ISNUMBER(R$5:R$4004)*(R$5:R$4004&gt;R1798))+1)</f>
        <v/>
      </c>
      <c r="T1798" s="32" t="str">
        <f aca="false">IF(S1798="","",IF(S1798&lt;=Setup!$B$5,"🏆 WINNER",""))</f>
        <v/>
      </c>
      <c r="U1798" s="31" t="str">
        <f aca="false">IF(S1798="","",I1798&amp;"|"&amp;S1798)</f>
        <v/>
      </c>
    </row>
    <row r="1799" customFormat="false" ht="15" hidden="false" customHeight="false" outlineLevel="0" collapsed="false">
      <c r="A1799" s="24" t="n">
        <v>1795</v>
      </c>
      <c r="B1799" s="25" t="str">
        <f aca="false">IF(OR(C1799="",I1799="",G1799=""),"",IFERROR(VLOOKUP(I1799,Setup!$A$9:$B$11,2,0),"???")&amp;"-"&amp;G1799&amp;"-"&amp;TEXT(COUNTIFS(I$5:I1799,I1799,G$5:G1799,G1799),"0000"))</f>
        <v/>
      </c>
      <c r="C1799" s="26"/>
      <c r="D1799" s="26"/>
      <c r="E1799" s="27"/>
      <c r="F1799" s="27"/>
      <c r="G1799" s="24" t="str">
        <f aca="false">IF(F1799="","",IF(F1799&lt;=5,"A",IF(F1799&lt;=8,"B",IF(F1799&lt;=10,"C","D"))))</f>
        <v/>
      </c>
      <c r="H1799" s="28"/>
      <c r="I1799" s="27"/>
      <c r="J1799" s="26"/>
      <c r="K1799" s="27"/>
      <c r="L1799" s="27"/>
      <c r="M1799" s="27"/>
      <c r="N1799" s="27"/>
      <c r="O1799" s="24" t="str">
        <f aca="false">IF(G1799="","",VLOOKUP(G1799,Setup!$A$14:$C$17,3,0))</f>
        <v/>
      </c>
      <c r="P1799" s="27"/>
      <c r="Q1799" s="29" t="str">
        <f aca="false">IF(OR(P1799="",M1799&lt;&gt;"Paid",O1799=""),"",P1799/O1799)</f>
        <v/>
      </c>
      <c r="R1799" s="30" t="str">
        <f aca="false">IF(Q1799="","",Q1799+N(H1799)*0.000000001)</f>
        <v/>
      </c>
      <c r="S1799" s="25" t="str">
        <f aca="false">IF(R1799="","",SUMPRODUCT((I$5:I$4004=I1799)*ISNUMBER(R$5:R$4004)*(R$5:R$4004&gt;R1799))+1)</f>
        <v/>
      </c>
      <c r="T1799" s="25" t="str">
        <f aca="false">IF(S1799="","",IF(S1799&lt;=Setup!$B$5,"🏆 WINNER",""))</f>
        <v/>
      </c>
      <c r="U1799" s="24" t="str">
        <f aca="false">IF(S1799="","",I1799&amp;"|"&amp;S1799)</f>
        <v/>
      </c>
    </row>
    <row r="1800" customFormat="false" ht="15" hidden="false" customHeight="false" outlineLevel="0" collapsed="false">
      <c r="A1800" s="31" t="n">
        <v>1796</v>
      </c>
      <c r="B1800" s="32" t="str">
        <f aca="false">IF(OR(C1800="",I1800="",G1800=""),"",IFERROR(VLOOKUP(I1800,Setup!$A$9:$B$11,2,0),"???")&amp;"-"&amp;G1800&amp;"-"&amp;TEXT(COUNTIFS(I$5:I1800,I1800,G$5:G1800,G1800),"0000"))</f>
        <v/>
      </c>
      <c r="C1800" s="26"/>
      <c r="D1800" s="26"/>
      <c r="E1800" s="27"/>
      <c r="F1800" s="27"/>
      <c r="G1800" s="31" t="str">
        <f aca="false">IF(F1800="","",IF(F1800&lt;=5,"A",IF(F1800&lt;=8,"B",IF(F1800&lt;=10,"C","D"))))</f>
        <v/>
      </c>
      <c r="H1800" s="28"/>
      <c r="I1800" s="27"/>
      <c r="J1800" s="26"/>
      <c r="K1800" s="27"/>
      <c r="L1800" s="27"/>
      <c r="M1800" s="27"/>
      <c r="N1800" s="27"/>
      <c r="O1800" s="31" t="str">
        <f aca="false">IF(G1800="","",VLOOKUP(G1800,Setup!$A$14:$C$17,3,0))</f>
        <v/>
      </c>
      <c r="P1800" s="27"/>
      <c r="Q1800" s="33" t="str">
        <f aca="false">IF(OR(P1800="",M1800&lt;&gt;"Paid",O1800=""),"",P1800/O1800)</f>
        <v/>
      </c>
      <c r="R1800" s="34" t="str">
        <f aca="false">IF(Q1800="","",Q1800+N(H1800)*0.000000001)</f>
        <v/>
      </c>
      <c r="S1800" s="32" t="str">
        <f aca="false">IF(R1800="","",SUMPRODUCT((I$5:I$4004=I1800)*ISNUMBER(R$5:R$4004)*(R$5:R$4004&gt;R1800))+1)</f>
        <v/>
      </c>
      <c r="T1800" s="32" t="str">
        <f aca="false">IF(S1800="","",IF(S1800&lt;=Setup!$B$5,"🏆 WINNER",""))</f>
        <v/>
      </c>
      <c r="U1800" s="31" t="str">
        <f aca="false">IF(S1800="","",I1800&amp;"|"&amp;S1800)</f>
        <v/>
      </c>
    </row>
    <row r="1801" customFormat="false" ht="15" hidden="false" customHeight="false" outlineLevel="0" collapsed="false">
      <c r="A1801" s="24" t="n">
        <v>1797</v>
      </c>
      <c r="B1801" s="25" t="str">
        <f aca="false">IF(OR(C1801="",I1801="",G1801=""),"",IFERROR(VLOOKUP(I1801,Setup!$A$9:$B$11,2,0),"???")&amp;"-"&amp;G1801&amp;"-"&amp;TEXT(COUNTIFS(I$5:I1801,I1801,G$5:G1801,G1801),"0000"))</f>
        <v/>
      </c>
      <c r="C1801" s="26"/>
      <c r="D1801" s="26"/>
      <c r="E1801" s="27"/>
      <c r="F1801" s="27"/>
      <c r="G1801" s="24" t="str">
        <f aca="false">IF(F1801="","",IF(F1801&lt;=5,"A",IF(F1801&lt;=8,"B",IF(F1801&lt;=10,"C","D"))))</f>
        <v/>
      </c>
      <c r="H1801" s="28"/>
      <c r="I1801" s="27"/>
      <c r="J1801" s="26"/>
      <c r="K1801" s="27"/>
      <c r="L1801" s="27"/>
      <c r="M1801" s="27"/>
      <c r="N1801" s="27"/>
      <c r="O1801" s="24" t="str">
        <f aca="false">IF(G1801="","",VLOOKUP(G1801,Setup!$A$14:$C$17,3,0))</f>
        <v/>
      </c>
      <c r="P1801" s="27"/>
      <c r="Q1801" s="29" t="str">
        <f aca="false">IF(OR(P1801="",M1801&lt;&gt;"Paid",O1801=""),"",P1801/O1801)</f>
        <v/>
      </c>
      <c r="R1801" s="30" t="str">
        <f aca="false">IF(Q1801="","",Q1801+N(H1801)*0.000000001)</f>
        <v/>
      </c>
      <c r="S1801" s="25" t="str">
        <f aca="false">IF(R1801="","",SUMPRODUCT((I$5:I$4004=I1801)*ISNUMBER(R$5:R$4004)*(R$5:R$4004&gt;R1801))+1)</f>
        <v/>
      </c>
      <c r="T1801" s="25" t="str">
        <f aca="false">IF(S1801="","",IF(S1801&lt;=Setup!$B$5,"🏆 WINNER",""))</f>
        <v/>
      </c>
      <c r="U1801" s="24" t="str">
        <f aca="false">IF(S1801="","",I1801&amp;"|"&amp;S1801)</f>
        <v/>
      </c>
    </row>
    <row r="1802" customFormat="false" ht="15" hidden="false" customHeight="false" outlineLevel="0" collapsed="false">
      <c r="A1802" s="31" t="n">
        <v>1798</v>
      </c>
      <c r="B1802" s="32" t="str">
        <f aca="false">IF(OR(C1802="",I1802="",G1802=""),"",IFERROR(VLOOKUP(I1802,Setup!$A$9:$B$11,2,0),"???")&amp;"-"&amp;G1802&amp;"-"&amp;TEXT(COUNTIFS(I$5:I1802,I1802,G$5:G1802,G1802),"0000"))</f>
        <v/>
      </c>
      <c r="C1802" s="26"/>
      <c r="D1802" s="26"/>
      <c r="E1802" s="27"/>
      <c r="F1802" s="27"/>
      <c r="G1802" s="31" t="str">
        <f aca="false">IF(F1802="","",IF(F1802&lt;=5,"A",IF(F1802&lt;=8,"B",IF(F1802&lt;=10,"C","D"))))</f>
        <v/>
      </c>
      <c r="H1802" s="28"/>
      <c r="I1802" s="27"/>
      <c r="J1802" s="26"/>
      <c r="K1802" s="27"/>
      <c r="L1802" s="27"/>
      <c r="M1802" s="27"/>
      <c r="N1802" s="27"/>
      <c r="O1802" s="31" t="str">
        <f aca="false">IF(G1802="","",VLOOKUP(G1802,Setup!$A$14:$C$17,3,0))</f>
        <v/>
      </c>
      <c r="P1802" s="27"/>
      <c r="Q1802" s="33" t="str">
        <f aca="false">IF(OR(P1802="",M1802&lt;&gt;"Paid",O1802=""),"",P1802/O1802)</f>
        <v/>
      </c>
      <c r="R1802" s="34" t="str">
        <f aca="false">IF(Q1802="","",Q1802+N(H1802)*0.000000001)</f>
        <v/>
      </c>
      <c r="S1802" s="32" t="str">
        <f aca="false">IF(R1802="","",SUMPRODUCT((I$5:I$4004=I1802)*ISNUMBER(R$5:R$4004)*(R$5:R$4004&gt;R1802))+1)</f>
        <v/>
      </c>
      <c r="T1802" s="32" t="str">
        <f aca="false">IF(S1802="","",IF(S1802&lt;=Setup!$B$5,"🏆 WINNER",""))</f>
        <v/>
      </c>
      <c r="U1802" s="31" t="str">
        <f aca="false">IF(S1802="","",I1802&amp;"|"&amp;S1802)</f>
        <v/>
      </c>
    </row>
    <row r="1803" customFormat="false" ht="15" hidden="false" customHeight="false" outlineLevel="0" collapsed="false">
      <c r="A1803" s="24" t="n">
        <v>1799</v>
      </c>
      <c r="B1803" s="25" t="str">
        <f aca="false">IF(OR(C1803="",I1803="",G1803=""),"",IFERROR(VLOOKUP(I1803,Setup!$A$9:$B$11,2,0),"???")&amp;"-"&amp;G1803&amp;"-"&amp;TEXT(COUNTIFS(I$5:I1803,I1803,G$5:G1803,G1803),"0000"))</f>
        <v/>
      </c>
      <c r="C1803" s="26"/>
      <c r="D1803" s="26"/>
      <c r="E1803" s="27"/>
      <c r="F1803" s="27"/>
      <c r="G1803" s="24" t="str">
        <f aca="false">IF(F1803="","",IF(F1803&lt;=5,"A",IF(F1803&lt;=8,"B",IF(F1803&lt;=10,"C","D"))))</f>
        <v/>
      </c>
      <c r="H1803" s="28"/>
      <c r="I1803" s="27"/>
      <c r="J1803" s="26"/>
      <c r="K1803" s="27"/>
      <c r="L1803" s="27"/>
      <c r="M1803" s="27"/>
      <c r="N1803" s="27"/>
      <c r="O1803" s="24" t="str">
        <f aca="false">IF(G1803="","",VLOOKUP(G1803,Setup!$A$14:$C$17,3,0))</f>
        <v/>
      </c>
      <c r="P1803" s="27"/>
      <c r="Q1803" s="29" t="str">
        <f aca="false">IF(OR(P1803="",M1803&lt;&gt;"Paid",O1803=""),"",P1803/O1803)</f>
        <v/>
      </c>
      <c r="R1803" s="30" t="str">
        <f aca="false">IF(Q1803="","",Q1803+N(H1803)*0.000000001)</f>
        <v/>
      </c>
      <c r="S1803" s="25" t="str">
        <f aca="false">IF(R1803="","",SUMPRODUCT((I$5:I$4004=I1803)*ISNUMBER(R$5:R$4004)*(R$5:R$4004&gt;R1803))+1)</f>
        <v/>
      </c>
      <c r="T1803" s="25" t="str">
        <f aca="false">IF(S1803="","",IF(S1803&lt;=Setup!$B$5,"🏆 WINNER",""))</f>
        <v/>
      </c>
      <c r="U1803" s="24" t="str">
        <f aca="false">IF(S1803="","",I1803&amp;"|"&amp;S1803)</f>
        <v/>
      </c>
    </row>
    <row r="1804" customFormat="false" ht="15" hidden="false" customHeight="false" outlineLevel="0" collapsed="false">
      <c r="A1804" s="31" t="n">
        <v>1800</v>
      </c>
      <c r="B1804" s="32" t="str">
        <f aca="false">IF(OR(C1804="",I1804="",G1804=""),"",IFERROR(VLOOKUP(I1804,Setup!$A$9:$B$11,2,0),"???")&amp;"-"&amp;G1804&amp;"-"&amp;TEXT(COUNTIFS(I$5:I1804,I1804,G$5:G1804,G1804),"0000"))</f>
        <v/>
      </c>
      <c r="C1804" s="26"/>
      <c r="D1804" s="26"/>
      <c r="E1804" s="27"/>
      <c r="F1804" s="27"/>
      <c r="G1804" s="31" t="str">
        <f aca="false">IF(F1804="","",IF(F1804&lt;=5,"A",IF(F1804&lt;=8,"B",IF(F1804&lt;=10,"C","D"))))</f>
        <v/>
      </c>
      <c r="H1804" s="28"/>
      <c r="I1804" s="27"/>
      <c r="J1804" s="26"/>
      <c r="K1804" s="27"/>
      <c r="L1804" s="27"/>
      <c r="M1804" s="27"/>
      <c r="N1804" s="27"/>
      <c r="O1804" s="31" t="str">
        <f aca="false">IF(G1804="","",VLOOKUP(G1804,Setup!$A$14:$C$17,3,0))</f>
        <v/>
      </c>
      <c r="P1804" s="27"/>
      <c r="Q1804" s="33" t="str">
        <f aca="false">IF(OR(P1804="",M1804&lt;&gt;"Paid",O1804=""),"",P1804/O1804)</f>
        <v/>
      </c>
      <c r="R1804" s="34" t="str">
        <f aca="false">IF(Q1804="","",Q1804+N(H1804)*0.000000001)</f>
        <v/>
      </c>
      <c r="S1804" s="32" t="str">
        <f aca="false">IF(R1804="","",SUMPRODUCT((I$5:I$4004=I1804)*ISNUMBER(R$5:R$4004)*(R$5:R$4004&gt;R1804))+1)</f>
        <v/>
      </c>
      <c r="T1804" s="32" t="str">
        <f aca="false">IF(S1804="","",IF(S1804&lt;=Setup!$B$5,"🏆 WINNER",""))</f>
        <v/>
      </c>
      <c r="U1804" s="31" t="str">
        <f aca="false">IF(S1804="","",I1804&amp;"|"&amp;S1804)</f>
        <v/>
      </c>
    </row>
    <row r="1805" customFormat="false" ht="15" hidden="false" customHeight="false" outlineLevel="0" collapsed="false">
      <c r="A1805" s="24" t="n">
        <v>1801</v>
      </c>
      <c r="B1805" s="25" t="str">
        <f aca="false">IF(OR(C1805="",I1805="",G1805=""),"",IFERROR(VLOOKUP(I1805,Setup!$A$9:$B$11,2,0),"???")&amp;"-"&amp;G1805&amp;"-"&amp;TEXT(COUNTIFS(I$5:I1805,I1805,G$5:G1805,G1805),"0000"))</f>
        <v/>
      </c>
      <c r="C1805" s="26"/>
      <c r="D1805" s="26"/>
      <c r="E1805" s="27"/>
      <c r="F1805" s="27"/>
      <c r="G1805" s="24" t="str">
        <f aca="false">IF(F1805="","",IF(F1805&lt;=5,"A",IF(F1805&lt;=8,"B",IF(F1805&lt;=10,"C","D"))))</f>
        <v/>
      </c>
      <c r="H1805" s="28"/>
      <c r="I1805" s="27"/>
      <c r="J1805" s="26"/>
      <c r="K1805" s="27"/>
      <c r="L1805" s="27"/>
      <c r="M1805" s="27"/>
      <c r="N1805" s="27"/>
      <c r="O1805" s="24" t="str">
        <f aca="false">IF(G1805="","",VLOOKUP(G1805,Setup!$A$14:$C$17,3,0))</f>
        <v/>
      </c>
      <c r="P1805" s="27"/>
      <c r="Q1805" s="29" t="str">
        <f aca="false">IF(OR(P1805="",M1805&lt;&gt;"Paid",O1805=""),"",P1805/O1805)</f>
        <v/>
      </c>
      <c r="R1805" s="30" t="str">
        <f aca="false">IF(Q1805="","",Q1805+N(H1805)*0.000000001)</f>
        <v/>
      </c>
      <c r="S1805" s="25" t="str">
        <f aca="false">IF(R1805="","",SUMPRODUCT((I$5:I$4004=I1805)*ISNUMBER(R$5:R$4004)*(R$5:R$4004&gt;R1805))+1)</f>
        <v/>
      </c>
      <c r="T1805" s="25" t="str">
        <f aca="false">IF(S1805="","",IF(S1805&lt;=Setup!$B$5,"🏆 WINNER",""))</f>
        <v/>
      </c>
      <c r="U1805" s="24" t="str">
        <f aca="false">IF(S1805="","",I1805&amp;"|"&amp;S1805)</f>
        <v/>
      </c>
    </row>
    <row r="1806" customFormat="false" ht="15" hidden="false" customHeight="false" outlineLevel="0" collapsed="false">
      <c r="A1806" s="31" t="n">
        <v>1802</v>
      </c>
      <c r="B1806" s="32" t="str">
        <f aca="false">IF(OR(C1806="",I1806="",G1806=""),"",IFERROR(VLOOKUP(I1806,Setup!$A$9:$B$11,2,0),"???")&amp;"-"&amp;G1806&amp;"-"&amp;TEXT(COUNTIFS(I$5:I1806,I1806,G$5:G1806,G1806),"0000"))</f>
        <v/>
      </c>
      <c r="C1806" s="26"/>
      <c r="D1806" s="26"/>
      <c r="E1806" s="27"/>
      <c r="F1806" s="27"/>
      <c r="G1806" s="31" t="str">
        <f aca="false">IF(F1806="","",IF(F1806&lt;=5,"A",IF(F1806&lt;=8,"B",IF(F1806&lt;=10,"C","D"))))</f>
        <v/>
      </c>
      <c r="H1806" s="28"/>
      <c r="I1806" s="27"/>
      <c r="J1806" s="26"/>
      <c r="K1806" s="27"/>
      <c r="L1806" s="27"/>
      <c r="M1806" s="27"/>
      <c r="N1806" s="27"/>
      <c r="O1806" s="31" t="str">
        <f aca="false">IF(G1806="","",VLOOKUP(G1806,Setup!$A$14:$C$17,3,0))</f>
        <v/>
      </c>
      <c r="P1806" s="27"/>
      <c r="Q1806" s="33" t="str">
        <f aca="false">IF(OR(P1806="",M1806&lt;&gt;"Paid",O1806=""),"",P1806/O1806)</f>
        <v/>
      </c>
      <c r="R1806" s="34" t="str">
        <f aca="false">IF(Q1806="","",Q1806+N(H1806)*0.000000001)</f>
        <v/>
      </c>
      <c r="S1806" s="32" t="str">
        <f aca="false">IF(R1806="","",SUMPRODUCT((I$5:I$4004=I1806)*ISNUMBER(R$5:R$4004)*(R$5:R$4004&gt;R1806))+1)</f>
        <v/>
      </c>
      <c r="T1806" s="32" t="str">
        <f aca="false">IF(S1806="","",IF(S1806&lt;=Setup!$B$5,"🏆 WINNER",""))</f>
        <v/>
      </c>
      <c r="U1806" s="31" t="str">
        <f aca="false">IF(S1806="","",I1806&amp;"|"&amp;S1806)</f>
        <v/>
      </c>
    </row>
    <row r="1807" customFormat="false" ht="15" hidden="false" customHeight="false" outlineLevel="0" collapsed="false">
      <c r="A1807" s="24" t="n">
        <v>1803</v>
      </c>
      <c r="B1807" s="25" t="str">
        <f aca="false">IF(OR(C1807="",I1807="",G1807=""),"",IFERROR(VLOOKUP(I1807,Setup!$A$9:$B$11,2,0),"???")&amp;"-"&amp;G1807&amp;"-"&amp;TEXT(COUNTIFS(I$5:I1807,I1807,G$5:G1807,G1807),"0000"))</f>
        <v/>
      </c>
      <c r="C1807" s="26"/>
      <c r="D1807" s="26"/>
      <c r="E1807" s="27"/>
      <c r="F1807" s="27"/>
      <c r="G1807" s="24" t="str">
        <f aca="false">IF(F1807="","",IF(F1807&lt;=5,"A",IF(F1807&lt;=8,"B",IF(F1807&lt;=10,"C","D"))))</f>
        <v/>
      </c>
      <c r="H1807" s="28"/>
      <c r="I1807" s="27"/>
      <c r="J1807" s="26"/>
      <c r="K1807" s="27"/>
      <c r="L1807" s="27"/>
      <c r="M1807" s="27"/>
      <c r="N1807" s="27"/>
      <c r="O1807" s="24" t="str">
        <f aca="false">IF(G1807="","",VLOOKUP(G1807,Setup!$A$14:$C$17,3,0))</f>
        <v/>
      </c>
      <c r="P1807" s="27"/>
      <c r="Q1807" s="29" t="str">
        <f aca="false">IF(OR(P1807="",M1807&lt;&gt;"Paid",O1807=""),"",P1807/O1807)</f>
        <v/>
      </c>
      <c r="R1807" s="30" t="str">
        <f aca="false">IF(Q1807="","",Q1807+N(H1807)*0.000000001)</f>
        <v/>
      </c>
      <c r="S1807" s="25" t="str">
        <f aca="false">IF(R1807="","",SUMPRODUCT((I$5:I$4004=I1807)*ISNUMBER(R$5:R$4004)*(R$5:R$4004&gt;R1807))+1)</f>
        <v/>
      </c>
      <c r="T1807" s="25" t="str">
        <f aca="false">IF(S1807="","",IF(S1807&lt;=Setup!$B$5,"🏆 WINNER",""))</f>
        <v/>
      </c>
      <c r="U1807" s="24" t="str">
        <f aca="false">IF(S1807="","",I1807&amp;"|"&amp;S1807)</f>
        <v/>
      </c>
    </row>
    <row r="1808" customFormat="false" ht="15" hidden="false" customHeight="false" outlineLevel="0" collapsed="false">
      <c r="A1808" s="31" t="n">
        <v>1804</v>
      </c>
      <c r="B1808" s="32" t="str">
        <f aca="false">IF(OR(C1808="",I1808="",G1808=""),"",IFERROR(VLOOKUP(I1808,Setup!$A$9:$B$11,2,0),"???")&amp;"-"&amp;G1808&amp;"-"&amp;TEXT(COUNTIFS(I$5:I1808,I1808,G$5:G1808,G1808),"0000"))</f>
        <v/>
      </c>
      <c r="C1808" s="26"/>
      <c r="D1808" s="26"/>
      <c r="E1808" s="27"/>
      <c r="F1808" s="27"/>
      <c r="G1808" s="31" t="str">
        <f aca="false">IF(F1808="","",IF(F1808&lt;=5,"A",IF(F1808&lt;=8,"B",IF(F1808&lt;=10,"C","D"))))</f>
        <v/>
      </c>
      <c r="H1808" s="28"/>
      <c r="I1808" s="27"/>
      <c r="J1808" s="26"/>
      <c r="K1808" s="27"/>
      <c r="L1808" s="27"/>
      <c r="M1808" s="27"/>
      <c r="N1808" s="27"/>
      <c r="O1808" s="31" t="str">
        <f aca="false">IF(G1808="","",VLOOKUP(G1808,Setup!$A$14:$C$17,3,0))</f>
        <v/>
      </c>
      <c r="P1808" s="27"/>
      <c r="Q1808" s="33" t="str">
        <f aca="false">IF(OR(P1808="",M1808&lt;&gt;"Paid",O1808=""),"",P1808/O1808)</f>
        <v/>
      </c>
      <c r="R1808" s="34" t="str">
        <f aca="false">IF(Q1808="","",Q1808+N(H1808)*0.000000001)</f>
        <v/>
      </c>
      <c r="S1808" s="32" t="str">
        <f aca="false">IF(R1808="","",SUMPRODUCT((I$5:I$4004=I1808)*ISNUMBER(R$5:R$4004)*(R$5:R$4004&gt;R1808))+1)</f>
        <v/>
      </c>
      <c r="T1808" s="32" t="str">
        <f aca="false">IF(S1808="","",IF(S1808&lt;=Setup!$B$5,"🏆 WINNER",""))</f>
        <v/>
      </c>
      <c r="U1808" s="31" t="str">
        <f aca="false">IF(S1808="","",I1808&amp;"|"&amp;S1808)</f>
        <v/>
      </c>
    </row>
    <row r="1809" customFormat="false" ht="15" hidden="false" customHeight="false" outlineLevel="0" collapsed="false">
      <c r="A1809" s="24" t="n">
        <v>1805</v>
      </c>
      <c r="B1809" s="25" t="str">
        <f aca="false">IF(OR(C1809="",I1809="",G1809=""),"",IFERROR(VLOOKUP(I1809,Setup!$A$9:$B$11,2,0),"???")&amp;"-"&amp;G1809&amp;"-"&amp;TEXT(COUNTIFS(I$5:I1809,I1809,G$5:G1809,G1809),"0000"))</f>
        <v/>
      </c>
      <c r="C1809" s="26"/>
      <c r="D1809" s="26"/>
      <c r="E1809" s="27"/>
      <c r="F1809" s="27"/>
      <c r="G1809" s="24" t="str">
        <f aca="false">IF(F1809="","",IF(F1809&lt;=5,"A",IF(F1809&lt;=8,"B",IF(F1809&lt;=10,"C","D"))))</f>
        <v/>
      </c>
      <c r="H1809" s="28"/>
      <c r="I1809" s="27"/>
      <c r="J1809" s="26"/>
      <c r="K1809" s="27"/>
      <c r="L1809" s="27"/>
      <c r="M1809" s="27"/>
      <c r="N1809" s="27"/>
      <c r="O1809" s="24" t="str">
        <f aca="false">IF(G1809="","",VLOOKUP(G1809,Setup!$A$14:$C$17,3,0))</f>
        <v/>
      </c>
      <c r="P1809" s="27"/>
      <c r="Q1809" s="29" t="str">
        <f aca="false">IF(OR(P1809="",M1809&lt;&gt;"Paid",O1809=""),"",P1809/O1809)</f>
        <v/>
      </c>
      <c r="R1809" s="30" t="str">
        <f aca="false">IF(Q1809="","",Q1809+N(H1809)*0.000000001)</f>
        <v/>
      </c>
      <c r="S1809" s="25" t="str">
        <f aca="false">IF(R1809="","",SUMPRODUCT((I$5:I$4004=I1809)*ISNUMBER(R$5:R$4004)*(R$5:R$4004&gt;R1809))+1)</f>
        <v/>
      </c>
      <c r="T1809" s="25" t="str">
        <f aca="false">IF(S1809="","",IF(S1809&lt;=Setup!$B$5,"🏆 WINNER",""))</f>
        <v/>
      </c>
      <c r="U1809" s="24" t="str">
        <f aca="false">IF(S1809="","",I1809&amp;"|"&amp;S1809)</f>
        <v/>
      </c>
    </row>
    <row r="1810" customFormat="false" ht="15" hidden="false" customHeight="false" outlineLevel="0" collapsed="false">
      <c r="A1810" s="31" t="n">
        <v>1806</v>
      </c>
      <c r="B1810" s="32" t="str">
        <f aca="false">IF(OR(C1810="",I1810="",G1810=""),"",IFERROR(VLOOKUP(I1810,Setup!$A$9:$B$11,2,0),"???")&amp;"-"&amp;G1810&amp;"-"&amp;TEXT(COUNTIFS(I$5:I1810,I1810,G$5:G1810,G1810),"0000"))</f>
        <v/>
      </c>
      <c r="C1810" s="26"/>
      <c r="D1810" s="26"/>
      <c r="E1810" s="27"/>
      <c r="F1810" s="27"/>
      <c r="G1810" s="31" t="str">
        <f aca="false">IF(F1810="","",IF(F1810&lt;=5,"A",IF(F1810&lt;=8,"B",IF(F1810&lt;=10,"C","D"))))</f>
        <v/>
      </c>
      <c r="H1810" s="28"/>
      <c r="I1810" s="27"/>
      <c r="J1810" s="26"/>
      <c r="K1810" s="27"/>
      <c r="L1810" s="27"/>
      <c r="M1810" s="27"/>
      <c r="N1810" s="27"/>
      <c r="O1810" s="31" t="str">
        <f aca="false">IF(G1810="","",VLOOKUP(G1810,Setup!$A$14:$C$17,3,0))</f>
        <v/>
      </c>
      <c r="P1810" s="27"/>
      <c r="Q1810" s="33" t="str">
        <f aca="false">IF(OR(P1810="",M1810&lt;&gt;"Paid",O1810=""),"",P1810/O1810)</f>
        <v/>
      </c>
      <c r="R1810" s="34" t="str">
        <f aca="false">IF(Q1810="","",Q1810+N(H1810)*0.000000001)</f>
        <v/>
      </c>
      <c r="S1810" s="32" t="str">
        <f aca="false">IF(R1810="","",SUMPRODUCT((I$5:I$4004=I1810)*ISNUMBER(R$5:R$4004)*(R$5:R$4004&gt;R1810))+1)</f>
        <v/>
      </c>
      <c r="T1810" s="32" t="str">
        <f aca="false">IF(S1810="","",IF(S1810&lt;=Setup!$B$5,"🏆 WINNER",""))</f>
        <v/>
      </c>
      <c r="U1810" s="31" t="str">
        <f aca="false">IF(S1810="","",I1810&amp;"|"&amp;S1810)</f>
        <v/>
      </c>
    </row>
    <row r="1811" customFormat="false" ht="15" hidden="false" customHeight="false" outlineLevel="0" collapsed="false">
      <c r="A1811" s="24" t="n">
        <v>1807</v>
      </c>
      <c r="B1811" s="25" t="str">
        <f aca="false">IF(OR(C1811="",I1811="",G1811=""),"",IFERROR(VLOOKUP(I1811,Setup!$A$9:$B$11,2,0),"???")&amp;"-"&amp;G1811&amp;"-"&amp;TEXT(COUNTIFS(I$5:I1811,I1811,G$5:G1811,G1811),"0000"))</f>
        <v/>
      </c>
      <c r="C1811" s="26"/>
      <c r="D1811" s="26"/>
      <c r="E1811" s="27"/>
      <c r="F1811" s="27"/>
      <c r="G1811" s="24" t="str">
        <f aca="false">IF(F1811="","",IF(F1811&lt;=5,"A",IF(F1811&lt;=8,"B",IF(F1811&lt;=10,"C","D"))))</f>
        <v/>
      </c>
      <c r="H1811" s="28"/>
      <c r="I1811" s="27"/>
      <c r="J1811" s="26"/>
      <c r="K1811" s="27"/>
      <c r="L1811" s="27"/>
      <c r="M1811" s="27"/>
      <c r="N1811" s="27"/>
      <c r="O1811" s="24" t="str">
        <f aca="false">IF(G1811="","",VLOOKUP(G1811,Setup!$A$14:$C$17,3,0))</f>
        <v/>
      </c>
      <c r="P1811" s="27"/>
      <c r="Q1811" s="29" t="str">
        <f aca="false">IF(OR(P1811="",M1811&lt;&gt;"Paid",O1811=""),"",P1811/O1811)</f>
        <v/>
      </c>
      <c r="R1811" s="30" t="str">
        <f aca="false">IF(Q1811="","",Q1811+N(H1811)*0.000000001)</f>
        <v/>
      </c>
      <c r="S1811" s="25" t="str">
        <f aca="false">IF(R1811="","",SUMPRODUCT((I$5:I$4004=I1811)*ISNUMBER(R$5:R$4004)*(R$5:R$4004&gt;R1811))+1)</f>
        <v/>
      </c>
      <c r="T1811" s="25" t="str">
        <f aca="false">IF(S1811="","",IF(S1811&lt;=Setup!$B$5,"🏆 WINNER",""))</f>
        <v/>
      </c>
      <c r="U1811" s="24" t="str">
        <f aca="false">IF(S1811="","",I1811&amp;"|"&amp;S1811)</f>
        <v/>
      </c>
    </row>
    <row r="1812" customFormat="false" ht="15" hidden="false" customHeight="false" outlineLevel="0" collapsed="false">
      <c r="A1812" s="31" t="n">
        <v>1808</v>
      </c>
      <c r="B1812" s="32" t="str">
        <f aca="false">IF(OR(C1812="",I1812="",G1812=""),"",IFERROR(VLOOKUP(I1812,Setup!$A$9:$B$11,2,0),"???")&amp;"-"&amp;G1812&amp;"-"&amp;TEXT(COUNTIFS(I$5:I1812,I1812,G$5:G1812,G1812),"0000"))</f>
        <v/>
      </c>
      <c r="C1812" s="26"/>
      <c r="D1812" s="26"/>
      <c r="E1812" s="27"/>
      <c r="F1812" s="27"/>
      <c r="G1812" s="31" t="str">
        <f aca="false">IF(F1812="","",IF(F1812&lt;=5,"A",IF(F1812&lt;=8,"B",IF(F1812&lt;=10,"C","D"))))</f>
        <v/>
      </c>
      <c r="H1812" s="28"/>
      <c r="I1812" s="27"/>
      <c r="J1812" s="26"/>
      <c r="K1812" s="27"/>
      <c r="L1812" s="27"/>
      <c r="M1812" s="27"/>
      <c r="N1812" s="27"/>
      <c r="O1812" s="31" t="str">
        <f aca="false">IF(G1812="","",VLOOKUP(G1812,Setup!$A$14:$C$17,3,0))</f>
        <v/>
      </c>
      <c r="P1812" s="27"/>
      <c r="Q1812" s="33" t="str">
        <f aca="false">IF(OR(P1812="",M1812&lt;&gt;"Paid",O1812=""),"",P1812/O1812)</f>
        <v/>
      </c>
      <c r="R1812" s="34" t="str">
        <f aca="false">IF(Q1812="","",Q1812+N(H1812)*0.000000001)</f>
        <v/>
      </c>
      <c r="S1812" s="32" t="str">
        <f aca="false">IF(R1812="","",SUMPRODUCT((I$5:I$4004=I1812)*ISNUMBER(R$5:R$4004)*(R$5:R$4004&gt;R1812))+1)</f>
        <v/>
      </c>
      <c r="T1812" s="32" t="str">
        <f aca="false">IF(S1812="","",IF(S1812&lt;=Setup!$B$5,"🏆 WINNER",""))</f>
        <v/>
      </c>
      <c r="U1812" s="31" t="str">
        <f aca="false">IF(S1812="","",I1812&amp;"|"&amp;S1812)</f>
        <v/>
      </c>
    </row>
    <row r="1813" customFormat="false" ht="15" hidden="false" customHeight="false" outlineLevel="0" collapsed="false">
      <c r="A1813" s="24" t="n">
        <v>1809</v>
      </c>
      <c r="B1813" s="25" t="str">
        <f aca="false">IF(OR(C1813="",I1813="",G1813=""),"",IFERROR(VLOOKUP(I1813,Setup!$A$9:$B$11,2,0),"???")&amp;"-"&amp;G1813&amp;"-"&amp;TEXT(COUNTIFS(I$5:I1813,I1813,G$5:G1813,G1813),"0000"))</f>
        <v/>
      </c>
      <c r="C1813" s="26"/>
      <c r="D1813" s="26"/>
      <c r="E1813" s="27"/>
      <c r="F1813" s="27"/>
      <c r="G1813" s="24" t="str">
        <f aca="false">IF(F1813="","",IF(F1813&lt;=5,"A",IF(F1813&lt;=8,"B",IF(F1813&lt;=10,"C","D"))))</f>
        <v/>
      </c>
      <c r="H1813" s="28"/>
      <c r="I1813" s="27"/>
      <c r="J1813" s="26"/>
      <c r="K1813" s="27"/>
      <c r="L1813" s="27"/>
      <c r="M1813" s="27"/>
      <c r="N1813" s="27"/>
      <c r="O1813" s="24" t="str">
        <f aca="false">IF(G1813="","",VLOOKUP(G1813,Setup!$A$14:$C$17,3,0))</f>
        <v/>
      </c>
      <c r="P1813" s="27"/>
      <c r="Q1813" s="29" t="str">
        <f aca="false">IF(OR(P1813="",M1813&lt;&gt;"Paid",O1813=""),"",P1813/O1813)</f>
        <v/>
      </c>
      <c r="R1813" s="30" t="str">
        <f aca="false">IF(Q1813="","",Q1813+N(H1813)*0.000000001)</f>
        <v/>
      </c>
      <c r="S1813" s="25" t="str">
        <f aca="false">IF(R1813="","",SUMPRODUCT((I$5:I$4004=I1813)*ISNUMBER(R$5:R$4004)*(R$5:R$4004&gt;R1813))+1)</f>
        <v/>
      </c>
      <c r="T1813" s="25" t="str">
        <f aca="false">IF(S1813="","",IF(S1813&lt;=Setup!$B$5,"🏆 WINNER",""))</f>
        <v/>
      </c>
      <c r="U1813" s="24" t="str">
        <f aca="false">IF(S1813="","",I1813&amp;"|"&amp;S1813)</f>
        <v/>
      </c>
    </row>
    <row r="1814" customFormat="false" ht="15" hidden="false" customHeight="false" outlineLevel="0" collapsed="false">
      <c r="A1814" s="31" t="n">
        <v>1810</v>
      </c>
      <c r="B1814" s="32" t="str">
        <f aca="false">IF(OR(C1814="",I1814="",G1814=""),"",IFERROR(VLOOKUP(I1814,Setup!$A$9:$B$11,2,0),"???")&amp;"-"&amp;G1814&amp;"-"&amp;TEXT(COUNTIFS(I$5:I1814,I1814,G$5:G1814,G1814),"0000"))</f>
        <v/>
      </c>
      <c r="C1814" s="26"/>
      <c r="D1814" s="26"/>
      <c r="E1814" s="27"/>
      <c r="F1814" s="27"/>
      <c r="G1814" s="31" t="str">
        <f aca="false">IF(F1814="","",IF(F1814&lt;=5,"A",IF(F1814&lt;=8,"B",IF(F1814&lt;=10,"C","D"))))</f>
        <v/>
      </c>
      <c r="H1814" s="28"/>
      <c r="I1814" s="27"/>
      <c r="J1814" s="26"/>
      <c r="K1814" s="27"/>
      <c r="L1814" s="27"/>
      <c r="M1814" s="27"/>
      <c r="N1814" s="27"/>
      <c r="O1814" s="31" t="str">
        <f aca="false">IF(G1814="","",VLOOKUP(G1814,Setup!$A$14:$C$17,3,0))</f>
        <v/>
      </c>
      <c r="P1814" s="27"/>
      <c r="Q1814" s="33" t="str">
        <f aca="false">IF(OR(P1814="",M1814&lt;&gt;"Paid",O1814=""),"",P1814/O1814)</f>
        <v/>
      </c>
      <c r="R1814" s="34" t="str">
        <f aca="false">IF(Q1814="","",Q1814+N(H1814)*0.000000001)</f>
        <v/>
      </c>
      <c r="S1814" s="32" t="str">
        <f aca="false">IF(R1814="","",SUMPRODUCT((I$5:I$4004=I1814)*ISNUMBER(R$5:R$4004)*(R$5:R$4004&gt;R1814))+1)</f>
        <v/>
      </c>
      <c r="T1814" s="32" t="str">
        <f aca="false">IF(S1814="","",IF(S1814&lt;=Setup!$B$5,"🏆 WINNER",""))</f>
        <v/>
      </c>
      <c r="U1814" s="31" t="str">
        <f aca="false">IF(S1814="","",I1814&amp;"|"&amp;S1814)</f>
        <v/>
      </c>
    </row>
    <row r="1815" customFormat="false" ht="15" hidden="false" customHeight="false" outlineLevel="0" collapsed="false">
      <c r="A1815" s="24" t="n">
        <v>1811</v>
      </c>
      <c r="B1815" s="25" t="str">
        <f aca="false">IF(OR(C1815="",I1815="",G1815=""),"",IFERROR(VLOOKUP(I1815,Setup!$A$9:$B$11,2,0),"???")&amp;"-"&amp;G1815&amp;"-"&amp;TEXT(COUNTIFS(I$5:I1815,I1815,G$5:G1815,G1815),"0000"))</f>
        <v/>
      </c>
      <c r="C1815" s="26"/>
      <c r="D1815" s="26"/>
      <c r="E1815" s="27"/>
      <c r="F1815" s="27"/>
      <c r="G1815" s="24" t="str">
        <f aca="false">IF(F1815="","",IF(F1815&lt;=5,"A",IF(F1815&lt;=8,"B",IF(F1815&lt;=10,"C","D"))))</f>
        <v/>
      </c>
      <c r="H1815" s="28"/>
      <c r="I1815" s="27"/>
      <c r="J1815" s="26"/>
      <c r="K1815" s="27"/>
      <c r="L1815" s="27"/>
      <c r="M1815" s="27"/>
      <c r="N1815" s="27"/>
      <c r="O1815" s="24" t="str">
        <f aca="false">IF(G1815="","",VLOOKUP(G1815,Setup!$A$14:$C$17,3,0))</f>
        <v/>
      </c>
      <c r="P1815" s="27"/>
      <c r="Q1815" s="29" t="str">
        <f aca="false">IF(OR(P1815="",M1815&lt;&gt;"Paid",O1815=""),"",P1815/O1815)</f>
        <v/>
      </c>
      <c r="R1815" s="30" t="str">
        <f aca="false">IF(Q1815="","",Q1815+N(H1815)*0.000000001)</f>
        <v/>
      </c>
      <c r="S1815" s="25" t="str">
        <f aca="false">IF(R1815="","",SUMPRODUCT((I$5:I$4004=I1815)*ISNUMBER(R$5:R$4004)*(R$5:R$4004&gt;R1815))+1)</f>
        <v/>
      </c>
      <c r="T1815" s="25" t="str">
        <f aca="false">IF(S1815="","",IF(S1815&lt;=Setup!$B$5,"🏆 WINNER",""))</f>
        <v/>
      </c>
      <c r="U1815" s="24" t="str">
        <f aca="false">IF(S1815="","",I1815&amp;"|"&amp;S1815)</f>
        <v/>
      </c>
    </row>
    <row r="1816" customFormat="false" ht="15" hidden="false" customHeight="false" outlineLevel="0" collapsed="false">
      <c r="A1816" s="31" t="n">
        <v>1812</v>
      </c>
      <c r="B1816" s="32" t="str">
        <f aca="false">IF(OR(C1816="",I1816="",G1816=""),"",IFERROR(VLOOKUP(I1816,Setup!$A$9:$B$11,2,0),"???")&amp;"-"&amp;G1816&amp;"-"&amp;TEXT(COUNTIFS(I$5:I1816,I1816,G$5:G1816,G1816),"0000"))</f>
        <v/>
      </c>
      <c r="C1816" s="26"/>
      <c r="D1816" s="26"/>
      <c r="E1816" s="27"/>
      <c r="F1816" s="27"/>
      <c r="G1816" s="31" t="str">
        <f aca="false">IF(F1816="","",IF(F1816&lt;=5,"A",IF(F1816&lt;=8,"B",IF(F1816&lt;=10,"C","D"))))</f>
        <v/>
      </c>
      <c r="H1816" s="28"/>
      <c r="I1816" s="27"/>
      <c r="J1816" s="26"/>
      <c r="K1816" s="27"/>
      <c r="L1816" s="27"/>
      <c r="M1816" s="27"/>
      <c r="N1816" s="27"/>
      <c r="O1816" s="31" t="str">
        <f aca="false">IF(G1816="","",VLOOKUP(G1816,Setup!$A$14:$C$17,3,0))</f>
        <v/>
      </c>
      <c r="P1816" s="27"/>
      <c r="Q1816" s="33" t="str">
        <f aca="false">IF(OR(P1816="",M1816&lt;&gt;"Paid",O1816=""),"",P1816/O1816)</f>
        <v/>
      </c>
      <c r="R1816" s="34" t="str">
        <f aca="false">IF(Q1816="","",Q1816+N(H1816)*0.000000001)</f>
        <v/>
      </c>
      <c r="S1816" s="32" t="str">
        <f aca="false">IF(R1816="","",SUMPRODUCT((I$5:I$4004=I1816)*ISNUMBER(R$5:R$4004)*(R$5:R$4004&gt;R1816))+1)</f>
        <v/>
      </c>
      <c r="T1816" s="32" t="str">
        <f aca="false">IF(S1816="","",IF(S1816&lt;=Setup!$B$5,"🏆 WINNER",""))</f>
        <v/>
      </c>
      <c r="U1816" s="31" t="str">
        <f aca="false">IF(S1816="","",I1816&amp;"|"&amp;S1816)</f>
        <v/>
      </c>
    </row>
    <row r="1817" customFormat="false" ht="15" hidden="false" customHeight="false" outlineLevel="0" collapsed="false">
      <c r="A1817" s="24" t="n">
        <v>1813</v>
      </c>
      <c r="B1817" s="25" t="str">
        <f aca="false">IF(OR(C1817="",I1817="",G1817=""),"",IFERROR(VLOOKUP(I1817,Setup!$A$9:$B$11,2,0),"???")&amp;"-"&amp;G1817&amp;"-"&amp;TEXT(COUNTIFS(I$5:I1817,I1817,G$5:G1817,G1817),"0000"))</f>
        <v/>
      </c>
      <c r="C1817" s="26"/>
      <c r="D1817" s="26"/>
      <c r="E1817" s="27"/>
      <c r="F1817" s="27"/>
      <c r="G1817" s="24" t="str">
        <f aca="false">IF(F1817="","",IF(F1817&lt;=5,"A",IF(F1817&lt;=8,"B",IF(F1817&lt;=10,"C","D"))))</f>
        <v/>
      </c>
      <c r="H1817" s="28"/>
      <c r="I1817" s="27"/>
      <c r="J1817" s="26"/>
      <c r="K1817" s="27"/>
      <c r="L1817" s="27"/>
      <c r="M1817" s="27"/>
      <c r="N1817" s="27"/>
      <c r="O1817" s="24" t="str">
        <f aca="false">IF(G1817="","",VLOOKUP(G1817,Setup!$A$14:$C$17,3,0))</f>
        <v/>
      </c>
      <c r="P1817" s="27"/>
      <c r="Q1817" s="29" t="str">
        <f aca="false">IF(OR(P1817="",M1817&lt;&gt;"Paid",O1817=""),"",P1817/O1817)</f>
        <v/>
      </c>
      <c r="R1817" s="30" t="str">
        <f aca="false">IF(Q1817="","",Q1817+N(H1817)*0.000000001)</f>
        <v/>
      </c>
      <c r="S1817" s="25" t="str">
        <f aca="false">IF(R1817="","",SUMPRODUCT((I$5:I$4004=I1817)*ISNUMBER(R$5:R$4004)*(R$5:R$4004&gt;R1817))+1)</f>
        <v/>
      </c>
      <c r="T1817" s="25" t="str">
        <f aca="false">IF(S1817="","",IF(S1817&lt;=Setup!$B$5,"🏆 WINNER",""))</f>
        <v/>
      </c>
      <c r="U1817" s="24" t="str">
        <f aca="false">IF(S1817="","",I1817&amp;"|"&amp;S1817)</f>
        <v/>
      </c>
    </row>
    <row r="1818" customFormat="false" ht="15" hidden="false" customHeight="false" outlineLevel="0" collapsed="false">
      <c r="A1818" s="31" t="n">
        <v>1814</v>
      </c>
      <c r="B1818" s="32" t="str">
        <f aca="false">IF(OR(C1818="",I1818="",G1818=""),"",IFERROR(VLOOKUP(I1818,Setup!$A$9:$B$11,2,0),"???")&amp;"-"&amp;G1818&amp;"-"&amp;TEXT(COUNTIFS(I$5:I1818,I1818,G$5:G1818,G1818),"0000"))</f>
        <v/>
      </c>
      <c r="C1818" s="26"/>
      <c r="D1818" s="26"/>
      <c r="E1818" s="27"/>
      <c r="F1818" s="27"/>
      <c r="G1818" s="31" t="str">
        <f aca="false">IF(F1818="","",IF(F1818&lt;=5,"A",IF(F1818&lt;=8,"B",IF(F1818&lt;=10,"C","D"))))</f>
        <v/>
      </c>
      <c r="H1818" s="28"/>
      <c r="I1818" s="27"/>
      <c r="J1818" s="26"/>
      <c r="K1818" s="27"/>
      <c r="L1818" s="27"/>
      <c r="M1818" s="27"/>
      <c r="N1818" s="27"/>
      <c r="O1818" s="31" t="str">
        <f aca="false">IF(G1818="","",VLOOKUP(G1818,Setup!$A$14:$C$17,3,0))</f>
        <v/>
      </c>
      <c r="P1818" s="27"/>
      <c r="Q1818" s="33" t="str">
        <f aca="false">IF(OR(P1818="",M1818&lt;&gt;"Paid",O1818=""),"",P1818/O1818)</f>
        <v/>
      </c>
      <c r="R1818" s="34" t="str">
        <f aca="false">IF(Q1818="","",Q1818+N(H1818)*0.000000001)</f>
        <v/>
      </c>
      <c r="S1818" s="32" t="str">
        <f aca="false">IF(R1818="","",SUMPRODUCT((I$5:I$4004=I1818)*ISNUMBER(R$5:R$4004)*(R$5:R$4004&gt;R1818))+1)</f>
        <v/>
      </c>
      <c r="T1818" s="32" t="str">
        <f aca="false">IF(S1818="","",IF(S1818&lt;=Setup!$B$5,"🏆 WINNER",""))</f>
        <v/>
      </c>
      <c r="U1818" s="31" t="str">
        <f aca="false">IF(S1818="","",I1818&amp;"|"&amp;S1818)</f>
        <v/>
      </c>
    </row>
    <row r="1819" customFormat="false" ht="15" hidden="false" customHeight="false" outlineLevel="0" collapsed="false">
      <c r="A1819" s="24" t="n">
        <v>1815</v>
      </c>
      <c r="B1819" s="25" t="str">
        <f aca="false">IF(OR(C1819="",I1819="",G1819=""),"",IFERROR(VLOOKUP(I1819,Setup!$A$9:$B$11,2,0),"???")&amp;"-"&amp;G1819&amp;"-"&amp;TEXT(COUNTIFS(I$5:I1819,I1819,G$5:G1819,G1819),"0000"))</f>
        <v/>
      </c>
      <c r="C1819" s="26"/>
      <c r="D1819" s="26"/>
      <c r="E1819" s="27"/>
      <c r="F1819" s="27"/>
      <c r="G1819" s="24" t="str">
        <f aca="false">IF(F1819="","",IF(F1819&lt;=5,"A",IF(F1819&lt;=8,"B",IF(F1819&lt;=10,"C","D"))))</f>
        <v/>
      </c>
      <c r="H1819" s="28"/>
      <c r="I1819" s="27"/>
      <c r="J1819" s="26"/>
      <c r="K1819" s="27"/>
      <c r="L1819" s="27"/>
      <c r="M1819" s="27"/>
      <c r="N1819" s="27"/>
      <c r="O1819" s="24" t="str">
        <f aca="false">IF(G1819="","",VLOOKUP(G1819,Setup!$A$14:$C$17,3,0))</f>
        <v/>
      </c>
      <c r="P1819" s="27"/>
      <c r="Q1819" s="29" t="str">
        <f aca="false">IF(OR(P1819="",M1819&lt;&gt;"Paid",O1819=""),"",P1819/O1819)</f>
        <v/>
      </c>
      <c r="R1819" s="30" t="str">
        <f aca="false">IF(Q1819="","",Q1819+N(H1819)*0.000000001)</f>
        <v/>
      </c>
      <c r="S1819" s="25" t="str">
        <f aca="false">IF(R1819="","",SUMPRODUCT((I$5:I$4004=I1819)*ISNUMBER(R$5:R$4004)*(R$5:R$4004&gt;R1819))+1)</f>
        <v/>
      </c>
      <c r="T1819" s="25" t="str">
        <f aca="false">IF(S1819="","",IF(S1819&lt;=Setup!$B$5,"🏆 WINNER",""))</f>
        <v/>
      </c>
      <c r="U1819" s="24" t="str">
        <f aca="false">IF(S1819="","",I1819&amp;"|"&amp;S1819)</f>
        <v/>
      </c>
    </row>
    <row r="1820" customFormat="false" ht="15" hidden="false" customHeight="false" outlineLevel="0" collapsed="false">
      <c r="A1820" s="31" t="n">
        <v>1816</v>
      </c>
      <c r="B1820" s="32" t="str">
        <f aca="false">IF(OR(C1820="",I1820="",G1820=""),"",IFERROR(VLOOKUP(I1820,Setup!$A$9:$B$11,2,0),"???")&amp;"-"&amp;G1820&amp;"-"&amp;TEXT(COUNTIFS(I$5:I1820,I1820,G$5:G1820,G1820),"0000"))</f>
        <v/>
      </c>
      <c r="C1820" s="26"/>
      <c r="D1820" s="26"/>
      <c r="E1820" s="27"/>
      <c r="F1820" s="27"/>
      <c r="G1820" s="31" t="str">
        <f aca="false">IF(F1820="","",IF(F1820&lt;=5,"A",IF(F1820&lt;=8,"B",IF(F1820&lt;=10,"C","D"))))</f>
        <v/>
      </c>
      <c r="H1820" s="28"/>
      <c r="I1820" s="27"/>
      <c r="J1820" s="26"/>
      <c r="K1820" s="27"/>
      <c r="L1820" s="27"/>
      <c r="M1820" s="27"/>
      <c r="N1820" s="27"/>
      <c r="O1820" s="31" t="str">
        <f aca="false">IF(G1820="","",VLOOKUP(G1820,Setup!$A$14:$C$17,3,0))</f>
        <v/>
      </c>
      <c r="P1820" s="27"/>
      <c r="Q1820" s="33" t="str">
        <f aca="false">IF(OR(P1820="",M1820&lt;&gt;"Paid",O1820=""),"",P1820/O1820)</f>
        <v/>
      </c>
      <c r="R1820" s="34" t="str">
        <f aca="false">IF(Q1820="","",Q1820+N(H1820)*0.000000001)</f>
        <v/>
      </c>
      <c r="S1820" s="32" t="str">
        <f aca="false">IF(R1820="","",SUMPRODUCT((I$5:I$4004=I1820)*ISNUMBER(R$5:R$4004)*(R$5:R$4004&gt;R1820))+1)</f>
        <v/>
      </c>
      <c r="T1820" s="32" t="str">
        <f aca="false">IF(S1820="","",IF(S1820&lt;=Setup!$B$5,"🏆 WINNER",""))</f>
        <v/>
      </c>
      <c r="U1820" s="31" t="str">
        <f aca="false">IF(S1820="","",I1820&amp;"|"&amp;S1820)</f>
        <v/>
      </c>
    </row>
    <row r="1821" customFormat="false" ht="15" hidden="false" customHeight="false" outlineLevel="0" collapsed="false">
      <c r="A1821" s="24" t="n">
        <v>1817</v>
      </c>
      <c r="B1821" s="25" t="str">
        <f aca="false">IF(OR(C1821="",I1821="",G1821=""),"",IFERROR(VLOOKUP(I1821,Setup!$A$9:$B$11,2,0),"???")&amp;"-"&amp;G1821&amp;"-"&amp;TEXT(COUNTIFS(I$5:I1821,I1821,G$5:G1821,G1821),"0000"))</f>
        <v/>
      </c>
      <c r="C1821" s="26"/>
      <c r="D1821" s="26"/>
      <c r="E1821" s="27"/>
      <c r="F1821" s="27"/>
      <c r="G1821" s="24" t="str">
        <f aca="false">IF(F1821="","",IF(F1821&lt;=5,"A",IF(F1821&lt;=8,"B",IF(F1821&lt;=10,"C","D"))))</f>
        <v/>
      </c>
      <c r="H1821" s="28"/>
      <c r="I1821" s="27"/>
      <c r="J1821" s="26"/>
      <c r="K1821" s="27"/>
      <c r="L1821" s="27"/>
      <c r="M1821" s="27"/>
      <c r="N1821" s="27"/>
      <c r="O1821" s="24" t="str">
        <f aca="false">IF(G1821="","",VLOOKUP(G1821,Setup!$A$14:$C$17,3,0))</f>
        <v/>
      </c>
      <c r="P1821" s="27"/>
      <c r="Q1821" s="29" t="str">
        <f aca="false">IF(OR(P1821="",M1821&lt;&gt;"Paid",O1821=""),"",P1821/O1821)</f>
        <v/>
      </c>
      <c r="R1821" s="30" t="str">
        <f aca="false">IF(Q1821="","",Q1821+N(H1821)*0.000000001)</f>
        <v/>
      </c>
      <c r="S1821" s="25" t="str">
        <f aca="false">IF(R1821="","",SUMPRODUCT((I$5:I$4004=I1821)*ISNUMBER(R$5:R$4004)*(R$5:R$4004&gt;R1821))+1)</f>
        <v/>
      </c>
      <c r="T1821" s="25" t="str">
        <f aca="false">IF(S1821="","",IF(S1821&lt;=Setup!$B$5,"🏆 WINNER",""))</f>
        <v/>
      </c>
      <c r="U1821" s="24" t="str">
        <f aca="false">IF(S1821="","",I1821&amp;"|"&amp;S1821)</f>
        <v/>
      </c>
    </row>
    <row r="1822" customFormat="false" ht="15" hidden="false" customHeight="false" outlineLevel="0" collapsed="false">
      <c r="A1822" s="31" t="n">
        <v>1818</v>
      </c>
      <c r="B1822" s="32" t="str">
        <f aca="false">IF(OR(C1822="",I1822="",G1822=""),"",IFERROR(VLOOKUP(I1822,Setup!$A$9:$B$11,2,0),"???")&amp;"-"&amp;G1822&amp;"-"&amp;TEXT(COUNTIFS(I$5:I1822,I1822,G$5:G1822,G1822),"0000"))</f>
        <v/>
      </c>
      <c r="C1822" s="26"/>
      <c r="D1822" s="26"/>
      <c r="E1822" s="27"/>
      <c r="F1822" s="27"/>
      <c r="G1822" s="31" t="str">
        <f aca="false">IF(F1822="","",IF(F1822&lt;=5,"A",IF(F1822&lt;=8,"B",IF(F1822&lt;=10,"C","D"))))</f>
        <v/>
      </c>
      <c r="H1822" s="28"/>
      <c r="I1822" s="27"/>
      <c r="J1822" s="26"/>
      <c r="K1822" s="27"/>
      <c r="L1822" s="27"/>
      <c r="M1822" s="27"/>
      <c r="N1822" s="27"/>
      <c r="O1822" s="31" t="str">
        <f aca="false">IF(G1822="","",VLOOKUP(G1822,Setup!$A$14:$C$17,3,0))</f>
        <v/>
      </c>
      <c r="P1822" s="27"/>
      <c r="Q1822" s="33" t="str">
        <f aca="false">IF(OR(P1822="",M1822&lt;&gt;"Paid",O1822=""),"",P1822/O1822)</f>
        <v/>
      </c>
      <c r="R1822" s="34" t="str">
        <f aca="false">IF(Q1822="","",Q1822+N(H1822)*0.000000001)</f>
        <v/>
      </c>
      <c r="S1822" s="32" t="str">
        <f aca="false">IF(R1822="","",SUMPRODUCT((I$5:I$4004=I1822)*ISNUMBER(R$5:R$4004)*(R$5:R$4004&gt;R1822))+1)</f>
        <v/>
      </c>
      <c r="T1822" s="32" t="str">
        <f aca="false">IF(S1822="","",IF(S1822&lt;=Setup!$B$5,"🏆 WINNER",""))</f>
        <v/>
      </c>
      <c r="U1822" s="31" t="str">
        <f aca="false">IF(S1822="","",I1822&amp;"|"&amp;S1822)</f>
        <v/>
      </c>
    </row>
    <row r="1823" customFormat="false" ht="15" hidden="false" customHeight="false" outlineLevel="0" collapsed="false">
      <c r="A1823" s="24" t="n">
        <v>1819</v>
      </c>
      <c r="B1823" s="25" t="str">
        <f aca="false">IF(OR(C1823="",I1823="",G1823=""),"",IFERROR(VLOOKUP(I1823,Setup!$A$9:$B$11,2,0),"???")&amp;"-"&amp;G1823&amp;"-"&amp;TEXT(COUNTIFS(I$5:I1823,I1823,G$5:G1823,G1823),"0000"))</f>
        <v/>
      </c>
      <c r="C1823" s="26"/>
      <c r="D1823" s="26"/>
      <c r="E1823" s="27"/>
      <c r="F1823" s="27"/>
      <c r="G1823" s="24" t="str">
        <f aca="false">IF(F1823="","",IF(F1823&lt;=5,"A",IF(F1823&lt;=8,"B",IF(F1823&lt;=10,"C","D"))))</f>
        <v/>
      </c>
      <c r="H1823" s="28"/>
      <c r="I1823" s="27"/>
      <c r="J1823" s="26"/>
      <c r="K1823" s="27"/>
      <c r="L1823" s="27"/>
      <c r="M1823" s="27"/>
      <c r="N1823" s="27"/>
      <c r="O1823" s="24" t="str">
        <f aca="false">IF(G1823="","",VLOOKUP(G1823,Setup!$A$14:$C$17,3,0))</f>
        <v/>
      </c>
      <c r="P1823" s="27"/>
      <c r="Q1823" s="29" t="str">
        <f aca="false">IF(OR(P1823="",M1823&lt;&gt;"Paid",O1823=""),"",P1823/O1823)</f>
        <v/>
      </c>
      <c r="R1823" s="30" t="str">
        <f aca="false">IF(Q1823="","",Q1823+N(H1823)*0.000000001)</f>
        <v/>
      </c>
      <c r="S1823" s="25" t="str">
        <f aca="false">IF(R1823="","",SUMPRODUCT((I$5:I$4004=I1823)*ISNUMBER(R$5:R$4004)*(R$5:R$4004&gt;R1823))+1)</f>
        <v/>
      </c>
      <c r="T1823" s="25" t="str">
        <f aca="false">IF(S1823="","",IF(S1823&lt;=Setup!$B$5,"🏆 WINNER",""))</f>
        <v/>
      </c>
      <c r="U1823" s="24" t="str">
        <f aca="false">IF(S1823="","",I1823&amp;"|"&amp;S1823)</f>
        <v/>
      </c>
    </row>
    <row r="1824" customFormat="false" ht="15" hidden="false" customHeight="false" outlineLevel="0" collapsed="false">
      <c r="A1824" s="31" t="n">
        <v>1820</v>
      </c>
      <c r="B1824" s="32" t="str">
        <f aca="false">IF(OR(C1824="",I1824="",G1824=""),"",IFERROR(VLOOKUP(I1824,Setup!$A$9:$B$11,2,0),"???")&amp;"-"&amp;G1824&amp;"-"&amp;TEXT(COUNTIFS(I$5:I1824,I1824,G$5:G1824,G1824),"0000"))</f>
        <v/>
      </c>
      <c r="C1824" s="26"/>
      <c r="D1824" s="26"/>
      <c r="E1824" s="27"/>
      <c r="F1824" s="27"/>
      <c r="G1824" s="31" t="str">
        <f aca="false">IF(F1824="","",IF(F1824&lt;=5,"A",IF(F1824&lt;=8,"B",IF(F1824&lt;=10,"C","D"))))</f>
        <v/>
      </c>
      <c r="H1824" s="28"/>
      <c r="I1824" s="27"/>
      <c r="J1824" s="26"/>
      <c r="K1824" s="27"/>
      <c r="L1824" s="27"/>
      <c r="M1824" s="27"/>
      <c r="N1824" s="27"/>
      <c r="O1824" s="31" t="str">
        <f aca="false">IF(G1824="","",VLOOKUP(G1824,Setup!$A$14:$C$17,3,0))</f>
        <v/>
      </c>
      <c r="P1824" s="27"/>
      <c r="Q1824" s="33" t="str">
        <f aca="false">IF(OR(P1824="",M1824&lt;&gt;"Paid",O1824=""),"",P1824/O1824)</f>
        <v/>
      </c>
      <c r="R1824" s="34" t="str">
        <f aca="false">IF(Q1824="","",Q1824+N(H1824)*0.000000001)</f>
        <v/>
      </c>
      <c r="S1824" s="32" t="str">
        <f aca="false">IF(R1824="","",SUMPRODUCT((I$5:I$4004=I1824)*ISNUMBER(R$5:R$4004)*(R$5:R$4004&gt;R1824))+1)</f>
        <v/>
      </c>
      <c r="T1824" s="32" t="str">
        <f aca="false">IF(S1824="","",IF(S1824&lt;=Setup!$B$5,"🏆 WINNER",""))</f>
        <v/>
      </c>
      <c r="U1824" s="31" t="str">
        <f aca="false">IF(S1824="","",I1824&amp;"|"&amp;S1824)</f>
        <v/>
      </c>
    </row>
    <row r="1825" customFormat="false" ht="15" hidden="false" customHeight="false" outlineLevel="0" collapsed="false">
      <c r="A1825" s="24" t="n">
        <v>1821</v>
      </c>
      <c r="B1825" s="25" t="str">
        <f aca="false">IF(OR(C1825="",I1825="",G1825=""),"",IFERROR(VLOOKUP(I1825,Setup!$A$9:$B$11,2,0),"???")&amp;"-"&amp;G1825&amp;"-"&amp;TEXT(COUNTIFS(I$5:I1825,I1825,G$5:G1825,G1825),"0000"))</f>
        <v/>
      </c>
      <c r="C1825" s="26"/>
      <c r="D1825" s="26"/>
      <c r="E1825" s="27"/>
      <c r="F1825" s="27"/>
      <c r="G1825" s="24" t="str">
        <f aca="false">IF(F1825="","",IF(F1825&lt;=5,"A",IF(F1825&lt;=8,"B",IF(F1825&lt;=10,"C","D"))))</f>
        <v/>
      </c>
      <c r="H1825" s="28"/>
      <c r="I1825" s="27"/>
      <c r="J1825" s="26"/>
      <c r="K1825" s="27"/>
      <c r="L1825" s="27"/>
      <c r="M1825" s="27"/>
      <c r="N1825" s="27"/>
      <c r="O1825" s="24" t="str">
        <f aca="false">IF(G1825="","",VLOOKUP(G1825,Setup!$A$14:$C$17,3,0))</f>
        <v/>
      </c>
      <c r="P1825" s="27"/>
      <c r="Q1825" s="29" t="str">
        <f aca="false">IF(OR(P1825="",M1825&lt;&gt;"Paid",O1825=""),"",P1825/O1825)</f>
        <v/>
      </c>
      <c r="R1825" s="30" t="str">
        <f aca="false">IF(Q1825="","",Q1825+N(H1825)*0.000000001)</f>
        <v/>
      </c>
      <c r="S1825" s="25" t="str">
        <f aca="false">IF(R1825="","",SUMPRODUCT((I$5:I$4004=I1825)*ISNUMBER(R$5:R$4004)*(R$5:R$4004&gt;R1825))+1)</f>
        <v/>
      </c>
      <c r="T1825" s="25" t="str">
        <f aca="false">IF(S1825="","",IF(S1825&lt;=Setup!$B$5,"🏆 WINNER",""))</f>
        <v/>
      </c>
      <c r="U1825" s="24" t="str">
        <f aca="false">IF(S1825="","",I1825&amp;"|"&amp;S1825)</f>
        <v/>
      </c>
    </row>
    <row r="1826" customFormat="false" ht="15" hidden="false" customHeight="false" outlineLevel="0" collapsed="false">
      <c r="A1826" s="31" t="n">
        <v>1822</v>
      </c>
      <c r="B1826" s="32" t="str">
        <f aca="false">IF(OR(C1826="",I1826="",G1826=""),"",IFERROR(VLOOKUP(I1826,Setup!$A$9:$B$11,2,0),"???")&amp;"-"&amp;G1826&amp;"-"&amp;TEXT(COUNTIFS(I$5:I1826,I1826,G$5:G1826,G1826),"0000"))</f>
        <v/>
      </c>
      <c r="C1826" s="26"/>
      <c r="D1826" s="26"/>
      <c r="E1826" s="27"/>
      <c r="F1826" s="27"/>
      <c r="G1826" s="31" t="str">
        <f aca="false">IF(F1826="","",IF(F1826&lt;=5,"A",IF(F1826&lt;=8,"B",IF(F1826&lt;=10,"C","D"))))</f>
        <v/>
      </c>
      <c r="H1826" s="28"/>
      <c r="I1826" s="27"/>
      <c r="J1826" s="26"/>
      <c r="K1826" s="27"/>
      <c r="L1826" s="27"/>
      <c r="M1826" s="27"/>
      <c r="N1826" s="27"/>
      <c r="O1826" s="31" t="str">
        <f aca="false">IF(G1826="","",VLOOKUP(G1826,Setup!$A$14:$C$17,3,0))</f>
        <v/>
      </c>
      <c r="P1826" s="27"/>
      <c r="Q1826" s="33" t="str">
        <f aca="false">IF(OR(P1826="",M1826&lt;&gt;"Paid",O1826=""),"",P1826/O1826)</f>
        <v/>
      </c>
      <c r="R1826" s="34" t="str">
        <f aca="false">IF(Q1826="","",Q1826+N(H1826)*0.000000001)</f>
        <v/>
      </c>
      <c r="S1826" s="32" t="str">
        <f aca="false">IF(R1826="","",SUMPRODUCT((I$5:I$4004=I1826)*ISNUMBER(R$5:R$4004)*(R$5:R$4004&gt;R1826))+1)</f>
        <v/>
      </c>
      <c r="T1826" s="32" t="str">
        <f aca="false">IF(S1826="","",IF(S1826&lt;=Setup!$B$5,"🏆 WINNER",""))</f>
        <v/>
      </c>
      <c r="U1826" s="31" t="str">
        <f aca="false">IF(S1826="","",I1826&amp;"|"&amp;S1826)</f>
        <v/>
      </c>
    </row>
    <row r="1827" customFormat="false" ht="15" hidden="false" customHeight="false" outlineLevel="0" collapsed="false">
      <c r="A1827" s="24" t="n">
        <v>1823</v>
      </c>
      <c r="B1827" s="25" t="str">
        <f aca="false">IF(OR(C1827="",I1827="",G1827=""),"",IFERROR(VLOOKUP(I1827,Setup!$A$9:$B$11,2,0),"???")&amp;"-"&amp;G1827&amp;"-"&amp;TEXT(COUNTIFS(I$5:I1827,I1827,G$5:G1827,G1827),"0000"))</f>
        <v/>
      </c>
      <c r="C1827" s="26"/>
      <c r="D1827" s="26"/>
      <c r="E1827" s="27"/>
      <c r="F1827" s="27"/>
      <c r="G1827" s="24" t="str">
        <f aca="false">IF(F1827="","",IF(F1827&lt;=5,"A",IF(F1827&lt;=8,"B",IF(F1827&lt;=10,"C","D"))))</f>
        <v/>
      </c>
      <c r="H1827" s="28"/>
      <c r="I1827" s="27"/>
      <c r="J1827" s="26"/>
      <c r="K1827" s="27"/>
      <c r="L1827" s="27"/>
      <c r="M1827" s="27"/>
      <c r="N1827" s="27"/>
      <c r="O1827" s="24" t="str">
        <f aca="false">IF(G1827="","",VLOOKUP(G1827,Setup!$A$14:$C$17,3,0))</f>
        <v/>
      </c>
      <c r="P1827" s="27"/>
      <c r="Q1827" s="29" t="str">
        <f aca="false">IF(OR(P1827="",M1827&lt;&gt;"Paid",O1827=""),"",P1827/O1827)</f>
        <v/>
      </c>
      <c r="R1827" s="30" t="str">
        <f aca="false">IF(Q1827="","",Q1827+N(H1827)*0.000000001)</f>
        <v/>
      </c>
      <c r="S1827" s="25" t="str">
        <f aca="false">IF(R1827="","",SUMPRODUCT((I$5:I$4004=I1827)*ISNUMBER(R$5:R$4004)*(R$5:R$4004&gt;R1827))+1)</f>
        <v/>
      </c>
      <c r="T1827" s="25" t="str">
        <f aca="false">IF(S1827="","",IF(S1827&lt;=Setup!$B$5,"🏆 WINNER",""))</f>
        <v/>
      </c>
      <c r="U1827" s="24" t="str">
        <f aca="false">IF(S1827="","",I1827&amp;"|"&amp;S1827)</f>
        <v/>
      </c>
    </row>
    <row r="1828" customFormat="false" ht="15" hidden="false" customHeight="false" outlineLevel="0" collapsed="false">
      <c r="A1828" s="31" t="n">
        <v>1824</v>
      </c>
      <c r="B1828" s="32" t="str">
        <f aca="false">IF(OR(C1828="",I1828="",G1828=""),"",IFERROR(VLOOKUP(I1828,Setup!$A$9:$B$11,2,0),"???")&amp;"-"&amp;G1828&amp;"-"&amp;TEXT(COUNTIFS(I$5:I1828,I1828,G$5:G1828,G1828),"0000"))</f>
        <v/>
      </c>
      <c r="C1828" s="26"/>
      <c r="D1828" s="26"/>
      <c r="E1828" s="27"/>
      <c r="F1828" s="27"/>
      <c r="G1828" s="31" t="str">
        <f aca="false">IF(F1828="","",IF(F1828&lt;=5,"A",IF(F1828&lt;=8,"B",IF(F1828&lt;=10,"C","D"))))</f>
        <v/>
      </c>
      <c r="H1828" s="28"/>
      <c r="I1828" s="27"/>
      <c r="J1828" s="26"/>
      <c r="K1828" s="27"/>
      <c r="L1828" s="27"/>
      <c r="M1828" s="27"/>
      <c r="N1828" s="27"/>
      <c r="O1828" s="31" t="str">
        <f aca="false">IF(G1828="","",VLOOKUP(G1828,Setup!$A$14:$C$17,3,0))</f>
        <v/>
      </c>
      <c r="P1828" s="27"/>
      <c r="Q1828" s="33" t="str">
        <f aca="false">IF(OR(P1828="",M1828&lt;&gt;"Paid",O1828=""),"",P1828/O1828)</f>
        <v/>
      </c>
      <c r="R1828" s="34" t="str">
        <f aca="false">IF(Q1828="","",Q1828+N(H1828)*0.000000001)</f>
        <v/>
      </c>
      <c r="S1828" s="32" t="str">
        <f aca="false">IF(R1828="","",SUMPRODUCT((I$5:I$4004=I1828)*ISNUMBER(R$5:R$4004)*(R$5:R$4004&gt;R1828))+1)</f>
        <v/>
      </c>
      <c r="T1828" s="32" t="str">
        <f aca="false">IF(S1828="","",IF(S1828&lt;=Setup!$B$5,"🏆 WINNER",""))</f>
        <v/>
      </c>
      <c r="U1828" s="31" t="str">
        <f aca="false">IF(S1828="","",I1828&amp;"|"&amp;S1828)</f>
        <v/>
      </c>
    </row>
    <row r="1829" customFormat="false" ht="15" hidden="false" customHeight="false" outlineLevel="0" collapsed="false">
      <c r="A1829" s="24" t="n">
        <v>1825</v>
      </c>
      <c r="B1829" s="25" t="str">
        <f aca="false">IF(OR(C1829="",I1829="",G1829=""),"",IFERROR(VLOOKUP(I1829,Setup!$A$9:$B$11,2,0),"???")&amp;"-"&amp;G1829&amp;"-"&amp;TEXT(COUNTIFS(I$5:I1829,I1829,G$5:G1829,G1829),"0000"))</f>
        <v/>
      </c>
      <c r="C1829" s="26"/>
      <c r="D1829" s="26"/>
      <c r="E1829" s="27"/>
      <c r="F1829" s="27"/>
      <c r="G1829" s="24" t="str">
        <f aca="false">IF(F1829="","",IF(F1829&lt;=5,"A",IF(F1829&lt;=8,"B",IF(F1829&lt;=10,"C","D"))))</f>
        <v/>
      </c>
      <c r="H1829" s="28"/>
      <c r="I1829" s="27"/>
      <c r="J1829" s="26"/>
      <c r="K1829" s="27"/>
      <c r="L1829" s="27"/>
      <c r="M1829" s="27"/>
      <c r="N1829" s="27"/>
      <c r="O1829" s="24" t="str">
        <f aca="false">IF(G1829="","",VLOOKUP(G1829,Setup!$A$14:$C$17,3,0))</f>
        <v/>
      </c>
      <c r="P1829" s="27"/>
      <c r="Q1829" s="29" t="str">
        <f aca="false">IF(OR(P1829="",M1829&lt;&gt;"Paid",O1829=""),"",P1829/O1829)</f>
        <v/>
      </c>
      <c r="R1829" s="30" t="str">
        <f aca="false">IF(Q1829="","",Q1829+N(H1829)*0.000000001)</f>
        <v/>
      </c>
      <c r="S1829" s="25" t="str">
        <f aca="false">IF(R1829="","",SUMPRODUCT((I$5:I$4004=I1829)*ISNUMBER(R$5:R$4004)*(R$5:R$4004&gt;R1829))+1)</f>
        <v/>
      </c>
      <c r="T1829" s="25" t="str">
        <f aca="false">IF(S1829="","",IF(S1829&lt;=Setup!$B$5,"🏆 WINNER",""))</f>
        <v/>
      </c>
      <c r="U1829" s="24" t="str">
        <f aca="false">IF(S1829="","",I1829&amp;"|"&amp;S1829)</f>
        <v/>
      </c>
    </row>
    <row r="1830" customFormat="false" ht="15" hidden="false" customHeight="false" outlineLevel="0" collapsed="false">
      <c r="A1830" s="31" t="n">
        <v>1826</v>
      </c>
      <c r="B1830" s="32" t="str">
        <f aca="false">IF(OR(C1830="",I1830="",G1830=""),"",IFERROR(VLOOKUP(I1830,Setup!$A$9:$B$11,2,0),"???")&amp;"-"&amp;G1830&amp;"-"&amp;TEXT(COUNTIFS(I$5:I1830,I1830,G$5:G1830,G1830),"0000"))</f>
        <v/>
      </c>
      <c r="C1830" s="26"/>
      <c r="D1830" s="26"/>
      <c r="E1830" s="27"/>
      <c r="F1830" s="27"/>
      <c r="G1830" s="31" t="str">
        <f aca="false">IF(F1830="","",IF(F1830&lt;=5,"A",IF(F1830&lt;=8,"B",IF(F1830&lt;=10,"C","D"))))</f>
        <v/>
      </c>
      <c r="H1830" s="28"/>
      <c r="I1830" s="27"/>
      <c r="J1830" s="26"/>
      <c r="K1830" s="27"/>
      <c r="L1830" s="27"/>
      <c r="M1830" s="27"/>
      <c r="N1830" s="27"/>
      <c r="O1830" s="31" t="str">
        <f aca="false">IF(G1830="","",VLOOKUP(G1830,Setup!$A$14:$C$17,3,0))</f>
        <v/>
      </c>
      <c r="P1830" s="27"/>
      <c r="Q1830" s="33" t="str">
        <f aca="false">IF(OR(P1830="",M1830&lt;&gt;"Paid",O1830=""),"",P1830/O1830)</f>
        <v/>
      </c>
      <c r="R1830" s="34" t="str">
        <f aca="false">IF(Q1830="","",Q1830+N(H1830)*0.000000001)</f>
        <v/>
      </c>
      <c r="S1830" s="32" t="str">
        <f aca="false">IF(R1830="","",SUMPRODUCT((I$5:I$4004=I1830)*ISNUMBER(R$5:R$4004)*(R$5:R$4004&gt;R1830))+1)</f>
        <v/>
      </c>
      <c r="T1830" s="32" t="str">
        <f aca="false">IF(S1830="","",IF(S1830&lt;=Setup!$B$5,"🏆 WINNER",""))</f>
        <v/>
      </c>
      <c r="U1830" s="31" t="str">
        <f aca="false">IF(S1830="","",I1830&amp;"|"&amp;S1830)</f>
        <v/>
      </c>
    </row>
    <row r="1831" customFormat="false" ht="15" hidden="false" customHeight="false" outlineLevel="0" collapsed="false">
      <c r="A1831" s="24" t="n">
        <v>1827</v>
      </c>
      <c r="B1831" s="25" t="str">
        <f aca="false">IF(OR(C1831="",I1831="",G1831=""),"",IFERROR(VLOOKUP(I1831,Setup!$A$9:$B$11,2,0),"???")&amp;"-"&amp;G1831&amp;"-"&amp;TEXT(COUNTIFS(I$5:I1831,I1831,G$5:G1831,G1831),"0000"))</f>
        <v/>
      </c>
      <c r="C1831" s="26"/>
      <c r="D1831" s="26"/>
      <c r="E1831" s="27"/>
      <c r="F1831" s="27"/>
      <c r="G1831" s="24" t="str">
        <f aca="false">IF(F1831="","",IF(F1831&lt;=5,"A",IF(F1831&lt;=8,"B",IF(F1831&lt;=10,"C","D"))))</f>
        <v/>
      </c>
      <c r="H1831" s="28"/>
      <c r="I1831" s="27"/>
      <c r="J1831" s="26"/>
      <c r="K1831" s="27"/>
      <c r="L1831" s="27"/>
      <c r="M1831" s="27"/>
      <c r="N1831" s="27"/>
      <c r="O1831" s="24" t="str">
        <f aca="false">IF(G1831="","",VLOOKUP(G1831,Setup!$A$14:$C$17,3,0))</f>
        <v/>
      </c>
      <c r="P1831" s="27"/>
      <c r="Q1831" s="29" t="str">
        <f aca="false">IF(OR(P1831="",M1831&lt;&gt;"Paid",O1831=""),"",P1831/O1831)</f>
        <v/>
      </c>
      <c r="R1831" s="30" t="str">
        <f aca="false">IF(Q1831="","",Q1831+N(H1831)*0.000000001)</f>
        <v/>
      </c>
      <c r="S1831" s="25" t="str">
        <f aca="false">IF(R1831="","",SUMPRODUCT((I$5:I$4004=I1831)*ISNUMBER(R$5:R$4004)*(R$5:R$4004&gt;R1831))+1)</f>
        <v/>
      </c>
      <c r="T1831" s="25" t="str">
        <f aca="false">IF(S1831="","",IF(S1831&lt;=Setup!$B$5,"🏆 WINNER",""))</f>
        <v/>
      </c>
      <c r="U1831" s="24" t="str">
        <f aca="false">IF(S1831="","",I1831&amp;"|"&amp;S1831)</f>
        <v/>
      </c>
    </row>
    <row r="1832" customFormat="false" ht="15" hidden="false" customHeight="false" outlineLevel="0" collapsed="false">
      <c r="A1832" s="31" t="n">
        <v>1828</v>
      </c>
      <c r="B1832" s="32" t="str">
        <f aca="false">IF(OR(C1832="",I1832="",G1832=""),"",IFERROR(VLOOKUP(I1832,Setup!$A$9:$B$11,2,0),"???")&amp;"-"&amp;G1832&amp;"-"&amp;TEXT(COUNTIFS(I$5:I1832,I1832,G$5:G1832,G1832),"0000"))</f>
        <v/>
      </c>
      <c r="C1832" s="26"/>
      <c r="D1832" s="26"/>
      <c r="E1832" s="27"/>
      <c r="F1832" s="27"/>
      <c r="G1832" s="31" t="str">
        <f aca="false">IF(F1832="","",IF(F1832&lt;=5,"A",IF(F1832&lt;=8,"B",IF(F1832&lt;=10,"C","D"))))</f>
        <v/>
      </c>
      <c r="H1832" s="28"/>
      <c r="I1832" s="27"/>
      <c r="J1832" s="26"/>
      <c r="K1832" s="27"/>
      <c r="L1832" s="27"/>
      <c r="M1832" s="27"/>
      <c r="N1832" s="27"/>
      <c r="O1832" s="31" t="str">
        <f aca="false">IF(G1832="","",VLOOKUP(G1832,Setup!$A$14:$C$17,3,0))</f>
        <v/>
      </c>
      <c r="P1832" s="27"/>
      <c r="Q1832" s="33" t="str">
        <f aca="false">IF(OR(P1832="",M1832&lt;&gt;"Paid",O1832=""),"",P1832/O1832)</f>
        <v/>
      </c>
      <c r="R1832" s="34" t="str">
        <f aca="false">IF(Q1832="","",Q1832+N(H1832)*0.000000001)</f>
        <v/>
      </c>
      <c r="S1832" s="32" t="str">
        <f aca="false">IF(R1832="","",SUMPRODUCT((I$5:I$4004=I1832)*ISNUMBER(R$5:R$4004)*(R$5:R$4004&gt;R1832))+1)</f>
        <v/>
      </c>
      <c r="T1832" s="32" t="str">
        <f aca="false">IF(S1832="","",IF(S1832&lt;=Setup!$B$5,"🏆 WINNER",""))</f>
        <v/>
      </c>
      <c r="U1832" s="31" t="str">
        <f aca="false">IF(S1832="","",I1832&amp;"|"&amp;S1832)</f>
        <v/>
      </c>
    </row>
    <row r="1833" customFormat="false" ht="15" hidden="false" customHeight="false" outlineLevel="0" collapsed="false">
      <c r="A1833" s="24" t="n">
        <v>1829</v>
      </c>
      <c r="B1833" s="25" t="str">
        <f aca="false">IF(OR(C1833="",I1833="",G1833=""),"",IFERROR(VLOOKUP(I1833,Setup!$A$9:$B$11,2,0),"???")&amp;"-"&amp;G1833&amp;"-"&amp;TEXT(COUNTIFS(I$5:I1833,I1833,G$5:G1833,G1833),"0000"))</f>
        <v/>
      </c>
      <c r="C1833" s="26"/>
      <c r="D1833" s="26"/>
      <c r="E1833" s="27"/>
      <c r="F1833" s="27"/>
      <c r="G1833" s="24" t="str">
        <f aca="false">IF(F1833="","",IF(F1833&lt;=5,"A",IF(F1833&lt;=8,"B",IF(F1833&lt;=10,"C","D"))))</f>
        <v/>
      </c>
      <c r="H1833" s="28"/>
      <c r="I1833" s="27"/>
      <c r="J1833" s="26"/>
      <c r="K1833" s="27"/>
      <c r="L1833" s="27"/>
      <c r="M1833" s="27"/>
      <c r="N1833" s="27"/>
      <c r="O1833" s="24" t="str">
        <f aca="false">IF(G1833="","",VLOOKUP(G1833,Setup!$A$14:$C$17,3,0))</f>
        <v/>
      </c>
      <c r="P1833" s="27"/>
      <c r="Q1833" s="29" t="str">
        <f aca="false">IF(OR(P1833="",M1833&lt;&gt;"Paid",O1833=""),"",P1833/O1833)</f>
        <v/>
      </c>
      <c r="R1833" s="30" t="str">
        <f aca="false">IF(Q1833="","",Q1833+N(H1833)*0.000000001)</f>
        <v/>
      </c>
      <c r="S1833" s="25" t="str">
        <f aca="false">IF(R1833="","",SUMPRODUCT((I$5:I$4004=I1833)*ISNUMBER(R$5:R$4004)*(R$5:R$4004&gt;R1833))+1)</f>
        <v/>
      </c>
      <c r="T1833" s="25" t="str">
        <f aca="false">IF(S1833="","",IF(S1833&lt;=Setup!$B$5,"🏆 WINNER",""))</f>
        <v/>
      </c>
      <c r="U1833" s="24" t="str">
        <f aca="false">IF(S1833="","",I1833&amp;"|"&amp;S1833)</f>
        <v/>
      </c>
    </row>
    <row r="1834" customFormat="false" ht="15" hidden="false" customHeight="false" outlineLevel="0" collapsed="false">
      <c r="A1834" s="31" t="n">
        <v>1830</v>
      </c>
      <c r="B1834" s="32" t="str">
        <f aca="false">IF(OR(C1834="",I1834="",G1834=""),"",IFERROR(VLOOKUP(I1834,Setup!$A$9:$B$11,2,0),"???")&amp;"-"&amp;G1834&amp;"-"&amp;TEXT(COUNTIFS(I$5:I1834,I1834,G$5:G1834,G1834),"0000"))</f>
        <v/>
      </c>
      <c r="C1834" s="26"/>
      <c r="D1834" s="26"/>
      <c r="E1834" s="27"/>
      <c r="F1834" s="27"/>
      <c r="G1834" s="31" t="str">
        <f aca="false">IF(F1834="","",IF(F1834&lt;=5,"A",IF(F1834&lt;=8,"B",IF(F1834&lt;=10,"C","D"))))</f>
        <v/>
      </c>
      <c r="H1834" s="28"/>
      <c r="I1834" s="27"/>
      <c r="J1834" s="26"/>
      <c r="K1834" s="27"/>
      <c r="L1834" s="27"/>
      <c r="M1834" s="27"/>
      <c r="N1834" s="27"/>
      <c r="O1834" s="31" t="str">
        <f aca="false">IF(G1834="","",VLOOKUP(G1834,Setup!$A$14:$C$17,3,0))</f>
        <v/>
      </c>
      <c r="P1834" s="27"/>
      <c r="Q1834" s="33" t="str">
        <f aca="false">IF(OR(P1834="",M1834&lt;&gt;"Paid",O1834=""),"",P1834/O1834)</f>
        <v/>
      </c>
      <c r="R1834" s="34" t="str">
        <f aca="false">IF(Q1834="","",Q1834+N(H1834)*0.000000001)</f>
        <v/>
      </c>
      <c r="S1834" s="32" t="str">
        <f aca="false">IF(R1834="","",SUMPRODUCT((I$5:I$4004=I1834)*ISNUMBER(R$5:R$4004)*(R$5:R$4004&gt;R1834))+1)</f>
        <v/>
      </c>
      <c r="T1834" s="32" t="str">
        <f aca="false">IF(S1834="","",IF(S1834&lt;=Setup!$B$5,"🏆 WINNER",""))</f>
        <v/>
      </c>
      <c r="U1834" s="31" t="str">
        <f aca="false">IF(S1834="","",I1834&amp;"|"&amp;S1834)</f>
        <v/>
      </c>
    </row>
    <row r="1835" customFormat="false" ht="15" hidden="false" customHeight="false" outlineLevel="0" collapsed="false">
      <c r="A1835" s="24" t="n">
        <v>1831</v>
      </c>
      <c r="B1835" s="25" t="str">
        <f aca="false">IF(OR(C1835="",I1835="",G1835=""),"",IFERROR(VLOOKUP(I1835,Setup!$A$9:$B$11,2,0),"???")&amp;"-"&amp;G1835&amp;"-"&amp;TEXT(COUNTIFS(I$5:I1835,I1835,G$5:G1835,G1835),"0000"))</f>
        <v/>
      </c>
      <c r="C1835" s="26"/>
      <c r="D1835" s="26"/>
      <c r="E1835" s="27"/>
      <c r="F1835" s="27"/>
      <c r="G1835" s="24" t="str">
        <f aca="false">IF(F1835="","",IF(F1835&lt;=5,"A",IF(F1835&lt;=8,"B",IF(F1835&lt;=10,"C","D"))))</f>
        <v/>
      </c>
      <c r="H1835" s="28"/>
      <c r="I1835" s="27"/>
      <c r="J1835" s="26"/>
      <c r="K1835" s="27"/>
      <c r="L1835" s="27"/>
      <c r="M1835" s="27"/>
      <c r="N1835" s="27"/>
      <c r="O1835" s="24" t="str">
        <f aca="false">IF(G1835="","",VLOOKUP(G1835,Setup!$A$14:$C$17,3,0))</f>
        <v/>
      </c>
      <c r="P1835" s="27"/>
      <c r="Q1835" s="29" t="str">
        <f aca="false">IF(OR(P1835="",M1835&lt;&gt;"Paid",O1835=""),"",P1835/O1835)</f>
        <v/>
      </c>
      <c r="R1835" s="30" t="str">
        <f aca="false">IF(Q1835="","",Q1835+N(H1835)*0.000000001)</f>
        <v/>
      </c>
      <c r="S1835" s="25" t="str">
        <f aca="false">IF(R1835="","",SUMPRODUCT((I$5:I$4004=I1835)*ISNUMBER(R$5:R$4004)*(R$5:R$4004&gt;R1835))+1)</f>
        <v/>
      </c>
      <c r="T1835" s="25" t="str">
        <f aca="false">IF(S1835="","",IF(S1835&lt;=Setup!$B$5,"🏆 WINNER",""))</f>
        <v/>
      </c>
      <c r="U1835" s="24" t="str">
        <f aca="false">IF(S1835="","",I1835&amp;"|"&amp;S1835)</f>
        <v/>
      </c>
    </row>
    <row r="1836" customFormat="false" ht="15" hidden="false" customHeight="false" outlineLevel="0" collapsed="false">
      <c r="A1836" s="31" t="n">
        <v>1832</v>
      </c>
      <c r="B1836" s="32" t="str">
        <f aca="false">IF(OR(C1836="",I1836="",G1836=""),"",IFERROR(VLOOKUP(I1836,Setup!$A$9:$B$11,2,0),"???")&amp;"-"&amp;G1836&amp;"-"&amp;TEXT(COUNTIFS(I$5:I1836,I1836,G$5:G1836,G1836),"0000"))</f>
        <v/>
      </c>
      <c r="C1836" s="26"/>
      <c r="D1836" s="26"/>
      <c r="E1836" s="27"/>
      <c r="F1836" s="27"/>
      <c r="G1836" s="31" t="str">
        <f aca="false">IF(F1836="","",IF(F1836&lt;=5,"A",IF(F1836&lt;=8,"B",IF(F1836&lt;=10,"C","D"))))</f>
        <v/>
      </c>
      <c r="H1836" s="28"/>
      <c r="I1836" s="27"/>
      <c r="J1836" s="26"/>
      <c r="K1836" s="27"/>
      <c r="L1836" s="27"/>
      <c r="M1836" s="27"/>
      <c r="N1836" s="27"/>
      <c r="O1836" s="31" t="str">
        <f aca="false">IF(G1836="","",VLOOKUP(G1836,Setup!$A$14:$C$17,3,0))</f>
        <v/>
      </c>
      <c r="P1836" s="27"/>
      <c r="Q1836" s="33" t="str">
        <f aca="false">IF(OR(P1836="",M1836&lt;&gt;"Paid",O1836=""),"",P1836/O1836)</f>
        <v/>
      </c>
      <c r="R1836" s="34" t="str">
        <f aca="false">IF(Q1836="","",Q1836+N(H1836)*0.000000001)</f>
        <v/>
      </c>
      <c r="S1836" s="32" t="str">
        <f aca="false">IF(R1836="","",SUMPRODUCT((I$5:I$4004=I1836)*ISNUMBER(R$5:R$4004)*(R$5:R$4004&gt;R1836))+1)</f>
        <v/>
      </c>
      <c r="T1836" s="32" t="str">
        <f aca="false">IF(S1836="","",IF(S1836&lt;=Setup!$B$5,"🏆 WINNER",""))</f>
        <v/>
      </c>
      <c r="U1836" s="31" t="str">
        <f aca="false">IF(S1836="","",I1836&amp;"|"&amp;S1836)</f>
        <v/>
      </c>
    </row>
    <row r="1837" customFormat="false" ht="15" hidden="false" customHeight="false" outlineLevel="0" collapsed="false">
      <c r="A1837" s="24" t="n">
        <v>1833</v>
      </c>
      <c r="B1837" s="25" t="str">
        <f aca="false">IF(OR(C1837="",I1837="",G1837=""),"",IFERROR(VLOOKUP(I1837,Setup!$A$9:$B$11,2,0),"???")&amp;"-"&amp;G1837&amp;"-"&amp;TEXT(COUNTIFS(I$5:I1837,I1837,G$5:G1837,G1837),"0000"))</f>
        <v/>
      </c>
      <c r="C1837" s="26"/>
      <c r="D1837" s="26"/>
      <c r="E1837" s="27"/>
      <c r="F1837" s="27"/>
      <c r="G1837" s="24" t="str">
        <f aca="false">IF(F1837="","",IF(F1837&lt;=5,"A",IF(F1837&lt;=8,"B",IF(F1837&lt;=10,"C","D"))))</f>
        <v/>
      </c>
      <c r="H1837" s="28"/>
      <c r="I1837" s="27"/>
      <c r="J1837" s="26"/>
      <c r="K1837" s="27"/>
      <c r="L1837" s="27"/>
      <c r="M1837" s="27"/>
      <c r="N1837" s="27"/>
      <c r="O1837" s="24" t="str">
        <f aca="false">IF(G1837="","",VLOOKUP(G1837,Setup!$A$14:$C$17,3,0))</f>
        <v/>
      </c>
      <c r="P1837" s="27"/>
      <c r="Q1837" s="29" t="str">
        <f aca="false">IF(OR(P1837="",M1837&lt;&gt;"Paid",O1837=""),"",P1837/O1837)</f>
        <v/>
      </c>
      <c r="R1837" s="30" t="str">
        <f aca="false">IF(Q1837="","",Q1837+N(H1837)*0.000000001)</f>
        <v/>
      </c>
      <c r="S1837" s="25" t="str">
        <f aca="false">IF(R1837="","",SUMPRODUCT((I$5:I$4004=I1837)*ISNUMBER(R$5:R$4004)*(R$5:R$4004&gt;R1837))+1)</f>
        <v/>
      </c>
      <c r="T1837" s="25" t="str">
        <f aca="false">IF(S1837="","",IF(S1837&lt;=Setup!$B$5,"🏆 WINNER",""))</f>
        <v/>
      </c>
      <c r="U1837" s="24" t="str">
        <f aca="false">IF(S1837="","",I1837&amp;"|"&amp;S1837)</f>
        <v/>
      </c>
    </row>
    <row r="1838" customFormat="false" ht="15" hidden="false" customHeight="false" outlineLevel="0" collapsed="false">
      <c r="A1838" s="31" t="n">
        <v>1834</v>
      </c>
      <c r="B1838" s="32" t="str">
        <f aca="false">IF(OR(C1838="",I1838="",G1838=""),"",IFERROR(VLOOKUP(I1838,Setup!$A$9:$B$11,2,0),"???")&amp;"-"&amp;G1838&amp;"-"&amp;TEXT(COUNTIFS(I$5:I1838,I1838,G$5:G1838,G1838),"0000"))</f>
        <v/>
      </c>
      <c r="C1838" s="26"/>
      <c r="D1838" s="26"/>
      <c r="E1838" s="27"/>
      <c r="F1838" s="27"/>
      <c r="G1838" s="31" t="str">
        <f aca="false">IF(F1838="","",IF(F1838&lt;=5,"A",IF(F1838&lt;=8,"B",IF(F1838&lt;=10,"C","D"))))</f>
        <v/>
      </c>
      <c r="H1838" s="28"/>
      <c r="I1838" s="27"/>
      <c r="J1838" s="26"/>
      <c r="K1838" s="27"/>
      <c r="L1838" s="27"/>
      <c r="M1838" s="27"/>
      <c r="N1838" s="27"/>
      <c r="O1838" s="31" t="str">
        <f aca="false">IF(G1838="","",VLOOKUP(G1838,Setup!$A$14:$C$17,3,0))</f>
        <v/>
      </c>
      <c r="P1838" s="27"/>
      <c r="Q1838" s="33" t="str">
        <f aca="false">IF(OR(P1838="",M1838&lt;&gt;"Paid",O1838=""),"",P1838/O1838)</f>
        <v/>
      </c>
      <c r="R1838" s="34" t="str">
        <f aca="false">IF(Q1838="","",Q1838+N(H1838)*0.000000001)</f>
        <v/>
      </c>
      <c r="S1838" s="32" t="str">
        <f aca="false">IF(R1838="","",SUMPRODUCT((I$5:I$4004=I1838)*ISNUMBER(R$5:R$4004)*(R$5:R$4004&gt;R1838))+1)</f>
        <v/>
      </c>
      <c r="T1838" s="32" t="str">
        <f aca="false">IF(S1838="","",IF(S1838&lt;=Setup!$B$5,"🏆 WINNER",""))</f>
        <v/>
      </c>
      <c r="U1838" s="31" t="str">
        <f aca="false">IF(S1838="","",I1838&amp;"|"&amp;S1838)</f>
        <v/>
      </c>
    </row>
    <row r="1839" customFormat="false" ht="15" hidden="false" customHeight="false" outlineLevel="0" collapsed="false">
      <c r="A1839" s="24" t="n">
        <v>1835</v>
      </c>
      <c r="B1839" s="25" t="str">
        <f aca="false">IF(OR(C1839="",I1839="",G1839=""),"",IFERROR(VLOOKUP(I1839,Setup!$A$9:$B$11,2,0),"???")&amp;"-"&amp;G1839&amp;"-"&amp;TEXT(COUNTIFS(I$5:I1839,I1839,G$5:G1839,G1839),"0000"))</f>
        <v/>
      </c>
      <c r="C1839" s="26"/>
      <c r="D1839" s="26"/>
      <c r="E1839" s="27"/>
      <c r="F1839" s="27"/>
      <c r="G1839" s="24" t="str">
        <f aca="false">IF(F1839="","",IF(F1839&lt;=5,"A",IF(F1839&lt;=8,"B",IF(F1839&lt;=10,"C","D"))))</f>
        <v/>
      </c>
      <c r="H1839" s="28"/>
      <c r="I1839" s="27"/>
      <c r="J1839" s="26"/>
      <c r="K1839" s="27"/>
      <c r="L1839" s="27"/>
      <c r="M1839" s="27"/>
      <c r="N1839" s="27"/>
      <c r="O1839" s="24" t="str">
        <f aca="false">IF(G1839="","",VLOOKUP(G1839,Setup!$A$14:$C$17,3,0))</f>
        <v/>
      </c>
      <c r="P1839" s="27"/>
      <c r="Q1839" s="29" t="str">
        <f aca="false">IF(OR(P1839="",M1839&lt;&gt;"Paid",O1839=""),"",P1839/O1839)</f>
        <v/>
      </c>
      <c r="R1839" s="30" t="str">
        <f aca="false">IF(Q1839="","",Q1839+N(H1839)*0.000000001)</f>
        <v/>
      </c>
      <c r="S1839" s="25" t="str">
        <f aca="false">IF(R1839="","",SUMPRODUCT((I$5:I$4004=I1839)*ISNUMBER(R$5:R$4004)*(R$5:R$4004&gt;R1839))+1)</f>
        <v/>
      </c>
      <c r="T1839" s="25" t="str">
        <f aca="false">IF(S1839="","",IF(S1839&lt;=Setup!$B$5,"🏆 WINNER",""))</f>
        <v/>
      </c>
      <c r="U1839" s="24" t="str">
        <f aca="false">IF(S1839="","",I1839&amp;"|"&amp;S1839)</f>
        <v/>
      </c>
    </row>
    <row r="1840" customFormat="false" ht="15" hidden="false" customHeight="false" outlineLevel="0" collapsed="false">
      <c r="A1840" s="31" t="n">
        <v>1836</v>
      </c>
      <c r="B1840" s="32" t="str">
        <f aca="false">IF(OR(C1840="",I1840="",G1840=""),"",IFERROR(VLOOKUP(I1840,Setup!$A$9:$B$11,2,0),"???")&amp;"-"&amp;G1840&amp;"-"&amp;TEXT(COUNTIFS(I$5:I1840,I1840,G$5:G1840,G1840),"0000"))</f>
        <v/>
      </c>
      <c r="C1840" s="26"/>
      <c r="D1840" s="26"/>
      <c r="E1840" s="27"/>
      <c r="F1840" s="27"/>
      <c r="G1840" s="31" t="str">
        <f aca="false">IF(F1840="","",IF(F1840&lt;=5,"A",IF(F1840&lt;=8,"B",IF(F1840&lt;=10,"C","D"))))</f>
        <v/>
      </c>
      <c r="H1840" s="28"/>
      <c r="I1840" s="27"/>
      <c r="J1840" s="26"/>
      <c r="K1840" s="27"/>
      <c r="L1840" s="27"/>
      <c r="M1840" s="27"/>
      <c r="N1840" s="27"/>
      <c r="O1840" s="31" t="str">
        <f aca="false">IF(G1840="","",VLOOKUP(G1840,Setup!$A$14:$C$17,3,0))</f>
        <v/>
      </c>
      <c r="P1840" s="27"/>
      <c r="Q1840" s="33" t="str">
        <f aca="false">IF(OR(P1840="",M1840&lt;&gt;"Paid",O1840=""),"",P1840/O1840)</f>
        <v/>
      </c>
      <c r="R1840" s="34" t="str">
        <f aca="false">IF(Q1840="","",Q1840+N(H1840)*0.000000001)</f>
        <v/>
      </c>
      <c r="S1840" s="32" t="str">
        <f aca="false">IF(R1840="","",SUMPRODUCT((I$5:I$4004=I1840)*ISNUMBER(R$5:R$4004)*(R$5:R$4004&gt;R1840))+1)</f>
        <v/>
      </c>
      <c r="T1840" s="32" t="str">
        <f aca="false">IF(S1840="","",IF(S1840&lt;=Setup!$B$5,"🏆 WINNER",""))</f>
        <v/>
      </c>
      <c r="U1840" s="31" t="str">
        <f aca="false">IF(S1840="","",I1840&amp;"|"&amp;S1840)</f>
        <v/>
      </c>
    </row>
    <row r="1841" customFormat="false" ht="15" hidden="false" customHeight="false" outlineLevel="0" collapsed="false">
      <c r="A1841" s="24" t="n">
        <v>1837</v>
      </c>
      <c r="B1841" s="25" t="str">
        <f aca="false">IF(OR(C1841="",I1841="",G1841=""),"",IFERROR(VLOOKUP(I1841,Setup!$A$9:$B$11,2,0),"???")&amp;"-"&amp;G1841&amp;"-"&amp;TEXT(COUNTIFS(I$5:I1841,I1841,G$5:G1841,G1841),"0000"))</f>
        <v/>
      </c>
      <c r="C1841" s="26"/>
      <c r="D1841" s="26"/>
      <c r="E1841" s="27"/>
      <c r="F1841" s="27"/>
      <c r="G1841" s="24" t="str">
        <f aca="false">IF(F1841="","",IF(F1841&lt;=5,"A",IF(F1841&lt;=8,"B",IF(F1841&lt;=10,"C","D"))))</f>
        <v/>
      </c>
      <c r="H1841" s="28"/>
      <c r="I1841" s="27"/>
      <c r="J1841" s="26"/>
      <c r="K1841" s="27"/>
      <c r="L1841" s="27"/>
      <c r="M1841" s="27"/>
      <c r="N1841" s="27"/>
      <c r="O1841" s="24" t="str">
        <f aca="false">IF(G1841="","",VLOOKUP(G1841,Setup!$A$14:$C$17,3,0))</f>
        <v/>
      </c>
      <c r="P1841" s="27"/>
      <c r="Q1841" s="29" t="str">
        <f aca="false">IF(OR(P1841="",M1841&lt;&gt;"Paid",O1841=""),"",P1841/O1841)</f>
        <v/>
      </c>
      <c r="R1841" s="30" t="str">
        <f aca="false">IF(Q1841="","",Q1841+N(H1841)*0.000000001)</f>
        <v/>
      </c>
      <c r="S1841" s="25" t="str">
        <f aca="false">IF(R1841="","",SUMPRODUCT((I$5:I$4004=I1841)*ISNUMBER(R$5:R$4004)*(R$5:R$4004&gt;R1841))+1)</f>
        <v/>
      </c>
      <c r="T1841" s="25" t="str">
        <f aca="false">IF(S1841="","",IF(S1841&lt;=Setup!$B$5,"🏆 WINNER",""))</f>
        <v/>
      </c>
      <c r="U1841" s="24" t="str">
        <f aca="false">IF(S1841="","",I1841&amp;"|"&amp;S1841)</f>
        <v/>
      </c>
    </row>
    <row r="1842" customFormat="false" ht="15" hidden="false" customHeight="false" outlineLevel="0" collapsed="false">
      <c r="A1842" s="31" t="n">
        <v>1838</v>
      </c>
      <c r="B1842" s="32" t="str">
        <f aca="false">IF(OR(C1842="",I1842="",G1842=""),"",IFERROR(VLOOKUP(I1842,Setup!$A$9:$B$11,2,0),"???")&amp;"-"&amp;G1842&amp;"-"&amp;TEXT(COUNTIFS(I$5:I1842,I1842,G$5:G1842,G1842),"0000"))</f>
        <v/>
      </c>
      <c r="C1842" s="26"/>
      <c r="D1842" s="26"/>
      <c r="E1842" s="27"/>
      <c r="F1842" s="27"/>
      <c r="G1842" s="31" t="str">
        <f aca="false">IF(F1842="","",IF(F1842&lt;=5,"A",IF(F1842&lt;=8,"B",IF(F1842&lt;=10,"C","D"))))</f>
        <v/>
      </c>
      <c r="H1842" s="28"/>
      <c r="I1842" s="27"/>
      <c r="J1842" s="26"/>
      <c r="K1842" s="27"/>
      <c r="L1842" s="27"/>
      <c r="M1842" s="27"/>
      <c r="N1842" s="27"/>
      <c r="O1842" s="31" t="str">
        <f aca="false">IF(G1842="","",VLOOKUP(G1842,Setup!$A$14:$C$17,3,0))</f>
        <v/>
      </c>
      <c r="P1842" s="27"/>
      <c r="Q1842" s="33" t="str">
        <f aca="false">IF(OR(P1842="",M1842&lt;&gt;"Paid",O1842=""),"",P1842/O1842)</f>
        <v/>
      </c>
      <c r="R1842" s="34" t="str">
        <f aca="false">IF(Q1842="","",Q1842+N(H1842)*0.000000001)</f>
        <v/>
      </c>
      <c r="S1842" s="32" t="str">
        <f aca="false">IF(R1842="","",SUMPRODUCT((I$5:I$4004=I1842)*ISNUMBER(R$5:R$4004)*(R$5:R$4004&gt;R1842))+1)</f>
        <v/>
      </c>
      <c r="T1842" s="32" t="str">
        <f aca="false">IF(S1842="","",IF(S1842&lt;=Setup!$B$5,"🏆 WINNER",""))</f>
        <v/>
      </c>
      <c r="U1842" s="31" t="str">
        <f aca="false">IF(S1842="","",I1842&amp;"|"&amp;S1842)</f>
        <v/>
      </c>
    </row>
    <row r="1843" customFormat="false" ht="15" hidden="false" customHeight="false" outlineLevel="0" collapsed="false">
      <c r="A1843" s="24" t="n">
        <v>1839</v>
      </c>
      <c r="B1843" s="25" t="str">
        <f aca="false">IF(OR(C1843="",I1843="",G1843=""),"",IFERROR(VLOOKUP(I1843,Setup!$A$9:$B$11,2,0),"???")&amp;"-"&amp;G1843&amp;"-"&amp;TEXT(COUNTIFS(I$5:I1843,I1843,G$5:G1843,G1843),"0000"))</f>
        <v/>
      </c>
      <c r="C1843" s="26"/>
      <c r="D1843" s="26"/>
      <c r="E1843" s="27"/>
      <c r="F1843" s="27"/>
      <c r="G1843" s="24" t="str">
        <f aca="false">IF(F1843="","",IF(F1843&lt;=5,"A",IF(F1843&lt;=8,"B",IF(F1843&lt;=10,"C","D"))))</f>
        <v/>
      </c>
      <c r="H1843" s="28"/>
      <c r="I1843" s="27"/>
      <c r="J1843" s="26"/>
      <c r="K1843" s="27"/>
      <c r="L1843" s="27"/>
      <c r="M1843" s="27"/>
      <c r="N1843" s="27"/>
      <c r="O1843" s="24" t="str">
        <f aca="false">IF(G1843="","",VLOOKUP(G1843,Setup!$A$14:$C$17,3,0))</f>
        <v/>
      </c>
      <c r="P1843" s="27"/>
      <c r="Q1843" s="29" t="str">
        <f aca="false">IF(OR(P1843="",M1843&lt;&gt;"Paid",O1843=""),"",P1843/O1843)</f>
        <v/>
      </c>
      <c r="R1843" s="30" t="str">
        <f aca="false">IF(Q1843="","",Q1843+N(H1843)*0.000000001)</f>
        <v/>
      </c>
      <c r="S1843" s="25" t="str">
        <f aca="false">IF(R1843="","",SUMPRODUCT((I$5:I$4004=I1843)*ISNUMBER(R$5:R$4004)*(R$5:R$4004&gt;R1843))+1)</f>
        <v/>
      </c>
      <c r="T1843" s="25" t="str">
        <f aca="false">IF(S1843="","",IF(S1843&lt;=Setup!$B$5,"🏆 WINNER",""))</f>
        <v/>
      </c>
      <c r="U1843" s="24" t="str">
        <f aca="false">IF(S1843="","",I1843&amp;"|"&amp;S1843)</f>
        <v/>
      </c>
    </row>
    <row r="1844" customFormat="false" ht="15" hidden="false" customHeight="false" outlineLevel="0" collapsed="false">
      <c r="A1844" s="31" t="n">
        <v>1840</v>
      </c>
      <c r="B1844" s="32" t="str">
        <f aca="false">IF(OR(C1844="",I1844="",G1844=""),"",IFERROR(VLOOKUP(I1844,Setup!$A$9:$B$11,2,0),"???")&amp;"-"&amp;G1844&amp;"-"&amp;TEXT(COUNTIFS(I$5:I1844,I1844,G$5:G1844,G1844),"0000"))</f>
        <v/>
      </c>
      <c r="C1844" s="26"/>
      <c r="D1844" s="26"/>
      <c r="E1844" s="27"/>
      <c r="F1844" s="27"/>
      <c r="G1844" s="31" t="str">
        <f aca="false">IF(F1844="","",IF(F1844&lt;=5,"A",IF(F1844&lt;=8,"B",IF(F1844&lt;=10,"C","D"))))</f>
        <v/>
      </c>
      <c r="H1844" s="28"/>
      <c r="I1844" s="27"/>
      <c r="J1844" s="26"/>
      <c r="K1844" s="27"/>
      <c r="L1844" s="27"/>
      <c r="M1844" s="27"/>
      <c r="N1844" s="27"/>
      <c r="O1844" s="31" t="str">
        <f aca="false">IF(G1844="","",VLOOKUP(G1844,Setup!$A$14:$C$17,3,0))</f>
        <v/>
      </c>
      <c r="P1844" s="27"/>
      <c r="Q1844" s="33" t="str">
        <f aca="false">IF(OR(P1844="",M1844&lt;&gt;"Paid",O1844=""),"",P1844/O1844)</f>
        <v/>
      </c>
      <c r="R1844" s="34" t="str">
        <f aca="false">IF(Q1844="","",Q1844+N(H1844)*0.000000001)</f>
        <v/>
      </c>
      <c r="S1844" s="32" t="str">
        <f aca="false">IF(R1844="","",SUMPRODUCT((I$5:I$4004=I1844)*ISNUMBER(R$5:R$4004)*(R$5:R$4004&gt;R1844))+1)</f>
        <v/>
      </c>
      <c r="T1844" s="32" t="str">
        <f aca="false">IF(S1844="","",IF(S1844&lt;=Setup!$B$5,"🏆 WINNER",""))</f>
        <v/>
      </c>
      <c r="U1844" s="31" t="str">
        <f aca="false">IF(S1844="","",I1844&amp;"|"&amp;S1844)</f>
        <v/>
      </c>
    </row>
    <row r="1845" customFormat="false" ht="15" hidden="false" customHeight="false" outlineLevel="0" collapsed="false">
      <c r="A1845" s="24" t="n">
        <v>1841</v>
      </c>
      <c r="B1845" s="25" t="str">
        <f aca="false">IF(OR(C1845="",I1845="",G1845=""),"",IFERROR(VLOOKUP(I1845,Setup!$A$9:$B$11,2,0),"???")&amp;"-"&amp;G1845&amp;"-"&amp;TEXT(COUNTIFS(I$5:I1845,I1845,G$5:G1845,G1845),"0000"))</f>
        <v/>
      </c>
      <c r="C1845" s="26"/>
      <c r="D1845" s="26"/>
      <c r="E1845" s="27"/>
      <c r="F1845" s="27"/>
      <c r="G1845" s="24" t="str">
        <f aca="false">IF(F1845="","",IF(F1845&lt;=5,"A",IF(F1845&lt;=8,"B",IF(F1845&lt;=10,"C","D"))))</f>
        <v/>
      </c>
      <c r="H1845" s="28"/>
      <c r="I1845" s="27"/>
      <c r="J1845" s="26"/>
      <c r="K1845" s="27"/>
      <c r="L1845" s="27"/>
      <c r="M1845" s="27"/>
      <c r="N1845" s="27"/>
      <c r="O1845" s="24" t="str">
        <f aca="false">IF(G1845="","",VLOOKUP(G1845,Setup!$A$14:$C$17,3,0))</f>
        <v/>
      </c>
      <c r="P1845" s="27"/>
      <c r="Q1845" s="29" t="str">
        <f aca="false">IF(OR(P1845="",M1845&lt;&gt;"Paid",O1845=""),"",P1845/O1845)</f>
        <v/>
      </c>
      <c r="R1845" s="30" t="str">
        <f aca="false">IF(Q1845="","",Q1845+N(H1845)*0.000000001)</f>
        <v/>
      </c>
      <c r="S1845" s="25" t="str">
        <f aca="false">IF(R1845="","",SUMPRODUCT((I$5:I$4004=I1845)*ISNUMBER(R$5:R$4004)*(R$5:R$4004&gt;R1845))+1)</f>
        <v/>
      </c>
      <c r="T1845" s="25" t="str">
        <f aca="false">IF(S1845="","",IF(S1845&lt;=Setup!$B$5,"🏆 WINNER",""))</f>
        <v/>
      </c>
      <c r="U1845" s="24" t="str">
        <f aca="false">IF(S1845="","",I1845&amp;"|"&amp;S1845)</f>
        <v/>
      </c>
    </row>
    <row r="1846" customFormat="false" ht="15" hidden="false" customHeight="false" outlineLevel="0" collapsed="false">
      <c r="A1846" s="31" t="n">
        <v>1842</v>
      </c>
      <c r="B1846" s="32" t="str">
        <f aca="false">IF(OR(C1846="",I1846="",G1846=""),"",IFERROR(VLOOKUP(I1846,Setup!$A$9:$B$11,2,0),"???")&amp;"-"&amp;G1846&amp;"-"&amp;TEXT(COUNTIFS(I$5:I1846,I1846,G$5:G1846,G1846),"0000"))</f>
        <v/>
      </c>
      <c r="C1846" s="26"/>
      <c r="D1846" s="26"/>
      <c r="E1846" s="27"/>
      <c r="F1846" s="27"/>
      <c r="G1846" s="31" t="str">
        <f aca="false">IF(F1846="","",IF(F1846&lt;=5,"A",IF(F1846&lt;=8,"B",IF(F1846&lt;=10,"C","D"))))</f>
        <v/>
      </c>
      <c r="H1846" s="28"/>
      <c r="I1846" s="27"/>
      <c r="J1846" s="26"/>
      <c r="K1846" s="27"/>
      <c r="L1846" s="27"/>
      <c r="M1846" s="27"/>
      <c r="N1846" s="27"/>
      <c r="O1846" s="31" t="str">
        <f aca="false">IF(G1846="","",VLOOKUP(G1846,Setup!$A$14:$C$17,3,0))</f>
        <v/>
      </c>
      <c r="P1846" s="27"/>
      <c r="Q1846" s="33" t="str">
        <f aca="false">IF(OR(P1846="",M1846&lt;&gt;"Paid",O1846=""),"",P1846/O1846)</f>
        <v/>
      </c>
      <c r="R1846" s="34" t="str">
        <f aca="false">IF(Q1846="","",Q1846+N(H1846)*0.000000001)</f>
        <v/>
      </c>
      <c r="S1846" s="32" t="str">
        <f aca="false">IF(R1846="","",SUMPRODUCT((I$5:I$4004=I1846)*ISNUMBER(R$5:R$4004)*(R$5:R$4004&gt;R1846))+1)</f>
        <v/>
      </c>
      <c r="T1846" s="32" t="str">
        <f aca="false">IF(S1846="","",IF(S1846&lt;=Setup!$B$5,"🏆 WINNER",""))</f>
        <v/>
      </c>
      <c r="U1846" s="31" t="str">
        <f aca="false">IF(S1846="","",I1846&amp;"|"&amp;S1846)</f>
        <v/>
      </c>
    </row>
    <row r="1847" customFormat="false" ht="15" hidden="false" customHeight="false" outlineLevel="0" collapsed="false">
      <c r="A1847" s="24" t="n">
        <v>1843</v>
      </c>
      <c r="B1847" s="25" t="str">
        <f aca="false">IF(OR(C1847="",I1847="",G1847=""),"",IFERROR(VLOOKUP(I1847,Setup!$A$9:$B$11,2,0),"???")&amp;"-"&amp;G1847&amp;"-"&amp;TEXT(COUNTIFS(I$5:I1847,I1847,G$5:G1847,G1847),"0000"))</f>
        <v/>
      </c>
      <c r="C1847" s="26"/>
      <c r="D1847" s="26"/>
      <c r="E1847" s="27"/>
      <c r="F1847" s="27"/>
      <c r="G1847" s="24" t="str">
        <f aca="false">IF(F1847="","",IF(F1847&lt;=5,"A",IF(F1847&lt;=8,"B",IF(F1847&lt;=10,"C","D"))))</f>
        <v/>
      </c>
      <c r="H1847" s="28"/>
      <c r="I1847" s="27"/>
      <c r="J1847" s="26"/>
      <c r="K1847" s="27"/>
      <c r="L1847" s="27"/>
      <c r="M1847" s="27"/>
      <c r="N1847" s="27"/>
      <c r="O1847" s="24" t="str">
        <f aca="false">IF(G1847="","",VLOOKUP(G1847,Setup!$A$14:$C$17,3,0))</f>
        <v/>
      </c>
      <c r="P1847" s="27"/>
      <c r="Q1847" s="29" t="str">
        <f aca="false">IF(OR(P1847="",M1847&lt;&gt;"Paid",O1847=""),"",P1847/O1847)</f>
        <v/>
      </c>
      <c r="R1847" s="30" t="str">
        <f aca="false">IF(Q1847="","",Q1847+N(H1847)*0.000000001)</f>
        <v/>
      </c>
      <c r="S1847" s="25" t="str">
        <f aca="false">IF(R1847="","",SUMPRODUCT((I$5:I$4004=I1847)*ISNUMBER(R$5:R$4004)*(R$5:R$4004&gt;R1847))+1)</f>
        <v/>
      </c>
      <c r="T1847" s="25" t="str">
        <f aca="false">IF(S1847="","",IF(S1847&lt;=Setup!$B$5,"🏆 WINNER",""))</f>
        <v/>
      </c>
      <c r="U1847" s="24" t="str">
        <f aca="false">IF(S1847="","",I1847&amp;"|"&amp;S1847)</f>
        <v/>
      </c>
    </row>
    <row r="1848" customFormat="false" ht="15" hidden="false" customHeight="false" outlineLevel="0" collapsed="false">
      <c r="A1848" s="31" t="n">
        <v>1844</v>
      </c>
      <c r="B1848" s="32" t="str">
        <f aca="false">IF(OR(C1848="",I1848="",G1848=""),"",IFERROR(VLOOKUP(I1848,Setup!$A$9:$B$11,2,0),"???")&amp;"-"&amp;G1848&amp;"-"&amp;TEXT(COUNTIFS(I$5:I1848,I1848,G$5:G1848,G1848),"0000"))</f>
        <v/>
      </c>
      <c r="C1848" s="26"/>
      <c r="D1848" s="26"/>
      <c r="E1848" s="27"/>
      <c r="F1848" s="27"/>
      <c r="G1848" s="31" t="str">
        <f aca="false">IF(F1848="","",IF(F1848&lt;=5,"A",IF(F1848&lt;=8,"B",IF(F1848&lt;=10,"C","D"))))</f>
        <v/>
      </c>
      <c r="H1848" s="28"/>
      <c r="I1848" s="27"/>
      <c r="J1848" s="26"/>
      <c r="K1848" s="27"/>
      <c r="L1848" s="27"/>
      <c r="M1848" s="27"/>
      <c r="N1848" s="27"/>
      <c r="O1848" s="31" t="str">
        <f aca="false">IF(G1848="","",VLOOKUP(G1848,Setup!$A$14:$C$17,3,0))</f>
        <v/>
      </c>
      <c r="P1848" s="27"/>
      <c r="Q1848" s="33" t="str">
        <f aca="false">IF(OR(P1848="",M1848&lt;&gt;"Paid",O1848=""),"",P1848/O1848)</f>
        <v/>
      </c>
      <c r="R1848" s="34" t="str">
        <f aca="false">IF(Q1848="","",Q1848+N(H1848)*0.000000001)</f>
        <v/>
      </c>
      <c r="S1848" s="32" t="str">
        <f aca="false">IF(R1848="","",SUMPRODUCT((I$5:I$4004=I1848)*ISNUMBER(R$5:R$4004)*(R$5:R$4004&gt;R1848))+1)</f>
        <v/>
      </c>
      <c r="T1848" s="32" t="str">
        <f aca="false">IF(S1848="","",IF(S1848&lt;=Setup!$B$5,"🏆 WINNER",""))</f>
        <v/>
      </c>
      <c r="U1848" s="31" t="str">
        <f aca="false">IF(S1848="","",I1848&amp;"|"&amp;S1848)</f>
        <v/>
      </c>
    </row>
    <row r="1849" customFormat="false" ht="15" hidden="false" customHeight="false" outlineLevel="0" collapsed="false">
      <c r="A1849" s="24" t="n">
        <v>1845</v>
      </c>
      <c r="B1849" s="25" t="str">
        <f aca="false">IF(OR(C1849="",I1849="",G1849=""),"",IFERROR(VLOOKUP(I1849,Setup!$A$9:$B$11,2,0),"???")&amp;"-"&amp;G1849&amp;"-"&amp;TEXT(COUNTIFS(I$5:I1849,I1849,G$5:G1849,G1849),"0000"))</f>
        <v/>
      </c>
      <c r="C1849" s="26"/>
      <c r="D1849" s="26"/>
      <c r="E1849" s="27"/>
      <c r="F1849" s="27"/>
      <c r="G1849" s="24" t="str">
        <f aca="false">IF(F1849="","",IF(F1849&lt;=5,"A",IF(F1849&lt;=8,"B",IF(F1849&lt;=10,"C","D"))))</f>
        <v/>
      </c>
      <c r="H1849" s="28"/>
      <c r="I1849" s="27"/>
      <c r="J1849" s="26"/>
      <c r="K1849" s="27"/>
      <c r="L1849" s="27"/>
      <c r="M1849" s="27"/>
      <c r="N1849" s="27"/>
      <c r="O1849" s="24" t="str">
        <f aca="false">IF(G1849="","",VLOOKUP(G1849,Setup!$A$14:$C$17,3,0))</f>
        <v/>
      </c>
      <c r="P1849" s="27"/>
      <c r="Q1849" s="29" t="str">
        <f aca="false">IF(OR(P1849="",M1849&lt;&gt;"Paid",O1849=""),"",P1849/O1849)</f>
        <v/>
      </c>
      <c r="R1849" s="30" t="str">
        <f aca="false">IF(Q1849="","",Q1849+N(H1849)*0.000000001)</f>
        <v/>
      </c>
      <c r="S1849" s="25" t="str">
        <f aca="false">IF(R1849="","",SUMPRODUCT((I$5:I$4004=I1849)*ISNUMBER(R$5:R$4004)*(R$5:R$4004&gt;R1849))+1)</f>
        <v/>
      </c>
      <c r="T1849" s="25" t="str">
        <f aca="false">IF(S1849="","",IF(S1849&lt;=Setup!$B$5,"🏆 WINNER",""))</f>
        <v/>
      </c>
      <c r="U1849" s="24" t="str">
        <f aca="false">IF(S1849="","",I1849&amp;"|"&amp;S1849)</f>
        <v/>
      </c>
    </row>
    <row r="1850" customFormat="false" ht="15" hidden="false" customHeight="false" outlineLevel="0" collapsed="false">
      <c r="A1850" s="31" t="n">
        <v>1846</v>
      </c>
      <c r="B1850" s="32" t="str">
        <f aca="false">IF(OR(C1850="",I1850="",G1850=""),"",IFERROR(VLOOKUP(I1850,Setup!$A$9:$B$11,2,0),"???")&amp;"-"&amp;G1850&amp;"-"&amp;TEXT(COUNTIFS(I$5:I1850,I1850,G$5:G1850,G1850),"0000"))</f>
        <v/>
      </c>
      <c r="C1850" s="26"/>
      <c r="D1850" s="26"/>
      <c r="E1850" s="27"/>
      <c r="F1850" s="27"/>
      <c r="G1850" s="31" t="str">
        <f aca="false">IF(F1850="","",IF(F1850&lt;=5,"A",IF(F1850&lt;=8,"B",IF(F1850&lt;=10,"C","D"))))</f>
        <v/>
      </c>
      <c r="H1850" s="28"/>
      <c r="I1850" s="27"/>
      <c r="J1850" s="26"/>
      <c r="K1850" s="27"/>
      <c r="L1850" s="27"/>
      <c r="M1850" s="27"/>
      <c r="N1850" s="27"/>
      <c r="O1850" s="31" t="str">
        <f aca="false">IF(G1850="","",VLOOKUP(G1850,Setup!$A$14:$C$17,3,0))</f>
        <v/>
      </c>
      <c r="P1850" s="27"/>
      <c r="Q1850" s="33" t="str">
        <f aca="false">IF(OR(P1850="",M1850&lt;&gt;"Paid",O1850=""),"",P1850/O1850)</f>
        <v/>
      </c>
      <c r="R1850" s="34" t="str">
        <f aca="false">IF(Q1850="","",Q1850+N(H1850)*0.000000001)</f>
        <v/>
      </c>
      <c r="S1850" s="32" t="str">
        <f aca="false">IF(R1850="","",SUMPRODUCT((I$5:I$4004=I1850)*ISNUMBER(R$5:R$4004)*(R$5:R$4004&gt;R1850))+1)</f>
        <v/>
      </c>
      <c r="T1850" s="32" t="str">
        <f aca="false">IF(S1850="","",IF(S1850&lt;=Setup!$B$5,"🏆 WINNER",""))</f>
        <v/>
      </c>
      <c r="U1850" s="31" t="str">
        <f aca="false">IF(S1850="","",I1850&amp;"|"&amp;S1850)</f>
        <v/>
      </c>
    </row>
    <row r="1851" customFormat="false" ht="15" hidden="false" customHeight="false" outlineLevel="0" collapsed="false">
      <c r="A1851" s="24" t="n">
        <v>1847</v>
      </c>
      <c r="B1851" s="25" t="str">
        <f aca="false">IF(OR(C1851="",I1851="",G1851=""),"",IFERROR(VLOOKUP(I1851,Setup!$A$9:$B$11,2,0),"???")&amp;"-"&amp;G1851&amp;"-"&amp;TEXT(COUNTIFS(I$5:I1851,I1851,G$5:G1851,G1851),"0000"))</f>
        <v/>
      </c>
      <c r="C1851" s="26"/>
      <c r="D1851" s="26"/>
      <c r="E1851" s="27"/>
      <c r="F1851" s="27"/>
      <c r="G1851" s="24" t="str">
        <f aca="false">IF(F1851="","",IF(F1851&lt;=5,"A",IF(F1851&lt;=8,"B",IF(F1851&lt;=10,"C","D"))))</f>
        <v/>
      </c>
      <c r="H1851" s="28"/>
      <c r="I1851" s="27"/>
      <c r="J1851" s="26"/>
      <c r="K1851" s="27"/>
      <c r="L1851" s="27"/>
      <c r="M1851" s="27"/>
      <c r="N1851" s="27"/>
      <c r="O1851" s="24" t="str">
        <f aca="false">IF(G1851="","",VLOOKUP(G1851,Setup!$A$14:$C$17,3,0))</f>
        <v/>
      </c>
      <c r="P1851" s="27"/>
      <c r="Q1851" s="29" t="str">
        <f aca="false">IF(OR(P1851="",M1851&lt;&gt;"Paid",O1851=""),"",P1851/O1851)</f>
        <v/>
      </c>
      <c r="R1851" s="30" t="str">
        <f aca="false">IF(Q1851="","",Q1851+N(H1851)*0.000000001)</f>
        <v/>
      </c>
      <c r="S1851" s="25" t="str">
        <f aca="false">IF(R1851="","",SUMPRODUCT((I$5:I$4004=I1851)*ISNUMBER(R$5:R$4004)*(R$5:R$4004&gt;R1851))+1)</f>
        <v/>
      </c>
      <c r="T1851" s="25" t="str">
        <f aca="false">IF(S1851="","",IF(S1851&lt;=Setup!$B$5,"🏆 WINNER",""))</f>
        <v/>
      </c>
      <c r="U1851" s="24" t="str">
        <f aca="false">IF(S1851="","",I1851&amp;"|"&amp;S1851)</f>
        <v/>
      </c>
    </row>
    <row r="1852" customFormat="false" ht="15" hidden="false" customHeight="false" outlineLevel="0" collapsed="false">
      <c r="A1852" s="31" t="n">
        <v>1848</v>
      </c>
      <c r="B1852" s="32" t="str">
        <f aca="false">IF(OR(C1852="",I1852="",G1852=""),"",IFERROR(VLOOKUP(I1852,Setup!$A$9:$B$11,2,0),"???")&amp;"-"&amp;G1852&amp;"-"&amp;TEXT(COUNTIFS(I$5:I1852,I1852,G$5:G1852,G1852),"0000"))</f>
        <v/>
      </c>
      <c r="C1852" s="26"/>
      <c r="D1852" s="26"/>
      <c r="E1852" s="27"/>
      <c r="F1852" s="27"/>
      <c r="G1852" s="31" t="str">
        <f aca="false">IF(F1852="","",IF(F1852&lt;=5,"A",IF(F1852&lt;=8,"B",IF(F1852&lt;=10,"C","D"))))</f>
        <v/>
      </c>
      <c r="H1852" s="28"/>
      <c r="I1852" s="27"/>
      <c r="J1852" s="26"/>
      <c r="K1852" s="27"/>
      <c r="L1852" s="27"/>
      <c r="M1852" s="27"/>
      <c r="N1852" s="27"/>
      <c r="O1852" s="31" t="str">
        <f aca="false">IF(G1852="","",VLOOKUP(G1852,Setup!$A$14:$C$17,3,0))</f>
        <v/>
      </c>
      <c r="P1852" s="27"/>
      <c r="Q1852" s="33" t="str">
        <f aca="false">IF(OR(P1852="",M1852&lt;&gt;"Paid",O1852=""),"",P1852/O1852)</f>
        <v/>
      </c>
      <c r="R1852" s="34" t="str">
        <f aca="false">IF(Q1852="","",Q1852+N(H1852)*0.000000001)</f>
        <v/>
      </c>
      <c r="S1852" s="32" t="str">
        <f aca="false">IF(R1852="","",SUMPRODUCT((I$5:I$4004=I1852)*ISNUMBER(R$5:R$4004)*(R$5:R$4004&gt;R1852))+1)</f>
        <v/>
      </c>
      <c r="T1852" s="32" t="str">
        <f aca="false">IF(S1852="","",IF(S1852&lt;=Setup!$B$5,"🏆 WINNER",""))</f>
        <v/>
      </c>
      <c r="U1852" s="31" t="str">
        <f aca="false">IF(S1852="","",I1852&amp;"|"&amp;S1852)</f>
        <v/>
      </c>
    </row>
    <row r="1853" customFormat="false" ht="15" hidden="false" customHeight="false" outlineLevel="0" collapsed="false">
      <c r="A1853" s="24" t="n">
        <v>1849</v>
      </c>
      <c r="B1853" s="25" t="str">
        <f aca="false">IF(OR(C1853="",I1853="",G1853=""),"",IFERROR(VLOOKUP(I1853,Setup!$A$9:$B$11,2,0),"???")&amp;"-"&amp;G1853&amp;"-"&amp;TEXT(COUNTIFS(I$5:I1853,I1853,G$5:G1853,G1853),"0000"))</f>
        <v/>
      </c>
      <c r="C1853" s="26"/>
      <c r="D1853" s="26"/>
      <c r="E1853" s="27"/>
      <c r="F1853" s="27"/>
      <c r="G1853" s="24" t="str">
        <f aca="false">IF(F1853="","",IF(F1853&lt;=5,"A",IF(F1853&lt;=8,"B",IF(F1853&lt;=10,"C","D"))))</f>
        <v/>
      </c>
      <c r="H1853" s="28"/>
      <c r="I1853" s="27"/>
      <c r="J1853" s="26"/>
      <c r="K1853" s="27"/>
      <c r="L1853" s="27"/>
      <c r="M1853" s="27"/>
      <c r="N1853" s="27"/>
      <c r="O1853" s="24" t="str">
        <f aca="false">IF(G1853="","",VLOOKUP(G1853,Setup!$A$14:$C$17,3,0))</f>
        <v/>
      </c>
      <c r="P1853" s="27"/>
      <c r="Q1853" s="29" t="str">
        <f aca="false">IF(OR(P1853="",M1853&lt;&gt;"Paid",O1853=""),"",P1853/O1853)</f>
        <v/>
      </c>
      <c r="R1853" s="30" t="str">
        <f aca="false">IF(Q1853="","",Q1853+N(H1853)*0.000000001)</f>
        <v/>
      </c>
      <c r="S1853" s="25" t="str">
        <f aca="false">IF(R1853="","",SUMPRODUCT((I$5:I$4004=I1853)*ISNUMBER(R$5:R$4004)*(R$5:R$4004&gt;R1853))+1)</f>
        <v/>
      </c>
      <c r="T1853" s="25" t="str">
        <f aca="false">IF(S1853="","",IF(S1853&lt;=Setup!$B$5,"🏆 WINNER",""))</f>
        <v/>
      </c>
      <c r="U1853" s="24" t="str">
        <f aca="false">IF(S1853="","",I1853&amp;"|"&amp;S1853)</f>
        <v/>
      </c>
    </row>
    <row r="1854" customFormat="false" ht="15" hidden="false" customHeight="false" outlineLevel="0" collapsed="false">
      <c r="A1854" s="31" t="n">
        <v>1850</v>
      </c>
      <c r="B1854" s="32" t="str">
        <f aca="false">IF(OR(C1854="",I1854="",G1854=""),"",IFERROR(VLOOKUP(I1854,Setup!$A$9:$B$11,2,0),"???")&amp;"-"&amp;G1854&amp;"-"&amp;TEXT(COUNTIFS(I$5:I1854,I1854,G$5:G1854,G1854),"0000"))</f>
        <v/>
      </c>
      <c r="C1854" s="26"/>
      <c r="D1854" s="26"/>
      <c r="E1854" s="27"/>
      <c r="F1854" s="27"/>
      <c r="G1854" s="31" t="str">
        <f aca="false">IF(F1854="","",IF(F1854&lt;=5,"A",IF(F1854&lt;=8,"B",IF(F1854&lt;=10,"C","D"))))</f>
        <v/>
      </c>
      <c r="H1854" s="28"/>
      <c r="I1854" s="27"/>
      <c r="J1854" s="26"/>
      <c r="K1854" s="27"/>
      <c r="L1854" s="27"/>
      <c r="M1854" s="27"/>
      <c r="N1854" s="27"/>
      <c r="O1854" s="31" t="str">
        <f aca="false">IF(G1854="","",VLOOKUP(G1854,Setup!$A$14:$C$17,3,0))</f>
        <v/>
      </c>
      <c r="P1854" s="27"/>
      <c r="Q1854" s="33" t="str">
        <f aca="false">IF(OR(P1854="",M1854&lt;&gt;"Paid",O1854=""),"",P1854/O1854)</f>
        <v/>
      </c>
      <c r="R1854" s="34" t="str">
        <f aca="false">IF(Q1854="","",Q1854+N(H1854)*0.000000001)</f>
        <v/>
      </c>
      <c r="S1854" s="32" t="str">
        <f aca="false">IF(R1854="","",SUMPRODUCT((I$5:I$4004=I1854)*ISNUMBER(R$5:R$4004)*(R$5:R$4004&gt;R1854))+1)</f>
        <v/>
      </c>
      <c r="T1854" s="32" t="str">
        <f aca="false">IF(S1854="","",IF(S1854&lt;=Setup!$B$5,"🏆 WINNER",""))</f>
        <v/>
      </c>
      <c r="U1854" s="31" t="str">
        <f aca="false">IF(S1854="","",I1854&amp;"|"&amp;S1854)</f>
        <v/>
      </c>
    </row>
    <row r="1855" customFormat="false" ht="15" hidden="false" customHeight="false" outlineLevel="0" collapsed="false">
      <c r="A1855" s="24" t="n">
        <v>1851</v>
      </c>
      <c r="B1855" s="25" t="str">
        <f aca="false">IF(OR(C1855="",I1855="",G1855=""),"",IFERROR(VLOOKUP(I1855,Setup!$A$9:$B$11,2,0),"???")&amp;"-"&amp;G1855&amp;"-"&amp;TEXT(COUNTIFS(I$5:I1855,I1855,G$5:G1855,G1855),"0000"))</f>
        <v/>
      </c>
      <c r="C1855" s="26"/>
      <c r="D1855" s="26"/>
      <c r="E1855" s="27"/>
      <c r="F1855" s="27"/>
      <c r="G1855" s="24" t="str">
        <f aca="false">IF(F1855="","",IF(F1855&lt;=5,"A",IF(F1855&lt;=8,"B",IF(F1855&lt;=10,"C","D"))))</f>
        <v/>
      </c>
      <c r="H1855" s="28"/>
      <c r="I1855" s="27"/>
      <c r="J1855" s="26"/>
      <c r="K1855" s="27"/>
      <c r="L1855" s="27"/>
      <c r="M1855" s="27"/>
      <c r="N1855" s="27"/>
      <c r="O1855" s="24" t="str">
        <f aca="false">IF(G1855="","",VLOOKUP(G1855,Setup!$A$14:$C$17,3,0))</f>
        <v/>
      </c>
      <c r="P1855" s="27"/>
      <c r="Q1855" s="29" t="str">
        <f aca="false">IF(OR(P1855="",M1855&lt;&gt;"Paid",O1855=""),"",P1855/O1855)</f>
        <v/>
      </c>
      <c r="R1855" s="30" t="str">
        <f aca="false">IF(Q1855="","",Q1855+N(H1855)*0.000000001)</f>
        <v/>
      </c>
      <c r="S1855" s="25" t="str">
        <f aca="false">IF(R1855="","",SUMPRODUCT((I$5:I$4004=I1855)*ISNUMBER(R$5:R$4004)*(R$5:R$4004&gt;R1855))+1)</f>
        <v/>
      </c>
      <c r="T1855" s="25" t="str">
        <f aca="false">IF(S1855="","",IF(S1855&lt;=Setup!$B$5,"🏆 WINNER",""))</f>
        <v/>
      </c>
      <c r="U1855" s="24" t="str">
        <f aca="false">IF(S1855="","",I1855&amp;"|"&amp;S1855)</f>
        <v/>
      </c>
    </row>
    <row r="1856" customFormat="false" ht="15" hidden="false" customHeight="false" outlineLevel="0" collapsed="false">
      <c r="A1856" s="31" t="n">
        <v>1852</v>
      </c>
      <c r="B1856" s="32" t="str">
        <f aca="false">IF(OR(C1856="",I1856="",G1856=""),"",IFERROR(VLOOKUP(I1856,Setup!$A$9:$B$11,2,0),"???")&amp;"-"&amp;G1856&amp;"-"&amp;TEXT(COUNTIFS(I$5:I1856,I1856,G$5:G1856,G1856),"0000"))</f>
        <v/>
      </c>
      <c r="C1856" s="26"/>
      <c r="D1856" s="26"/>
      <c r="E1856" s="27"/>
      <c r="F1856" s="27"/>
      <c r="G1856" s="31" t="str">
        <f aca="false">IF(F1856="","",IF(F1856&lt;=5,"A",IF(F1856&lt;=8,"B",IF(F1856&lt;=10,"C","D"))))</f>
        <v/>
      </c>
      <c r="H1856" s="28"/>
      <c r="I1856" s="27"/>
      <c r="J1856" s="26"/>
      <c r="K1856" s="27"/>
      <c r="L1856" s="27"/>
      <c r="M1856" s="27"/>
      <c r="N1856" s="27"/>
      <c r="O1856" s="31" t="str">
        <f aca="false">IF(G1856="","",VLOOKUP(G1856,Setup!$A$14:$C$17,3,0))</f>
        <v/>
      </c>
      <c r="P1856" s="27"/>
      <c r="Q1856" s="33" t="str">
        <f aca="false">IF(OR(P1856="",M1856&lt;&gt;"Paid",O1856=""),"",P1856/O1856)</f>
        <v/>
      </c>
      <c r="R1856" s="34" t="str">
        <f aca="false">IF(Q1856="","",Q1856+N(H1856)*0.000000001)</f>
        <v/>
      </c>
      <c r="S1856" s="32" t="str">
        <f aca="false">IF(R1856="","",SUMPRODUCT((I$5:I$4004=I1856)*ISNUMBER(R$5:R$4004)*(R$5:R$4004&gt;R1856))+1)</f>
        <v/>
      </c>
      <c r="T1856" s="32" t="str">
        <f aca="false">IF(S1856="","",IF(S1856&lt;=Setup!$B$5,"🏆 WINNER",""))</f>
        <v/>
      </c>
      <c r="U1856" s="31" t="str">
        <f aca="false">IF(S1856="","",I1856&amp;"|"&amp;S1856)</f>
        <v/>
      </c>
    </row>
    <row r="1857" customFormat="false" ht="15" hidden="false" customHeight="false" outlineLevel="0" collapsed="false">
      <c r="A1857" s="24" t="n">
        <v>1853</v>
      </c>
      <c r="B1857" s="25" t="str">
        <f aca="false">IF(OR(C1857="",I1857="",G1857=""),"",IFERROR(VLOOKUP(I1857,Setup!$A$9:$B$11,2,0),"???")&amp;"-"&amp;G1857&amp;"-"&amp;TEXT(COUNTIFS(I$5:I1857,I1857,G$5:G1857,G1857),"0000"))</f>
        <v/>
      </c>
      <c r="C1857" s="26"/>
      <c r="D1857" s="26"/>
      <c r="E1857" s="27"/>
      <c r="F1857" s="27"/>
      <c r="G1857" s="24" t="str">
        <f aca="false">IF(F1857="","",IF(F1857&lt;=5,"A",IF(F1857&lt;=8,"B",IF(F1857&lt;=10,"C","D"))))</f>
        <v/>
      </c>
      <c r="H1857" s="28"/>
      <c r="I1857" s="27"/>
      <c r="J1857" s="26"/>
      <c r="K1857" s="27"/>
      <c r="L1857" s="27"/>
      <c r="M1857" s="27"/>
      <c r="N1857" s="27"/>
      <c r="O1857" s="24" t="str">
        <f aca="false">IF(G1857="","",VLOOKUP(G1857,Setup!$A$14:$C$17,3,0))</f>
        <v/>
      </c>
      <c r="P1857" s="27"/>
      <c r="Q1857" s="29" t="str">
        <f aca="false">IF(OR(P1857="",M1857&lt;&gt;"Paid",O1857=""),"",P1857/O1857)</f>
        <v/>
      </c>
      <c r="R1857" s="30" t="str">
        <f aca="false">IF(Q1857="","",Q1857+N(H1857)*0.000000001)</f>
        <v/>
      </c>
      <c r="S1857" s="25" t="str">
        <f aca="false">IF(R1857="","",SUMPRODUCT((I$5:I$4004=I1857)*ISNUMBER(R$5:R$4004)*(R$5:R$4004&gt;R1857))+1)</f>
        <v/>
      </c>
      <c r="T1857" s="25" t="str">
        <f aca="false">IF(S1857="","",IF(S1857&lt;=Setup!$B$5,"🏆 WINNER",""))</f>
        <v/>
      </c>
      <c r="U1857" s="24" t="str">
        <f aca="false">IF(S1857="","",I1857&amp;"|"&amp;S1857)</f>
        <v/>
      </c>
    </row>
    <row r="1858" customFormat="false" ht="15" hidden="false" customHeight="false" outlineLevel="0" collapsed="false">
      <c r="A1858" s="31" t="n">
        <v>1854</v>
      </c>
      <c r="B1858" s="32" t="str">
        <f aca="false">IF(OR(C1858="",I1858="",G1858=""),"",IFERROR(VLOOKUP(I1858,Setup!$A$9:$B$11,2,0),"???")&amp;"-"&amp;G1858&amp;"-"&amp;TEXT(COUNTIFS(I$5:I1858,I1858,G$5:G1858,G1858),"0000"))</f>
        <v/>
      </c>
      <c r="C1858" s="26"/>
      <c r="D1858" s="26"/>
      <c r="E1858" s="27"/>
      <c r="F1858" s="27"/>
      <c r="G1858" s="31" t="str">
        <f aca="false">IF(F1858="","",IF(F1858&lt;=5,"A",IF(F1858&lt;=8,"B",IF(F1858&lt;=10,"C","D"))))</f>
        <v/>
      </c>
      <c r="H1858" s="28"/>
      <c r="I1858" s="27"/>
      <c r="J1858" s="26"/>
      <c r="K1858" s="27"/>
      <c r="L1858" s="27"/>
      <c r="M1858" s="27"/>
      <c r="N1858" s="27"/>
      <c r="O1858" s="31" t="str">
        <f aca="false">IF(G1858="","",VLOOKUP(G1858,Setup!$A$14:$C$17,3,0))</f>
        <v/>
      </c>
      <c r="P1858" s="27"/>
      <c r="Q1858" s="33" t="str">
        <f aca="false">IF(OR(P1858="",M1858&lt;&gt;"Paid",O1858=""),"",P1858/O1858)</f>
        <v/>
      </c>
      <c r="R1858" s="34" t="str">
        <f aca="false">IF(Q1858="","",Q1858+N(H1858)*0.000000001)</f>
        <v/>
      </c>
      <c r="S1858" s="32" t="str">
        <f aca="false">IF(R1858="","",SUMPRODUCT((I$5:I$4004=I1858)*ISNUMBER(R$5:R$4004)*(R$5:R$4004&gt;R1858))+1)</f>
        <v/>
      </c>
      <c r="T1858" s="32" t="str">
        <f aca="false">IF(S1858="","",IF(S1858&lt;=Setup!$B$5,"🏆 WINNER",""))</f>
        <v/>
      </c>
      <c r="U1858" s="31" t="str">
        <f aca="false">IF(S1858="","",I1858&amp;"|"&amp;S1858)</f>
        <v/>
      </c>
    </row>
    <row r="1859" customFormat="false" ht="15" hidden="false" customHeight="false" outlineLevel="0" collapsed="false">
      <c r="A1859" s="24" t="n">
        <v>1855</v>
      </c>
      <c r="B1859" s="25" t="str">
        <f aca="false">IF(OR(C1859="",I1859="",G1859=""),"",IFERROR(VLOOKUP(I1859,Setup!$A$9:$B$11,2,0),"???")&amp;"-"&amp;G1859&amp;"-"&amp;TEXT(COUNTIFS(I$5:I1859,I1859,G$5:G1859,G1859),"0000"))</f>
        <v/>
      </c>
      <c r="C1859" s="26"/>
      <c r="D1859" s="26"/>
      <c r="E1859" s="27"/>
      <c r="F1859" s="27"/>
      <c r="G1859" s="24" t="str">
        <f aca="false">IF(F1859="","",IF(F1859&lt;=5,"A",IF(F1859&lt;=8,"B",IF(F1859&lt;=10,"C","D"))))</f>
        <v/>
      </c>
      <c r="H1859" s="28"/>
      <c r="I1859" s="27"/>
      <c r="J1859" s="26"/>
      <c r="K1859" s="27"/>
      <c r="L1859" s="27"/>
      <c r="M1859" s="27"/>
      <c r="N1859" s="27"/>
      <c r="O1859" s="24" t="str">
        <f aca="false">IF(G1859="","",VLOOKUP(G1859,Setup!$A$14:$C$17,3,0))</f>
        <v/>
      </c>
      <c r="P1859" s="27"/>
      <c r="Q1859" s="29" t="str">
        <f aca="false">IF(OR(P1859="",M1859&lt;&gt;"Paid",O1859=""),"",P1859/O1859)</f>
        <v/>
      </c>
      <c r="R1859" s="30" t="str">
        <f aca="false">IF(Q1859="","",Q1859+N(H1859)*0.000000001)</f>
        <v/>
      </c>
      <c r="S1859" s="25" t="str">
        <f aca="false">IF(R1859="","",SUMPRODUCT((I$5:I$4004=I1859)*ISNUMBER(R$5:R$4004)*(R$5:R$4004&gt;R1859))+1)</f>
        <v/>
      </c>
      <c r="T1859" s="25" t="str">
        <f aca="false">IF(S1859="","",IF(S1859&lt;=Setup!$B$5,"🏆 WINNER",""))</f>
        <v/>
      </c>
      <c r="U1859" s="24" t="str">
        <f aca="false">IF(S1859="","",I1859&amp;"|"&amp;S1859)</f>
        <v/>
      </c>
    </row>
    <row r="1860" customFormat="false" ht="15" hidden="false" customHeight="false" outlineLevel="0" collapsed="false">
      <c r="A1860" s="31" t="n">
        <v>1856</v>
      </c>
      <c r="B1860" s="32" t="str">
        <f aca="false">IF(OR(C1860="",I1860="",G1860=""),"",IFERROR(VLOOKUP(I1860,Setup!$A$9:$B$11,2,0),"???")&amp;"-"&amp;G1860&amp;"-"&amp;TEXT(COUNTIFS(I$5:I1860,I1860,G$5:G1860,G1860),"0000"))</f>
        <v/>
      </c>
      <c r="C1860" s="26"/>
      <c r="D1860" s="26"/>
      <c r="E1860" s="27"/>
      <c r="F1860" s="27"/>
      <c r="G1860" s="31" t="str">
        <f aca="false">IF(F1860="","",IF(F1860&lt;=5,"A",IF(F1860&lt;=8,"B",IF(F1860&lt;=10,"C","D"))))</f>
        <v/>
      </c>
      <c r="H1860" s="28"/>
      <c r="I1860" s="27"/>
      <c r="J1860" s="26"/>
      <c r="K1860" s="27"/>
      <c r="L1860" s="27"/>
      <c r="M1860" s="27"/>
      <c r="N1860" s="27"/>
      <c r="O1860" s="31" t="str">
        <f aca="false">IF(G1860="","",VLOOKUP(G1860,Setup!$A$14:$C$17,3,0))</f>
        <v/>
      </c>
      <c r="P1860" s="27"/>
      <c r="Q1860" s="33" t="str">
        <f aca="false">IF(OR(P1860="",M1860&lt;&gt;"Paid",O1860=""),"",P1860/O1860)</f>
        <v/>
      </c>
      <c r="R1860" s="34" t="str">
        <f aca="false">IF(Q1860="","",Q1860+N(H1860)*0.000000001)</f>
        <v/>
      </c>
      <c r="S1860" s="32" t="str">
        <f aca="false">IF(R1860="","",SUMPRODUCT((I$5:I$4004=I1860)*ISNUMBER(R$5:R$4004)*(R$5:R$4004&gt;R1860))+1)</f>
        <v/>
      </c>
      <c r="T1860" s="32" t="str">
        <f aca="false">IF(S1860="","",IF(S1860&lt;=Setup!$B$5,"🏆 WINNER",""))</f>
        <v/>
      </c>
      <c r="U1860" s="31" t="str">
        <f aca="false">IF(S1860="","",I1860&amp;"|"&amp;S1860)</f>
        <v/>
      </c>
    </row>
    <row r="1861" customFormat="false" ht="15" hidden="false" customHeight="false" outlineLevel="0" collapsed="false">
      <c r="A1861" s="24" t="n">
        <v>1857</v>
      </c>
      <c r="B1861" s="25" t="str">
        <f aca="false">IF(OR(C1861="",I1861="",G1861=""),"",IFERROR(VLOOKUP(I1861,Setup!$A$9:$B$11,2,0),"???")&amp;"-"&amp;G1861&amp;"-"&amp;TEXT(COUNTIFS(I$5:I1861,I1861,G$5:G1861,G1861),"0000"))</f>
        <v/>
      </c>
      <c r="C1861" s="26"/>
      <c r="D1861" s="26"/>
      <c r="E1861" s="27"/>
      <c r="F1861" s="27"/>
      <c r="G1861" s="24" t="str">
        <f aca="false">IF(F1861="","",IF(F1861&lt;=5,"A",IF(F1861&lt;=8,"B",IF(F1861&lt;=10,"C","D"))))</f>
        <v/>
      </c>
      <c r="H1861" s="28"/>
      <c r="I1861" s="27"/>
      <c r="J1861" s="26"/>
      <c r="K1861" s="27"/>
      <c r="L1861" s="27"/>
      <c r="M1861" s="27"/>
      <c r="N1861" s="27"/>
      <c r="O1861" s="24" t="str">
        <f aca="false">IF(G1861="","",VLOOKUP(G1861,Setup!$A$14:$C$17,3,0))</f>
        <v/>
      </c>
      <c r="P1861" s="27"/>
      <c r="Q1861" s="29" t="str">
        <f aca="false">IF(OR(P1861="",M1861&lt;&gt;"Paid",O1861=""),"",P1861/O1861)</f>
        <v/>
      </c>
      <c r="R1861" s="30" t="str">
        <f aca="false">IF(Q1861="","",Q1861+N(H1861)*0.000000001)</f>
        <v/>
      </c>
      <c r="S1861" s="25" t="str">
        <f aca="false">IF(R1861="","",SUMPRODUCT((I$5:I$4004=I1861)*ISNUMBER(R$5:R$4004)*(R$5:R$4004&gt;R1861))+1)</f>
        <v/>
      </c>
      <c r="T1861" s="25" t="str">
        <f aca="false">IF(S1861="","",IF(S1861&lt;=Setup!$B$5,"🏆 WINNER",""))</f>
        <v/>
      </c>
      <c r="U1861" s="24" t="str">
        <f aca="false">IF(S1861="","",I1861&amp;"|"&amp;S1861)</f>
        <v/>
      </c>
    </row>
    <row r="1862" customFormat="false" ht="15" hidden="false" customHeight="false" outlineLevel="0" collapsed="false">
      <c r="A1862" s="31" t="n">
        <v>1858</v>
      </c>
      <c r="B1862" s="32" t="str">
        <f aca="false">IF(OR(C1862="",I1862="",G1862=""),"",IFERROR(VLOOKUP(I1862,Setup!$A$9:$B$11,2,0),"???")&amp;"-"&amp;G1862&amp;"-"&amp;TEXT(COUNTIFS(I$5:I1862,I1862,G$5:G1862,G1862),"0000"))</f>
        <v/>
      </c>
      <c r="C1862" s="26"/>
      <c r="D1862" s="26"/>
      <c r="E1862" s="27"/>
      <c r="F1862" s="27"/>
      <c r="G1862" s="31" t="str">
        <f aca="false">IF(F1862="","",IF(F1862&lt;=5,"A",IF(F1862&lt;=8,"B",IF(F1862&lt;=10,"C","D"))))</f>
        <v/>
      </c>
      <c r="H1862" s="28"/>
      <c r="I1862" s="27"/>
      <c r="J1862" s="26"/>
      <c r="K1862" s="27"/>
      <c r="L1862" s="27"/>
      <c r="M1862" s="27"/>
      <c r="N1862" s="27"/>
      <c r="O1862" s="31" t="str">
        <f aca="false">IF(G1862="","",VLOOKUP(G1862,Setup!$A$14:$C$17,3,0))</f>
        <v/>
      </c>
      <c r="P1862" s="27"/>
      <c r="Q1862" s="33" t="str">
        <f aca="false">IF(OR(P1862="",M1862&lt;&gt;"Paid",O1862=""),"",P1862/O1862)</f>
        <v/>
      </c>
      <c r="R1862" s="34" t="str">
        <f aca="false">IF(Q1862="","",Q1862+N(H1862)*0.000000001)</f>
        <v/>
      </c>
      <c r="S1862" s="32" t="str">
        <f aca="false">IF(R1862="","",SUMPRODUCT((I$5:I$4004=I1862)*ISNUMBER(R$5:R$4004)*(R$5:R$4004&gt;R1862))+1)</f>
        <v/>
      </c>
      <c r="T1862" s="32" t="str">
        <f aca="false">IF(S1862="","",IF(S1862&lt;=Setup!$B$5,"🏆 WINNER",""))</f>
        <v/>
      </c>
      <c r="U1862" s="31" t="str">
        <f aca="false">IF(S1862="","",I1862&amp;"|"&amp;S1862)</f>
        <v/>
      </c>
    </row>
    <row r="1863" customFormat="false" ht="15" hidden="false" customHeight="false" outlineLevel="0" collapsed="false">
      <c r="A1863" s="24" t="n">
        <v>1859</v>
      </c>
      <c r="B1863" s="25" t="str">
        <f aca="false">IF(OR(C1863="",I1863="",G1863=""),"",IFERROR(VLOOKUP(I1863,Setup!$A$9:$B$11,2,0),"???")&amp;"-"&amp;G1863&amp;"-"&amp;TEXT(COUNTIFS(I$5:I1863,I1863,G$5:G1863,G1863),"0000"))</f>
        <v/>
      </c>
      <c r="C1863" s="26"/>
      <c r="D1863" s="26"/>
      <c r="E1863" s="27"/>
      <c r="F1863" s="27"/>
      <c r="G1863" s="24" t="str">
        <f aca="false">IF(F1863="","",IF(F1863&lt;=5,"A",IF(F1863&lt;=8,"B",IF(F1863&lt;=10,"C","D"))))</f>
        <v/>
      </c>
      <c r="H1863" s="28"/>
      <c r="I1863" s="27"/>
      <c r="J1863" s="26"/>
      <c r="K1863" s="27"/>
      <c r="L1863" s="27"/>
      <c r="M1863" s="27"/>
      <c r="N1863" s="27"/>
      <c r="O1863" s="24" t="str">
        <f aca="false">IF(G1863="","",VLOOKUP(G1863,Setup!$A$14:$C$17,3,0))</f>
        <v/>
      </c>
      <c r="P1863" s="27"/>
      <c r="Q1863" s="29" t="str">
        <f aca="false">IF(OR(P1863="",M1863&lt;&gt;"Paid",O1863=""),"",P1863/O1863)</f>
        <v/>
      </c>
      <c r="R1863" s="30" t="str">
        <f aca="false">IF(Q1863="","",Q1863+N(H1863)*0.000000001)</f>
        <v/>
      </c>
      <c r="S1863" s="25" t="str">
        <f aca="false">IF(R1863="","",SUMPRODUCT((I$5:I$4004=I1863)*ISNUMBER(R$5:R$4004)*(R$5:R$4004&gt;R1863))+1)</f>
        <v/>
      </c>
      <c r="T1863" s="25" t="str">
        <f aca="false">IF(S1863="","",IF(S1863&lt;=Setup!$B$5,"🏆 WINNER",""))</f>
        <v/>
      </c>
      <c r="U1863" s="24" t="str">
        <f aca="false">IF(S1863="","",I1863&amp;"|"&amp;S1863)</f>
        <v/>
      </c>
    </row>
    <row r="1864" customFormat="false" ht="15" hidden="false" customHeight="false" outlineLevel="0" collapsed="false">
      <c r="A1864" s="31" t="n">
        <v>1860</v>
      </c>
      <c r="B1864" s="32" t="str">
        <f aca="false">IF(OR(C1864="",I1864="",G1864=""),"",IFERROR(VLOOKUP(I1864,Setup!$A$9:$B$11,2,0),"???")&amp;"-"&amp;G1864&amp;"-"&amp;TEXT(COUNTIFS(I$5:I1864,I1864,G$5:G1864,G1864),"0000"))</f>
        <v/>
      </c>
      <c r="C1864" s="26"/>
      <c r="D1864" s="26"/>
      <c r="E1864" s="27"/>
      <c r="F1864" s="27"/>
      <c r="G1864" s="31" t="str">
        <f aca="false">IF(F1864="","",IF(F1864&lt;=5,"A",IF(F1864&lt;=8,"B",IF(F1864&lt;=10,"C","D"))))</f>
        <v/>
      </c>
      <c r="H1864" s="28"/>
      <c r="I1864" s="27"/>
      <c r="J1864" s="26"/>
      <c r="K1864" s="27"/>
      <c r="L1864" s="27"/>
      <c r="M1864" s="27"/>
      <c r="N1864" s="27"/>
      <c r="O1864" s="31" t="str">
        <f aca="false">IF(G1864="","",VLOOKUP(G1864,Setup!$A$14:$C$17,3,0))</f>
        <v/>
      </c>
      <c r="P1864" s="27"/>
      <c r="Q1864" s="33" t="str">
        <f aca="false">IF(OR(P1864="",M1864&lt;&gt;"Paid",O1864=""),"",P1864/O1864)</f>
        <v/>
      </c>
      <c r="R1864" s="34" t="str">
        <f aca="false">IF(Q1864="","",Q1864+N(H1864)*0.000000001)</f>
        <v/>
      </c>
      <c r="S1864" s="32" t="str">
        <f aca="false">IF(R1864="","",SUMPRODUCT((I$5:I$4004=I1864)*ISNUMBER(R$5:R$4004)*(R$5:R$4004&gt;R1864))+1)</f>
        <v/>
      </c>
      <c r="T1864" s="32" t="str">
        <f aca="false">IF(S1864="","",IF(S1864&lt;=Setup!$B$5,"🏆 WINNER",""))</f>
        <v/>
      </c>
      <c r="U1864" s="31" t="str">
        <f aca="false">IF(S1864="","",I1864&amp;"|"&amp;S1864)</f>
        <v/>
      </c>
    </row>
    <row r="1865" customFormat="false" ht="15" hidden="false" customHeight="false" outlineLevel="0" collapsed="false">
      <c r="A1865" s="24" t="n">
        <v>1861</v>
      </c>
      <c r="B1865" s="25" t="str">
        <f aca="false">IF(OR(C1865="",I1865="",G1865=""),"",IFERROR(VLOOKUP(I1865,Setup!$A$9:$B$11,2,0),"???")&amp;"-"&amp;G1865&amp;"-"&amp;TEXT(COUNTIFS(I$5:I1865,I1865,G$5:G1865,G1865),"0000"))</f>
        <v/>
      </c>
      <c r="C1865" s="26"/>
      <c r="D1865" s="26"/>
      <c r="E1865" s="27"/>
      <c r="F1865" s="27"/>
      <c r="G1865" s="24" t="str">
        <f aca="false">IF(F1865="","",IF(F1865&lt;=5,"A",IF(F1865&lt;=8,"B",IF(F1865&lt;=10,"C","D"))))</f>
        <v/>
      </c>
      <c r="H1865" s="28"/>
      <c r="I1865" s="27"/>
      <c r="J1865" s="26"/>
      <c r="K1865" s="27"/>
      <c r="L1865" s="27"/>
      <c r="M1865" s="27"/>
      <c r="N1865" s="27"/>
      <c r="O1865" s="24" t="str">
        <f aca="false">IF(G1865="","",VLOOKUP(G1865,Setup!$A$14:$C$17,3,0))</f>
        <v/>
      </c>
      <c r="P1865" s="27"/>
      <c r="Q1865" s="29" t="str">
        <f aca="false">IF(OR(P1865="",M1865&lt;&gt;"Paid",O1865=""),"",P1865/O1865)</f>
        <v/>
      </c>
      <c r="R1865" s="30" t="str">
        <f aca="false">IF(Q1865="","",Q1865+N(H1865)*0.000000001)</f>
        <v/>
      </c>
      <c r="S1865" s="25" t="str">
        <f aca="false">IF(R1865="","",SUMPRODUCT((I$5:I$4004=I1865)*ISNUMBER(R$5:R$4004)*(R$5:R$4004&gt;R1865))+1)</f>
        <v/>
      </c>
      <c r="T1865" s="25" t="str">
        <f aca="false">IF(S1865="","",IF(S1865&lt;=Setup!$B$5,"🏆 WINNER",""))</f>
        <v/>
      </c>
      <c r="U1865" s="24" t="str">
        <f aca="false">IF(S1865="","",I1865&amp;"|"&amp;S1865)</f>
        <v/>
      </c>
    </row>
    <row r="1866" customFormat="false" ht="15" hidden="false" customHeight="false" outlineLevel="0" collapsed="false">
      <c r="A1866" s="31" t="n">
        <v>1862</v>
      </c>
      <c r="B1866" s="32" t="str">
        <f aca="false">IF(OR(C1866="",I1866="",G1866=""),"",IFERROR(VLOOKUP(I1866,Setup!$A$9:$B$11,2,0),"???")&amp;"-"&amp;G1866&amp;"-"&amp;TEXT(COUNTIFS(I$5:I1866,I1866,G$5:G1866,G1866),"0000"))</f>
        <v/>
      </c>
      <c r="C1866" s="26"/>
      <c r="D1866" s="26"/>
      <c r="E1866" s="27"/>
      <c r="F1866" s="27"/>
      <c r="G1866" s="31" t="str">
        <f aca="false">IF(F1866="","",IF(F1866&lt;=5,"A",IF(F1866&lt;=8,"B",IF(F1866&lt;=10,"C","D"))))</f>
        <v/>
      </c>
      <c r="H1866" s="28"/>
      <c r="I1866" s="27"/>
      <c r="J1866" s="26"/>
      <c r="K1866" s="27"/>
      <c r="L1866" s="27"/>
      <c r="M1866" s="27"/>
      <c r="N1866" s="27"/>
      <c r="O1866" s="31" t="str">
        <f aca="false">IF(G1866="","",VLOOKUP(G1866,Setup!$A$14:$C$17,3,0))</f>
        <v/>
      </c>
      <c r="P1866" s="27"/>
      <c r="Q1866" s="33" t="str">
        <f aca="false">IF(OR(P1866="",M1866&lt;&gt;"Paid",O1866=""),"",P1866/O1866)</f>
        <v/>
      </c>
      <c r="R1866" s="34" t="str">
        <f aca="false">IF(Q1866="","",Q1866+N(H1866)*0.000000001)</f>
        <v/>
      </c>
      <c r="S1866" s="32" t="str">
        <f aca="false">IF(R1866="","",SUMPRODUCT((I$5:I$4004=I1866)*ISNUMBER(R$5:R$4004)*(R$5:R$4004&gt;R1866))+1)</f>
        <v/>
      </c>
      <c r="T1866" s="32" t="str">
        <f aca="false">IF(S1866="","",IF(S1866&lt;=Setup!$B$5,"🏆 WINNER",""))</f>
        <v/>
      </c>
      <c r="U1866" s="31" t="str">
        <f aca="false">IF(S1866="","",I1866&amp;"|"&amp;S1866)</f>
        <v/>
      </c>
    </row>
    <row r="1867" customFormat="false" ht="15" hidden="false" customHeight="false" outlineLevel="0" collapsed="false">
      <c r="A1867" s="24" t="n">
        <v>1863</v>
      </c>
      <c r="B1867" s="25" t="str">
        <f aca="false">IF(OR(C1867="",I1867="",G1867=""),"",IFERROR(VLOOKUP(I1867,Setup!$A$9:$B$11,2,0),"???")&amp;"-"&amp;G1867&amp;"-"&amp;TEXT(COUNTIFS(I$5:I1867,I1867,G$5:G1867,G1867),"0000"))</f>
        <v/>
      </c>
      <c r="C1867" s="26"/>
      <c r="D1867" s="26"/>
      <c r="E1867" s="27"/>
      <c r="F1867" s="27"/>
      <c r="G1867" s="24" t="str">
        <f aca="false">IF(F1867="","",IF(F1867&lt;=5,"A",IF(F1867&lt;=8,"B",IF(F1867&lt;=10,"C","D"))))</f>
        <v/>
      </c>
      <c r="H1867" s="28"/>
      <c r="I1867" s="27"/>
      <c r="J1867" s="26"/>
      <c r="K1867" s="27"/>
      <c r="L1867" s="27"/>
      <c r="M1867" s="27"/>
      <c r="N1867" s="27"/>
      <c r="O1867" s="24" t="str">
        <f aca="false">IF(G1867="","",VLOOKUP(G1867,Setup!$A$14:$C$17,3,0))</f>
        <v/>
      </c>
      <c r="P1867" s="27"/>
      <c r="Q1867" s="29" t="str">
        <f aca="false">IF(OR(P1867="",M1867&lt;&gt;"Paid",O1867=""),"",P1867/O1867)</f>
        <v/>
      </c>
      <c r="R1867" s="30" t="str">
        <f aca="false">IF(Q1867="","",Q1867+N(H1867)*0.000000001)</f>
        <v/>
      </c>
      <c r="S1867" s="25" t="str">
        <f aca="false">IF(R1867="","",SUMPRODUCT((I$5:I$4004=I1867)*ISNUMBER(R$5:R$4004)*(R$5:R$4004&gt;R1867))+1)</f>
        <v/>
      </c>
      <c r="T1867" s="25" t="str">
        <f aca="false">IF(S1867="","",IF(S1867&lt;=Setup!$B$5,"🏆 WINNER",""))</f>
        <v/>
      </c>
      <c r="U1867" s="24" t="str">
        <f aca="false">IF(S1867="","",I1867&amp;"|"&amp;S1867)</f>
        <v/>
      </c>
    </row>
    <row r="1868" customFormat="false" ht="15" hidden="false" customHeight="false" outlineLevel="0" collapsed="false">
      <c r="A1868" s="31" t="n">
        <v>1864</v>
      </c>
      <c r="B1868" s="32" t="str">
        <f aca="false">IF(OR(C1868="",I1868="",G1868=""),"",IFERROR(VLOOKUP(I1868,Setup!$A$9:$B$11,2,0),"???")&amp;"-"&amp;G1868&amp;"-"&amp;TEXT(COUNTIFS(I$5:I1868,I1868,G$5:G1868,G1868),"0000"))</f>
        <v/>
      </c>
      <c r="C1868" s="26"/>
      <c r="D1868" s="26"/>
      <c r="E1868" s="27"/>
      <c r="F1868" s="27"/>
      <c r="G1868" s="31" t="str">
        <f aca="false">IF(F1868="","",IF(F1868&lt;=5,"A",IF(F1868&lt;=8,"B",IF(F1868&lt;=10,"C","D"))))</f>
        <v/>
      </c>
      <c r="H1868" s="28"/>
      <c r="I1868" s="27"/>
      <c r="J1868" s="26"/>
      <c r="K1868" s="27"/>
      <c r="L1868" s="27"/>
      <c r="M1868" s="27"/>
      <c r="N1868" s="27"/>
      <c r="O1868" s="31" t="str">
        <f aca="false">IF(G1868="","",VLOOKUP(G1868,Setup!$A$14:$C$17,3,0))</f>
        <v/>
      </c>
      <c r="P1868" s="27"/>
      <c r="Q1868" s="33" t="str">
        <f aca="false">IF(OR(P1868="",M1868&lt;&gt;"Paid",O1868=""),"",P1868/O1868)</f>
        <v/>
      </c>
      <c r="R1868" s="34" t="str">
        <f aca="false">IF(Q1868="","",Q1868+N(H1868)*0.000000001)</f>
        <v/>
      </c>
      <c r="S1868" s="32" t="str">
        <f aca="false">IF(R1868="","",SUMPRODUCT((I$5:I$4004=I1868)*ISNUMBER(R$5:R$4004)*(R$5:R$4004&gt;R1868))+1)</f>
        <v/>
      </c>
      <c r="T1868" s="32" t="str">
        <f aca="false">IF(S1868="","",IF(S1868&lt;=Setup!$B$5,"🏆 WINNER",""))</f>
        <v/>
      </c>
      <c r="U1868" s="31" t="str">
        <f aca="false">IF(S1868="","",I1868&amp;"|"&amp;S1868)</f>
        <v/>
      </c>
    </row>
    <row r="1869" customFormat="false" ht="15" hidden="false" customHeight="false" outlineLevel="0" collapsed="false">
      <c r="A1869" s="24" t="n">
        <v>1865</v>
      </c>
      <c r="B1869" s="25" t="str">
        <f aca="false">IF(OR(C1869="",I1869="",G1869=""),"",IFERROR(VLOOKUP(I1869,Setup!$A$9:$B$11,2,0),"???")&amp;"-"&amp;G1869&amp;"-"&amp;TEXT(COUNTIFS(I$5:I1869,I1869,G$5:G1869,G1869),"0000"))</f>
        <v/>
      </c>
      <c r="C1869" s="26"/>
      <c r="D1869" s="26"/>
      <c r="E1869" s="27"/>
      <c r="F1869" s="27"/>
      <c r="G1869" s="24" t="str">
        <f aca="false">IF(F1869="","",IF(F1869&lt;=5,"A",IF(F1869&lt;=8,"B",IF(F1869&lt;=10,"C","D"))))</f>
        <v/>
      </c>
      <c r="H1869" s="28"/>
      <c r="I1869" s="27"/>
      <c r="J1869" s="26"/>
      <c r="K1869" s="27"/>
      <c r="L1869" s="27"/>
      <c r="M1869" s="27"/>
      <c r="N1869" s="27"/>
      <c r="O1869" s="24" t="str">
        <f aca="false">IF(G1869="","",VLOOKUP(G1869,Setup!$A$14:$C$17,3,0))</f>
        <v/>
      </c>
      <c r="P1869" s="27"/>
      <c r="Q1869" s="29" t="str">
        <f aca="false">IF(OR(P1869="",M1869&lt;&gt;"Paid",O1869=""),"",P1869/O1869)</f>
        <v/>
      </c>
      <c r="R1869" s="30" t="str">
        <f aca="false">IF(Q1869="","",Q1869+N(H1869)*0.000000001)</f>
        <v/>
      </c>
      <c r="S1869" s="25" t="str">
        <f aca="false">IF(R1869="","",SUMPRODUCT((I$5:I$4004=I1869)*ISNUMBER(R$5:R$4004)*(R$5:R$4004&gt;R1869))+1)</f>
        <v/>
      </c>
      <c r="T1869" s="25" t="str">
        <f aca="false">IF(S1869="","",IF(S1869&lt;=Setup!$B$5,"🏆 WINNER",""))</f>
        <v/>
      </c>
      <c r="U1869" s="24" t="str">
        <f aca="false">IF(S1869="","",I1869&amp;"|"&amp;S1869)</f>
        <v/>
      </c>
    </row>
    <row r="1870" customFormat="false" ht="15" hidden="false" customHeight="false" outlineLevel="0" collapsed="false">
      <c r="A1870" s="31" t="n">
        <v>1866</v>
      </c>
      <c r="B1870" s="32" t="str">
        <f aca="false">IF(OR(C1870="",I1870="",G1870=""),"",IFERROR(VLOOKUP(I1870,Setup!$A$9:$B$11,2,0),"???")&amp;"-"&amp;G1870&amp;"-"&amp;TEXT(COUNTIFS(I$5:I1870,I1870,G$5:G1870,G1870),"0000"))</f>
        <v/>
      </c>
      <c r="C1870" s="26"/>
      <c r="D1870" s="26"/>
      <c r="E1870" s="27"/>
      <c r="F1870" s="27"/>
      <c r="G1870" s="31" t="str">
        <f aca="false">IF(F1870="","",IF(F1870&lt;=5,"A",IF(F1870&lt;=8,"B",IF(F1870&lt;=10,"C","D"))))</f>
        <v/>
      </c>
      <c r="H1870" s="28"/>
      <c r="I1870" s="27"/>
      <c r="J1870" s="26"/>
      <c r="K1870" s="27"/>
      <c r="L1870" s="27"/>
      <c r="M1870" s="27"/>
      <c r="N1870" s="27"/>
      <c r="O1870" s="31" t="str">
        <f aca="false">IF(G1870="","",VLOOKUP(G1870,Setup!$A$14:$C$17,3,0))</f>
        <v/>
      </c>
      <c r="P1870" s="27"/>
      <c r="Q1870" s="33" t="str">
        <f aca="false">IF(OR(P1870="",M1870&lt;&gt;"Paid",O1870=""),"",P1870/O1870)</f>
        <v/>
      </c>
      <c r="R1870" s="34" t="str">
        <f aca="false">IF(Q1870="","",Q1870+N(H1870)*0.000000001)</f>
        <v/>
      </c>
      <c r="S1870" s="32" t="str">
        <f aca="false">IF(R1870="","",SUMPRODUCT((I$5:I$4004=I1870)*ISNUMBER(R$5:R$4004)*(R$5:R$4004&gt;R1870))+1)</f>
        <v/>
      </c>
      <c r="T1870" s="32" t="str">
        <f aca="false">IF(S1870="","",IF(S1870&lt;=Setup!$B$5,"🏆 WINNER",""))</f>
        <v/>
      </c>
      <c r="U1870" s="31" t="str">
        <f aca="false">IF(S1870="","",I1870&amp;"|"&amp;S1870)</f>
        <v/>
      </c>
    </row>
    <row r="1871" customFormat="false" ht="15" hidden="false" customHeight="false" outlineLevel="0" collapsed="false">
      <c r="A1871" s="24" t="n">
        <v>1867</v>
      </c>
      <c r="B1871" s="25" t="str">
        <f aca="false">IF(OR(C1871="",I1871="",G1871=""),"",IFERROR(VLOOKUP(I1871,Setup!$A$9:$B$11,2,0),"???")&amp;"-"&amp;G1871&amp;"-"&amp;TEXT(COUNTIFS(I$5:I1871,I1871,G$5:G1871,G1871),"0000"))</f>
        <v/>
      </c>
      <c r="C1871" s="26"/>
      <c r="D1871" s="26"/>
      <c r="E1871" s="27"/>
      <c r="F1871" s="27"/>
      <c r="G1871" s="24" t="str">
        <f aca="false">IF(F1871="","",IF(F1871&lt;=5,"A",IF(F1871&lt;=8,"B",IF(F1871&lt;=10,"C","D"))))</f>
        <v/>
      </c>
      <c r="H1871" s="28"/>
      <c r="I1871" s="27"/>
      <c r="J1871" s="26"/>
      <c r="K1871" s="27"/>
      <c r="L1871" s="27"/>
      <c r="M1871" s="27"/>
      <c r="N1871" s="27"/>
      <c r="O1871" s="24" t="str">
        <f aca="false">IF(G1871="","",VLOOKUP(G1871,Setup!$A$14:$C$17,3,0))</f>
        <v/>
      </c>
      <c r="P1871" s="27"/>
      <c r="Q1871" s="29" t="str">
        <f aca="false">IF(OR(P1871="",M1871&lt;&gt;"Paid",O1871=""),"",P1871/O1871)</f>
        <v/>
      </c>
      <c r="R1871" s="30" t="str">
        <f aca="false">IF(Q1871="","",Q1871+N(H1871)*0.000000001)</f>
        <v/>
      </c>
      <c r="S1871" s="25" t="str">
        <f aca="false">IF(R1871="","",SUMPRODUCT((I$5:I$4004=I1871)*ISNUMBER(R$5:R$4004)*(R$5:R$4004&gt;R1871))+1)</f>
        <v/>
      </c>
      <c r="T1871" s="25" t="str">
        <f aca="false">IF(S1871="","",IF(S1871&lt;=Setup!$B$5,"🏆 WINNER",""))</f>
        <v/>
      </c>
      <c r="U1871" s="24" t="str">
        <f aca="false">IF(S1871="","",I1871&amp;"|"&amp;S1871)</f>
        <v/>
      </c>
    </row>
    <row r="1872" customFormat="false" ht="15" hidden="false" customHeight="false" outlineLevel="0" collapsed="false">
      <c r="A1872" s="31" t="n">
        <v>1868</v>
      </c>
      <c r="B1872" s="32" t="str">
        <f aca="false">IF(OR(C1872="",I1872="",G1872=""),"",IFERROR(VLOOKUP(I1872,Setup!$A$9:$B$11,2,0),"???")&amp;"-"&amp;G1872&amp;"-"&amp;TEXT(COUNTIFS(I$5:I1872,I1872,G$5:G1872,G1872),"0000"))</f>
        <v/>
      </c>
      <c r="C1872" s="26"/>
      <c r="D1872" s="26"/>
      <c r="E1872" s="27"/>
      <c r="F1872" s="27"/>
      <c r="G1872" s="31" t="str">
        <f aca="false">IF(F1872="","",IF(F1872&lt;=5,"A",IF(F1872&lt;=8,"B",IF(F1872&lt;=10,"C","D"))))</f>
        <v/>
      </c>
      <c r="H1872" s="28"/>
      <c r="I1872" s="27"/>
      <c r="J1872" s="26"/>
      <c r="K1872" s="27"/>
      <c r="L1872" s="27"/>
      <c r="M1872" s="27"/>
      <c r="N1872" s="27"/>
      <c r="O1872" s="31" t="str">
        <f aca="false">IF(G1872="","",VLOOKUP(G1872,Setup!$A$14:$C$17,3,0))</f>
        <v/>
      </c>
      <c r="P1872" s="27"/>
      <c r="Q1872" s="33" t="str">
        <f aca="false">IF(OR(P1872="",M1872&lt;&gt;"Paid",O1872=""),"",P1872/O1872)</f>
        <v/>
      </c>
      <c r="R1872" s="34" t="str">
        <f aca="false">IF(Q1872="","",Q1872+N(H1872)*0.000000001)</f>
        <v/>
      </c>
      <c r="S1872" s="32" t="str">
        <f aca="false">IF(R1872="","",SUMPRODUCT((I$5:I$4004=I1872)*ISNUMBER(R$5:R$4004)*(R$5:R$4004&gt;R1872))+1)</f>
        <v/>
      </c>
      <c r="T1872" s="32" t="str">
        <f aca="false">IF(S1872="","",IF(S1872&lt;=Setup!$B$5,"🏆 WINNER",""))</f>
        <v/>
      </c>
      <c r="U1872" s="31" t="str">
        <f aca="false">IF(S1872="","",I1872&amp;"|"&amp;S1872)</f>
        <v/>
      </c>
    </row>
    <row r="1873" customFormat="false" ht="15" hidden="false" customHeight="false" outlineLevel="0" collapsed="false">
      <c r="A1873" s="24" t="n">
        <v>1869</v>
      </c>
      <c r="B1873" s="25" t="str">
        <f aca="false">IF(OR(C1873="",I1873="",G1873=""),"",IFERROR(VLOOKUP(I1873,Setup!$A$9:$B$11,2,0),"???")&amp;"-"&amp;G1873&amp;"-"&amp;TEXT(COUNTIFS(I$5:I1873,I1873,G$5:G1873,G1873),"0000"))</f>
        <v/>
      </c>
      <c r="C1873" s="26"/>
      <c r="D1873" s="26"/>
      <c r="E1873" s="27"/>
      <c r="F1873" s="27"/>
      <c r="G1873" s="24" t="str">
        <f aca="false">IF(F1873="","",IF(F1873&lt;=5,"A",IF(F1873&lt;=8,"B",IF(F1873&lt;=10,"C","D"))))</f>
        <v/>
      </c>
      <c r="H1873" s="28"/>
      <c r="I1873" s="27"/>
      <c r="J1873" s="26"/>
      <c r="K1873" s="27"/>
      <c r="L1873" s="27"/>
      <c r="M1873" s="27"/>
      <c r="N1873" s="27"/>
      <c r="O1873" s="24" t="str">
        <f aca="false">IF(G1873="","",VLOOKUP(G1873,Setup!$A$14:$C$17,3,0))</f>
        <v/>
      </c>
      <c r="P1873" s="27"/>
      <c r="Q1873" s="29" t="str">
        <f aca="false">IF(OR(P1873="",M1873&lt;&gt;"Paid",O1873=""),"",P1873/O1873)</f>
        <v/>
      </c>
      <c r="R1873" s="30" t="str">
        <f aca="false">IF(Q1873="","",Q1873+N(H1873)*0.000000001)</f>
        <v/>
      </c>
      <c r="S1873" s="25" t="str">
        <f aca="false">IF(R1873="","",SUMPRODUCT((I$5:I$4004=I1873)*ISNUMBER(R$5:R$4004)*(R$5:R$4004&gt;R1873))+1)</f>
        <v/>
      </c>
      <c r="T1873" s="25" t="str">
        <f aca="false">IF(S1873="","",IF(S1873&lt;=Setup!$B$5,"🏆 WINNER",""))</f>
        <v/>
      </c>
      <c r="U1873" s="24" t="str">
        <f aca="false">IF(S1873="","",I1873&amp;"|"&amp;S1873)</f>
        <v/>
      </c>
    </row>
    <row r="1874" customFormat="false" ht="15" hidden="false" customHeight="false" outlineLevel="0" collapsed="false">
      <c r="A1874" s="31" t="n">
        <v>1870</v>
      </c>
      <c r="B1874" s="32" t="str">
        <f aca="false">IF(OR(C1874="",I1874="",G1874=""),"",IFERROR(VLOOKUP(I1874,Setup!$A$9:$B$11,2,0),"???")&amp;"-"&amp;G1874&amp;"-"&amp;TEXT(COUNTIFS(I$5:I1874,I1874,G$5:G1874,G1874),"0000"))</f>
        <v/>
      </c>
      <c r="C1874" s="26"/>
      <c r="D1874" s="26"/>
      <c r="E1874" s="27"/>
      <c r="F1874" s="27"/>
      <c r="G1874" s="31" t="str">
        <f aca="false">IF(F1874="","",IF(F1874&lt;=5,"A",IF(F1874&lt;=8,"B",IF(F1874&lt;=10,"C","D"))))</f>
        <v/>
      </c>
      <c r="H1874" s="28"/>
      <c r="I1874" s="27"/>
      <c r="J1874" s="26"/>
      <c r="K1874" s="27"/>
      <c r="L1874" s="27"/>
      <c r="M1874" s="27"/>
      <c r="N1874" s="27"/>
      <c r="O1874" s="31" t="str">
        <f aca="false">IF(G1874="","",VLOOKUP(G1874,Setup!$A$14:$C$17,3,0))</f>
        <v/>
      </c>
      <c r="P1874" s="27"/>
      <c r="Q1874" s="33" t="str">
        <f aca="false">IF(OR(P1874="",M1874&lt;&gt;"Paid",O1874=""),"",P1874/O1874)</f>
        <v/>
      </c>
      <c r="R1874" s="34" t="str">
        <f aca="false">IF(Q1874="","",Q1874+N(H1874)*0.000000001)</f>
        <v/>
      </c>
      <c r="S1874" s="32" t="str">
        <f aca="false">IF(R1874="","",SUMPRODUCT((I$5:I$4004=I1874)*ISNUMBER(R$5:R$4004)*(R$5:R$4004&gt;R1874))+1)</f>
        <v/>
      </c>
      <c r="T1874" s="32" t="str">
        <f aca="false">IF(S1874="","",IF(S1874&lt;=Setup!$B$5,"🏆 WINNER",""))</f>
        <v/>
      </c>
      <c r="U1874" s="31" t="str">
        <f aca="false">IF(S1874="","",I1874&amp;"|"&amp;S1874)</f>
        <v/>
      </c>
    </row>
    <row r="1875" customFormat="false" ht="15" hidden="false" customHeight="false" outlineLevel="0" collapsed="false">
      <c r="A1875" s="24" t="n">
        <v>1871</v>
      </c>
      <c r="B1875" s="25" t="str">
        <f aca="false">IF(OR(C1875="",I1875="",G1875=""),"",IFERROR(VLOOKUP(I1875,Setup!$A$9:$B$11,2,0),"???")&amp;"-"&amp;G1875&amp;"-"&amp;TEXT(COUNTIFS(I$5:I1875,I1875,G$5:G1875,G1875),"0000"))</f>
        <v/>
      </c>
      <c r="C1875" s="26"/>
      <c r="D1875" s="26"/>
      <c r="E1875" s="27"/>
      <c r="F1875" s="27"/>
      <c r="G1875" s="24" t="str">
        <f aca="false">IF(F1875="","",IF(F1875&lt;=5,"A",IF(F1875&lt;=8,"B",IF(F1875&lt;=10,"C","D"))))</f>
        <v/>
      </c>
      <c r="H1875" s="28"/>
      <c r="I1875" s="27"/>
      <c r="J1875" s="26"/>
      <c r="K1875" s="27"/>
      <c r="L1875" s="27"/>
      <c r="M1875" s="27"/>
      <c r="N1875" s="27"/>
      <c r="O1875" s="24" t="str">
        <f aca="false">IF(G1875="","",VLOOKUP(G1875,Setup!$A$14:$C$17,3,0))</f>
        <v/>
      </c>
      <c r="P1875" s="27"/>
      <c r="Q1875" s="29" t="str">
        <f aca="false">IF(OR(P1875="",M1875&lt;&gt;"Paid",O1875=""),"",P1875/O1875)</f>
        <v/>
      </c>
      <c r="R1875" s="30" t="str">
        <f aca="false">IF(Q1875="","",Q1875+N(H1875)*0.000000001)</f>
        <v/>
      </c>
      <c r="S1875" s="25" t="str">
        <f aca="false">IF(R1875="","",SUMPRODUCT((I$5:I$4004=I1875)*ISNUMBER(R$5:R$4004)*(R$5:R$4004&gt;R1875))+1)</f>
        <v/>
      </c>
      <c r="T1875" s="25" t="str">
        <f aca="false">IF(S1875="","",IF(S1875&lt;=Setup!$B$5,"🏆 WINNER",""))</f>
        <v/>
      </c>
      <c r="U1875" s="24" t="str">
        <f aca="false">IF(S1875="","",I1875&amp;"|"&amp;S1875)</f>
        <v/>
      </c>
    </row>
    <row r="1876" customFormat="false" ht="15" hidden="false" customHeight="false" outlineLevel="0" collapsed="false">
      <c r="A1876" s="31" t="n">
        <v>1872</v>
      </c>
      <c r="B1876" s="32" t="str">
        <f aca="false">IF(OR(C1876="",I1876="",G1876=""),"",IFERROR(VLOOKUP(I1876,Setup!$A$9:$B$11,2,0),"???")&amp;"-"&amp;G1876&amp;"-"&amp;TEXT(COUNTIFS(I$5:I1876,I1876,G$5:G1876,G1876),"0000"))</f>
        <v/>
      </c>
      <c r="C1876" s="26"/>
      <c r="D1876" s="26"/>
      <c r="E1876" s="27"/>
      <c r="F1876" s="27"/>
      <c r="G1876" s="31" t="str">
        <f aca="false">IF(F1876="","",IF(F1876&lt;=5,"A",IF(F1876&lt;=8,"B",IF(F1876&lt;=10,"C","D"))))</f>
        <v/>
      </c>
      <c r="H1876" s="28"/>
      <c r="I1876" s="27"/>
      <c r="J1876" s="26"/>
      <c r="K1876" s="27"/>
      <c r="L1876" s="27"/>
      <c r="M1876" s="27"/>
      <c r="N1876" s="27"/>
      <c r="O1876" s="31" t="str">
        <f aca="false">IF(G1876="","",VLOOKUP(G1876,Setup!$A$14:$C$17,3,0))</f>
        <v/>
      </c>
      <c r="P1876" s="27"/>
      <c r="Q1876" s="33" t="str">
        <f aca="false">IF(OR(P1876="",M1876&lt;&gt;"Paid",O1876=""),"",P1876/O1876)</f>
        <v/>
      </c>
      <c r="R1876" s="34" t="str">
        <f aca="false">IF(Q1876="","",Q1876+N(H1876)*0.000000001)</f>
        <v/>
      </c>
      <c r="S1876" s="32" t="str">
        <f aca="false">IF(R1876="","",SUMPRODUCT((I$5:I$4004=I1876)*ISNUMBER(R$5:R$4004)*(R$5:R$4004&gt;R1876))+1)</f>
        <v/>
      </c>
      <c r="T1876" s="32" t="str">
        <f aca="false">IF(S1876="","",IF(S1876&lt;=Setup!$B$5,"🏆 WINNER",""))</f>
        <v/>
      </c>
      <c r="U1876" s="31" t="str">
        <f aca="false">IF(S1876="","",I1876&amp;"|"&amp;S1876)</f>
        <v/>
      </c>
    </row>
    <row r="1877" customFormat="false" ht="15" hidden="false" customHeight="false" outlineLevel="0" collapsed="false">
      <c r="A1877" s="24" t="n">
        <v>1873</v>
      </c>
      <c r="B1877" s="25" t="str">
        <f aca="false">IF(OR(C1877="",I1877="",G1877=""),"",IFERROR(VLOOKUP(I1877,Setup!$A$9:$B$11,2,0),"???")&amp;"-"&amp;G1877&amp;"-"&amp;TEXT(COUNTIFS(I$5:I1877,I1877,G$5:G1877,G1877),"0000"))</f>
        <v/>
      </c>
      <c r="C1877" s="26"/>
      <c r="D1877" s="26"/>
      <c r="E1877" s="27"/>
      <c r="F1877" s="27"/>
      <c r="G1877" s="24" t="str">
        <f aca="false">IF(F1877="","",IF(F1877&lt;=5,"A",IF(F1877&lt;=8,"B",IF(F1877&lt;=10,"C","D"))))</f>
        <v/>
      </c>
      <c r="H1877" s="28"/>
      <c r="I1877" s="27"/>
      <c r="J1877" s="26"/>
      <c r="K1877" s="27"/>
      <c r="L1877" s="27"/>
      <c r="M1877" s="27"/>
      <c r="N1877" s="27"/>
      <c r="O1877" s="24" t="str">
        <f aca="false">IF(G1877="","",VLOOKUP(G1877,Setup!$A$14:$C$17,3,0))</f>
        <v/>
      </c>
      <c r="P1877" s="27"/>
      <c r="Q1877" s="29" t="str">
        <f aca="false">IF(OR(P1877="",M1877&lt;&gt;"Paid",O1877=""),"",P1877/O1877)</f>
        <v/>
      </c>
      <c r="R1877" s="30" t="str">
        <f aca="false">IF(Q1877="","",Q1877+N(H1877)*0.000000001)</f>
        <v/>
      </c>
      <c r="S1877" s="25" t="str">
        <f aca="false">IF(R1877="","",SUMPRODUCT((I$5:I$4004=I1877)*ISNUMBER(R$5:R$4004)*(R$5:R$4004&gt;R1877))+1)</f>
        <v/>
      </c>
      <c r="T1877" s="25" t="str">
        <f aca="false">IF(S1877="","",IF(S1877&lt;=Setup!$B$5,"🏆 WINNER",""))</f>
        <v/>
      </c>
      <c r="U1877" s="24" t="str">
        <f aca="false">IF(S1877="","",I1877&amp;"|"&amp;S1877)</f>
        <v/>
      </c>
    </row>
    <row r="1878" customFormat="false" ht="15" hidden="false" customHeight="false" outlineLevel="0" collapsed="false">
      <c r="A1878" s="31" t="n">
        <v>1874</v>
      </c>
      <c r="B1878" s="32" t="str">
        <f aca="false">IF(OR(C1878="",I1878="",G1878=""),"",IFERROR(VLOOKUP(I1878,Setup!$A$9:$B$11,2,0),"???")&amp;"-"&amp;G1878&amp;"-"&amp;TEXT(COUNTIFS(I$5:I1878,I1878,G$5:G1878,G1878),"0000"))</f>
        <v/>
      </c>
      <c r="C1878" s="26"/>
      <c r="D1878" s="26"/>
      <c r="E1878" s="27"/>
      <c r="F1878" s="27"/>
      <c r="G1878" s="31" t="str">
        <f aca="false">IF(F1878="","",IF(F1878&lt;=5,"A",IF(F1878&lt;=8,"B",IF(F1878&lt;=10,"C","D"))))</f>
        <v/>
      </c>
      <c r="H1878" s="28"/>
      <c r="I1878" s="27"/>
      <c r="J1878" s="26"/>
      <c r="K1878" s="27"/>
      <c r="L1878" s="27"/>
      <c r="M1878" s="27"/>
      <c r="N1878" s="27"/>
      <c r="O1878" s="31" t="str">
        <f aca="false">IF(G1878="","",VLOOKUP(G1878,Setup!$A$14:$C$17,3,0))</f>
        <v/>
      </c>
      <c r="P1878" s="27"/>
      <c r="Q1878" s="33" t="str">
        <f aca="false">IF(OR(P1878="",M1878&lt;&gt;"Paid",O1878=""),"",P1878/O1878)</f>
        <v/>
      </c>
      <c r="R1878" s="34" t="str">
        <f aca="false">IF(Q1878="","",Q1878+N(H1878)*0.000000001)</f>
        <v/>
      </c>
      <c r="S1878" s="32" t="str">
        <f aca="false">IF(R1878="","",SUMPRODUCT((I$5:I$4004=I1878)*ISNUMBER(R$5:R$4004)*(R$5:R$4004&gt;R1878))+1)</f>
        <v/>
      </c>
      <c r="T1878" s="32" t="str">
        <f aca="false">IF(S1878="","",IF(S1878&lt;=Setup!$B$5,"🏆 WINNER",""))</f>
        <v/>
      </c>
      <c r="U1878" s="31" t="str">
        <f aca="false">IF(S1878="","",I1878&amp;"|"&amp;S1878)</f>
        <v/>
      </c>
    </row>
    <row r="1879" customFormat="false" ht="15" hidden="false" customHeight="false" outlineLevel="0" collapsed="false">
      <c r="A1879" s="24" t="n">
        <v>1875</v>
      </c>
      <c r="B1879" s="25" t="str">
        <f aca="false">IF(OR(C1879="",I1879="",G1879=""),"",IFERROR(VLOOKUP(I1879,Setup!$A$9:$B$11,2,0),"???")&amp;"-"&amp;G1879&amp;"-"&amp;TEXT(COUNTIFS(I$5:I1879,I1879,G$5:G1879,G1879),"0000"))</f>
        <v/>
      </c>
      <c r="C1879" s="26"/>
      <c r="D1879" s="26"/>
      <c r="E1879" s="27"/>
      <c r="F1879" s="27"/>
      <c r="G1879" s="24" t="str">
        <f aca="false">IF(F1879="","",IF(F1879&lt;=5,"A",IF(F1879&lt;=8,"B",IF(F1879&lt;=10,"C","D"))))</f>
        <v/>
      </c>
      <c r="H1879" s="28"/>
      <c r="I1879" s="27"/>
      <c r="J1879" s="26"/>
      <c r="K1879" s="27"/>
      <c r="L1879" s="27"/>
      <c r="M1879" s="27"/>
      <c r="N1879" s="27"/>
      <c r="O1879" s="24" t="str">
        <f aca="false">IF(G1879="","",VLOOKUP(G1879,Setup!$A$14:$C$17,3,0))</f>
        <v/>
      </c>
      <c r="P1879" s="27"/>
      <c r="Q1879" s="29" t="str">
        <f aca="false">IF(OR(P1879="",M1879&lt;&gt;"Paid",O1879=""),"",P1879/O1879)</f>
        <v/>
      </c>
      <c r="R1879" s="30" t="str">
        <f aca="false">IF(Q1879="","",Q1879+N(H1879)*0.000000001)</f>
        <v/>
      </c>
      <c r="S1879" s="25" t="str">
        <f aca="false">IF(R1879="","",SUMPRODUCT((I$5:I$4004=I1879)*ISNUMBER(R$5:R$4004)*(R$5:R$4004&gt;R1879))+1)</f>
        <v/>
      </c>
      <c r="T1879" s="25" t="str">
        <f aca="false">IF(S1879="","",IF(S1879&lt;=Setup!$B$5,"🏆 WINNER",""))</f>
        <v/>
      </c>
      <c r="U1879" s="24" t="str">
        <f aca="false">IF(S1879="","",I1879&amp;"|"&amp;S1879)</f>
        <v/>
      </c>
    </row>
    <row r="1880" customFormat="false" ht="15" hidden="false" customHeight="false" outlineLevel="0" collapsed="false">
      <c r="A1880" s="31" t="n">
        <v>1876</v>
      </c>
      <c r="B1880" s="32" t="str">
        <f aca="false">IF(OR(C1880="",I1880="",G1880=""),"",IFERROR(VLOOKUP(I1880,Setup!$A$9:$B$11,2,0),"???")&amp;"-"&amp;G1880&amp;"-"&amp;TEXT(COUNTIFS(I$5:I1880,I1880,G$5:G1880,G1880),"0000"))</f>
        <v/>
      </c>
      <c r="C1880" s="26"/>
      <c r="D1880" s="26"/>
      <c r="E1880" s="27"/>
      <c r="F1880" s="27"/>
      <c r="G1880" s="31" t="str">
        <f aca="false">IF(F1880="","",IF(F1880&lt;=5,"A",IF(F1880&lt;=8,"B",IF(F1880&lt;=10,"C","D"))))</f>
        <v/>
      </c>
      <c r="H1880" s="28"/>
      <c r="I1880" s="27"/>
      <c r="J1880" s="26"/>
      <c r="K1880" s="27"/>
      <c r="L1880" s="27"/>
      <c r="M1880" s="27"/>
      <c r="N1880" s="27"/>
      <c r="O1880" s="31" t="str">
        <f aca="false">IF(G1880="","",VLOOKUP(G1880,Setup!$A$14:$C$17,3,0))</f>
        <v/>
      </c>
      <c r="P1880" s="27"/>
      <c r="Q1880" s="33" t="str">
        <f aca="false">IF(OR(P1880="",M1880&lt;&gt;"Paid",O1880=""),"",P1880/O1880)</f>
        <v/>
      </c>
      <c r="R1880" s="34" t="str">
        <f aca="false">IF(Q1880="","",Q1880+N(H1880)*0.000000001)</f>
        <v/>
      </c>
      <c r="S1880" s="32" t="str">
        <f aca="false">IF(R1880="","",SUMPRODUCT((I$5:I$4004=I1880)*ISNUMBER(R$5:R$4004)*(R$5:R$4004&gt;R1880))+1)</f>
        <v/>
      </c>
      <c r="T1880" s="32" t="str">
        <f aca="false">IF(S1880="","",IF(S1880&lt;=Setup!$B$5,"🏆 WINNER",""))</f>
        <v/>
      </c>
      <c r="U1880" s="31" t="str">
        <f aca="false">IF(S1880="","",I1880&amp;"|"&amp;S1880)</f>
        <v/>
      </c>
    </row>
    <row r="1881" customFormat="false" ht="15" hidden="false" customHeight="false" outlineLevel="0" collapsed="false">
      <c r="A1881" s="24" t="n">
        <v>1877</v>
      </c>
      <c r="B1881" s="25" t="str">
        <f aca="false">IF(OR(C1881="",I1881="",G1881=""),"",IFERROR(VLOOKUP(I1881,Setup!$A$9:$B$11,2,0),"???")&amp;"-"&amp;G1881&amp;"-"&amp;TEXT(COUNTIFS(I$5:I1881,I1881,G$5:G1881,G1881),"0000"))</f>
        <v/>
      </c>
      <c r="C1881" s="26"/>
      <c r="D1881" s="26"/>
      <c r="E1881" s="27"/>
      <c r="F1881" s="27"/>
      <c r="G1881" s="24" t="str">
        <f aca="false">IF(F1881="","",IF(F1881&lt;=5,"A",IF(F1881&lt;=8,"B",IF(F1881&lt;=10,"C","D"))))</f>
        <v/>
      </c>
      <c r="H1881" s="28"/>
      <c r="I1881" s="27"/>
      <c r="J1881" s="26"/>
      <c r="K1881" s="27"/>
      <c r="L1881" s="27"/>
      <c r="M1881" s="27"/>
      <c r="N1881" s="27"/>
      <c r="O1881" s="24" t="str">
        <f aca="false">IF(G1881="","",VLOOKUP(G1881,Setup!$A$14:$C$17,3,0))</f>
        <v/>
      </c>
      <c r="P1881" s="27"/>
      <c r="Q1881" s="29" t="str">
        <f aca="false">IF(OR(P1881="",M1881&lt;&gt;"Paid",O1881=""),"",P1881/O1881)</f>
        <v/>
      </c>
      <c r="R1881" s="30" t="str">
        <f aca="false">IF(Q1881="","",Q1881+N(H1881)*0.000000001)</f>
        <v/>
      </c>
      <c r="S1881" s="25" t="str">
        <f aca="false">IF(R1881="","",SUMPRODUCT((I$5:I$4004=I1881)*ISNUMBER(R$5:R$4004)*(R$5:R$4004&gt;R1881))+1)</f>
        <v/>
      </c>
      <c r="T1881" s="25" t="str">
        <f aca="false">IF(S1881="","",IF(S1881&lt;=Setup!$B$5,"🏆 WINNER",""))</f>
        <v/>
      </c>
      <c r="U1881" s="24" t="str">
        <f aca="false">IF(S1881="","",I1881&amp;"|"&amp;S1881)</f>
        <v/>
      </c>
    </row>
    <row r="1882" customFormat="false" ht="15" hidden="false" customHeight="false" outlineLevel="0" collapsed="false">
      <c r="A1882" s="31" t="n">
        <v>1878</v>
      </c>
      <c r="B1882" s="32" t="str">
        <f aca="false">IF(OR(C1882="",I1882="",G1882=""),"",IFERROR(VLOOKUP(I1882,Setup!$A$9:$B$11,2,0),"???")&amp;"-"&amp;G1882&amp;"-"&amp;TEXT(COUNTIFS(I$5:I1882,I1882,G$5:G1882,G1882),"0000"))</f>
        <v/>
      </c>
      <c r="C1882" s="26"/>
      <c r="D1882" s="26"/>
      <c r="E1882" s="27"/>
      <c r="F1882" s="27"/>
      <c r="G1882" s="31" t="str">
        <f aca="false">IF(F1882="","",IF(F1882&lt;=5,"A",IF(F1882&lt;=8,"B",IF(F1882&lt;=10,"C","D"))))</f>
        <v/>
      </c>
      <c r="H1882" s="28"/>
      <c r="I1882" s="27"/>
      <c r="J1882" s="26"/>
      <c r="K1882" s="27"/>
      <c r="L1882" s="27"/>
      <c r="M1882" s="27"/>
      <c r="N1882" s="27"/>
      <c r="O1882" s="31" t="str">
        <f aca="false">IF(G1882="","",VLOOKUP(G1882,Setup!$A$14:$C$17,3,0))</f>
        <v/>
      </c>
      <c r="P1882" s="27"/>
      <c r="Q1882" s="33" t="str">
        <f aca="false">IF(OR(P1882="",M1882&lt;&gt;"Paid",O1882=""),"",P1882/O1882)</f>
        <v/>
      </c>
      <c r="R1882" s="34" t="str">
        <f aca="false">IF(Q1882="","",Q1882+N(H1882)*0.000000001)</f>
        <v/>
      </c>
      <c r="S1882" s="32" t="str">
        <f aca="false">IF(R1882="","",SUMPRODUCT((I$5:I$4004=I1882)*ISNUMBER(R$5:R$4004)*(R$5:R$4004&gt;R1882))+1)</f>
        <v/>
      </c>
      <c r="T1882" s="32" t="str">
        <f aca="false">IF(S1882="","",IF(S1882&lt;=Setup!$B$5,"🏆 WINNER",""))</f>
        <v/>
      </c>
      <c r="U1882" s="31" t="str">
        <f aca="false">IF(S1882="","",I1882&amp;"|"&amp;S1882)</f>
        <v/>
      </c>
    </row>
    <row r="1883" customFormat="false" ht="15" hidden="false" customHeight="false" outlineLevel="0" collapsed="false">
      <c r="A1883" s="24" t="n">
        <v>1879</v>
      </c>
      <c r="B1883" s="25" t="str">
        <f aca="false">IF(OR(C1883="",I1883="",G1883=""),"",IFERROR(VLOOKUP(I1883,Setup!$A$9:$B$11,2,0),"???")&amp;"-"&amp;G1883&amp;"-"&amp;TEXT(COUNTIFS(I$5:I1883,I1883,G$5:G1883,G1883),"0000"))</f>
        <v/>
      </c>
      <c r="C1883" s="26"/>
      <c r="D1883" s="26"/>
      <c r="E1883" s="27"/>
      <c r="F1883" s="27"/>
      <c r="G1883" s="24" t="str">
        <f aca="false">IF(F1883="","",IF(F1883&lt;=5,"A",IF(F1883&lt;=8,"B",IF(F1883&lt;=10,"C","D"))))</f>
        <v/>
      </c>
      <c r="H1883" s="28"/>
      <c r="I1883" s="27"/>
      <c r="J1883" s="26"/>
      <c r="K1883" s="27"/>
      <c r="L1883" s="27"/>
      <c r="M1883" s="27"/>
      <c r="N1883" s="27"/>
      <c r="O1883" s="24" t="str">
        <f aca="false">IF(G1883="","",VLOOKUP(G1883,Setup!$A$14:$C$17,3,0))</f>
        <v/>
      </c>
      <c r="P1883" s="27"/>
      <c r="Q1883" s="29" t="str">
        <f aca="false">IF(OR(P1883="",M1883&lt;&gt;"Paid",O1883=""),"",P1883/O1883)</f>
        <v/>
      </c>
      <c r="R1883" s="30" t="str">
        <f aca="false">IF(Q1883="","",Q1883+N(H1883)*0.000000001)</f>
        <v/>
      </c>
      <c r="S1883" s="25" t="str">
        <f aca="false">IF(R1883="","",SUMPRODUCT((I$5:I$4004=I1883)*ISNUMBER(R$5:R$4004)*(R$5:R$4004&gt;R1883))+1)</f>
        <v/>
      </c>
      <c r="T1883" s="25" t="str">
        <f aca="false">IF(S1883="","",IF(S1883&lt;=Setup!$B$5,"🏆 WINNER",""))</f>
        <v/>
      </c>
      <c r="U1883" s="24" t="str">
        <f aca="false">IF(S1883="","",I1883&amp;"|"&amp;S1883)</f>
        <v/>
      </c>
    </row>
    <row r="1884" customFormat="false" ht="15" hidden="false" customHeight="false" outlineLevel="0" collapsed="false">
      <c r="A1884" s="31" t="n">
        <v>1880</v>
      </c>
      <c r="B1884" s="32" t="str">
        <f aca="false">IF(OR(C1884="",I1884="",G1884=""),"",IFERROR(VLOOKUP(I1884,Setup!$A$9:$B$11,2,0),"???")&amp;"-"&amp;G1884&amp;"-"&amp;TEXT(COUNTIFS(I$5:I1884,I1884,G$5:G1884,G1884),"0000"))</f>
        <v/>
      </c>
      <c r="C1884" s="26"/>
      <c r="D1884" s="26"/>
      <c r="E1884" s="27"/>
      <c r="F1884" s="27"/>
      <c r="G1884" s="31" t="str">
        <f aca="false">IF(F1884="","",IF(F1884&lt;=5,"A",IF(F1884&lt;=8,"B",IF(F1884&lt;=10,"C","D"))))</f>
        <v/>
      </c>
      <c r="H1884" s="28"/>
      <c r="I1884" s="27"/>
      <c r="J1884" s="26"/>
      <c r="K1884" s="27"/>
      <c r="L1884" s="27"/>
      <c r="M1884" s="27"/>
      <c r="N1884" s="27"/>
      <c r="O1884" s="31" t="str">
        <f aca="false">IF(G1884="","",VLOOKUP(G1884,Setup!$A$14:$C$17,3,0))</f>
        <v/>
      </c>
      <c r="P1884" s="27"/>
      <c r="Q1884" s="33" t="str">
        <f aca="false">IF(OR(P1884="",M1884&lt;&gt;"Paid",O1884=""),"",P1884/O1884)</f>
        <v/>
      </c>
      <c r="R1884" s="34" t="str">
        <f aca="false">IF(Q1884="","",Q1884+N(H1884)*0.000000001)</f>
        <v/>
      </c>
      <c r="S1884" s="32" t="str">
        <f aca="false">IF(R1884="","",SUMPRODUCT((I$5:I$4004=I1884)*ISNUMBER(R$5:R$4004)*(R$5:R$4004&gt;R1884))+1)</f>
        <v/>
      </c>
      <c r="T1884" s="32" t="str">
        <f aca="false">IF(S1884="","",IF(S1884&lt;=Setup!$B$5,"🏆 WINNER",""))</f>
        <v/>
      </c>
      <c r="U1884" s="31" t="str">
        <f aca="false">IF(S1884="","",I1884&amp;"|"&amp;S1884)</f>
        <v/>
      </c>
    </row>
    <row r="1885" customFormat="false" ht="15" hidden="false" customHeight="false" outlineLevel="0" collapsed="false">
      <c r="A1885" s="24" t="n">
        <v>1881</v>
      </c>
      <c r="B1885" s="25" t="str">
        <f aca="false">IF(OR(C1885="",I1885="",G1885=""),"",IFERROR(VLOOKUP(I1885,Setup!$A$9:$B$11,2,0),"???")&amp;"-"&amp;G1885&amp;"-"&amp;TEXT(COUNTIFS(I$5:I1885,I1885,G$5:G1885,G1885),"0000"))</f>
        <v/>
      </c>
      <c r="C1885" s="26"/>
      <c r="D1885" s="26"/>
      <c r="E1885" s="27"/>
      <c r="F1885" s="27"/>
      <c r="G1885" s="24" t="str">
        <f aca="false">IF(F1885="","",IF(F1885&lt;=5,"A",IF(F1885&lt;=8,"B",IF(F1885&lt;=10,"C","D"))))</f>
        <v/>
      </c>
      <c r="H1885" s="28"/>
      <c r="I1885" s="27"/>
      <c r="J1885" s="26"/>
      <c r="K1885" s="27"/>
      <c r="L1885" s="27"/>
      <c r="M1885" s="27"/>
      <c r="N1885" s="27"/>
      <c r="O1885" s="24" t="str">
        <f aca="false">IF(G1885="","",VLOOKUP(G1885,Setup!$A$14:$C$17,3,0))</f>
        <v/>
      </c>
      <c r="P1885" s="27"/>
      <c r="Q1885" s="29" t="str">
        <f aca="false">IF(OR(P1885="",M1885&lt;&gt;"Paid",O1885=""),"",P1885/O1885)</f>
        <v/>
      </c>
      <c r="R1885" s="30" t="str">
        <f aca="false">IF(Q1885="","",Q1885+N(H1885)*0.000000001)</f>
        <v/>
      </c>
      <c r="S1885" s="25" t="str">
        <f aca="false">IF(R1885="","",SUMPRODUCT((I$5:I$4004=I1885)*ISNUMBER(R$5:R$4004)*(R$5:R$4004&gt;R1885))+1)</f>
        <v/>
      </c>
      <c r="T1885" s="25" t="str">
        <f aca="false">IF(S1885="","",IF(S1885&lt;=Setup!$B$5,"🏆 WINNER",""))</f>
        <v/>
      </c>
      <c r="U1885" s="24" t="str">
        <f aca="false">IF(S1885="","",I1885&amp;"|"&amp;S1885)</f>
        <v/>
      </c>
    </row>
    <row r="1886" customFormat="false" ht="15" hidden="false" customHeight="false" outlineLevel="0" collapsed="false">
      <c r="A1886" s="31" t="n">
        <v>1882</v>
      </c>
      <c r="B1886" s="32" t="str">
        <f aca="false">IF(OR(C1886="",I1886="",G1886=""),"",IFERROR(VLOOKUP(I1886,Setup!$A$9:$B$11,2,0),"???")&amp;"-"&amp;G1886&amp;"-"&amp;TEXT(COUNTIFS(I$5:I1886,I1886,G$5:G1886,G1886),"0000"))</f>
        <v/>
      </c>
      <c r="C1886" s="26"/>
      <c r="D1886" s="26"/>
      <c r="E1886" s="27"/>
      <c r="F1886" s="27"/>
      <c r="G1886" s="31" t="str">
        <f aca="false">IF(F1886="","",IF(F1886&lt;=5,"A",IF(F1886&lt;=8,"B",IF(F1886&lt;=10,"C","D"))))</f>
        <v/>
      </c>
      <c r="H1886" s="28"/>
      <c r="I1886" s="27"/>
      <c r="J1886" s="26"/>
      <c r="K1886" s="27"/>
      <c r="L1886" s="27"/>
      <c r="M1886" s="27"/>
      <c r="N1886" s="27"/>
      <c r="O1886" s="31" t="str">
        <f aca="false">IF(G1886="","",VLOOKUP(G1886,Setup!$A$14:$C$17,3,0))</f>
        <v/>
      </c>
      <c r="P1886" s="27"/>
      <c r="Q1886" s="33" t="str">
        <f aca="false">IF(OR(P1886="",M1886&lt;&gt;"Paid",O1886=""),"",P1886/O1886)</f>
        <v/>
      </c>
      <c r="R1886" s="34" t="str">
        <f aca="false">IF(Q1886="","",Q1886+N(H1886)*0.000000001)</f>
        <v/>
      </c>
      <c r="S1886" s="32" t="str">
        <f aca="false">IF(R1886="","",SUMPRODUCT((I$5:I$4004=I1886)*ISNUMBER(R$5:R$4004)*(R$5:R$4004&gt;R1886))+1)</f>
        <v/>
      </c>
      <c r="T1886" s="32" t="str">
        <f aca="false">IF(S1886="","",IF(S1886&lt;=Setup!$B$5,"🏆 WINNER",""))</f>
        <v/>
      </c>
      <c r="U1886" s="31" t="str">
        <f aca="false">IF(S1886="","",I1886&amp;"|"&amp;S1886)</f>
        <v/>
      </c>
    </row>
    <row r="1887" customFormat="false" ht="15" hidden="false" customHeight="false" outlineLevel="0" collapsed="false">
      <c r="A1887" s="24" t="n">
        <v>1883</v>
      </c>
      <c r="B1887" s="25" t="str">
        <f aca="false">IF(OR(C1887="",I1887="",G1887=""),"",IFERROR(VLOOKUP(I1887,Setup!$A$9:$B$11,2,0),"???")&amp;"-"&amp;G1887&amp;"-"&amp;TEXT(COUNTIFS(I$5:I1887,I1887,G$5:G1887,G1887),"0000"))</f>
        <v/>
      </c>
      <c r="C1887" s="26"/>
      <c r="D1887" s="26"/>
      <c r="E1887" s="27"/>
      <c r="F1887" s="27"/>
      <c r="G1887" s="24" t="str">
        <f aca="false">IF(F1887="","",IF(F1887&lt;=5,"A",IF(F1887&lt;=8,"B",IF(F1887&lt;=10,"C","D"))))</f>
        <v/>
      </c>
      <c r="H1887" s="28"/>
      <c r="I1887" s="27"/>
      <c r="J1887" s="26"/>
      <c r="K1887" s="27"/>
      <c r="L1887" s="27"/>
      <c r="M1887" s="27"/>
      <c r="N1887" s="27"/>
      <c r="O1887" s="24" t="str">
        <f aca="false">IF(G1887="","",VLOOKUP(G1887,Setup!$A$14:$C$17,3,0))</f>
        <v/>
      </c>
      <c r="P1887" s="27"/>
      <c r="Q1887" s="29" t="str">
        <f aca="false">IF(OR(P1887="",M1887&lt;&gt;"Paid",O1887=""),"",P1887/O1887)</f>
        <v/>
      </c>
      <c r="R1887" s="30" t="str">
        <f aca="false">IF(Q1887="","",Q1887+N(H1887)*0.000000001)</f>
        <v/>
      </c>
      <c r="S1887" s="25" t="str">
        <f aca="false">IF(R1887="","",SUMPRODUCT((I$5:I$4004=I1887)*ISNUMBER(R$5:R$4004)*(R$5:R$4004&gt;R1887))+1)</f>
        <v/>
      </c>
      <c r="T1887" s="25" t="str">
        <f aca="false">IF(S1887="","",IF(S1887&lt;=Setup!$B$5,"🏆 WINNER",""))</f>
        <v/>
      </c>
      <c r="U1887" s="24" t="str">
        <f aca="false">IF(S1887="","",I1887&amp;"|"&amp;S1887)</f>
        <v/>
      </c>
    </row>
    <row r="1888" customFormat="false" ht="15" hidden="false" customHeight="false" outlineLevel="0" collapsed="false">
      <c r="A1888" s="31" t="n">
        <v>1884</v>
      </c>
      <c r="B1888" s="32" t="str">
        <f aca="false">IF(OR(C1888="",I1888="",G1888=""),"",IFERROR(VLOOKUP(I1888,Setup!$A$9:$B$11,2,0),"???")&amp;"-"&amp;G1888&amp;"-"&amp;TEXT(COUNTIFS(I$5:I1888,I1888,G$5:G1888,G1888),"0000"))</f>
        <v/>
      </c>
      <c r="C1888" s="26"/>
      <c r="D1888" s="26"/>
      <c r="E1888" s="27"/>
      <c r="F1888" s="27"/>
      <c r="G1888" s="31" t="str">
        <f aca="false">IF(F1888="","",IF(F1888&lt;=5,"A",IF(F1888&lt;=8,"B",IF(F1888&lt;=10,"C","D"))))</f>
        <v/>
      </c>
      <c r="H1888" s="28"/>
      <c r="I1888" s="27"/>
      <c r="J1888" s="26"/>
      <c r="K1888" s="27"/>
      <c r="L1888" s="27"/>
      <c r="M1888" s="27"/>
      <c r="N1888" s="27"/>
      <c r="O1888" s="31" t="str">
        <f aca="false">IF(G1888="","",VLOOKUP(G1888,Setup!$A$14:$C$17,3,0))</f>
        <v/>
      </c>
      <c r="P1888" s="27"/>
      <c r="Q1888" s="33" t="str">
        <f aca="false">IF(OR(P1888="",M1888&lt;&gt;"Paid",O1888=""),"",P1888/O1888)</f>
        <v/>
      </c>
      <c r="R1888" s="34" t="str">
        <f aca="false">IF(Q1888="","",Q1888+N(H1888)*0.000000001)</f>
        <v/>
      </c>
      <c r="S1888" s="32" t="str">
        <f aca="false">IF(R1888="","",SUMPRODUCT((I$5:I$4004=I1888)*ISNUMBER(R$5:R$4004)*(R$5:R$4004&gt;R1888))+1)</f>
        <v/>
      </c>
      <c r="T1888" s="32" t="str">
        <f aca="false">IF(S1888="","",IF(S1888&lt;=Setup!$B$5,"🏆 WINNER",""))</f>
        <v/>
      </c>
      <c r="U1888" s="31" t="str">
        <f aca="false">IF(S1888="","",I1888&amp;"|"&amp;S1888)</f>
        <v/>
      </c>
    </row>
    <row r="1889" customFormat="false" ht="15" hidden="false" customHeight="false" outlineLevel="0" collapsed="false">
      <c r="A1889" s="24" t="n">
        <v>1885</v>
      </c>
      <c r="B1889" s="25" t="str">
        <f aca="false">IF(OR(C1889="",I1889="",G1889=""),"",IFERROR(VLOOKUP(I1889,Setup!$A$9:$B$11,2,0),"???")&amp;"-"&amp;G1889&amp;"-"&amp;TEXT(COUNTIFS(I$5:I1889,I1889,G$5:G1889,G1889),"0000"))</f>
        <v/>
      </c>
      <c r="C1889" s="26"/>
      <c r="D1889" s="26"/>
      <c r="E1889" s="27"/>
      <c r="F1889" s="27"/>
      <c r="G1889" s="24" t="str">
        <f aca="false">IF(F1889="","",IF(F1889&lt;=5,"A",IF(F1889&lt;=8,"B",IF(F1889&lt;=10,"C","D"))))</f>
        <v/>
      </c>
      <c r="H1889" s="28"/>
      <c r="I1889" s="27"/>
      <c r="J1889" s="26"/>
      <c r="K1889" s="27"/>
      <c r="L1889" s="27"/>
      <c r="M1889" s="27"/>
      <c r="N1889" s="27"/>
      <c r="O1889" s="24" t="str">
        <f aca="false">IF(G1889="","",VLOOKUP(G1889,Setup!$A$14:$C$17,3,0))</f>
        <v/>
      </c>
      <c r="P1889" s="27"/>
      <c r="Q1889" s="29" t="str">
        <f aca="false">IF(OR(P1889="",M1889&lt;&gt;"Paid",O1889=""),"",P1889/O1889)</f>
        <v/>
      </c>
      <c r="R1889" s="30" t="str">
        <f aca="false">IF(Q1889="","",Q1889+N(H1889)*0.000000001)</f>
        <v/>
      </c>
      <c r="S1889" s="25" t="str">
        <f aca="false">IF(R1889="","",SUMPRODUCT((I$5:I$4004=I1889)*ISNUMBER(R$5:R$4004)*(R$5:R$4004&gt;R1889))+1)</f>
        <v/>
      </c>
      <c r="T1889" s="25" t="str">
        <f aca="false">IF(S1889="","",IF(S1889&lt;=Setup!$B$5,"🏆 WINNER",""))</f>
        <v/>
      </c>
      <c r="U1889" s="24" t="str">
        <f aca="false">IF(S1889="","",I1889&amp;"|"&amp;S1889)</f>
        <v/>
      </c>
    </row>
    <row r="1890" customFormat="false" ht="15" hidden="false" customHeight="false" outlineLevel="0" collapsed="false">
      <c r="A1890" s="31" t="n">
        <v>1886</v>
      </c>
      <c r="B1890" s="32" t="str">
        <f aca="false">IF(OR(C1890="",I1890="",G1890=""),"",IFERROR(VLOOKUP(I1890,Setup!$A$9:$B$11,2,0),"???")&amp;"-"&amp;G1890&amp;"-"&amp;TEXT(COUNTIFS(I$5:I1890,I1890,G$5:G1890,G1890),"0000"))</f>
        <v/>
      </c>
      <c r="C1890" s="26"/>
      <c r="D1890" s="26"/>
      <c r="E1890" s="27"/>
      <c r="F1890" s="27"/>
      <c r="G1890" s="31" t="str">
        <f aca="false">IF(F1890="","",IF(F1890&lt;=5,"A",IF(F1890&lt;=8,"B",IF(F1890&lt;=10,"C","D"))))</f>
        <v/>
      </c>
      <c r="H1890" s="28"/>
      <c r="I1890" s="27"/>
      <c r="J1890" s="26"/>
      <c r="K1890" s="27"/>
      <c r="L1890" s="27"/>
      <c r="M1890" s="27"/>
      <c r="N1890" s="27"/>
      <c r="O1890" s="31" t="str">
        <f aca="false">IF(G1890="","",VLOOKUP(G1890,Setup!$A$14:$C$17,3,0))</f>
        <v/>
      </c>
      <c r="P1890" s="27"/>
      <c r="Q1890" s="33" t="str">
        <f aca="false">IF(OR(P1890="",M1890&lt;&gt;"Paid",O1890=""),"",P1890/O1890)</f>
        <v/>
      </c>
      <c r="R1890" s="34" t="str">
        <f aca="false">IF(Q1890="","",Q1890+N(H1890)*0.000000001)</f>
        <v/>
      </c>
      <c r="S1890" s="32" t="str">
        <f aca="false">IF(R1890="","",SUMPRODUCT((I$5:I$4004=I1890)*ISNUMBER(R$5:R$4004)*(R$5:R$4004&gt;R1890))+1)</f>
        <v/>
      </c>
      <c r="T1890" s="32" t="str">
        <f aca="false">IF(S1890="","",IF(S1890&lt;=Setup!$B$5,"🏆 WINNER",""))</f>
        <v/>
      </c>
      <c r="U1890" s="31" t="str">
        <f aca="false">IF(S1890="","",I1890&amp;"|"&amp;S1890)</f>
        <v/>
      </c>
    </row>
    <row r="1891" customFormat="false" ht="15" hidden="false" customHeight="false" outlineLevel="0" collapsed="false">
      <c r="A1891" s="24" t="n">
        <v>1887</v>
      </c>
      <c r="B1891" s="25" t="str">
        <f aca="false">IF(OR(C1891="",I1891="",G1891=""),"",IFERROR(VLOOKUP(I1891,Setup!$A$9:$B$11,2,0),"???")&amp;"-"&amp;G1891&amp;"-"&amp;TEXT(COUNTIFS(I$5:I1891,I1891,G$5:G1891,G1891),"0000"))</f>
        <v/>
      </c>
      <c r="C1891" s="26"/>
      <c r="D1891" s="26"/>
      <c r="E1891" s="27"/>
      <c r="F1891" s="27"/>
      <c r="G1891" s="24" t="str">
        <f aca="false">IF(F1891="","",IF(F1891&lt;=5,"A",IF(F1891&lt;=8,"B",IF(F1891&lt;=10,"C","D"))))</f>
        <v/>
      </c>
      <c r="H1891" s="28"/>
      <c r="I1891" s="27"/>
      <c r="J1891" s="26"/>
      <c r="K1891" s="27"/>
      <c r="L1891" s="27"/>
      <c r="M1891" s="27"/>
      <c r="N1891" s="27"/>
      <c r="O1891" s="24" t="str">
        <f aca="false">IF(G1891="","",VLOOKUP(G1891,Setup!$A$14:$C$17,3,0))</f>
        <v/>
      </c>
      <c r="P1891" s="27"/>
      <c r="Q1891" s="29" t="str">
        <f aca="false">IF(OR(P1891="",M1891&lt;&gt;"Paid",O1891=""),"",P1891/O1891)</f>
        <v/>
      </c>
      <c r="R1891" s="30" t="str">
        <f aca="false">IF(Q1891="","",Q1891+N(H1891)*0.000000001)</f>
        <v/>
      </c>
      <c r="S1891" s="25" t="str">
        <f aca="false">IF(R1891="","",SUMPRODUCT((I$5:I$4004=I1891)*ISNUMBER(R$5:R$4004)*(R$5:R$4004&gt;R1891))+1)</f>
        <v/>
      </c>
      <c r="T1891" s="25" t="str">
        <f aca="false">IF(S1891="","",IF(S1891&lt;=Setup!$B$5,"🏆 WINNER",""))</f>
        <v/>
      </c>
      <c r="U1891" s="24" t="str">
        <f aca="false">IF(S1891="","",I1891&amp;"|"&amp;S1891)</f>
        <v/>
      </c>
    </row>
    <row r="1892" customFormat="false" ht="15" hidden="false" customHeight="false" outlineLevel="0" collapsed="false">
      <c r="A1892" s="31" t="n">
        <v>1888</v>
      </c>
      <c r="B1892" s="32" t="str">
        <f aca="false">IF(OR(C1892="",I1892="",G1892=""),"",IFERROR(VLOOKUP(I1892,Setup!$A$9:$B$11,2,0),"???")&amp;"-"&amp;G1892&amp;"-"&amp;TEXT(COUNTIFS(I$5:I1892,I1892,G$5:G1892,G1892),"0000"))</f>
        <v/>
      </c>
      <c r="C1892" s="26"/>
      <c r="D1892" s="26"/>
      <c r="E1892" s="27"/>
      <c r="F1892" s="27"/>
      <c r="G1892" s="31" t="str">
        <f aca="false">IF(F1892="","",IF(F1892&lt;=5,"A",IF(F1892&lt;=8,"B",IF(F1892&lt;=10,"C","D"))))</f>
        <v/>
      </c>
      <c r="H1892" s="28"/>
      <c r="I1892" s="27"/>
      <c r="J1892" s="26"/>
      <c r="K1892" s="27"/>
      <c r="L1892" s="27"/>
      <c r="M1892" s="27"/>
      <c r="N1892" s="27"/>
      <c r="O1892" s="31" t="str">
        <f aca="false">IF(G1892="","",VLOOKUP(G1892,Setup!$A$14:$C$17,3,0))</f>
        <v/>
      </c>
      <c r="P1892" s="27"/>
      <c r="Q1892" s="33" t="str">
        <f aca="false">IF(OR(P1892="",M1892&lt;&gt;"Paid",O1892=""),"",P1892/O1892)</f>
        <v/>
      </c>
      <c r="R1892" s="34" t="str">
        <f aca="false">IF(Q1892="","",Q1892+N(H1892)*0.000000001)</f>
        <v/>
      </c>
      <c r="S1892" s="32" t="str">
        <f aca="false">IF(R1892="","",SUMPRODUCT((I$5:I$4004=I1892)*ISNUMBER(R$5:R$4004)*(R$5:R$4004&gt;R1892))+1)</f>
        <v/>
      </c>
      <c r="T1892" s="32" t="str">
        <f aca="false">IF(S1892="","",IF(S1892&lt;=Setup!$B$5,"🏆 WINNER",""))</f>
        <v/>
      </c>
      <c r="U1892" s="31" t="str">
        <f aca="false">IF(S1892="","",I1892&amp;"|"&amp;S1892)</f>
        <v/>
      </c>
    </row>
    <row r="1893" customFormat="false" ht="15" hidden="false" customHeight="false" outlineLevel="0" collapsed="false">
      <c r="A1893" s="24" t="n">
        <v>1889</v>
      </c>
      <c r="B1893" s="25" t="str">
        <f aca="false">IF(OR(C1893="",I1893="",G1893=""),"",IFERROR(VLOOKUP(I1893,Setup!$A$9:$B$11,2,0),"???")&amp;"-"&amp;G1893&amp;"-"&amp;TEXT(COUNTIFS(I$5:I1893,I1893,G$5:G1893,G1893),"0000"))</f>
        <v/>
      </c>
      <c r="C1893" s="26"/>
      <c r="D1893" s="26"/>
      <c r="E1893" s="27"/>
      <c r="F1893" s="27"/>
      <c r="G1893" s="24" t="str">
        <f aca="false">IF(F1893="","",IF(F1893&lt;=5,"A",IF(F1893&lt;=8,"B",IF(F1893&lt;=10,"C","D"))))</f>
        <v/>
      </c>
      <c r="H1893" s="28"/>
      <c r="I1893" s="27"/>
      <c r="J1893" s="26"/>
      <c r="K1893" s="27"/>
      <c r="L1893" s="27"/>
      <c r="M1893" s="27"/>
      <c r="N1893" s="27"/>
      <c r="O1893" s="24" t="str">
        <f aca="false">IF(G1893="","",VLOOKUP(G1893,Setup!$A$14:$C$17,3,0))</f>
        <v/>
      </c>
      <c r="P1893" s="27"/>
      <c r="Q1893" s="29" t="str">
        <f aca="false">IF(OR(P1893="",M1893&lt;&gt;"Paid",O1893=""),"",P1893/O1893)</f>
        <v/>
      </c>
      <c r="R1893" s="30" t="str">
        <f aca="false">IF(Q1893="","",Q1893+N(H1893)*0.000000001)</f>
        <v/>
      </c>
      <c r="S1893" s="25" t="str">
        <f aca="false">IF(R1893="","",SUMPRODUCT((I$5:I$4004=I1893)*ISNUMBER(R$5:R$4004)*(R$5:R$4004&gt;R1893))+1)</f>
        <v/>
      </c>
      <c r="T1893" s="25" t="str">
        <f aca="false">IF(S1893="","",IF(S1893&lt;=Setup!$B$5,"🏆 WINNER",""))</f>
        <v/>
      </c>
      <c r="U1893" s="24" t="str">
        <f aca="false">IF(S1893="","",I1893&amp;"|"&amp;S1893)</f>
        <v/>
      </c>
    </row>
    <row r="1894" customFormat="false" ht="15" hidden="false" customHeight="false" outlineLevel="0" collapsed="false">
      <c r="A1894" s="31" t="n">
        <v>1890</v>
      </c>
      <c r="B1894" s="32" t="str">
        <f aca="false">IF(OR(C1894="",I1894="",G1894=""),"",IFERROR(VLOOKUP(I1894,Setup!$A$9:$B$11,2,0),"???")&amp;"-"&amp;G1894&amp;"-"&amp;TEXT(COUNTIFS(I$5:I1894,I1894,G$5:G1894,G1894),"0000"))</f>
        <v/>
      </c>
      <c r="C1894" s="26"/>
      <c r="D1894" s="26"/>
      <c r="E1894" s="27"/>
      <c r="F1894" s="27"/>
      <c r="G1894" s="31" t="str">
        <f aca="false">IF(F1894="","",IF(F1894&lt;=5,"A",IF(F1894&lt;=8,"B",IF(F1894&lt;=10,"C","D"))))</f>
        <v/>
      </c>
      <c r="H1894" s="28"/>
      <c r="I1894" s="27"/>
      <c r="J1894" s="26"/>
      <c r="K1894" s="27"/>
      <c r="L1894" s="27"/>
      <c r="M1894" s="27"/>
      <c r="N1894" s="27"/>
      <c r="O1894" s="31" t="str">
        <f aca="false">IF(G1894="","",VLOOKUP(G1894,Setup!$A$14:$C$17,3,0))</f>
        <v/>
      </c>
      <c r="P1894" s="27"/>
      <c r="Q1894" s="33" t="str">
        <f aca="false">IF(OR(P1894="",M1894&lt;&gt;"Paid",O1894=""),"",P1894/O1894)</f>
        <v/>
      </c>
      <c r="R1894" s="34" t="str">
        <f aca="false">IF(Q1894="","",Q1894+N(H1894)*0.000000001)</f>
        <v/>
      </c>
      <c r="S1894" s="32" t="str">
        <f aca="false">IF(R1894="","",SUMPRODUCT((I$5:I$4004=I1894)*ISNUMBER(R$5:R$4004)*(R$5:R$4004&gt;R1894))+1)</f>
        <v/>
      </c>
      <c r="T1894" s="32" t="str">
        <f aca="false">IF(S1894="","",IF(S1894&lt;=Setup!$B$5,"🏆 WINNER",""))</f>
        <v/>
      </c>
      <c r="U1894" s="31" t="str">
        <f aca="false">IF(S1894="","",I1894&amp;"|"&amp;S1894)</f>
        <v/>
      </c>
    </row>
    <row r="1895" customFormat="false" ht="15" hidden="false" customHeight="false" outlineLevel="0" collapsed="false">
      <c r="A1895" s="24" t="n">
        <v>1891</v>
      </c>
      <c r="B1895" s="25" t="str">
        <f aca="false">IF(OR(C1895="",I1895="",G1895=""),"",IFERROR(VLOOKUP(I1895,Setup!$A$9:$B$11,2,0),"???")&amp;"-"&amp;G1895&amp;"-"&amp;TEXT(COUNTIFS(I$5:I1895,I1895,G$5:G1895,G1895),"0000"))</f>
        <v/>
      </c>
      <c r="C1895" s="26"/>
      <c r="D1895" s="26"/>
      <c r="E1895" s="27"/>
      <c r="F1895" s="27"/>
      <c r="G1895" s="24" t="str">
        <f aca="false">IF(F1895="","",IF(F1895&lt;=5,"A",IF(F1895&lt;=8,"B",IF(F1895&lt;=10,"C","D"))))</f>
        <v/>
      </c>
      <c r="H1895" s="28"/>
      <c r="I1895" s="27"/>
      <c r="J1895" s="26"/>
      <c r="K1895" s="27"/>
      <c r="L1895" s="27"/>
      <c r="M1895" s="27"/>
      <c r="N1895" s="27"/>
      <c r="O1895" s="24" t="str">
        <f aca="false">IF(G1895="","",VLOOKUP(G1895,Setup!$A$14:$C$17,3,0))</f>
        <v/>
      </c>
      <c r="P1895" s="27"/>
      <c r="Q1895" s="29" t="str">
        <f aca="false">IF(OR(P1895="",M1895&lt;&gt;"Paid",O1895=""),"",P1895/O1895)</f>
        <v/>
      </c>
      <c r="R1895" s="30" t="str">
        <f aca="false">IF(Q1895="","",Q1895+N(H1895)*0.000000001)</f>
        <v/>
      </c>
      <c r="S1895" s="25" t="str">
        <f aca="false">IF(R1895="","",SUMPRODUCT((I$5:I$4004=I1895)*ISNUMBER(R$5:R$4004)*(R$5:R$4004&gt;R1895))+1)</f>
        <v/>
      </c>
      <c r="T1895" s="25" t="str">
        <f aca="false">IF(S1895="","",IF(S1895&lt;=Setup!$B$5,"🏆 WINNER",""))</f>
        <v/>
      </c>
      <c r="U1895" s="24" t="str">
        <f aca="false">IF(S1895="","",I1895&amp;"|"&amp;S1895)</f>
        <v/>
      </c>
    </row>
    <row r="1896" customFormat="false" ht="15" hidden="false" customHeight="false" outlineLevel="0" collapsed="false">
      <c r="A1896" s="31" t="n">
        <v>1892</v>
      </c>
      <c r="B1896" s="32" t="str">
        <f aca="false">IF(OR(C1896="",I1896="",G1896=""),"",IFERROR(VLOOKUP(I1896,Setup!$A$9:$B$11,2,0),"???")&amp;"-"&amp;G1896&amp;"-"&amp;TEXT(COUNTIFS(I$5:I1896,I1896,G$5:G1896,G1896),"0000"))</f>
        <v/>
      </c>
      <c r="C1896" s="26"/>
      <c r="D1896" s="26"/>
      <c r="E1896" s="27"/>
      <c r="F1896" s="27"/>
      <c r="G1896" s="31" t="str">
        <f aca="false">IF(F1896="","",IF(F1896&lt;=5,"A",IF(F1896&lt;=8,"B",IF(F1896&lt;=10,"C","D"))))</f>
        <v/>
      </c>
      <c r="H1896" s="28"/>
      <c r="I1896" s="27"/>
      <c r="J1896" s="26"/>
      <c r="K1896" s="27"/>
      <c r="L1896" s="27"/>
      <c r="M1896" s="27"/>
      <c r="N1896" s="27"/>
      <c r="O1896" s="31" t="str">
        <f aca="false">IF(G1896="","",VLOOKUP(G1896,Setup!$A$14:$C$17,3,0))</f>
        <v/>
      </c>
      <c r="P1896" s="27"/>
      <c r="Q1896" s="33" t="str">
        <f aca="false">IF(OR(P1896="",M1896&lt;&gt;"Paid",O1896=""),"",P1896/O1896)</f>
        <v/>
      </c>
      <c r="R1896" s="34" t="str">
        <f aca="false">IF(Q1896="","",Q1896+N(H1896)*0.000000001)</f>
        <v/>
      </c>
      <c r="S1896" s="32" t="str">
        <f aca="false">IF(R1896="","",SUMPRODUCT((I$5:I$4004=I1896)*ISNUMBER(R$5:R$4004)*(R$5:R$4004&gt;R1896))+1)</f>
        <v/>
      </c>
      <c r="T1896" s="32" t="str">
        <f aca="false">IF(S1896="","",IF(S1896&lt;=Setup!$B$5,"🏆 WINNER",""))</f>
        <v/>
      </c>
      <c r="U1896" s="31" t="str">
        <f aca="false">IF(S1896="","",I1896&amp;"|"&amp;S1896)</f>
        <v/>
      </c>
    </row>
    <row r="1897" customFormat="false" ht="15" hidden="false" customHeight="false" outlineLevel="0" collapsed="false">
      <c r="A1897" s="24" t="n">
        <v>1893</v>
      </c>
      <c r="B1897" s="25" t="str">
        <f aca="false">IF(OR(C1897="",I1897="",G1897=""),"",IFERROR(VLOOKUP(I1897,Setup!$A$9:$B$11,2,0),"???")&amp;"-"&amp;G1897&amp;"-"&amp;TEXT(COUNTIFS(I$5:I1897,I1897,G$5:G1897,G1897),"0000"))</f>
        <v/>
      </c>
      <c r="C1897" s="26"/>
      <c r="D1897" s="26"/>
      <c r="E1897" s="27"/>
      <c r="F1897" s="27"/>
      <c r="G1897" s="24" t="str">
        <f aca="false">IF(F1897="","",IF(F1897&lt;=5,"A",IF(F1897&lt;=8,"B",IF(F1897&lt;=10,"C","D"))))</f>
        <v/>
      </c>
      <c r="H1897" s="28"/>
      <c r="I1897" s="27"/>
      <c r="J1897" s="26"/>
      <c r="K1897" s="27"/>
      <c r="L1897" s="27"/>
      <c r="M1897" s="27"/>
      <c r="N1897" s="27"/>
      <c r="O1897" s="24" t="str">
        <f aca="false">IF(G1897="","",VLOOKUP(G1897,Setup!$A$14:$C$17,3,0))</f>
        <v/>
      </c>
      <c r="P1897" s="27"/>
      <c r="Q1897" s="29" t="str">
        <f aca="false">IF(OR(P1897="",M1897&lt;&gt;"Paid",O1897=""),"",P1897/O1897)</f>
        <v/>
      </c>
      <c r="R1897" s="30" t="str">
        <f aca="false">IF(Q1897="","",Q1897+N(H1897)*0.000000001)</f>
        <v/>
      </c>
      <c r="S1897" s="25" t="str">
        <f aca="false">IF(R1897="","",SUMPRODUCT((I$5:I$4004=I1897)*ISNUMBER(R$5:R$4004)*(R$5:R$4004&gt;R1897))+1)</f>
        <v/>
      </c>
      <c r="T1897" s="25" t="str">
        <f aca="false">IF(S1897="","",IF(S1897&lt;=Setup!$B$5,"🏆 WINNER",""))</f>
        <v/>
      </c>
      <c r="U1897" s="24" t="str">
        <f aca="false">IF(S1897="","",I1897&amp;"|"&amp;S1897)</f>
        <v/>
      </c>
    </row>
    <row r="1898" customFormat="false" ht="15" hidden="false" customHeight="false" outlineLevel="0" collapsed="false">
      <c r="A1898" s="31" t="n">
        <v>1894</v>
      </c>
      <c r="B1898" s="32" t="str">
        <f aca="false">IF(OR(C1898="",I1898="",G1898=""),"",IFERROR(VLOOKUP(I1898,Setup!$A$9:$B$11,2,0),"???")&amp;"-"&amp;G1898&amp;"-"&amp;TEXT(COUNTIFS(I$5:I1898,I1898,G$5:G1898,G1898),"0000"))</f>
        <v/>
      </c>
      <c r="C1898" s="26"/>
      <c r="D1898" s="26"/>
      <c r="E1898" s="27"/>
      <c r="F1898" s="27"/>
      <c r="G1898" s="31" t="str">
        <f aca="false">IF(F1898="","",IF(F1898&lt;=5,"A",IF(F1898&lt;=8,"B",IF(F1898&lt;=10,"C","D"))))</f>
        <v/>
      </c>
      <c r="H1898" s="28"/>
      <c r="I1898" s="27"/>
      <c r="J1898" s="26"/>
      <c r="K1898" s="27"/>
      <c r="L1898" s="27"/>
      <c r="M1898" s="27"/>
      <c r="N1898" s="27"/>
      <c r="O1898" s="31" t="str">
        <f aca="false">IF(G1898="","",VLOOKUP(G1898,Setup!$A$14:$C$17,3,0))</f>
        <v/>
      </c>
      <c r="P1898" s="27"/>
      <c r="Q1898" s="33" t="str">
        <f aca="false">IF(OR(P1898="",M1898&lt;&gt;"Paid",O1898=""),"",P1898/O1898)</f>
        <v/>
      </c>
      <c r="R1898" s="34" t="str">
        <f aca="false">IF(Q1898="","",Q1898+N(H1898)*0.000000001)</f>
        <v/>
      </c>
      <c r="S1898" s="32" t="str">
        <f aca="false">IF(R1898="","",SUMPRODUCT((I$5:I$4004=I1898)*ISNUMBER(R$5:R$4004)*(R$5:R$4004&gt;R1898))+1)</f>
        <v/>
      </c>
      <c r="T1898" s="32" t="str">
        <f aca="false">IF(S1898="","",IF(S1898&lt;=Setup!$B$5,"🏆 WINNER",""))</f>
        <v/>
      </c>
      <c r="U1898" s="31" t="str">
        <f aca="false">IF(S1898="","",I1898&amp;"|"&amp;S1898)</f>
        <v/>
      </c>
    </row>
    <row r="1899" customFormat="false" ht="15" hidden="false" customHeight="false" outlineLevel="0" collapsed="false">
      <c r="A1899" s="24" t="n">
        <v>1895</v>
      </c>
      <c r="B1899" s="25" t="str">
        <f aca="false">IF(OR(C1899="",I1899="",G1899=""),"",IFERROR(VLOOKUP(I1899,Setup!$A$9:$B$11,2,0),"???")&amp;"-"&amp;G1899&amp;"-"&amp;TEXT(COUNTIFS(I$5:I1899,I1899,G$5:G1899,G1899),"0000"))</f>
        <v/>
      </c>
      <c r="C1899" s="26"/>
      <c r="D1899" s="26"/>
      <c r="E1899" s="27"/>
      <c r="F1899" s="27"/>
      <c r="G1899" s="24" t="str">
        <f aca="false">IF(F1899="","",IF(F1899&lt;=5,"A",IF(F1899&lt;=8,"B",IF(F1899&lt;=10,"C","D"))))</f>
        <v/>
      </c>
      <c r="H1899" s="28"/>
      <c r="I1899" s="27"/>
      <c r="J1899" s="26"/>
      <c r="K1899" s="27"/>
      <c r="L1899" s="27"/>
      <c r="M1899" s="27"/>
      <c r="N1899" s="27"/>
      <c r="O1899" s="24" t="str">
        <f aca="false">IF(G1899="","",VLOOKUP(G1899,Setup!$A$14:$C$17,3,0))</f>
        <v/>
      </c>
      <c r="P1899" s="27"/>
      <c r="Q1899" s="29" t="str">
        <f aca="false">IF(OR(P1899="",M1899&lt;&gt;"Paid",O1899=""),"",P1899/O1899)</f>
        <v/>
      </c>
      <c r="R1899" s="30" t="str">
        <f aca="false">IF(Q1899="","",Q1899+N(H1899)*0.000000001)</f>
        <v/>
      </c>
      <c r="S1899" s="25" t="str">
        <f aca="false">IF(R1899="","",SUMPRODUCT((I$5:I$4004=I1899)*ISNUMBER(R$5:R$4004)*(R$5:R$4004&gt;R1899))+1)</f>
        <v/>
      </c>
      <c r="T1899" s="25" t="str">
        <f aca="false">IF(S1899="","",IF(S1899&lt;=Setup!$B$5,"🏆 WINNER",""))</f>
        <v/>
      </c>
      <c r="U1899" s="24" t="str">
        <f aca="false">IF(S1899="","",I1899&amp;"|"&amp;S1899)</f>
        <v/>
      </c>
    </row>
    <row r="1900" customFormat="false" ht="15" hidden="false" customHeight="false" outlineLevel="0" collapsed="false">
      <c r="A1900" s="31" t="n">
        <v>1896</v>
      </c>
      <c r="B1900" s="32" t="str">
        <f aca="false">IF(OR(C1900="",I1900="",G1900=""),"",IFERROR(VLOOKUP(I1900,Setup!$A$9:$B$11,2,0),"???")&amp;"-"&amp;G1900&amp;"-"&amp;TEXT(COUNTIFS(I$5:I1900,I1900,G$5:G1900,G1900),"0000"))</f>
        <v/>
      </c>
      <c r="C1900" s="26"/>
      <c r="D1900" s="26"/>
      <c r="E1900" s="27"/>
      <c r="F1900" s="27"/>
      <c r="G1900" s="31" t="str">
        <f aca="false">IF(F1900="","",IF(F1900&lt;=5,"A",IF(F1900&lt;=8,"B",IF(F1900&lt;=10,"C","D"))))</f>
        <v/>
      </c>
      <c r="H1900" s="28"/>
      <c r="I1900" s="27"/>
      <c r="J1900" s="26"/>
      <c r="K1900" s="27"/>
      <c r="L1900" s="27"/>
      <c r="M1900" s="27"/>
      <c r="N1900" s="27"/>
      <c r="O1900" s="31" t="str">
        <f aca="false">IF(G1900="","",VLOOKUP(G1900,Setup!$A$14:$C$17,3,0))</f>
        <v/>
      </c>
      <c r="P1900" s="27"/>
      <c r="Q1900" s="33" t="str">
        <f aca="false">IF(OR(P1900="",M1900&lt;&gt;"Paid",O1900=""),"",P1900/O1900)</f>
        <v/>
      </c>
      <c r="R1900" s="34" t="str">
        <f aca="false">IF(Q1900="","",Q1900+N(H1900)*0.000000001)</f>
        <v/>
      </c>
      <c r="S1900" s="32" t="str">
        <f aca="false">IF(R1900="","",SUMPRODUCT((I$5:I$4004=I1900)*ISNUMBER(R$5:R$4004)*(R$5:R$4004&gt;R1900))+1)</f>
        <v/>
      </c>
      <c r="T1900" s="32" t="str">
        <f aca="false">IF(S1900="","",IF(S1900&lt;=Setup!$B$5,"🏆 WINNER",""))</f>
        <v/>
      </c>
      <c r="U1900" s="31" t="str">
        <f aca="false">IF(S1900="","",I1900&amp;"|"&amp;S1900)</f>
        <v/>
      </c>
    </row>
    <row r="1901" customFormat="false" ht="15" hidden="false" customHeight="false" outlineLevel="0" collapsed="false">
      <c r="A1901" s="24" t="n">
        <v>1897</v>
      </c>
      <c r="B1901" s="25" t="str">
        <f aca="false">IF(OR(C1901="",I1901="",G1901=""),"",IFERROR(VLOOKUP(I1901,Setup!$A$9:$B$11,2,0),"???")&amp;"-"&amp;G1901&amp;"-"&amp;TEXT(COUNTIFS(I$5:I1901,I1901,G$5:G1901,G1901),"0000"))</f>
        <v/>
      </c>
      <c r="C1901" s="26"/>
      <c r="D1901" s="26"/>
      <c r="E1901" s="27"/>
      <c r="F1901" s="27"/>
      <c r="G1901" s="24" t="str">
        <f aca="false">IF(F1901="","",IF(F1901&lt;=5,"A",IF(F1901&lt;=8,"B",IF(F1901&lt;=10,"C","D"))))</f>
        <v/>
      </c>
      <c r="H1901" s="28"/>
      <c r="I1901" s="27"/>
      <c r="J1901" s="26"/>
      <c r="K1901" s="27"/>
      <c r="L1901" s="27"/>
      <c r="M1901" s="27"/>
      <c r="N1901" s="27"/>
      <c r="O1901" s="24" t="str">
        <f aca="false">IF(G1901="","",VLOOKUP(G1901,Setup!$A$14:$C$17,3,0))</f>
        <v/>
      </c>
      <c r="P1901" s="27"/>
      <c r="Q1901" s="29" t="str">
        <f aca="false">IF(OR(P1901="",M1901&lt;&gt;"Paid",O1901=""),"",P1901/O1901)</f>
        <v/>
      </c>
      <c r="R1901" s="30" t="str">
        <f aca="false">IF(Q1901="","",Q1901+N(H1901)*0.000000001)</f>
        <v/>
      </c>
      <c r="S1901" s="25" t="str">
        <f aca="false">IF(R1901="","",SUMPRODUCT((I$5:I$4004=I1901)*ISNUMBER(R$5:R$4004)*(R$5:R$4004&gt;R1901))+1)</f>
        <v/>
      </c>
      <c r="T1901" s="25" t="str">
        <f aca="false">IF(S1901="","",IF(S1901&lt;=Setup!$B$5,"🏆 WINNER",""))</f>
        <v/>
      </c>
      <c r="U1901" s="24" t="str">
        <f aca="false">IF(S1901="","",I1901&amp;"|"&amp;S1901)</f>
        <v/>
      </c>
    </row>
    <row r="1902" customFormat="false" ht="15" hidden="false" customHeight="false" outlineLevel="0" collapsed="false">
      <c r="A1902" s="31" t="n">
        <v>1898</v>
      </c>
      <c r="B1902" s="32" t="str">
        <f aca="false">IF(OR(C1902="",I1902="",G1902=""),"",IFERROR(VLOOKUP(I1902,Setup!$A$9:$B$11,2,0),"???")&amp;"-"&amp;G1902&amp;"-"&amp;TEXT(COUNTIFS(I$5:I1902,I1902,G$5:G1902,G1902),"0000"))</f>
        <v/>
      </c>
      <c r="C1902" s="26"/>
      <c r="D1902" s="26"/>
      <c r="E1902" s="27"/>
      <c r="F1902" s="27"/>
      <c r="G1902" s="31" t="str">
        <f aca="false">IF(F1902="","",IF(F1902&lt;=5,"A",IF(F1902&lt;=8,"B",IF(F1902&lt;=10,"C","D"))))</f>
        <v/>
      </c>
      <c r="H1902" s="28"/>
      <c r="I1902" s="27"/>
      <c r="J1902" s="26"/>
      <c r="K1902" s="27"/>
      <c r="L1902" s="27"/>
      <c r="M1902" s="27"/>
      <c r="N1902" s="27"/>
      <c r="O1902" s="31" t="str">
        <f aca="false">IF(G1902="","",VLOOKUP(G1902,Setup!$A$14:$C$17,3,0))</f>
        <v/>
      </c>
      <c r="P1902" s="27"/>
      <c r="Q1902" s="33" t="str">
        <f aca="false">IF(OR(P1902="",M1902&lt;&gt;"Paid",O1902=""),"",P1902/O1902)</f>
        <v/>
      </c>
      <c r="R1902" s="34" t="str">
        <f aca="false">IF(Q1902="","",Q1902+N(H1902)*0.000000001)</f>
        <v/>
      </c>
      <c r="S1902" s="32" t="str">
        <f aca="false">IF(R1902="","",SUMPRODUCT((I$5:I$4004=I1902)*ISNUMBER(R$5:R$4004)*(R$5:R$4004&gt;R1902))+1)</f>
        <v/>
      </c>
      <c r="T1902" s="32" t="str">
        <f aca="false">IF(S1902="","",IF(S1902&lt;=Setup!$B$5,"🏆 WINNER",""))</f>
        <v/>
      </c>
      <c r="U1902" s="31" t="str">
        <f aca="false">IF(S1902="","",I1902&amp;"|"&amp;S1902)</f>
        <v/>
      </c>
    </row>
    <row r="1903" customFormat="false" ht="15" hidden="false" customHeight="false" outlineLevel="0" collapsed="false">
      <c r="A1903" s="24" t="n">
        <v>1899</v>
      </c>
      <c r="B1903" s="25" t="str">
        <f aca="false">IF(OR(C1903="",I1903="",G1903=""),"",IFERROR(VLOOKUP(I1903,Setup!$A$9:$B$11,2,0),"???")&amp;"-"&amp;G1903&amp;"-"&amp;TEXT(COUNTIFS(I$5:I1903,I1903,G$5:G1903,G1903),"0000"))</f>
        <v/>
      </c>
      <c r="C1903" s="26"/>
      <c r="D1903" s="26"/>
      <c r="E1903" s="27"/>
      <c r="F1903" s="27"/>
      <c r="G1903" s="24" t="str">
        <f aca="false">IF(F1903="","",IF(F1903&lt;=5,"A",IF(F1903&lt;=8,"B",IF(F1903&lt;=10,"C","D"))))</f>
        <v/>
      </c>
      <c r="H1903" s="28"/>
      <c r="I1903" s="27"/>
      <c r="J1903" s="26"/>
      <c r="K1903" s="27"/>
      <c r="L1903" s="27"/>
      <c r="M1903" s="27"/>
      <c r="N1903" s="27"/>
      <c r="O1903" s="24" t="str">
        <f aca="false">IF(G1903="","",VLOOKUP(G1903,Setup!$A$14:$C$17,3,0))</f>
        <v/>
      </c>
      <c r="P1903" s="27"/>
      <c r="Q1903" s="29" t="str">
        <f aca="false">IF(OR(P1903="",M1903&lt;&gt;"Paid",O1903=""),"",P1903/O1903)</f>
        <v/>
      </c>
      <c r="R1903" s="30" t="str">
        <f aca="false">IF(Q1903="","",Q1903+N(H1903)*0.000000001)</f>
        <v/>
      </c>
      <c r="S1903" s="25" t="str">
        <f aca="false">IF(R1903="","",SUMPRODUCT((I$5:I$4004=I1903)*ISNUMBER(R$5:R$4004)*(R$5:R$4004&gt;R1903))+1)</f>
        <v/>
      </c>
      <c r="T1903" s="25" t="str">
        <f aca="false">IF(S1903="","",IF(S1903&lt;=Setup!$B$5,"🏆 WINNER",""))</f>
        <v/>
      </c>
      <c r="U1903" s="24" t="str">
        <f aca="false">IF(S1903="","",I1903&amp;"|"&amp;S1903)</f>
        <v/>
      </c>
    </row>
    <row r="1904" customFormat="false" ht="15" hidden="false" customHeight="false" outlineLevel="0" collapsed="false">
      <c r="A1904" s="31" t="n">
        <v>1900</v>
      </c>
      <c r="B1904" s="32" t="str">
        <f aca="false">IF(OR(C1904="",I1904="",G1904=""),"",IFERROR(VLOOKUP(I1904,Setup!$A$9:$B$11,2,0),"???")&amp;"-"&amp;G1904&amp;"-"&amp;TEXT(COUNTIFS(I$5:I1904,I1904,G$5:G1904,G1904),"0000"))</f>
        <v/>
      </c>
      <c r="C1904" s="26"/>
      <c r="D1904" s="26"/>
      <c r="E1904" s="27"/>
      <c r="F1904" s="27"/>
      <c r="G1904" s="31" t="str">
        <f aca="false">IF(F1904="","",IF(F1904&lt;=5,"A",IF(F1904&lt;=8,"B",IF(F1904&lt;=10,"C","D"))))</f>
        <v/>
      </c>
      <c r="H1904" s="28"/>
      <c r="I1904" s="27"/>
      <c r="J1904" s="26"/>
      <c r="K1904" s="27"/>
      <c r="L1904" s="27"/>
      <c r="M1904" s="27"/>
      <c r="N1904" s="27"/>
      <c r="O1904" s="31" t="str">
        <f aca="false">IF(G1904="","",VLOOKUP(G1904,Setup!$A$14:$C$17,3,0))</f>
        <v/>
      </c>
      <c r="P1904" s="27"/>
      <c r="Q1904" s="33" t="str">
        <f aca="false">IF(OR(P1904="",M1904&lt;&gt;"Paid",O1904=""),"",P1904/O1904)</f>
        <v/>
      </c>
      <c r="R1904" s="34" t="str">
        <f aca="false">IF(Q1904="","",Q1904+N(H1904)*0.000000001)</f>
        <v/>
      </c>
      <c r="S1904" s="32" t="str">
        <f aca="false">IF(R1904="","",SUMPRODUCT((I$5:I$4004=I1904)*ISNUMBER(R$5:R$4004)*(R$5:R$4004&gt;R1904))+1)</f>
        <v/>
      </c>
      <c r="T1904" s="32" t="str">
        <f aca="false">IF(S1904="","",IF(S1904&lt;=Setup!$B$5,"🏆 WINNER",""))</f>
        <v/>
      </c>
      <c r="U1904" s="31" t="str">
        <f aca="false">IF(S1904="","",I1904&amp;"|"&amp;S1904)</f>
        <v/>
      </c>
    </row>
    <row r="1905" customFormat="false" ht="15" hidden="false" customHeight="false" outlineLevel="0" collapsed="false">
      <c r="A1905" s="24" t="n">
        <v>1901</v>
      </c>
      <c r="B1905" s="25" t="str">
        <f aca="false">IF(OR(C1905="",I1905="",G1905=""),"",IFERROR(VLOOKUP(I1905,Setup!$A$9:$B$11,2,0),"???")&amp;"-"&amp;G1905&amp;"-"&amp;TEXT(COUNTIFS(I$5:I1905,I1905,G$5:G1905,G1905),"0000"))</f>
        <v/>
      </c>
      <c r="C1905" s="26"/>
      <c r="D1905" s="26"/>
      <c r="E1905" s="27"/>
      <c r="F1905" s="27"/>
      <c r="G1905" s="24" t="str">
        <f aca="false">IF(F1905="","",IF(F1905&lt;=5,"A",IF(F1905&lt;=8,"B",IF(F1905&lt;=10,"C","D"))))</f>
        <v/>
      </c>
      <c r="H1905" s="28"/>
      <c r="I1905" s="27"/>
      <c r="J1905" s="26"/>
      <c r="K1905" s="27"/>
      <c r="L1905" s="27"/>
      <c r="M1905" s="27"/>
      <c r="N1905" s="27"/>
      <c r="O1905" s="24" t="str">
        <f aca="false">IF(G1905="","",VLOOKUP(G1905,Setup!$A$14:$C$17,3,0))</f>
        <v/>
      </c>
      <c r="P1905" s="27"/>
      <c r="Q1905" s="29" t="str">
        <f aca="false">IF(OR(P1905="",M1905&lt;&gt;"Paid",O1905=""),"",P1905/O1905)</f>
        <v/>
      </c>
      <c r="R1905" s="30" t="str">
        <f aca="false">IF(Q1905="","",Q1905+N(H1905)*0.000000001)</f>
        <v/>
      </c>
      <c r="S1905" s="25" t="str">
        <f aca="false">IF(R1905="","",SUMPRODUCT((I$5:I$4004=I1905)*ISNUMBER(R$5:R$4004)*(R$5:R$4004&gt;R1905))+1)</f>
        <v/>
      </c>
      <c r="T1905" s="25" t="str">
        <f aca="false">IF(S1905="","",IF(S1905&lt;=Setup!$B$5,"🏆 WINNER",""))</f>
        <v/>
      </c>
      <c r="U1905" s="24" t="str">
        <f aca="false">IF(S1905="","",I1905&amp;"|"&amp;S1905)</f>
        <v/>
      </c>
    </row>
    <row r="1906" customFormat="false" ht="15" hidden="false" customHeight="false" outlineLevel="0" collapsed="false">
      <c r="A1906" s="31" t="n">
        <v>1902</v>
      </c>
      <c r="B1906" s="32" t="str">
        <f aca="false">IF(OR(C1906="",I1906="",G1906=""),"",IFERROR(VLOOKUP(I1906,Setup!$A$9:$B$11,2,0),"???")&amp;"-"&amp;G1906&amp;"-"&amp;TEXT(COUNTIFS(I$5:I1906,I1906,G$5:G1906,G1906),"0000"))</f>
        <v/>
      </c>
      <c r="C1906" s="26"/>
      <c r="D1906" s="26"/>
      <c r="E1906" s="27"/>
      <c r="F1906" s="27"/>
      <c r="G1906" s="31" t="str">
        <f aca="false">IF(F1906="","",IF(F1906&lt;=5,"A",IF(F1906&lt;=8,"B",IF(F1906&lt;=10,"C","D"))))</f>
        <v/>
      </c>
      <c r="H1906" s="28"/>
      <c r="I1906" s="27"/>
      <c r="J1906" s="26"/>
      <c r="K1906" s="27"/>
      <c r="L1906" s="27"/>
      <c r="M1906" s="27"/>
      <c r="N1906" s="27"/>
      <c r="O1906" s="31" t="str">
        <f aca="false">IF(G1906="","",VLOOKUP(G1906,Setup!$A$14:$C$17,3,0))</f>
        <v/>
      </c>
      <c r="P1906" s="27"/>
      <c r="Q1906" s="33" t="str">
        <f aca="false">IF(OR(P1906="",M1906&lt;&gt;"Paid",O1906=""),"",P1906/O1906)</f>
        <v/>
      </c>
      <c r="R1906" s="34" t="str">
        <f aca="false">IF(Q1906="","",Q1906+N(H1906)*0.000000001)</f>
        <v/>
      </c>
      <c r="S1906" s="32" t="str">
        <f aca="false">IF(R1906="","",SUMPRODUCT((I$5:I$4004=I1906)*ISNUMBER(R$5:R$4004)*(R$5:R$4004&gt;R1906))+1)</f>
        <v/>
      </c>
      <c r="T1906" s="32" t="str">
        <f aca="false">IF(S1906="","",IF(S1906&lt;=Setup!$B$5,"🏆 WINNER",""))</f>
        <v/>
      </c>
      <c r="U1906" s="31" t="str">
        <f aca="false">IF(S1906="","",I1906&amp;"|"&amp;S1906)</f>
        <v/>
      </c>
    </row>
    <row r="1907" customFormat="false" ht="15" hidden="false" customHeight="false" outlineLevel="0" collapsed="false">
      <c r="A1907" s="24" t="n">
        <v>1903</v>
      </c>
      <c r="B1907" s="25" t="str">
        <f aca="false">IF(OR(C1907="",I1907="",G1907=""),"",IFERROR(VLOOKUP(I1907,Setup!$A$9:$B$11,2,0),"???")&amp;"-"&amp;G1907&amp;"-"&amp;TEXT(COUNTIFS(I$5:I1907,I1907,G$5:G1907,G1907),"0000"))</f>
        <v/>
      </c>
      <c r="C1907" s="26"/>
      <c r="D1907" s="26"/>
      <c r="E1907" s="27"/>
      <c r="F1907" s="27"/>
      <c r="G1907" s="24" t="str">
        <f aca="false">IF(F1907="","",IF(F1907&lt;=5,"A",IF(F1907&lt;=8,"B",IF(F1907&lt;=10,"C","D"))))</f>
        <v/>
      </c>
      <c r="H1907" s="28"/>
      <c r="I1907" s="27"/>
      <c r="J1907" s="26"/>
      <c r="K1907" s="27"/>
      <c r="L1907" s="27"/>
      <c r="M1907" s="27"/>
      <c r="N1907" s="27"/>
      <c r="O1907" s="24" t="str">
        <f aca="false">IF(G1907="","",VLOOKUP(G1907,Setup!$A$14:$C$17,3,0))</f>
        <v/>
      </c>
      <c r="P1907" s="27"/>
      <c r="Q1907" s="29" t="str">
        <f aca="false">IF(OR(P1907="",M1907&lt;&gt;"Paid",O1907=""),"",P1907/O1907)</f>
        <v/>
      </c>
      <c r="R1907" s="30" t="str">
        <f aca="false">IF(Q1907="","",Q1907+N(H1907)*0.000000001)</f>
        <v/>
      </c>
      <c r="S1907" s="25" t="str">
        <f aca="false">IF(R1907="","",SUMPRODUCT((I$5:I$4004=I1907)*ISNUMBER(R$5:R$4004)*(R$5:R$4004&gt;R1907))+1)</f>
        <v/>
      </c>
      <c r="T1907" s="25" t="str">
        <f aca="false">IF(S1907="","",IF(S1907&lt;=Setup!$B$5,"🏆 WINNER",""))</f>
        <v/>
      </c>
      <c r="U1907" s="24" t="str">
        <f aca="false">IF(S1907="","",I1907&amp;"|"&amp;S1907)</f>
        <v/>
      </c>
    </row>
    <row r="1908" customFormat="false" ht="15" hidden="false" customHeight="false" outlineLevel="0" collapsed="false">
      <c r="A1908" s="31" t="n">
        <v>1904</v>
      </c>
      <c r="B1908" s="32" t="str">
        <f aca="false">IF(OR(C1908="",I1908="",G1908=""),"",IFERROR(VLOOKUP(I1908,Setup!$A$9:$B$11,2,0),"???")&amp;"-"&amp;G1908&amp;"-"&amp;TEXT(COUNTIFS(I$5:I1908,I1908,G$5:G1908,G1908),"0000"))</f>
        <v/>
      </c>
      <c r="C1908" s="26"/>
      <c r="D1908" s="26"/>
      <c r="E1908" s="27"/>
      <c r="F1908" s="27"/>
      <c r="G1908" s="31" t="str">
        <f aca="false">IF(F1908="","",IF(F1908&lt;=5,"A",IF(F1908&lt;=8,"B",IF(F1908&lt;=10,"C","D"))))</f>
        <v/>
      </c>
      <c r="H1908" s="28"/>
      <c r="I1908" s="27"/>
      <c r="J1908" s="26"/>
      <c r="K1908" s="27"/>
      <c r="L1908" s="27"/>
      <c r="M1908" s="27"/>
      <c r="N1908" s="27"/>
      <c r="O1908" s="31" t="str">
        <f aca="false">IF(G1908="","",VLOOKUP(G1908,Setup!$A$14:$C$17,3,0))</f>
        <v/>
      </c>
      <c r="P1908" s="27"/>
      <c r="Q1908" s="33" t="str">
        <f aca="false">IF(OR(P1908="",M1908&lt;&gt;"Paid",O1908=""),"",P1908/O1908)</f>
        <v/>
      </c>
      <c r="R1908" s="34" t="str">
        <f aca="false">IF(Q1908="","",Q1908+N(H1908)*0.000000001)</f>
        <v/>
      </c>
      <c r="S1908" s="32" t="str">
        <f aca="false">IF(R1908="","",SUMPRODUCT((I$5:I$4004=I1908)*ISNUMBER(R$5:R$4004)*(R$5:R$4004&gt;R1908))+1)</f>
        <v/>
      </c>
      <c r="T1908" s="32" t="str">
        <f aca="false">IF(S1908="","",IF(S1908&lt;=Setup!$B$5,"🏆 WINNER",""))</f>
        <v/>
      </c>
      <c r="U1908" s="31" t="str">
        <f aca="false">IF(S1908="","",I1908&amp;"|"&amp;S1908)</f>
        <v/>
      </c>
    </row>
    <row r="1909" customFormat="false" ht="15" hidden="false" customHeight="false" outlineLevel="0" collapsed="false">
      <c r="A1909" s="24" t="n">
        <v>1905</v>
      </c>
      <c r="B1909" s="25" t="str">
        <f aca="false">IF(OR(C1909="",I1909="",G1909=""),"",IFERROR(VLOOKUP(I1909,Setup!$A$9:$B$11,2,0),"???")&amp;"-"&amp;G1909&amp;"-"&amp;TEXT(COUNTIFS(I$5:I1909,I1909,G$5:G1909,G1909),"0000"))</f>
        <v/>
      </c>
      <c r="C1909" s="26"/>
      <c r="D1909" s="26"/>
      <c r="E1909" s="27"/>
      <c r="F1909" s="27"/>
      <c r="G1909" s="24" t="str">
        <f aca="false">IF(F1909="","",IF(F1909&lt;=5,"A",IF(F1909&lt;=8,"B",IF(F1909&lt;=10,"C","D"))))</f>
        <v/>
      </c>
      <c r="H1909" s="28"/>
      <c r="I1909" s="27"/>
      <c r="J1909" s="26"/>
      <c r="K1909" s="27"/>
      <c r="L1909" s="27"/>
      <c r="M1909" s="27"/>
      <c r="N1909" s="27"/>
      <c r="O1909" s="24" t="str">
        <f aca="false">IF(G1909="","",VLOOKUP(G1909,Setup!$A$14:$C$17,3,0))</f>
        <v/>
      </c>
      <c r="P1909" s="27"/>
      <c r="Q1909" s="29" t="str">
        <f aca="false">IF(OR(P1909="",M1909&lt;&gt;"Paid",O1909=""),"",P1909/O1909)</f>
        <v/>
      </c>
      <c r="R1909" s="30" t="str">
        <f aca="false">IF(Q1909="","",Q1909+N(H1909)*0.000000001)</f>
        <v/>
      </c>
      <c r="S1909" s="25" t="str">
        <f aca="false">IF(R1909="","",SUMPRODUCT((I$5:I$4004=I1909)*ISNUMBER(R$5:R$4004)*(R$5:R$4004&gt;R1909))+1)</f>
        <v/>
      </c>
      <c r="T1909" s="25" t="str">
        <f aca="false">IF(S1909="","",IF(S1909&lt;=Setup!$B$5,"🏆 WINNER",""))</f>
        <v/>
      </c>
      <c r="U1909" s="24" t="str">
        <f aca="false">IF(S1909="","",I1909&amp;"|"&amp;S1909)</f>
        <v/>
      </c>
    </row>
    <row r="1910" customFormat="false" ht="15" hidden="false" customHeight="false" outlineLevel="0" collapsed="false">
      <c r="A1910" s="31" t="n">
        <v>1906</v>
      </c>
      <c r="B1910" s="32" t="str">
        <f aca="false">IF(OR(C1910="",I1910="",G1910=""),"",IFERROR(VLOOKUP(I1910,Setup!$A$9:$B$11,2,0),"???")&amp;"-"&amp;G1910&amp;"-"&amp;TEXT(COUNTIFS(I$5:I1910,I1910,G$5:G1910,G1910),"0000"))</f>
        <v/>
      </c>
      <c r="C1910" s="26"/>
      <c r="D1910" s="26"/>
      <c r="E1910" s="27"/>
      <c r="F1910" s="27"/>
      <c r="G1910" s="31" t="str">
        <f aca="false">IF(F1910="","",IF(F1910&lt;=5,"A",IF(F1910&lt;=8,"B",IF(F1910&lt;=10,"C","D"))))</f>
        <v/>
      </c>
      <c r="H1910" s="28"/>
      <c r="I1910" s="27"/>
      <c r="J1910" s="26"/>
      <c r="K1910" s="27"/>
      <c r="L1910" s="27"/>
      <c r="M1910" s="27"/>
      <c r="N1910" s="27"/>
      <c r="O1910" s="31" t="str">
        <f aca="false">IF(G1910="","",VLOOKUP(G1910,Setup!$A$14:$C$17,3,0))</f>
        <v/>
      </c>
      <c r="P1910" s="27"/>
      <c r="Q1910" s="33" t="str">
        <f aca="false">IF(OR(P1910="",M1910&lt;&gt;"Paid",O1910=""),"",P1910/O1910)</f>
        <v/>
      </c>
      <c r="R1910" s="34" t="str">
        <f aca="false">IF(Q1910="","",Q1910+N(H1910)*0.000000001)</f>
        <v/>
      </c>
      <c r="S1910" s="32" t="str">
        <f aca="false">IF(R1910="","",SUMPRODUCT((I$5:I$4004=I1910)*ISNUMBER(R$5:R$4004)*(R$5:R$4004&gt;R1910))+1)</f>
        <v/>
      </c>
      <c r="T1910" s="32" t="str">
        <f aca="false">IF(S1910="","",IF(S1910&lt;=Setup!$B$5,"🏆 WINNER",""))</f>
        <v/>
      </c>
      <c r="U1910" s="31" t="str">
        <f aca="false">IF(S1910="","",I1910&amp;"|"&amp;S1910)</f>
        <v/>
      </c>
    </row>
    <row r="1911" customFormat="false" ht="15" hidden="false" customHeight="false" outlineLevel="0" collapsed="false">
      <c r="A1911" s="24" t="n">
        <v>1907</v>
      </c>
      <c r="B1911" s="25" t="str">
        <f aca="false">IF(OR(C1911="",I1911="",G1911=""),"",IFERROR(VLOOKUP(I1911,Setup!$A$9:$B$11,2,0),"???")&amp;"-"&amp;G1911&amp;"-"&amp;TEXT(COUNTIFS(I$5:I1911,I1911,G$5:G1911,G1911),"0000"))</f>
        <v/>
      </c>
      <c r="C1911" s="26"/>
      <c r="D1911" s="26"/>
      <c r="E1911" s="27"/>
      <c r="F1911" s="27"/>
      <c r="G1911" s="24" t="str">
        <f aca="false">IF(F1911="","",IF(F1911&lt;=5,"A",IF(F1911&lt;=8,"B",IF(F1911&lt;=10,"C","D"))))</f>
        <v/>
      </c>
      <c r="H1911" s="28"/>
      <c r="I1911" s="27"/>
      <c r="J1911" s="26"/>
      <c r="K1911" s="27"/>
      <c r="L1911" s="27"/>
      <c r="M1911" s="27"/>
      <c r="N1911" s="27"/>
      <c r="O1911" s="24" t="str">
        <f aca="false">IF(G1911="","",VLOOKUP(G1911,Setup!$A$14:$C$17,3,0))</f>
        <v/>
      </c>
      <c r="P1911" s="27"/>
      <c r="Q1911" s="29" t="str">
        <f aca="false">IF(OR(P1911="",M1911&lt;&gt;"Paid",O1911=""),"",P1911/O1911)</f>
        <v/>
      </c>
      <c r="R1911" s="30" t="str">
        <f aca="false">IF(Q1911="","",Q1911+N(H1911)*0.000000001)</f>
        <v/>
      </c>
      <c r="S1911" s="25" t="str">
        <f aca="false">IF(R1911="","",SUMPRODUCT((I$5:I$4004=I1911)*ISNUMBER(R$5:R$4004)*(R$5:R$4004&gt;R1911))+1)</f>
        <v/>
      </c>
      <c r="T1911" s="25" t="str">
        <f aca="false">IF(S1911="","",IF(S1911&lt;=Setup!$B$5,"🏆 WINNER",""))</f>
        <v/>
      </c>
      <c r="U1911" s="24" t="str">
        <f aca="false">IF(S1911="","",I1911&amp;"|"&amp;S1911)</f>
        <v/>
      </c>
    </row>
    <row r="1912" customFormat="false" ht="15" hidden="false" customHeight="false" outlineLevel="0" collapsed="false">
      <c r="A1912" s="31" t="n">
        <v>1908</v>
      </c>
      <c r="B1912" s="32" t="str">
        <f aca="false">IF(OR(C1912="",I1912="",G1912=""),"",IFERROR(VLOOKUP(I1912,Setup!$A$9:$B$11,2,0),"???")&amp;"-"&amp;G1912&amp;"-"&amp;TEXT(COUNTIFS(I$5:I1912,I1912,G$5:G1912,G1912),"0000"))</f>
        <v/>
      </c>
      <c r="C1912" s="26"/>
      <c r="D1912" s="26"/>
      <c r="E1912" s="27"/>
      <c r="F1912" s="27"/>
      <c r="G1912" s="31" t="str">
        <f aca="false">IF(F1912="","",IF(F1912&lt;=5,"A",IF(F1912&lt;=8,"B",IF(F1912&lt;=10,"C","D"))))</f>
        <v/>
      </c>
      <c r="H1912" s="28"/>
      <c r="I1912" s="27"/>
      <c r="J1912" s="26"/>
      <c r="K1912" s="27"/>
      <c r="L1912" s="27"/>
      <c r="M1912" s="27"/>
      <c r="N1912" s="27"/>
      <c r="O1912" s="31" t="str">
        <f aca="false">IF(G1912="","",VLOOKUP(G1912,Setup!$A$14:$C$17,3,0))</f>
        <v/>
      </c>
      <c r="P1912" s="27"/>
      <c r="Q1912" s="33" t="str">
        <f aca="false">IF(OR(P1912="",M1912&lt;&gt;"Paid",O1912=""),"",P1912/O1912)</f>
        <v/>
      </c>
      <c r="R1912" s="34" t="str">
        <f aca="false">IF(Q1912="","",Q1912+N(H1912)*0.000000001)</f>
        <v/>
      </c>
      <c r="S1912" s="32" t="str">
        <f aca="false">IF(R1912="","",SUMPRODUCT((I$5:I$4004=I1912)*ISNUMBER(R$5:R$4004)*(R$5:R$4004&gt;R1912))+1)</f>
        <v/>
      </c>
      <c r="T1912" s="32" t="str">
        <f aca="false">IF(S1912="","",IF(S1912&lt;=Setup!$B$5,"🏆 WINNER",""))</f>
        <v/>
      </c>
      <c r="U1912" s="31" t="str">
        <f aca="false">IF(S1912="","",I1912&amp;"|"&amp;S1912)</f>
        <v/>
      </c>
    </row>
    <row r="1913" customFormat="false" ht="15" hidden="false" customHeight="false" outlineLevel="0" collapsed="false">
      <c r="A1913" s="24" t="n">
        <v>1909</v>
      </c>
      <c r="B1913" s="25" t="str">
        <f aca="false">IF(OR(C1913="",I1913="",G1913=""),"",IFERROR(VLOOKUP(I1913,Setup!$A$9:$B$11,2,0),"???")&amp;"-"&amp;G1913&amp;"-"&amp;TEXT(COUNTIFS(I$5:I1913,I1913,G$5:G1913,G1913),"0000"))</f>
        <v/>
      </c>
      <c r="C1913" s="26"/>
      <c r="D1913" s="26"/>
      <c r="E1913" s="27"/>
      <c r="F1913" s="27"/>
      <c r="G1913" s="24" t="str">
        <f aca="false">IF(F1913="","",IF(F1913&lt;=5,"A",IF(F1913&lt;=8,"B",IF(F1913&lt;=10,"C","D"))))</f>
        <v/>
      </c>
      <c r="H1913" s="28"/>
      <c r="I1913" s="27"/>
      <c r="J1913" s="26"/>
      <c r="K1913" s="27"/>
      <c r="L1913" s="27"/>
      <c r="M1913" s="27"/>
      <c r="N1913" s="27"/>
      <c r="O1913" s="24" t="str">
        <f aca="false">IF(G1913="","",VLOOKUP(G1913,Setup!$A$14:$C$17,3,0))</f>
        <v/>
      </c>
      <c r="P1913" s="27"/>
      <c r="Q1913" s="29" t="str">
        <f aca="false">IF(OR(P1913="",M1913&lt;&gt;"Paid",O1913=""),"",P1913/O1913)</f>
        <v/>
      </c>
      <c r="R1913" s="30" t="str">
        <f aca="false">IF(Q1913="","",Q1913+N(H1913)*0.000000001)</f>
        <v/>
      </c>
      <c r="S1913" s="25" t="str">
        <f aca="false">IF(R1913="","",SUMPRODUCT((I$5:I$4004=I1913)*ISNUMBER(R$5:R$4004)*(R$5:R$4004&gt;R1913))+1)</f>
        <v/>
      </c>
      <c r="T1913" s="25" t="str">
        <f aca="false">IF(S1913="","",IF(S1913&lt;=Setup!$B$5,"🏆 WINNER",""))</f>
        <v/>
      </c>
      <c r="U1913" s="24" t="str">
        <f aca="false">IF(S1913="","",I1913&amp;"|"&amp;S1913)</f>
        <v/>
      </c>
    </row>
    <row r="1914" customFormat="false" ht="15" hidden="false" customHeight="false" outlineLevel="0" collapsed="false">
      <c r="A1914" s="31" t="n">
        <v>1910</v>
      </c>
      <c r="B1914" s="32" t="str">
        <f aca="false">IF(OR(C1914="",I1914="",G1914=""),"",IFERROR(VLOOKUP(I1914,Setup!$A$9:$B$11,2,0),"???")&amp;"-"&amp;G1914&amp;"-"&amp;TEXT(COUNTIFS(I$5:I1914,I1914,G$5:G1914,G1914),"0000"))</f>
        <v/>
      </c>
      <c r="C1914" s="26"/>
      <c r="D1914" s="26"/>
      <c r="E1914" s="27"/>
      <c r="F1914" s="27"/>
      <c r="G1914" s="31" t="str">
        <f aca="false">IF(F1914="","",IF(F1914&lt;=5,"A",IF(F1914&lt;=8,"B",IF(F1914&lt;=10,"C","D"))))</f>
        <v/>
      </c>
      <c r="H1914" s="28"/>
      <c r="I1914" s="27"/>
      <c r="J1914" s="26"/>
      <c r="K1914" s="27"/>
      <c r="L1914" s="27"/>
      <c r="M1914" s="27"/>
      <c r="N1914" s="27"/>
      <c r="O1914" s="31" t="str">
        <f aca="false">IF(G1914="","",VLOOKUP(G1914,Setup!$A$14:$C$17,3,0))</f>
        <v/>
      </c>
      <c r="P1914" s="27"/>
      <c r="Q1914" s="33" t="str">
        <f aca="false">IF(OR(P1914="",M1914&lt;&gt;"Paid",O1914=""),"",P1914/O1914)</f>
        <v/>
      </c>
      <c r="R1914" s="34" t="str">
        <f aca="false">IF(Q1914="","",Q1914+N(H1914)*0.000000001)</f>
        <v/>
      </c>
      <c r="S1914" s="32" t="str">
        <f aca="false">IF(R1914="","",SUMPRODUCT((I$5:I$4004=I1914)*ISNUMBER(R$5:R$4004)*(R$5:R$4004&gt;R1914))+1)</f>
        <v/>
      </c>
      <c r="T1914" s="32" t="str">
        <f aca="false">IF(S1914="","",IF(S1914&lt;=Setup!$B$5,"🏆 WINNER",""))</f>
        <v/>
      </c>
      <c r="U1914" s="31" t="str">
        <f aca="false">IF(S1914="","",I1914&amp;"|"&amp;S1914)</f>
        <v/>
      </c>
    </row>
    <row r="1915" customFormat="false" ht="15" hidden="false" customHeight="false" outlineLevel="0" collapsed="false">
      <c r="A1915" s="24" t="n">
        <v>1911</v>
      </c>
      <c r="B1915" s="25" t="str">
        <f aca="false">IF(OR(C1915="",I1915="",G1915=""),"",IFERROR(VLOOKUP(I1915,Setup!$A$9:$B$11,2,0),"???")&amp;"-"&amp;G1915&amp;"-"&amp;TEXT(COUNTIFS(I$5:I1915,I1915,G$5:G1915,G1915),"0000"))</f>
        <v/>
      </c>
      <c r="C1915" s="26"/>
      <c r="D1915" s="26"/>
      <c r="E1915" s="27"/>
      <c r="F1915" s="27"/>
      <c r="G1915" s="24" t="str">
        <f aca="false">IF(F1915="","",IF(F1915&lt;=5,"A",IF(F1915&lt;=8,"B",IF(F1915&lt;=10,"C","D"))))</f>
        <v/>
      </c>
      <c r="H1915" s="28"/>
      <c r="I1915" s="27"/>
      <c r="J1915" s="26"/>
      <c r="K1915" s="27"/>
      <c r="L1915" s="27"/>
      <c r="M1915" s="27"/>
      <c r="N1915" s="27"/>
      <c r="O1915" s="24" t="str">
        <f aca="false">IF(G1915="","",VLOOKUP(G1915,Setup!$A$14:$C$17,3,0))</f>
        <v/>
      </c>
      <c r="P1915" s="27"/>
      <c r="Q1915" s="29" t="str">
        <f aca="false">IF(OR(P1915="",M1915&lt;&gt;"Paid",O1915=""),"",P1915/O1915)</f>
        <v/>
      </c>
      <c r="R1915" s="30" t="str">
        <f aca="false">IF(Q1915="","",Q1915+N(H1915)*0.000000001)</f>
        <v/>
      </c>
      <c r="S1915" s="25" t="str">
        <f aca="false">IF(R1915="","",SUMPRODUCT((I$5:I$4004=I1915)*ISNUMBER(R$5:R$4004)*(R$5:R$4004&gt;R1915))+1)</f>
        <v/>
      </c>
      <c r="T1915" s="25" t="str">
        <f aca="false">IF(S1915="","",IF(S1915&lt;=Setup!$B$5,"🏆 WINNER",""))</f>
        <v/>
      </c>
      <c r="U1915" s="24" t="str">
        <f aca="false">IF(S1915="","",I1915&amp;"|"&amp;S1915)</f>
        <v/>
      </c>
    </row>
    <row r="1916" customFormat="false" ht="15" hidden="false" customHeight="false" outlineLevel="0" collapsed="false">
      <c r="A1916" s="31" t="n">
        <v>1912</v>
      </c>
      <c r="B1916" s="32" t="str">
        <f aca="false">IF(OR(C1916="",I1916="",G1916=""),"",IFERROR(VLOOKUP(I1916,Setup!$A$9:$B$11,2,0),"???")&amp;"-"&amp;G1916&amp;"-"&amp;TEXT(COUNTIFS(I$5:I1916,I1916,G$5:G1916,G1916),"0000"))</f>
        <v/>
      </c>
      <c r="C1916" s="26"/>
      <c r="D1916" s="26"/>
      <c r="E1916" s="27"/>
      <c r="F1916" s="27"/>
      <c r="G1916" s="31" t="str">
        <f aca="false">IF(F1916="","",IF(F1916&lt;=5,"A",IF(F1916&lt;=8,"B",IF(F1916&lt;=10,"C","D"))))</f>
        <v/>
      </c>
      <c r="H1916" s="28"/>
      <c r="I1916" s="27"/>
      <c r="J1916" s="26"/>
      <c r="K1916" s="27"/>
      <c r="L1916" s="27"/>
      <c r="M1916" s="27"/>
      <c r="N1916" s="27"/>
      <c r="O1916" s="31" t="str">
        <f aca="false">IF(G1916="","",VLOOKUP(G1916,Setup!$A$14:$C$17,3,0))</f>
        <v/>
      </c>
      <c r="P1916" s="27"/>
      <c r="Q1916" s="33" t="str">
        <f aca="false">IF(OR(P1916="",M1916&lt;&gt;"Paid",O1916=""),"",P1916/O1916)</f>
        <v/>
      </c>
      <c r="R1916" s="34" t="str">
        <f aca="false">IF(Q1916="","",Q1916+N(H1916)*0.000000001)</f>
        <v/>
      </c>
      <c r="S1916" s="32" t="str">
        <f aca="false">IF(R1916="","",SUMPRODUCT((I$5:I$4004=I1916)*ISNUMBER(R$5:R$4004)*(R$5:R$4004&gt;R1916))+1)</f>
        <v/>
      </c>
      <c r="T1916" s="32" t="str">
        <f aca="false">IF(S1916="","",IF(S1916&lt;=Setup!$B$5,"🏆 WINNER",""))</f>
        <v/>
      </c>
      <c r="U1916" s="31" t="str">
        <f aca="false">IF(S1916="","",I1916&amp;"|"&amp;S1916)</f>
        <v/>
      </c>
    </row>
    <row r="1917" customFormat="false" ht="15" hidden="false" customHeight="false" outlineLevel="0" collapsed="false">
      <c r="A1917" s="24" t="n">
        <v>1913</v>
      </c>
      <c r="B1917" s="25" t="str">
        <f aca="false">IF(OR(C1917="",I1917="",G1917=""),"",IFERROR(VLOOKUP(I1917,Setup!$A$9:$B$11,2,0),"???")&amp;"-"&amp;G1917&amp;"-"&amp;TEXT(COUNTIFS(I$5:I1917,I1917,G$5:G1917,G1917),"0000"))</f>
        <v/>
      </c>
      <c r="C1917" s="26"/>
      <c r="D1917" s="26"/>
      <c r="E1917" s="27"/>
      <c r="F1917" s="27"/>
      <c r="G1917" s="24" t="str">
        <f aca="false">IF(F1917="","",IF(F1917&lt;=5,"A",IF(F1917&lt;=8,"B",IF(F1917&lt;=10,"C","D"))))</f>
        <v/>
      </c>
      <c r="H1917" s="28"/>
      <c r="I1917" s="27"/>
      <c r="J1917" s="26"/>
      <c r="K1917" s="27"/>
      <c r="L1917" s="27"/>
      <c r="M1917" s="27"/>
      <c r="N1917" s="27"/>
      <c r="O1917" s="24" t="str">
        <f aca="false">IF(G1917="","",VLOOKUP(G1917,Setup!$A$14:$C$17,3,0))</f>
        <v/>
      </c>
      <c r="P1917" s="27"/>
      <c r="Q1917" s="29" t="str">
        <f aca="false">IF(OR(P1917="",M1917&lt;&gt;"Paid",O1917=""),"",P1917/O1917)</f>
        <v/>
      </c>
      <c r="R1917" s="30" t="str">
        <f aca="false">IF(Q1917="","",Q1917+N(H1917)*0.000000001)</f>
        <v/>
      </c>
      <c r="S1917" s="25" t="str">
        <f aca="false">IF(R1917="","",SUMPRODUCT((I$5:I$4004=I1917)*ISNUMBER(R$5:R$4004)*(R$5:R$4004&gt;R1917))+1)</f>
        <v/>
      </c>
      <c r="T1917" s="25" t="str">
        <f aca="false">IF(S1917="","",IF(S1917&lt;=Setup!$B$5,"🏆 WINNER",""))</f>
        <v/>
      </c>
      <c r="U1917" s="24" t="str">
        <f aca="false">IF(S1917="","",I1917&amp;"|"&amp;S1917)</f>
        <v/>
      </c>
    </row>
    <row r="1918" customFormat="false" ht="15" hidden="false" customHeight="false" outlineLevel="0" collapsed="false">
      <c r="A1918" s="31" t="n">
        <v>1914</v>
      </c>
      <c r="B1918" s="32" t="str">
        <f aca="false">IF(OR(C1918="",I1918="",G1918=""),"",IFERROR(VLOOKUP(I1918,Setup!$A$9:$B$11,2,0),"???")&amp;"-"&amp;G1918&amp;"-"&amp;TEXT(COUNTIFS(I$5:I1918,I1918,G$5:G1918,G1918),"0000"))</f>
        <v/>
      </c>
      <c r="C1918" s="26"/>
      <c r="D1918" s="26"/>
      <c r="E1918" s="27"/>
      <c r="F1918" s="27"/>
      <c r="G1918" s="31" t="str">
        <f aca="false">IF(F1918="","",IF(F1918&lt;=5,"A",IF(F1918&lt;=8,"B",IF(F1918&lt;=10,"C","D"))))</f>
        <v/>
      </c>
      <c r="H1918" s="28"/>
      <c r="I1918" s="27"/>
      <c r="J1918" s="26"/>
      <c r="K1918" s="27"/>
      <c r="L1918" s="27"/>
      <c r="M1918" s="27"/>
      <c r="N1918" s="27"/>
      <c r="O1918" s="31" t="str">
        <f aca="false">IF(G1918="","",VLOOKUP(G1918,Setup!$A$14:$C$17,3,0))</f>
        <v/>
      </c>
      <c r="P1918" s="27"/>
      <c r="Q1918" s="33" t="str">
        <f aca="false">IF(OR(P1918="",M1918&lt;&gt;"Paid",O1918=""),"",P1918/O1918)</f>
        <v/>
      </c>
      <c r="R1918" s="34" t="str">
        <f aca="false">IF(Q1918="","",Q1918+N(H1918)*0.000000001)</f>
        <v/>
      </c>
      <c r="S1918" s="32" t="str">
        <f aca="false">IF(R1918="","",SUMPRODUCT((I$5:I$4004=I1918)*ISNUMBER(R$5:R$4004)*(R$5:R$4004&gt;R1918))+1)</f>
        <v/>
      </c>
      <c r="T1918" s="32" t="str">
        <f aca="false">IF(S1918="","",IF(S1918&lt;=Setup!$B$5,"🏆 WINNER",""))</f>
        <v/>
      </c>
      <c r="U1918" s="31" t="str">
        <f aca="false">IF(S1918="","",I1918&amp;"|"&amp;S1918)</f>
        <v/>
      </c>
    </row>
    <row r="1919" customFormat="false" ht="15" hidden="false" customHeight="false" outlineLevel="0" collapsed="false">
      <c r="A1919" s="24" t="n">
        <v>1915</v>
      </c>
      <c r="B1919" s="25" t="str">
        <f aca="false">IF(OR(C1919="",I1919="",G1919=""),"",IFERROR(VLOOKUP(I1919,Setup!$A$9:$B$11,2,0),"???")&amp;"-"&amp;G1919&amp;"-"&amp;TEXT(COUNTIFS(I$5:I1919,I1919,G$5:G1919,G1919),"0000"))</f>
        <v/>
      </c>
      <c r="C1919" s="26"/>
      <c r="D1919" s="26"/>
      <c r="E1919" s="27"/>
      <c r="F1919" s="27"/>
      <c r="G1919" s="24" t="str">
        <f aca="false">IF(F1919="","",IF(F1919&lt;=5,"A",IF(F1919&lt;=8,"B",IF(F1919&lt;=10,"C","D"))))</f>
        <v/>
      </c>
      <c r="H1919" s="28"/>
      <c r="I1919" s="27"/>
      <c r="J1919" s="26"/>
      <c r="K1919" s="27"/>
      <c r="L1919" s="27"/>
      <c r="M1919" s="27"/>
      <c r="N1919" s="27"/>
      <c r="O1919" s="24" t="str">
        <f aca="false">IF(G1919="","",VLOOKUP(G1919,Setup!$A$14:$C$17,3,0))</f>
        <v/>
      </c>
      <c r="P1919" s="27"/>
      <c r="Q1919" s="29" t="str">
        <f aca="false">IF(OR(P1919="",M1919&lt;&gt;"Paid",O1919=""),"",P1919/O1919)</f>
        <v/>
      </c>
      <c r="R1919" s="30" t="str">
        <f aca="false">IF(Q1919="","",Q1919+N(H1919)*0.000000001)</f>
        <v/>
      </c>
      <c r="S1919" s="25" t="str">
        <f aca="false">IF(R1919="","",SUMPRODUCT((I$5:I$4004=I1919)*ISNUMBER(R$5:R$4004)*(R$5:R$4004&gt;R1919))+1)</f>
        <v/>
      </c>
      <c r="T1919" s="25" t="str">
        <f aca="false">IF(S1919="","",IF(S1919&lt;=Setup!$B$5,"🏆 WINNER",""))</f>
        <v/>
      </c>
      <c r="U1919" s="24" t="str">
        <f aca="false">IF(S1919="","",I1919&amp;"|"&amp;S1919)</f>
        <v/>
      </c>
    </row>
    <row r="1920" customFormat="false" ht="15" hidden="false" customHeight="false" outlineLevel="0" collapsed="false">
      <c r="A1920" s="31" t="n">
        <v>1916</v>
      </c>
      <c r="B1920" s="32" t="str">
        <f aca="false">IF(OR(C1920="",I1920="",G1920=""),"",IFERROR(VLOOKUP(I1920,Setup!$A$9:$B$11,2,0),"???")&amp;"-"&amp;G1920&amp;"-"&amp;TEXT(COUNTIFS(I$5:I1920,I1920,G$5:G1920,G1920),"0000"))</f>
        <v/>
      </c>
      <c r="C1920" s="26"/>
      <c r="D1920" s="26"/>
      <c r="E1920" s="27"/>
      <c r="F1920" s="27"/>
      <c r="G1920" s="31" t="str">
        <f aca="false">IF(F1920="","",IF(F1920&lt;=5,"A",IF(F1920&lt;=8,"B",IF(F1920&lt;=10,"C","D"))))</f>
        <v/>
      </c>
      <c r="H1920" s="28"/>
      <c r="I1920" s="27"/>
      <c r="J1920" s="26"/>
      <c r="K1920" s="27"/>
      <c r="L1920" s="27"/>
      <c r="M1920" s="27"/>
      <c r="N1920" s="27"/>
      <c r="O1920" s="31" t="str">
        <f aca="false">IF(G1920="","",VLOOKUP(G1920,Setup!$A$14:$C$17,3,0))</f>
        <v/>
      </c>
      <c r="P1920" s="27"/>
      <c r="Q1920" s="33" t="str">
        <f aca="false">IF(OR(P1920="",M1920&lt;&gt;"Paid",O1920=""),"",P1920/O1920)</f>
        <v/>
      </c>
      <c r="R1920" s="34" t="str">
        <f aca="false">IF(Q1920="","",Q1920+N(H1920)*0.000000001)</f>
        <v/>
      </c>
      <c r="S1920" s="32" t="str">
        <f aca="false">IF(R1920="","",SUMPRODUCT((I$5:I$4004=I1920)*ISNUMBER(R$5:R$4004)*(R$5:R$4004&gt;R1920))+1)</f>
        <v/>
      </c>
      <c r="T1920" s="32" t="str">
        <f aca="false">IF(S1920="","",IF(S1920&lt;=Setup!$B$5,"🏆 WINNER",""))</f>
        <v/>
      </c>
      <c r="U1920" s="31" t="str">
        <f aca="false">IF(S1920="","",I1920&amp;"|"&amp;S1920)</f>
        <v/>
      </c>
    </row>
    <row r="1921" customFormat="false" ht="15" hidden="false" customHeight="false" outlineLevel="0" collapsed="false">
      <c r="A1921" s="24" t="n">
        <v>1917</v>
      </c>
      <c r="B1921" s="25" t="str">
        <f aca="false">IF(OR(C1921="",I1921="",G1921=""),"",IFERROR(VLOOKUP(I1921,Setup!$A$9:$B$11,2,0),"???")&amp;"-"&amp;G1921&amp;"-"&amp;TEXT(COUNTIFS(I$5:I1921,I1921,G$5:G1921,G1921),"0000"))</f>
        <v/>
      </c>
      <c r="C1921" s="26"/>
      <c r="D1921" s="26"/>
      <c r="E1921" s="27"/>
      <c r="F1921" s="27"/>
      <c r="G1921" s="24" t="str">
        <f aca="false">IF(F1921="","",IF(F1921&lt;=5,"A",IF(F1921&lt;=8,"B",IF(F1921&lt;=10,"C","D"))))</f>
        <v/>
      </c>
      <c r="H1921" s="28"/>
      <c r="I1921" s="27"/>
      <c r="J1921" s="26"/>
      <c r="K1921" s="27"/>
      <c r="L1921" s="27"/>
      <c r="M1921" s="27"/>
      <c r="N1921" s="27"/>
      <c r="O1921" s="24" t="str">
        <f aca="false">IF(G1921="","",VLOOKUP(G1921,Setup!$A$14:$C$17,3,0))</f>
        <v/>
      </c>
      <c r="P1921" s="27"/>
      <c r="Q1921" s="29" t="str">
        <f aca="false">IF(OR(P1921="",M1921&lt;&gt;"Paid",O1921=""),"",P1921/O1921)</f>
        <v/>
      </c>
      <c r="R1921" s="30" t="str">
        <f aca="false">IF(Q1921="","",Q1921+N(H1921)*0.000000001)</f>
        <v/>
      </c>
      <c r="S1921" s="25" t="str">
        <f aca="false">IF(R1921="","",SUMPRODUCT((I$5:I$4004=I1921)*ISNUMBER(R$5:R$4004)*(R$5:R$4004&gt;R1921))+1)</f>
        <v/>
      </c>
      <c r="T1921" s="25" t="str">
        <f aca="false">IF(S1921="","",IF(S1921&lt;=Setup!$B$5,"🏆 WINNER",""))</f>
        <v/>
      </c>
      <c r="U1921" s="24" t="str">
        <f aca="false">IF(S1921="","",I1921&amp;"|"&amp;S1921)</f>
        <v/>
      </c>
    </row>
    <row r="1922" customFormat="false" ht="15" hidden="false" customHeight="false" outlineLevel="0" collapsed="false">
      <c r="A1922" s="31" t="n">
        <v>1918</v>
      </c>
      <c r="B1922" s="32" t="str">
        <f aca="false">IF(OR(C1922="",I1922="",G1922=""),"",IFERROR(VLOOKUP(I1922,Setup!$A$9:$B$11,2,0),"???")&amp;"-"&amp;G1922&amp;"-"&amp;TEXT(COUNTIFS(I$5:I1922,I1922,G$5:G1922,G1922),"0000"))</f>
        <v/>
      </c>
      <c r="C1922" s="26"/>
      <c r="D1922" s="26"/>
      <c r="E1922" s="27"/>
      <c r="F1922" s="27"/>
      <c r="G1922" s="31" t="str">
        <f aca="false">IF(F1922="","",IF(F1922&lt;=5,"A",IF(F1922&lt;=8,"B",IF(F1922&lt;=10,"C","D"))))</f>
        <v/>
      </c>
      <c r="H1922" s="28"/>
      <c r="I1922" s="27"/>
      <c r="J1922" s="26"/>
      <c r="K1922" s="27"/>
      <c r="L1922" s="27"/>
      <c r="M1922" s="27"/>
      <c r="N1922" s="27"/>
      <c r="O1922" s="31" t="str">
        <f aca="false">IF(G1922="","",VLOOKUP(G1922,Setup!$A$14:$C$17,3,0))</f>
        <v/>
      </c>
      <c r="P1922" s="27"/>
      <c r="Q1922" s="33" t="str">
        <f aca="false">IF(OR(P1922="",M1922&lt;&gt;"Paid",O1922=""),"",P1922/O1922)</f>
        <v/>
      </c>
      <c r="R1922" s="34" t="str">
        <f aca="false">IF(Q1922="","",Q1922+N(H1922)*0.000000001)</f>
        <v/>
      </c>
      <c r="S1922" s="32" t="str">
        <f aca="false">IF(R1922="","",SUMPRODUCT((I$5:I$4004=I1922)*ISNUMBER(R$5:R$4004)*(R$5:R$4004&gt;R1922))+1)</f>
        <v/>
      </c>
      <c r="T1922" s="32" t="str">
        <f aca="false">IF(S1922="","",IF(S1922&lt;=Setup!$B$5,"🏆 WINNER",""))</f>
        <v/>
      </c>
      <c r="U1922" s="31" t="str">
        <f aca="false">IF(S1922="","",I1922&amp;"|"&amp;S1922)</f>
        <v/>
      </c>
    </row>
    <row r="1923" customFormat="false" ht="15" hidden="false" customHeight="false" outlineLevel="0" collapsed="false">
      <c r="A1923" s="24" t="n">
        <v>1919</v>
      </c>
      <c r="B1923" s="25" t="str">
        <f aca="false">IF(OR(C1923="",I1923="",G1923=""),"",IFERROR(VLOOKUP(I1923,Setup!$A$9:$B$11,2,0),"???")&amp;"-"&amp;G1923&amp;"-"&amp;TEXT(COUNTIFS(I$5:I1923,I1923,G$5:G1923,G1923),"0000"))</f>
        <v/>
      </c>
      <c r="C1923" s="26"/>
      <c r="D1923" s="26"/>
      <c r="E1923" s="27"/>
      <c r="F1923" s="27"/>
      <c r="G1923" s="24" t="str">
        <f aca="false">IF(F1923="","",IF(F1923&lt;=5,"A",IF(F1923&lt;=8,"B",IF(F1923&lt;=10,"C","D"))))</f>
        <v/>
      </c>
      <c r="H1923" s="28"/>
      <c r="I1923" s="27"/>
      <c r="J1923" s="26"/>
      <c r="K1923" s="27"/>
      <c r="L1923" s="27"/>
      <c r="M1923" s="27"/>
      <c r="N1923" s="27"/>
      <c r="O1923" s="24" t="str">
        <f aca="false">IF(G1923="","",VLOOKUP(G1923,Setup!$A$14:$C$17,3,0))</f>
        <v/>
      </c>
      <c r="P1923" s="27"/>
      <c r="Q1923" s="29" t="str">
        <f aca="false">IF(OR(P1923="",M1923&lt;&gt;"Paid",O1923=""),"",P1923/O1923)</f>
        <v/>
      </c>
      <c r="R1923" s="30" t="str">
        <f aca="false">IF(Q1923="","",Q1923+N(H1923)*0.000000001)</f>
        <v/>
      </c>
      <c r="S1923" s="25" t="str">
        <f aca="false">IF(R1923="","",SUMPRODUCT((I$5:I$4004=I1923)*ISNUMBER(R$5:R$4004)*(R$5:R$4004&gt;R1923))+1)</f>
        <v/>
      </c>
      <c r="T1923" s="25" t="str">
        <f aca="false">IF(S1923="","",IF(S1923&lt;=Setup!$B$5,"🏆 WINNER",""))</f>
        <v/>
      </c>
      <c r="U1923" s="24" t="str">
        <f aca="false">IF(S1923="","",I1923&amp;"|"&amp;S1923)</f>
        <v/>
      </c>
    </row>
    <row r="1924" customFormat="false" ht="15" hidden="false" customHeight="false" outlineLevel="0" collapsed="false">
      <c r="A1924" s="31" t="n">
        <v>1920</v>
      </c>
      <c r="B1924" s="32" t="str">
        <f aca="false">IF(OR(C1924="",I1924="",G1924=""),"",IFERROR(VLOOKUP(I1924,Setup!$A$9:$B$11,2,0),"???")&amp;"-"&amp;G1924&amp;"-"&amp;TEXT(COUNTIFS(I$5:I1924,I1924,G$5:G1924,G1924),"0000"))</f>
        <v/>
      </c>
      <c r="C1924" s="26"/>
      <c r="D1924" s="26"/>
      <c r="E1924" s="27"/>
      <c r="F1924" s="27"/>
      <c r="G1924" s="31" t="str">
        <f aca="false">IF(F1924="","",IF(F1924&lt;=5,"A",IF(F1924&lt;=8,"B",IF(F1924&lt;=10,"C","D"))))</f>
        <v/>
      </c>
      <c r="H1924" s="28"/>
      <c r="I1924" s="27"/>
      <c r="J1924" s="26"/>
      <c r="K1924" s="27"/>
      <c r="L1924" s="27"/>
      <c r="M1924" s="27"/>
      <c r="N1924" s="27"/>
      <c r="O1924" s="31" t="str">
        <f aca="false">IF(G1924="","",VLOOKUP(G1924,Setup!$A$14:$C$17,3,0))</f>
        <v/>
      </c>
      <c r="P1924" s="27"/>
      <c r="Q1924" s="33" t="str">
        <f aca="false">IF(OR(P1924="",M1924&lt;&gt;"Paid",O1924=""),"",P1924/O1924)</f>
        <v/>
      </c>
      <c r="R1924" s="34" t="str">
        <f aca="false">IF(Q1924="","",Q1924+N(H1924)*0.000000001)</f>
        <v/>
      </c>
      <c r="S1924" s="32" t="str">
        <f aca="false">IF(R1924="","",SUMPRODUCT((I$5:I$4004=I1924)*ISNUMBER(R$5:R$4004)*(R$5:R$4004&gt;R1924))+1)</f>
        <v/>
      </c>
      <c r="T1924" s="32" t="str">
        <f aca="false">IF(S1924="","",IF(S1924&lt;=Setup!$B$5,"🏆 WINNER",""))</f>
        <v/>
      </c>
      <c r="U1924" s="31" t="str">
        <f aca="false">IF(S1924="","",I1924&amp;"|"&amp;S1924)</f>
        <v/>
      </c>
    </row>
    <row r="1925" customFormat="false" ht="15" hidden="false" customHeight="false" outlineLevel="0" collapsed="false">
      <c r="A1925" s="24" t="n">
        <v>1921</v>
      </c>
      <c r="B1925" s="25" t="str">
        <f aca="false">IF(OR(C1925="",I1925="",G1925=""),"",IFERROR(VLOOKUP(I1925,Setup!$A$9:$B$11,2,0),"???")&amp;"-"&amp;G1925&amp;"-"&amp;TEXT(COUNTIFS(I$5:I1925,I1925,G$5:G1925,G1925),"0000"))</f>
        <v/>
      </c>
      <c r="C1925" s="26"/>
      <c r="D1925" s="26"/>
      <c r="E1925" s="27"/>
      <c r="F1925" s="27"/>
      <c r="G1925" s="24" t="str">
        <f aca="false">IF(F1925="","",IF(F1925&lt;=5,"A",IF(F1925&lt;=8,"B",IF(F1925&lt;=10,"C","D"))))</f>
        <v/>
      </c>
      <c r="H1925" s="28"/>
      <c r="I1925" s="27"/>
      <c r="J1925" s="26"/>
      <c r="K1925" s="27"/>
      <c r="L1925" s="27"/>
      <c r="M1925" s="27"/>
      <c r="N1925" s="27"/>
      <c r="O1925" s="24" t="str">
        <f aca="false">IF(G1925="","",VLOOKUP(G1925,Setup!$A$14:$C$17,3,0))</f>
        <v/>
      </c>
      <c r="P1925" s="27"/>
      <c r="Q1925" s="29" t="str">
        <f aca="false">IF(OR(P1925="",M1925&lt;&gt;"Paid",O1925=""),"",P1925/O1925)</f>
        <v/>
      </c>
      <c r="R1925" s="30" t="str">
        <f aca="false">IF(Q1925="","",Q1925+N(H1925)*0.000000001)</f>
        <v/>
      </c>
      <c r="S1925" s="25" t="str">
        <f aca="false">IF(R1925="","",SUMPRODUCT((I$5:I$4004=I1925)*ISNUMBER(R$5:R$4004)*(R$5:R$4004&gt;R1925))+1)</f>
        <v/>
      </c>
      <c r="T1925" s="25" t="str">
        <f aca="false">IF(S1925="","",IF(S1925&lt;=Setup!$B$5,"🏆 WINNER",""))</f>
        <v/>
      </c>
      <c r="U1925" s="24" t="str">
        <f aca="false">IF(S1925="","",I1925&amp;"|"&amp;S1925)</f>
        <v/>
      </c>
    </row>
    <row r="1926" customFormat="false" ht="15" hidden="false" customHeight="false" outlineLevel="0" collapsed="false">
      <c r="A1926" s="31" t="n">
        <v>1922</v>
      </c>
      <c r="B1926" s="32" t="str">
        <f aca="false">IF(OR(C1926="",I1926="",G1926=""),"",IFERROR(VLOOKUP(I1926,Setup!$A$9:$B$11,2,0),"???")&amp;"-"&amp;G1926&amp;"-"&amp;TEXT(COUNTIFS(I$5:I1926,I1926,G$5:G1926,G1926),"0000"))</f>
        <v/>
      </c>
      <c r="C1926" s="26"/>
      <c r="D1926" s="26"/>
      <c r="E1926" s="27"/>
      <c r="F1926" s="27"/>
      <c r="G1926" s="31" t="str">
        <f aca="false">IF(F1926="","",IF(F1926&lt;=5,"A",IF(F1926&lt;=8,"B",IF(F1926&lt;=10,"C","D"))))</f>
        <v/>
      </c>
      <c r="H1926" s="28"/>
      <c r="I1926" s="27"/>
      <c r="J1926" s="26"/>
      <c r="K1926" s="27"/>
      <c r="L1926" s="27"/>
      <c r="M1926" s="27"/>
      <c r="N1926" s="27"/>
      <c r="O1926" s="31" t="str">
        <f aca="false">IF(G1926="","",VLOOKUP(G1926,Setup!$A$14:$C$17,3,0))</f>
        <v/>
      </c>
      <c r="P1926" s="27"/>
      <c r="Q1926" s="33" t="str">
        <f aca="false">IF(OR(P1926="",M1926&lt;&gt;"Paid",O1926=""),"",P1926/O1926)</f>
        <v/>
      </c>
      <c r="R1926" s="34" t="str">
        <f aca="false">IF(Q1926="","",Q1926+N(H1926)*0.000000001)</f>
        <v/>
      </c>
      <c r="S1926" s="32" t="str">
        <f aca="false">IF(R1926="","",SUMPRODUCT((I$5:I$4004=I1926)*ISNUMBER(R$5:R$4004)*(R$5:R$4004&gt;R1926))+1)</f>
        <v/>
      </c>
      <c r="T1926" s="32" t="str">
        <f aca="false">IF(S1926="","",IF(S1926&lt;=Setup!$B$5,"🏆 WINNER",""))</f>
        <v/>
      </c>
      <c r="U1926" s="31" t="str">
        <f aca="false">IF(S1926="","",I1926&amp;"|"&amp;S1926)</f>
        <v/>
      </c>
    </row>
    <row r="1927" customFormat="false" ht="15" hidden="false" customHeight="false" outlineLevel="0" collapsed="false">
      <c r="A1927" s="24" t="n">
        <v>1923</v>
      </c>
      <c r="B1927" s="25" t="str">
        <f aca="false">IF(OR(C1927="",I1927="",G1927=""),"",IFERROR(VLOOKUP(I1927,Setup!$A$9:$B$11,2,0),"???")&amp;"-"&amp;G1927&amp;"-"&amp;TEXT(COUNTIFS(I$5:I1927,I1927,G$5:G1927,G1927),"0000"))</f>
        <v/>
      </c>
      <c r="C1927" s="26"/>
      <c r="D1927" s="26"/>
      <c r="E1927" s="27"/>
      <c r="F1927" s="27"/>
      <c r="G1927" s="24" t="str">
        <f aca="false">IF(F1927="","",IF(F1927&lt;=5,"A",IF(F1927&lt;=8,"B",IF(F1927&lt;=10,"C","D"))))</f>
        <v/>
      </c>
      <c r="H1927" s="28"/>
      <c r="I1927" s="27"/>
      <c r="J1927" s="26"/>
      <c r="K1927" s="27"/>
      <c r="L1927" s="27"/>
      <c r="M1927" s="27"/>
      <c r="N1927" s="27"/>
      <c r="O1927" s="24" t="str">
        <f aca="false">IF(G1927="","",VLOOKUP(G1927,Setup!$A$14:$C$17,3,0))</f>
        <v/>
      </c>
      <c r="P1927" s="27"/>
      <c r="Q1927" s="29" t="str">
        <f aca="false">IF(OR(P1927="",M1927&lt;&gt;"Paid",O1927=""),"",P1927/O1927)</f>
        <v/>
      </c>
      <c r="R1927" s="30" t="str">
        <f aca="false">IF(Q1927="","",Q1927+N(H1927)*0.000000001)</f>
        <v/>
      </c>
      <c r="S1927" s="25" t="str">
        <f aca="false">IF(R1927="","",SUMPRODUCT((I$5:I$4004=I1927)*ISNUMBER(R$5:R$4004)*(R$5:R$4004&gt;R1927))+1)</f>
        <v/>
      </c>
      <c r="T1927" s="25" t="str">
        <f aca="false">IF(S1927="","",IF(S1927&lt;=Setup!$B$5,"🏆 WINNER",""))</f>
        <v/>
      </c>
      <c r="U1927" s="24" t="str">
        <f aca="false">IF(S1927="","",I1927&amp;"|"&amp;S1927)</f>
        <v/>
      </c>
    </row>
    <row r="1928" customFormat="false" ht="15" hidden="false" customHeight="false" outlineLevel="0" collapsed="false">
      <c r="A1928" s="31" t="n">
        <v>1924</v>
      </c>
      <c r="B1928" s="32" t="str">
        <f aca="false">IF(OR(C1928="",I1928="",G1928=""),"",IFERROR(VLOOKUP(I1928,Setup!$A$9:$B$11,2,0),"???")&amp;"-"&amp;G1928&amp;"-"&amp;TEXT(COUNTIFS(I$5:I1928,I1928,G$5:G1928,G1928),"0000"))</f>
        <v/>
      </c>
      <c r="C1928" s="26"/>
      <c r="D1928" s="26"/>
      <c r="E1928" s="27"/>
      <c r="F1928" s="27"/>
      <c r="G1928" s="31" t="str">
        <f aca="false">IF(F1928="","",IF(F1928&lt;=5,"A",IF(F1928&lt;=8,"B",IF(F1928&lt;=10,"C","D"))))</f>
        <v/>
      </c>
      <c r="H1928" s="28"/>
      <c r="I1928" s="27"/>
      <c r="J1928" s="26"/>
      <c r="K1928" s="27"/>
      <c r="L1928" s="27"/>
      <c r="M1928" s="27"/>
      <c r="N1928" s="27"/>
      <c r="O1928" s="31" t="str">
        <f aca="false">IF(G1928="","",VLOOKUP(G1928,Setup!$A$14:$C$17,3,0))</f>
        <v/>
      </c>
      <c r="P1928" s="27"/>
      <c r="Q1928" s="33" t="str">
        <f aca="false">IF(OR(P1928="",M1928&lt;&gt;"Paid",O1928=""),"",P1928/O1928)</f>
        <v/>
      </c>
      <c r="R1928" s="34" t="str">
        <f aca="false">IF(Q1928="","",Q1928+N(H1928)*0.000000001)</f>
        <v/>
      </c>
      <c r="S1928" s="32" t="str">
        <f aca="false">IF(R1928="","",SUMPRODUCT((I$5:I$4004=I1928)*ISNUMBER(R$5:R$4004)*(R$5:R$4004&gt;R1928))+1)</f>
        <v/>
      </c>
      <c r="T1928" s="32" t="str">
        <f aca="false">IF(S1928="","",IF(S1928&lt;=Setup!$B$5,"🏆 WINNER",""))</f>
        <v/>
      </c>
      <c r="U1928" s="31" t="str">
        <f aca="false">IF(S1928="","",I1928&amp;"|"&amp;S1928)</f>
        <v/>
      </c>
    </row>
    <row r="1929" customFormat="false" ht="15" hidden="false" customHeight="false" outlineLevel="0" collapsed="false">
      <c r="A1929" s="24" t="n">
        <v>1925</v>
      </c>
      <c r="B1929" s="25" t="str">
        <f aca="false">IF(OR(C1929="",I1929="",G1929=""),"",IFERROR(VLOOKUP(I1929,Setup!$A$9:$B$11,2,0),"???")&amp;"-"&amp;G1929&amp;"-"&amp;TEXT(COUNTIFS(I$5:I1929,I1929,G$5:G1929,G1929),"0000"))</f>
        <v/>
      </c>
      <c r="C1929" s="26"/>
      <c r="D1929" s="26"/>
      <c r="E1929" s="27"/>
      <c r="F1929" s="27"/>
      <c r="G1929" s="24" t="str">
        <f aca="false">IF(F1929="","",IF(F1929&lt;=5,"A",IF(F1929&lt;=8,"B",IF(F1929&lt;=10,"C","D"))))</f>
        <v/>
      </c>
      <c r="H1929" s="28"/>
      <c r="I1929" s="27"/>
      <c r="J1929" s="26"/>
      <c r="K1929" s="27"/>
      <c r="L1929" s="27"/>
      <c r="M1929" s="27"/>
      <c r="N1929" s="27"/>
      <c r="O1929" s="24" t="str">
        <f aca="false">IF(G1929="","",VLOOKUP(G1929,Setup!$A$14:$C$17,3,0))</f>
        <v/>
      </c>
      <c r="P1929" s="27"/>
      <c r="Q1929" s="29" t="str">
        <f aca="false">IF(OR(P1929="",M1929&lt;&gt;"Paid",O1929=""),"",P1929/O1929)</f>
        <v/>
      </c>
      <c r="R1929" s="30" t="str">
        <f aca="false">IF(Q1929="","",Q1929+N(H1929)*0.000000001)</f>
        <v/>
      </c>
      <c r="S1929" s="25" t="str">
        <f aca="false">IF(R1929="","",SUMPRODUCT((I$5:I$4004=I1929)*ISNUMBER(R$5:R$4004)*(R$5:R$4004&gt;R1929))+1)</f>
        <v/>
      </c>
      <c r="T1929" s="25" t="str">
        <f aca="false">IF(S1929="","",IF(S1929&lt;=Setup!$B$5,"🏆 WINNER",""))</f>
        <v/>
      </c>
      <c r="U1929" s="24" t="str">
        <f aca="false">IF(S1929="","",I1929&amp;"|"&amp;S1929)</f>
        <v/>
      </c>
    </row>
    <row r="1930" customFormat="false" ht="15" hidden="false" customHeight="false" outlineLevel="0" collapsed="false">
      <c r="A1930" s="31" t="n">
        <v>1926</v>
      </c>
      <c r="B1930" s="32" t="str">
        <f aca="false">IF(OR(C1930="",I1930="",G1930=""),"",IFERROR(VLOOKUP(I1930,Setup!$A$9:$B$11,2,0),"???")&amp;"-"&amp;G1930&amp;"-"&amp;TEXT(COUNTIFS(I$5:I1930,I1930,G$5:G1930,G1930),"0000"))</f>
        <v/>
      </c>
      <c r="C1930" s="26"/>
      <c r="D1930" s="26"/>
      <c r="E1930" s="27"/>
      <c r="F1930" s="27"/>
      <c r="G1930" s="31" t="str">
        <f aca="false">IF(F1930="","",IF(F1930&lt;=5,"A",IF(F1930&lt;=8,"B",IF(F1930&lt;=10,"C","D"))))</f>
        <v/>
      </c>
      <c r="H1930" s="28"/>
      <c r="I1930" s="27"/>
      <c r="J1930" s="26"/>
      <c r="K1930" s="27"/>
      <c r="L1930" s="27"/>
      <c r="M1930" s="27"/>
      <c r="N1930" s="27"/>
      <c r="O1930" s="31" t="str">
        <f aca="false">IF(G1930="","",VLOOKUP(G1930,Setup!$A$14:$C$17,3,0))</f>
        <v/>
      </c>
      <c r="P1930" s="27"/>
      <c r="Q1930" s="33" t="str">
        <f aca="false">IF(OR(P1930="",M1930&lt;&gt;"Paid",O1930=""),"",P1930/O1930)</f>
        <v/>
      </c>
      <c r="R1930" s="34" t="str">
        <f aca="false">IF(Q1930="","",Q1930+N(H1930)*0.000000001)</f>
        <v/>
      </c>
      <c r="S1930" s="32" t="str">
        <f aca="false">IF(R1930="","",SUMPRODUCT((I$5:I$4004=I1930)*ISNUMBER(R$5:R$4004)*(R$5:R$4004&gt;R1930))+1)</f>
        <v/>
      </c>
      <c r="T1930" s="32" t="str">
        <f aca="false">IF(S1930="","",IF(S1930&lt;=Setup!$B$5,"🏆 WINNER",""))</f>
        <v/>
      </c>
      <c r="U1930" s="31" t="str">
        <f aca="false">IF(S1930="","",I1930&amp;"|"&amp;S1930)</f>
        <v/>
      </c>
    </row>
    <row r="1931" customFormat="false" ht="15" hidden="false" customHeight="false" outlineLevel="0" collapsed="false">
      <c r="A1931" s="24" t="n">
        <v>1927</v>
      </c>
      <c r="B1931" s="25" t="str">
        <f aca="false">IF(OR(C1931="",I1931="",G1931=""),"",IFERROR(VLOOKUP(I1931,Setup!$A$9:$B$11,2,0),"???")&amp;"-"&amp;G1931&amp;"-"&amp;TEXT(COUNTIFS(I$5:I1931,I1931,G$5:G1931,G1931),"0000"))</f>
        <v/>
      </c>
      <c r="C1931" s="26"/>
      <c r="D1931" s="26"/>
      <c r="E1931" s="27"/>
      <c r="F1931" s="27"/>
      <c r="G1931" s="24" t="str">
        <f aca="false">IF(F1931="","",IF(F1931&lt;=5,"A",IF(F1931&lt;=8,"B",IF(F1931&lt;=10,"C","D"))))</f>
        <v/>
      </c>
      <c r="H1931" s="28"/>
      <c r="I1931" s="27"/>
      <c r="J1931" s="26"/>
      <c r="K1931" s="27"/>
      <c r="L1931" s="27"/>
      <c r="M1931" s="27"/>
      <c r="N1931" s="27"/>
      <c r="O1931" s="24" t="str">
        <f aca="false">IF(G1931="","",VLOOKUP(G1931,Setup!$A$14:$C$17,3,0))</f>
        <v/>
      </c>
      <c r="P1931" s="27"/>
      <c r="Q1931" s="29" t="str">
        <f aca="false">IF(OR(P1931="",M1931&lt;&gt;"Paid",O1931=""),"",P1931/O1931)</f>
        <v/>
      </c>
      <c r="R1931" s="30" t="str">
        <f aca="false">IF(Q1931="","",Q1931+N(H1931)*0.000000001)</f>
        <v/>
      </c>
      <c r="S1931" s="25" t="str">
        <f aca="false">IF(R1931="","",SUMPRODUCT((I$5:I$4004=I1931)*ISNUMBER(R$5:R$4004)*(R$5:R$4004&gt;R1931))+1)</f>
        <v/>
      </c>
      <c r="T1931" s="25" t="str">
        <f aca="false">IF(S1931="","",IF(S1931&lt;=Setup!$B$5,"🏆 WINNER",""))</f>
        <v/>
      </c>
      <c r="U1931" s="24" t="str">
        <f aca="false">IF(S1931="","",I1931&amp;"|"&amp;S1931)</f>
        <v/>
      </c>
    </row>
    <row r="1932" customFormat="false" ht="15" hidden="false" customHeight="false" outlineLevel="0" collapsed="false">
      <c r="A1932" s="31" t="n">
        <v>1928</v>
      </c>
      <c r="B1932" s="32" t="str">
        <f aca="false">IF(OR(C1932="",I1932="",G1932=""),"",IFERROR(VLOOKUP(I1932,Setup!$A$9:$B$11,2,0),"???")&amp;"-"&amp;G1932&amp;"-"&amp;TEXT(COUNTIFS(I$5:I1932,I1932,G$5:G1932,G1932),"0000"))</f>
        <v/>
      </c>
      <c r="C1932" s="26"/>
      <c r="D1932" s="26"/>
      <c r="E1932" s="27"/>
      <c r="F1932" s="27"/>
      <c r="G1932" s="31" t="str">
        <f aca="false">IF(F1932="","",IF(F1932&lt;=5,"A",IF(F1932&lt;=8,"B",IF(F1932&lt;=10,"C","D"))))</f>
        <v/>
      </c>
      <c r="H1932" s="28"/>
      <c r="I1932" s="27"/>
      <c r="J1932" s="26"/>
      <c r="K1932" s="27"/>
      <c r="L1932" s="27"/>
      <c r="M1932" s="27"/>
      <c r="N1932" s="27"/>
      <c r="O1932" s="31" t="str">
        <f aca="false">IF(G1932="","",VLOOKUP(G1932,Setup!$A$14:$C$17,3,0))</f>
        <v/>
      </c>
      <c r="P1932" s="27"/>
      <c r="Q1932" s="33" t="str">
        <f aca="false">IF(OR(P1932="",M1932&lt;&gt;"Paid",O1932=""),"",P1932/O1932)</f>
        <v/>
      </c>
      <c r="R1932" s="34" t="str">
        <f aca="false">IF(Q1932="","",Q1932+N(H1932)*0.000000001)</f>
        <v/>
      </c>
      <c r="S1932" s="32" t="str">
        <f aca="false">IF(R1932="","",SUMPRODUCT((I$5:I$4004=I1932)*ISNUMBER(R$5:R$4004)*(R$5:R$4004&gt;R1932))+1)</f>
        <v/>
      </c>
      <c r="T1932" s="32" t="str">
        <f aca="false">IF(S1932="","",IF(S1932&lt;=Setup!$B$5,"🏆 WINNER",""))</f>
        <v/>
      </c>
      <c r="U1932" s="31" t="str">
        <f aca="false">IF(S1932="","",I1932&amp;"|"&amp;S1932)</f>
        <v/>
      </c>
    </row>
    <row r="1933" customFormat="false" ht="15" hidden="false" customHeight="false" outlineLevel="0" collapsed="false">
      <c r="A1933" s="24" t="n">
        <v>1929</v>
      </c>
      <c r="B1933" s="25" t="str">
        <f aca="false">IF(OR(C1933="",I1933="",G1933=""),"",IFERROR(VLOOKUP(I1933,Setup!$A$9:$B$11,2,0),"???")&amp;"-"&amp;G1933&amp;"-"&amp;TEXT(COUNTIFS(I$5:I1933,I1933,G$5:G1933,G1933),"0000"))</f>
        <v/>
      </c>
      <c r="C1933" s="26"/>
      <c r="D1933" s="26"/>
      <c r="E1933" s="27"/>
      <c r="F1933" s="27"/>
      <c r="G1933" s="24" t="str">
        <f aca="false">IF(F1933="","",IF(F1933&lt;=5,"A",IF(F1933&lt;=8,"B",IF(F1933&lt;=10,"C","D"))))</f>
        <v/>
      </c>
      <c r="H1933" s="28"/>
      <c r="I1933" s="27"/>
      <c r="J1933" s="26"/>
      <c r="K1933" s="27"/>
      <c r="L1933" s="27"/>
      <c r="M1933" s="27"/>
      <c r="N1933" s="27"/>
      <c r="O1933" s="24" t="str">
        <f aca="false">IF(G1933="","",VLOOKUP(G1933,Setup!$A$14:$C$17,3,0))</f>
        <v/>
      </c>
      <c r="P1933" s="27"/>
      <c r="Q1933" s="29" t="str">
        <f aca="false">IF(OR(P1933="",M1933&lt;&gt;"Paid",O1933=""),"",P1933/O1933)</f>
        <v/>
      </c>
      <c r="R1933" s="30" t="str">
        <f aca="false">IF(Q1933="","",Q1933+N(H1933)*0.000000001)</f>
        <v/>
      </c>
      <c r="S1933" s="25" t="str">
        <f aca="false">IF(R1933="","",SUMPRODUCT((I$5:I$4004=I1933)*ISNUMBER(R$5:R$4004)*(R$5:R$4004&gt;R1933))+1)</f>
        <v/>
      </c>
      <c r="T1933" s="25" t="str">
        <f aca="false">IF(S1933="","",IF(S1933&lt;=Setup!$B$5,"🏆 WINNER",""))</f>
        <v/>
      </c>
      <c r="U1933" s="24" t="str">
        <f aca="false">IF(S1933="","",I1933&amp;"|"&amp;S1933)</f>
        <v/>
      </c>
    </row>
    <row r="1934" customFormat="false" ht="15" hidden="false" customHeight="false" outlineLevel="0" collapsed="false">
      <c r="A1934" s="31" t="n">
        <v>1930</v>
      </c>
      <c r="B1934" s="32" t="str">
        <f aca="false">IF(OR(C1934="",I1934="",G1934=""),"",IFERROR(VLOOKUP(I1934,Setup!$A$9:$B$11,2,0),"???")&amp;"-"&amp;G1934&amp;"-"&amp;TEXT(COUNTIFS(I$5:I1934,I1934,G$5:G1934,G1934),"0000"))</f>
        <v/>
      </c>
      <c r="C1934" s="26"/>
      <c r="D1934" s="26"/>
      <c r="E1934" s="27"/>
      <c r="F1934" s="27"/>
      <c r="G1934" s="31" t="str">
        <f aca="false">IF(F1934="","",IF(F1934&lt;=5,"A",IF(F1934&lt;=8,"B",IF(F1934&lt;=10,"C","D"))))</f>
        <v/>
      </c>
      <c r="H1934" s="28"/>
      <c r="I1934" s="27"/>
      <c r="J1934" s="26"/>
      <c r="K1934" s="27"/>
      <c r="L1934" s="27"/>
      <c r="M1934" s="27"/>
      <c r="N1934" s="27"/>
      <c r="O1934" s="31" t="str">
        <f aca="false">IF(G1934="","",VLOOKUP(G1934,Setup!$A$14:$C$17,3,0))</f>
        <v/>
      </c>
      <c r="P1934" s="27"/>
      <c r="Q1934" s="33" t="str">
        <f aca="false">IF(OR(P1934="",M1934&lt;&gt;"Paid",O1934=""),"",P1934/O1934)</f>
        <v/>
      </c>
      <c r="R1934" s="34" t="str">
        <f aca="false">IF(Q1934="","",Q1934+N(H1934)*0.000000001)</f>
        <v/>
      </c>
      <c r="S1934" s="32" t="str">
        <f aca="false">IF(R1934="","",SUMPRODUCT((I$5:I$4004=I1934)*ISNUMBER(R$5:R$4004)*(R$5:R$4004&gt;R1934))+1)</f>
        <v/>
      </c>
      <c r="T1934" s="32" t="str">
        <f aca="false">IF(S1934="","",IF(S1934&lt;=Setup!$B$5,"🏆 WINNER",""))</f>
        <v/>
      </c>
      <c r="U1934" s="31" t="str">
        <f aca="false">IF(S1934="","",I1934&amp;"|"&amp;S1934)</f>
        <v/>
      </c>
    </row>
    <row r="1935" customFormat="false" ht="15" hidden="false" customHeight="false" outlineLevel="0" collapsed="false">
      <c r="A1935" s="24" t="n">
        <v>1931</v>
      </c>
      <c r="B1935" s="25" t="str">
        <f aca="false">IF(OR(C1935="",I1935="",G1935=""),"",IFERROR(VLOOKUP(I1935,Setup!$A$9:$B$11,2,0),"???")&amp;"-"&amp;G1935&amp;"-"&amp;TEXT(COUNTIFS(I$5:I1935,I1935,G$5:G1935,G1935),"0000"))</f>
        <v/>
      </c>
      <c r="C1935" s="26"/>
      <c r="D1935" s="26"/>
      <c r="E1935" s="27"/>
      <c r="F1935" s="27"/>
      <c r="G1935" s="24" t="str">
        <f aca="false">IF(F1935="","",IF(F1935&lt;=5,"A",IF(F1935&lt;=8,"B",IF(F1935&lt;=10,"C","D"))))</f>
        <v/>
      </c>
      <c r="H1935" s="28"/>
      <c r="I1935" s="27"/>
      <c r="J1935" s="26"/>
      <c r="K1935" s="27"/>
      <c r="L1935" s="27"/>
      <c r="M1935" s="27"/>
      <c r="N1935" s="27"/>
      <c r="O1935" s="24" t="str">
        <f aca="false">IF(G1935="","",VLOOKUP(G1935,Setup!$A$14:$C$17,3,0))</f>
        <v/>
      </c>
      <c r="P1935" s="27"/>
      <c r="Q1935" s="29" t="str">
        <f aca="false">IF(OR(P1935="",M1935&lt;&gt;"Paid",O1935=""),"",P1935/O1935)</f>
        <v/>
      </c>
      <c r="R1935" s="30" t="str">
        <f aca="false">IF(Q1935="","",Q1935+N(H1935)*0.000000001)</f>
        <v/>
      </c>
      <c r="S1935" s="25" t="str">
        <f aca="false">IF(R1935="","",SUMPRODUCT((I$5:I$4004=I1935)*ISNUMBER(R$5:R$4004)*(R$5:R$4004&gt;R1935))+1)</f>
        <v/>
      </c>
      <c r="T1935" s="25" t="str">
        <f aca="false">IF(S1935="","",IF(S1935&lt;=Setup!$B$5,"🏆 WINNER",""))</f>
        <v/>
      </c>
      <c r="U1935" s="24" t="str">
        <f aca="false">IF(S1935="","",I1935&amp;"|"&amp;S1935)</f>
        <v/>
      </c>
    </row>
    <row r="1936" customFormat="false" ht="15" hidden="false" customHeight="false" outlineLevel="0" collapsed="false">
      <c r="A1936" s="31" t="n">
        <v>1932</v>
      </c>
      <c r="B1936" s="32" t="str">
        <f aca="false">IF(OR(C1936="",I1936="",G1936=""),"",IFERROR(VLOOKUP(I1936,Setup!$A$9:$B$11,2,0),"???")&amp;"-"&amp;G1936&amp;"-"&amp;TEXT(COUNTIFS(I$5:I1936,I1936,G$5:G1936,G1936),"0000"))</f>
        <v/>
      </c>
      <c r="C1936" s="26"/>
      <c r="D1936" s="26"/>
      <c r="E1936" s="27"/>
      <c r="F1936" s="27"/>
      <c r="G1936" s="31" t="str">
        <f aca="false">IF(F1936="","",IF(F1936&lt;=5,"A",IF(F1936&lt;=8,"B",IF(F1936&lt;=10,"C","D"))))</f>
        <v/>
      </c>
      <c r="H1936" s="28"/>
      <c r="I1936" s="27"/>
      <c r="J1936" s="26"/>
      <c r="K1936" s="27"/>
      <c r="L1936" s="27"/>
      <c r="M1936" s="27"/>
      <c r="N1936" s="27"/>
      <c r="O1936" s="31" t="str">
        <f aca="false">IF(G1936="","",VLOOKUP(G1936,Setup!$A$14:$C$17,3,0))</f>
        <v/>
      </c>
      <c r="P1936" s="27"/>
      <c r="Q1936" s="33" t="str">
        <f aca="false">IF(OR(P1936="",M1936&lt;&gt;"Paid",O1936=""),"",P1936/O1936)</f>
        <v/>
      </c>
      <c r="R1936" s="34" t="str">
        <f aca="false">IF(Q1936="","",Q1936+N(H1936)*0.000000001)</f>
        <v/>
      </c>
      <c r="S1936" s="32" t="str">
        <f aca="false">IF(R1936="","",SUMPRODUCT((I$5:I$4004=I1936)*ISNUMBER(R$5:R$4004)*(R$5:R$4004&gt;R1936))+1)</f>
        <v/>
      </c>
      <c r="T1936" s="32" t="str">
        <f aca="false">IF(S1936="","",IF(S1936&lt;=Setup!$B$5,"🏆 WINNER",""))</f>
        <v/>
      </c>
      <c r="U1936" s="31" t="str">
        <f aca="false">IF(S1936="","",I1936&amp;"|"&amp;S1936)</f>
        <v/>
      </c>
    </row>
    <row r="1937" customFormat="false" ht="15" hidden="false" customHeight="false" outlineLevel="0" collapsed="false">
      <c r="A1937" s="24" t="n">
        <v>1933</v>
      </c>
      <c r="B1937" s="25" t="str">
        <f aca="false">IF(OR(C1937="",I1937="",G1937=""),"",IFERROR(VLOOKUP(I1937,Setup!$A$9:$B$11,2,0),"???")&amp;"-"&amp;G1937&amp;"-"&amp;TEXT(COUNTIFS(I$5:I1937,I1937,G$5:G1937,G1937),"0000"))</f>
        <v/>
      </c>
      <c r="C1937" s="26"/>
      <c r="D1937" s="26"/>
      <c r="E1937" s="27"/>
      <c r="F1937" s="27"/>
      <c r="G1937" s="24" t="str">
        <f aca="false">IF(F1937="","",IF(F1937&lt;=5,"A",IF(F1937&lt;=8,"B",IF(F1937&lt;=10,"C","D"))))</f>
        <v/>
      </c>
      <c r="H1937" s="28"/>
      <c r="I1937" s="27"/>
      <c r="J1937" s="26"/>
      <c r="K1937" s="27"/>
      <c r="L1937" s="27"/>
      <c r="M1937" s="27"/>
      <c r="N1937" s="27"/>
      <c r="O1937" s="24" t="str">
        <f aca="false">IF(G1937="","",VLOOKUP(G1937,Setup!$A$14:$C$17,3,0))</f>
        <v/>
      </c>
      <c r="P1937" s="27"/>
      <c r="Q1937" s="29" t="str">
        <f aca="false">IF(OR(P1937="",M1937&lt;&gt;"Paid",O1937=""),"",P1937/O1937)</f>
        <v/>
      </c>
      <c r="R1937" s="30" t="str">
        <f aca="false">IF(Q1937="","",Q1937+N(H1937)*0.000000001)</f>
        <v/>
      </c>
      <c r="S1937" s="25" t="str">
        <f aca="false">IF(R1937="","",SUMPRODUCT((I$5:I$4004=I1937)*ISNUMBER(R$5:R$4004)*(R$5:R$4004&gt;R1937))+1)</f>
        <v/>
      </c>
      <c r="T1937" s="25" t="str">
        <f aca="false">IF(S1937="","",IF(S1937&lt;=Setup!$B$5,"🏆 WINNER",""))</f>
        <v/>
      </c>
      <c r="U1937" s="24" t="str">
        <f aca="false">IF(S1937="","",I1937&amp;"|"&amp;S1937)</f>
        <v/>
      </c>
    </row>
    <row r="1938" customFormat="false" ht="15" hidden="false" customHeight="false" outlineLevel="0" collapsed="false">
      <c r="A1938" s="31" t="n">
        <v>1934</v>
      </c>
      <c r="B1938" s="32" t="str">
        <f aca="false">IF(OR(C1938="",I1938="",G1938=""),"",IFERROR(VLOOKUP(I1938,Setup!$A$9:$B$11,2,0),"???")&amp;"-"&amp;G1938&amp;"-"&amp;TEXT(COUNTIFS(I$5:I1938,I1938,G$5:G1938,G1938),"0000"))</f>
        <v/>
      </c>
      <c r="C1938" s="26"/>
      <c r="D1938" s="26"/>
      <c r="E1938" s="27"/>
      <c r="F1938" s="27"/>
      <c r="G1938" s="31" t="str">
        <f aca="false">IF(F1938="","",IF(F1938&lt;=5,"A",IF(F1938&lt;=8,"B",IF(F1938&lt;=10,"C","D"))))</f>
        <v/>
      </c>
      <c r="H1938" s="28"/>
      <c r="I1938" s="27"/>
      <c r="J1938" s="26"/>
      <c r="K1938" s="27"/>
      <c r="L1938" s="27"/>
      <c r="M1938" s="27"/>
      <c r="N1938" s="27"/>
      <c r="O1938" s="31" t="str">
        <f aca="false">IF(G1938="","",VLOOKUP(G1938,Setup!$A$14:$C$17,3,0))</f>
        <v/>
      </c>
      <c r="P1938" s="27"/>
      <c r="Q1938" s="33" t="str">
        <f aca="false">IF(OR(P1938="",M1938&lt;&gt;"Paid",O1938=""),"",P1938/O1938)</f>
        <v/>
      </c>
      <c r="R1938" s="34" t="str">
        <f aca="false">IF(Q1938="","",Q1938+N(H1938)*0.000000001)</f>
        <v/>
      </c>
      <c r="S1938" s="32" t="str">
        <f aca="false">IF(R1938="","",SUMPRODUCT((I$5:I$4004=I1938)*ISNUMBER(R$5:R$4004)*(R$5:R$4004&gt;R1938))+1)</f>
        <v/>
      </c>
      <c r="T1938" s="32" t="str">
        <f aca="false">IF(S1938="","",IF(S1938&lt;=Setup!$B$5,"🏆 WINNER",""))</f>
        <v/>
      </c>
      <c r="U1938" s="31" t="str">
        <f aca="false">IF(S1938="","",I1938&amp;"|"&amp;S1938)</f>
        <v/>
      </c>
    </row>
    <row r="1939" customFormat="false" ht="15" hidden="false" customHeight="false" outlineLevel="0" collapsed="false">
      <c r="A1939" s="24" t="n">
        <v>1935</v>
      </c>
      <c r="B1939" s="25" t="str">
        <f aca="false">IF(OR(C1939="",I1939="",G1939=""),"",IFERROR(VLOOKUP(I1939,Setup!$A$9:$B$11,2,0),"???")&amp;"-"&amp;G1939&amp;"-"&amp;TEXT(COUNTIFS(I$5:I1939,I1939,G$5:G1939,G1939),"0000"))</f>
        <v/>
      </c>
      <c r="C1939" s="26"/>
      <c r="D1939" s="26"/>
      <c r="E1939" s="27"/>
      <c r="F1939" s="27"/>
      <c r="G1939" s="24" t="str">
        <f aca="false">IF(F1939="","",IF(F1939&lt;=5,"A",IF(F1939&lt;=8,"B",IF(F1939&lt;=10,"C","D"))))</f>
        <v/>
      </c>
      <c r="H1939" s="28"/>
      <c r="I1939" s="27"/>
      <c r="J1939" s="26"/>
      <c r="K1939" s="27"/>
      <c r="L1939" s="27"/>
      <c r="M1939" s="27"/>
      <c r="N1939" s="27"/>
      <c r="O1939" s="24" t="str">
        <f aca="false">IF(G1939="","",VLOOKUP(G1939,Setup!$A$14:$C$17,3,0))</f>
        <v/>
      </c>
      <c r="P1939" s="27"/>
      <c r="Q1939" s="29" t="str">
        <f aca="false">IF(OR(P1939="",M1939&lt;&gt;"Paid",O1939=""),"",P1939/O1939)</f>
        <v/>
      </c>
      <c r="R1939" s="30" t="str">
        <f aca="false">IF(Q1939="","",Q1939+N(H1939)*0.000000001)</f>
        <v/>
      </c>
      <c r="S1939" s="25" t="str">
        <f aca="false">IF(R1939="","",SUMPRODUCT((I$5:I$4004=I1939)*ISNUMBER(R$5:R$4004)*(R$5:R$4004&gt;R1939))+1)</f>
        <v/>
      </c>
      <c r="T1939" s="25" t="str">
        <f aca="false">IF(S1939="","",IF(S1939&lt;=Setup!$B$5,"🏆 WINNER",""))</f>
        <v/>
      </c>
      <c r="U1939" s="24" t="str">
        <f aca="false">IF(S1939="","",I1939&amp;"|"&amp;S1939)</f>
        <v/>
      </c>
    </row>
    <row r="1940" customFormat="false" ht="15" hidden="false" customHeight="false" outlineLevel="0" collapsed="false">
      <c r="A1940" s="31" t="n">
        <v>1936</v>
      </c>
      <c r="B1940" s="32" t="str">
        <f aca="false">IF(OR(C1940="",I1940="",G1940=""),"",IFERROR(VLOOKUP(I1940,Setup!$A$9:$B$11,2,0),"???")&amp;"-"&amp;G1940&amp;"-"&amp;TEXT(COUNTIFS(I$5:I1940,I1940,G$5:G1940,G1940),"0000"))</f>
        <v/>
      </c>
      <c r="C1940" s="26"/>
      <c r="D1940" s="26"/>
      <c r="E1940" s="27"/>
      <c r="F1940" s="27"/>
      <c r="G1940" s="31" t="str">
        <f aca="false">IF(F1940="","",IF(F1940&lt;=5,"A",IF(F1940&lt;=8,"B",IF(F1940&lt;=10,"C","D"))))</f>
        <v/>
      </c>
      <c r="H1940" s="28"/>
      <c r="I1940" s="27"/>
      <c r="J1940" s="26"/>
      <c r="K1940" s="27"/>
      <c r="L1940" s="27"/>
      <c r="M1940" s="27"/>
      <c r="N1940" s="27"/>
      <c r="O1940" s="31" t="str">
        <f aca="false">IF(G1940="","",VLOOKUP(G1940,Setup!$A$14:$C$17,3,0))</f>
        <v/>
      </c>
      <c r="P1940" s="27"/>
      <c r="Q1940" s="33" t="str">
        <f aca="false">IF(OR(P1940="",M1940&lt;&gt;"Paid",O1940=""),"",P1940/O1940)</f>
        <v/>
      </c>
      <c r="R1940" s="34" t="str">
        <f aca="false">IF(Q1940="","",Q1940+N(H1940)*0.000000001)</f>
        <v/>
      </c>
      <c r="S1940" s="32" t="str">
        <f aca="false">IF(R1940="","",SUMPRODUCT((I$5:I$4004=I1940)*ISNUMBER(R$5:R$4004)*(R$5:R$4004&gt;R1940))+1)</f>
        <v/>
      </c>
      <c r="T1940" s="32" t="str">
        <f aca="false">IF(S1940="","",IF(S1940&lt;=Setup!$B$5,"🏆 WINNER",""))</f>
        <v/>
      </c>
      <c r="U1940" s="31" t="str">
        <f aca="false">IF(S1940="","",I1940&amp;"|"&amp;S1940)</f>
        <v/>
      </c>
    </row>
    <row r="1941" customFormat="false" ht="15" hidden="false" customHeight="false" outlineLevel="0" collapsed="false">
      <c r="A1941" s="24" t="n">
        <v>1937</v>
      </c>
      <c r="B1941" s="25" t="str">
        <f aca="false">IF(OR(C1941="",I1941="",G1941=""),"",IFERROR(VLOOKUP(I1941,Setup!$A$9:$B$11,2,0),"???")&amp;"-"&amp;G1941&amp;"-"&amp;TEXT(COUNTIFS(I$5:I1941,I1941,G$5:G1941,G1941),"0000"))</f>
        <v/>
      </c>
      <c r="C1941" s="26"/>
      <c r="D1941" s="26"/>
      <c r="E1941" s="27"/>
      <c r="F1941" s="27"/>
      <c r="G1941" s="24" t="str">
        <f aca="false">IF(F1941="","",IF(F1941&lt;=5,"A",IF(F1941&lt;=8,"B",IF(F1941&lt;=10,"C","D"))))</f>
        <v/>
      </c>
      <c r="H1941" s="28"/>
      <c r="I1941" s="27"/>
      <c r="J1941" s="26"/>
      <c r="K1941" s="27"/>
      <c r="L1941" s="27"/>
      <c r="M1941" s="27"/>
      <c r="N1941" s="27"/>
      <c r="O1941" s="24" t="str">
        <f aca="false">IF(G1941="","",VLOOKUP(G1941,Setup!$A$14:$C$17,3,0))</f>
        <v/>
      </c>
      <c r="P1941" s="27"/>
      <c r="Q1941" s="29" t="str">
        <f aca="false">IF(OR(P1941="",M1941&lt;&gt;"Paid",O1941=""),"",P1941/O1941)</f>
        <v/>
      </c>
      <c r="R1941" s="30" t="str">
        <f aca="false">IF(Q1941="","",Q1941+N(H1941)*0.000000001)</f>
        <v/>
      </c>
      <c r="S1941" s="25" t="str">
        <f aca="false">IF(R1941="","",SUMPRODUCT((I$5:I$4004=I1941)*ISNUMBER(R$5:R$4004)*(R$5:R$4004&gt;R1941))+1)</f>
        <v/>
      </c>
      <c r="T1941" s="25" t="str">
        <f aca="false">IF(S1941="","",IF(S1941&lt;=Setup!$B$5,"🏆 WINNER",""))</f>
        <v/>
      </c>
      <c r="U1941" s="24" t="str">
        <f aca="false">IF(S1941="","",I1941&amp;"|"&amp;S1941)</f>
        <v/>
      </c>
    </row>
    <row r="1942" customFormat="false" ht="15" hidden="false" customHeight="false" outlineLevel="0" collapsed="false">
      <c r="A1942" s="31" t="n">
        <v>1938</v>
      </c>
      <c r="B1942" s="32" t="str">
        <f aca="false">IF(OR(C1942="",I1942="",G1942=""),"",IFERROR(VLOOKUP(I1942,Setup!$A$9:$B$11,2,0),"???")&amp;"-"&amp;G1942&amp;"-"&amp;TEXT(COUNTIFS(I$5:I1942,I1942,G$5:G1942,G1942),"0000"))</f>
        <v/>
      </c>
      <c r="C1942" s="26"/>
      <c r="D1942" s="26"/>
      <c r="E1942" s="27"/>
      <c r="F1942" s="27"/>
      <c r="G1942" s="31" t="str">
        <f aca="false">IF(F1942="","",IF(F1942&lt;=5,"A",IF(F1942&lt;=8,"B",IF(F1942&lt;=10,"C","D"))))</f>
        <v/>
      </c>
      <c r="H1942" s="28"/>
      <c r="I1942" s="27"/>
      <c r="J1942" s="26"/>
      <c r="K1942" s="27"/>
      <c r="L1942" s="27"/>
      <c r="M1942" s="27"/>
      <c r="N1942" s="27"/>
      <c r="O1942" s="31" t="str">
        <f aca="false">IF(G1942="","",VLOOKUP(G1942,Setup!$A$14:$C$17,3,0))</f>
        <v/>
      </c>
      <c r="P1942" s="27"/>
      <c r="Q1942" s="33" t="str">
        <f aca="false">IF(OR(P1942="",M1942&lt;&gt;"Paid",O1942=""),"",P1942/O1942)</f>
        <v/>
      </c>
      <c r="R1942" s="34" t="str">
        <f aca="false">IF(Q1942="","",Q1942+N(H1942)*0.000000001)</f>
        <v/>
      </c>
      <c r="S1942" s="32" t="str">
        <f aca="false">IF(R1942="","",SUMPRODUCT((I$5:I$4004=I1942)*ISNUMBER(R$5:R$4004)*(R$5:R$4004&gt;R1942))+1)</f>
        <v/>
      </c>
      <c r="T1942" s="32" t="str">
        <f aca="false">IF(S1942="","",IF(S1942&lt;=Setup!$B$5,"🏆 WINNER",""))</f>
        <v/>
      </c>
      <c r="U1942" s="31" t="str">
        <f aca="false">IF(S1942="","",I1942&amp;"|"&amp;S1942)</f>
        <v/>
      </c>
    </row>
    <row r="1943" customFormat="false" ht="15" hidden="false" customHeight="false" outlineLevel="0" collapsed="false">
      <c r="A1943" s="24" t="n">
        <v>1939</v>
      </c>
      <c r="B1943" s="25" t="str">
        <f aca="false">IF(OR(C1943="",I1943="",G1943=""),"",IFERROR(VLOOKUP(I1943,Setup!$A$9:$B$11,2,0),"???")&amp;"-"&amp;G1943&amp;"-"&amp;TEXT(COUNTIFS(I$5:I1943,I1943,G$5:G1943,G1943),"0000"))</f>
        <v/>
      </c>
      <c r="C1943" s="26"/>
      <c r="D1943" s="26"/>
      <c r="E1943" s="27"/>
      <c r="F1943" s="27"/>
      <c r="G1943" s="24" t="str">
        <f aca="false">IF(F1943="","",IF(F1943&lt;=5,"A",IF(F1943&lt;=8,"B",IF(F1943&lt;=10,"C","D"))))</f>
        <v/>
      </c>
      <c r="H1943" s="28"/>
      <c r="I1943" s="27"/>
      <c r="J1943" s="26"/>
      <c r="K1943" s="27"/>
      <c r="L1943" s="27"/>
      <c r="M1943" s="27"/>
      <c r="N1943" s="27"/>
      <c r="O1943" s="24" t="str">
        <f aca="false">IF(G1943="","",VLOOKUP(G1943,Setup!$A$14:$C$17,3,0))</f>
        <v/>
      </c>
      <c r="P1943" s="27"/>
      <c r="Q1943" s="29" t="str">
        <f aca="false">IF(OR(P1943="",M1943&lt;&gt;"Paid",O1943=""),"",P1943/O1943)</f>
        <v/>
      </c>
      <c r="R1943" s="30" t="str">
        <f aca="false">IF(Q1943="","",Q1943+N(H1943)*0.000000001)</f>
        <v/>
      </c>
      <c r="S1943" s="25" t="str">
        <f aca="false">IF(R1943="","",SUMPRODUCT((I$5:I$4004=I1943)*ISNUMBER(R$5:R$4004)*(R$5:R$4004&gt;R1943))+1)</f>
        <v/>
      </c>
      <c r="T1943" s="25" t="str">
        <f aca="false">IF(S1943="","",IF(S1943&lt;=Setup!$B$5,"🏆 WINNER",""))</f>
        <v/>
      </c>
      <c r="U1943" s="24" t="str">
        <f aca="false">IF(S1943="","",I1943&amp;"|"&amp;S1943)</f>
        <v/>
      </c>
    </row>
    <row r="1944" customFormat="false" ht="15" hidden="false" customHeight="false" outlineLevel="0" collapsed="false">
      <c r="A1944" s="31" t="n">
        <v>1940</v>
      </c>
      <c r="B1944" s="32" t="str">
        <f aca="false">IF(OR(C1944="",I1944="",G1944=""),"",IFERROR(VLOOKUP(I1944,Setup!$A$9:$B$11,2,0),"???")&amp;"-"&amp;G1944&amp;"-"&amp;TEXT(COUNTIFS(I$5:I1944,I1944,G$5:G1944,G1944),"0000"))</f>
        <v/>
      </c>
      <c r="C1944" s="26"/>
      <c r="D1944" s="26"/>
      <c r="E1944" s="27"/>
      <c r="F1944" s="27"/>
      <c r="G1944" s="31" t="str">
        <f aca="false">IF(F1944="","",IF(F1944&lt;=5,"A",IF(F1944&lt;=8,"B",IF(F1944&lt;=10,"C","D"))))</f>
        <v/>
      </c>
      <c r="H1944" s="28"/>
      <c r="I1944" s="27"/>
      <c r="J1944" s="26"/>
      <c r="K1944" s="27"/>
      <c r="L1944" s="27"/>
      <c r="M1944" s="27"/>
      <c r="N1944" s="27"/>
      <c r="O1944" s="31" t="str">
        <f aca="false">IF(G1944="","",VLOOKUP(G1944,Setup!$A$14:$C$17,3,0))</f>
        <v/>
      </c>
      <c r="P1944" s="27"/>
      <c r="Q1944" s="33" t="str">
        <f aca="false">IF(OR(P1944="",M1944&lt;&gt;"Paid",O1944=""),"",P1944/O1944)</f>
        <v/>
      </c>
      <c r="R1944" s="34" t="str">
        <f aca="false">IF(Q1944="","",Q1944+N(H1944)*0.000000001)</f>
        <v/>
      </c>
      <c r="S1944" s="32" t="str">
        <f aca="false">IF(R1944="","",SUMPRODUCT((I$5:I$4004=I1944)*ISNUMBER(R$5:R$4004)*(R$5:R$4004&gt;R1944))+1)</f>
        <v/>
      </c>
      <c r="T1944" s="32" t="str">
        <f aca="false">IF(S1944="","",IF(S1944&lt;=Setup!$B$5,"🏆 WINNER",""))</f>
        <v/>
      </c>
      <c r="U1944" s="31" t="str">
        <f aca="false">IF(S1944="","",I1944&amp;"|"&amp;S1944)</f>
        <v/>
      </c>
    </row>
    <row r="1945" customFormat="false" ht="15" hidden="false" customHeight="false" outlineLevel="0" collapsed="false">
      <c r="A1945" s="24" t="n">
        <v>1941</v>
      </c>
      <c r="B1945" s="25" t="str">
        <f aca="false">IF(OR(C1945="",I1945="",G1945=""),"",IFERROR(VLOOKUP(I1945,Setup!$A$9:$B$11,2,0),"???")&amp;"-"&amp;G1945&amp;"-"&amp;TEXT(COUNTIFS(I$5:I1945,I1945,G$5:G1945,G1945),"0000"))</f>
        <v/>
      </c>
      <c r="C1945" s="26"/>
      <c r="D1945" s="26"/>
      <c r="E1945" s="27"/>
      <c r="F1945" s="27"/>
      <c r="G1945" s="24" t="str">
        <f aca="false">IF(F1945="","",IF(F1945&lt;=5,"A",IF(F1945&lt;=8,"B",IF(F1945&lt;=10,"C","D"))))</f>
        <v/>
      </c>
      <c r="H1945" s="28"/>
      <c r="I1945" s="27"/>
      <c r="J1945" s="26"/>
      <c r="K1945" s="27"/>
      <c r="L1945" s="27"/>
      <c r="M1945" s="27"/>
      <c r="N1945" s="27"/>
      <c r="O1945" s="24" t="str">
        <f aca="false">IF(G1945="","",VLOOKUP(G1945,Setup!$A$14:$C$17,3,0))</f>
        <v/>
      </c>
      <c r="P1945" s="27"/>
      <c r="Q1945" s="29" t="str">
        <f aca="false">IF(OR(P1945="",M1945&lt;&gt;"Paid",O1945=""),"",P1945/O1945)</f>
        <v/>
      </c>
      <c r="R1945" s="30" t="str">
        <f aca="false">IF(Q1945="","",Q1945+N(H1945)*0.000000001)</f>
        <v/>
      </c>
      <c r="S1945" s="25" t="str">
        <f aca="false">IF(R1945="","",SUMPRODUCT((I$5:I$4004=I1945)*ISNUMBER(R$5:R$4004)*(R$5:R$4004&gt;R1945))+1)</f>
        <v/>
      </c>
      <c r="T1945" s="25" t="str">
        <f aca="false">IF(S1945="","",IF(S1945&lt;=Setup!$B$5,"🏆 WINNER",""))</f>
        <v/>
      </c>
      <c r="U1945" s="24" t="str">
        <f aca="false">IF(S1945="","",I1945&amp;"|"&amp;S1945)</f>
        <v/>
      </c>
    </row>
    <row r="1946" customFormat="false" ht="15" hidden="false" customHeight="false" outlineLevel="0" collapsed="false">
      <c r="A1946" s="31" t="n">
        <v>1942</v>
      </c>
      <c r="B1946" s="32" t="str">
        <f aca="false">IF(OR(C1946="",I1946="",G1946=""),"",IFERROR(VLOOKUP(I1946,Setup!$A$9:$B$11,2,0),"???")&amp;"-"&amp;G1946&amp;"-"&amp;TEXT(COUNTIFS(I$5:I1946,I1946,G$5:G1946,G1946),"0000"))</f>
        <v/>
      </c>
      <c r="C1946" s="26"/>
      <c r="D1946" s="26"/>
      <c r="E1946" s="27"/>
      <c r="F1946" s="27"/>
      <c r="G1946" s="31" t="str">
        <f aca="false">IF(F1946="","",IF(F1946&lt;=5,"A",IF(F1946&lt;=8,"B",IF(F1946&lt;=10,"C","D"))))</f>
        <v/>
      </c>
      <c r="H1946" s="28"/>
      <c r="I1946" s="27"/>
      <c r="J1946" s="26"/>
      <c r="K1946" s="27"/>
      <c r="L1946" s="27"/>
      <c r="M1946" s="27"/>
      <c r="N1946" s="27"/>
      <c r="O1946" s="31" t="str">
        <f aca="false">IF(G1946="","",VLOOKUP(G1946,Setup!$A$14:$C$17,3,0))</f>
        <v/>
      </c>
      <c r="P1946" s="27"/>
      <c r="Q1946" s="33" t="str">
        <f aca="false">IF(OR(P1946="",M1946&lt;&gt;"Paid",O1946=""),"",P1946/O1946)</f>
        <v/>
      </c>
      <c r="R1946" s="34" t="str">
        <f aca="false">IF(Q1946="","",Q1946+N(H1946)*0.000000001)</f>
        <v/>
      </c>
      <c r="S1946" s="32" t="str">
        <f aca="false">IF(R1946="","",SUMPRODUCT((I$5:I$4004=I1946)*ISNUMBER(R$5:R$4004)*(R$5:R$4004&gt;R1946))+1)</f>
        <v/>
      </c>
      <c r="T1946" s="32" t="str">
        <f aca="false">IF(S1946="","",IF(S1946&lt;=Setup!$B$5,"🏆 WINNER",""))</f>
        <v/>
      </c>
      <c r="U1946" s="31" t="str">
        <f aca="false">IF(S1946="","",I1946&amp;"|"&amp;S1946)</f>
        <v/>
      </c>
    </row>
    <row r="1947" customFormat="false" ht="15" hidden="false" customHeight="false" outlineLevel="0" collapsed="false">
      <c r="A1947" s="24" t="n">
        <v>1943</v>
      </c>
      <c r="B1947" s="25" t="str">
        <f aca="false">IF(OR(C1947="",I1947="",G1947=""),"",IFERROR(VLOOKUP(I1947,Setup!$A$9:$B$11,2,0),"???")&amp;"-"&amp;G1947&amp;"-"&amp;TEXT(COUNTIFS(I$5:I1947,I1947,G$5:G1947,G1947),"0000"))</f>
        <v/>
      </c>
      <c r="C1947" s="26"/>
      <c r="D1947" s="26"/>
      <c r="E1947" s="27"/>
      <c r="F1947" s="27"/>
      <c r="G1947" s="24" t="str">
        <f aca="false">IF(F1947="","",IF(F1947&lt;=5,"A",IF(F1947&lt;=8,"B",IF(F1947&lt;=10,"C","D"))))</f>
        <v/>
      </c>
      <c r="H1947" s="28"/>
      <c r="I1947" s="27"/>
      <c r="J1947" s="26"/>
      <c r="K1947" s="27"/>
      <c r="L1947" s="27"/>
      <c r="M1947" s="27"/>
      <c r="N1947" s="27"/>
      <c r="O1947" s="24" t="str">
        <f aca="false">IF(G1947="","",VLOOKUP(G1947,Setup!$A$14:$C$17,3,0))</f>
        <v/>
      </c>
      <c r="P1947" s="27"/>
      <c r="Q1947" s="29" t="str">
        <f aca="false">IF(OR(P1947="",M1947&lt;&gt;"Paid",O1947=""),"",P1947/O1947)</f>
        <v/>
      </c>
      <c r="R1947" s="30" t="str">
        <f aca="false">IF(Q1947="","",Q1947+N(H1947)*0.000000001)</f>
        <v/>
      </c>
      <c r="S1947" s="25" t="str">
        <f aca="false">IF(R1947="","",SUMPRODUCT((I$5:I$4004=I1947)*ISNUMBER(R$5:R$4004)*(R$5:R$4004&gt;R1947))+1)</f>
        <v/>
      </c>
      <c r="T1947" s="25" t="str">
        <f aca="false">IF(S1947="","",IF(S1947&lt;=Setup!$B$5,"🏆 WINNER",""))</f>
        <v/>
      </c>
      <c r="U1947" s="24" t="str">
        <f aca="false">IF(S1947="","",I1947&amp;"|"&amp;S1947)</f>
        <v/>
      </c>
    </row>
    <row r="1948" customFormat="false" ht="15" hidden="false" customHeight="false" outlineLevel="0" collapsed="false">
      <c r="A1948" s="31" t="n">
        <v>1944</v>
      </c>
      <c r="B1948" s="32" t="str">
        <f aca="false">IF(OR(C1948="",I1948="",G1948=""),"",IFERROR(VLOOKUP(I1948,Setup!$A$9:$B$11,2,0),"???")&amp;"-"&amp;G1948&amp;"-"&amp;TEXT(COUNTIFS(I$5:I1948,I1948,G$5:G1948,G1948),"0000"))</f>
        <v/>
      </c>
      <c r="C1948" s="26"/>
      <c r="D1948" s="26"/>
      <c r="E1948" s="27"/>
      <c r="F1948" s="27"/>
      <c r="G1948" s="31" t="str">
        <f aca="false">IF(F1948="","",IF(F1948&lt;=5,"A",IF(F1948&lt;=8,"B",IF(F1948&lt;=10,"C","D"))))</f>
        <v/>
      </c>
      <c r="H1948" s="28"/>
      <c r="I1948" s="27"/>
      <c r="J1948" s="26"/>
      <c r="K1948" s="27"/>
      <c r="L1948" s="27"/>
      <c r="M1948" s="27"/>
      <c r="N1948" s="27"/>
      <c r="O1948" s="31" t="str">
        <f aca="false">IF(G1948="","",VLOOKUP(G1948,Setup!$A$14:$C$17,3,0))</f>
        <v/>
      </c>
      <c r="P1948" s="27"/>
      <c r="Q1948" s="33" t="str">
        <f aca="false">IF(OR(P1948="",M1948&lt;&gt;"Paid",O1948=""),"",P1948/O1948)</f>
        <v/>
      </c>
      <c r="R1948" s="34" t="str">
        <f aca="false">IF(Q1948="","",Q1948+N(H1948)*0.000000001)</f>
        <v/>
      </c>
      <c r="S1948" s="32" t="str">
        <f aca="false">IF(R1948="","",SUMPRODUCT((I$5:I$4004=I1948)*ISNUMBER(R$5:R$4004)*(R$5:R$4004&gt;R1948))+1)</f>
        <v/>
      </c>
      <c r="T1948" s="32" t="str">
        <f aca="false">IF(S1948="","",IF(S1948&lt;=Setup!$B$5,"🏆 WINNER",""))</f>
        <v/>
      </c>
      <c r="U1948" s="31" t="str">
        <f aca="false">IF(S1948="","",I1948&amp;"|"&amp;S1948)</f>
        <v/>
      </c>
    </row>
    <row r="1949" customFormat="false" ht="15" hidden="false" customHeight="false" outlineLevel="0" collapsed="false">
      <c r="A1949" s="24" t="n">
        <v>1945</v>
      </c>
      <c r="B1949" s="25" t="str">
        <f aca="false">IF(OR(C1949="",I1949="",G1949=""),"",IFERROR(VLOOKUP(I1949,Setup!$A$9:$B$11,2,0),"???")&amp;"-"&amp;G1949&amp;"-"&amp;TEXT(COUNTIFS(I$5:I1949,I1949,G$5:G1949,G1949),"0000"))</f>
        <v/>
      </c>
      <c r="C1949" s="26"/>
      <c r="D1949" s="26"/>
      <c r="E1949" s="27"/>
      <c r="F1949" s="27"/>
      <c r="G1949" s="24" t="str">
        <f aca="false">IF(F1949="","",IF(F1949&lt;=5,"A",IF(F1949&lt;=8,"B",IF(F1949&lt;=10,"C","D"))))</f>
        <v/>
      </c>
      <c r="H1949" s="28"/>
      <c r="I1949" s="27"/>
      <c r="J1949" s="26"/>
      <c r="K1949" s="27"/>
      <c r="L1949" s="27"/>
      <c r="M1949" s="27"/>
      <c r="N1949" s="27"/>
      <c r="O1949" s="24" t="str">
        <f aca="false">IF(G1949="","",VLOOKUP(G1949,Setup!$A$14:$C$17,3,0))</f>
        <v/>
      </c>
      <c r="P1949" s="27"/>
      <c r="Q1949" s="29" t="str">
        <f aca="false">IF(OR(P1949="",M1949&lt;&gt;"Paid",O1949=""),"",P1949/O1949)</f>
        <v/>
      </c>
      <c r="R1949" s="30" t="str">
        <f aca="false">IF(Q1949="","",Q1949+N(H1949)*0.000000001)</f>
        <v/>
      </c>
      <c r="S1949" s="25" t="str">
        <f aca="false">IF(R1949="","",SUMPRODUCT((I$5:I$4004=I1949)*ISNUMBER(R$5:R$4004)*(R$5:R$4004&gt;R1949))+1)</f>
        <v/>
      </c>
      <c r="T1949" s="25" t="str">
        <f aca="false">IF(S1949="","",IF(S1949&lt;=Setup!$B$5,"🏆 WINNER",""))</f>
        <v/>
      </c>
      <c r="U1949" s="24" t="str">
        <f aca="false">IF(S1949="","",I1949&amp;"|"&amp;S1949)</f>
        <v/>
      </c>
    </row>
    <row r="1950" customFormat="false" ht="15" hidden="false" customHeight="false" outlineLevel="0" collapsed="false">
      <c r="A1950" s="31" t="n">
        <v>1946</v>
      </c>
      <c r="B1950" s="32" t="str">
        <f aca="false">IF(OR(C1950="",I1950="",G1950=""),"",IFERROR(VLOOKUP(I1950,Setup!$A$9:$B$11,2,0),"???")&amp;"-"&amp;G1950&amp;"-"&amp;TEXT(COUNTIFS(I$5:I1950,I1950,G$5:G1950,G1950),"0000"))</f>
        <v/>
      </c>
      <c r="C1950" s="26"/>
      <c r="D1950" s="26"/>
      <c r="E1950" s="27"/>
      <c r="F1950" s="27"/>
      <c r="G1950" s="31" t="str">
        <f aca="false">IF(F1950="","",IF(F1950&lt;=5,"A",IF(F1950&lt;=8,"B",IF(F1950&lt;=10,"C","D"))))</f>
        <v/>
      </c>
      <c r="H1950" s="28"/>
      <c r="I1950" s="27"/>
      <c r="J1950" s="26"/>
      <c r="K1950" s="27"/>
      <c r="L1950" s="27"/>
      <c r="M1950" s="27"/>
      <c r="N1950" s="27"/>
      <c r="O1950" s="31" t="str">
        <f aca="false">IF(G1950="","",VLOOKUP(G1950,Setup!$A$14:$C$17,3,0))</f>
        <v/>
      </c>
      <c r="P1950" s="27"/>
      <c r="Q1950" s="33" t="str">
        <f aca="false">IF(OR(P1950="",M1950&lt;&gt;"Paid",O1950=""),"",P1950/O1950)</f>
        <v/>
      </c>
      <c r="R1950" s="34" t="str">
        <f aca="false">IF(Q1950="","",Q1950+N(H1950)*0.000000001)</f>
        <v/>
      </c>
      <c r="S1950" s="32" t="str">
        <f aca="false">IF(R1950="","",SUMPRODUCT((I$5:I$4004=I1950)*ISNUMBER(R$5:R$4004)*(R$5:R$4004&gt;R1950))+1)</f>
        <v/>
      </c>
      <c r="T1950" s="32" t="str">
        <f aca="false">IF(S1950="","",IF(S1950&lt;=Setup!$B$5,"🏆 WINNER",""))</f>
        <v/>
      </c>
      <c r="U1950" s="31" t="str">
        <f aca="false">IF(S1950="","",I1950&amp;"|"&amp;S1950)</f>
        <v/>
      </c>
    </row>
    <row r="1951" customFormat="false" ht="15" hidden="false" customHeight="false" outlineLevel="0" collapsed="false">
      <c r="A1951" s="24" t="n">
        <v>1947</v>
      </c>
      <c r="B1951" s="25" t="str">
        <f aca="false">IF(OR(C1951="",I1951="",G1951=""),"",IFERROR(VLOOKUP(I1951,Setup!$A$9:$B$11,2,0),"???")&amp;"-"&amp;G1951&amp;"-"&amp;TEXT(COUNTIFS(I$5:I1951,I1951,G$5:G1951,G1951),"0000"))</f>
        <v/>
      </c>
      <c r="C1951" s="26"/>
      <c r="D1951" s="26"/>
      <c r="E1951" s="27"/>
      <c r="F1951" s="27"/>
      <c r="G1951" s="24" t="str">
        <f aca="false">IF(F1951="","",IF(F1951&lt;=5,"A",IF(F1951&lt;=8,"B",IF(F1951&lt;=10,"C","D"))))</f>
        <v/>
      </c>
      <c r="H1951" s="28"/>
      <c r="I1951" s="27"/>
      <c r="J1951" s="26"/>
      <c r="K1951" s="27"/>
      <c r="L1951" s="27"/>
      <c r="M1951" s="27"/>
      <c r="N1951" s="27"/>
      <c r="O1951" s="24" t="str">
        <f aca="false">IF(G1951="","",VLOOKUP(G1951,Setup!$A$14:$C$17,3,0))</f>
        <v/>
      </c>
      <c r="P1951" s="27"/>
      <c r="Q1951" s="29" t="str">
        <f aca="false">IF(OR(P1951="",M1951&lt;&gt;"Paid",O1951=""),"",P1951/O1951)</f>
        <v/>
      </c>
      <c r="R1951" s="30" t="str">
        <f aca="false">IF(Q1951="","",Q1951+N(H1951)*0.000000001)</f>
        <v/>
      </c>
      <c r="S1951" s="25" t="str">
        <f aca="false">IF(R1951="","",SUMPRODUCT((I$5:I$4004=I1951)*ISNUMBER(R$5:R$4004)*(R$5:R$4004&gt;R1951))+1)</f>
        <v/>
      </c>
      <c r="T1951" s="25" t="str">
        <f aca="false">IF(S1951="","",IF(S1951&lt;=Setup!$B$5,"🏆 WINNER",""))</f>
        <v/>
      </c>
      <c r="U1951" s="24" t="str">
        <f aca="false">IF(S1951="","",I1951&amp;"|"&amp;S1951)</f>
        <v/>
      </c>
    </row>
    <row r="1952" customFormat="false" ht="15" hidden="false" customHeight="false" outlineLevel="0" collapsed="false">
      <c r="A1952" s="31" t="n">
        <v>1948</v>
      </c>
      <c r="B1952" s="32" t="str">
        <f aca="false">IF(OR(C1952="",I1952="",G1952=""),"",IFERROR(VLOOKUP(I1952,Setup!$A$9:$B$11,2,0),"???")&amp;"-"&amp;G1952&amp;"-"&amp;TEXT(COUNTIFS(I$5:I1952,I1952,G$5:G1952,G1952),"0000"))</f>
        <v/>
      </c>
      <c r="C1952" s="26"/>
      <c r="D1952" s="26"/>
      <c r="E1952" s="27"/>
      <c r="F1952" s="27"/>
      <c r="G1952" s="31" t="str">
        <f aca="false">IF(F1952="","",IF(F1952&lt;=5,"A",IF(F1952&lt;=8,"B",IF(F1952&lt;=10,"C","D"))))</f>
        <v/>
      </c>
      <c r="H1952" s="28"/>
      <c r="I1952" s="27"/>
      <c r="J1952" s="26"/>
      <c r="K1952" s="27"/>
      <c r="L1952" s="27"/>
      <c r="M1952" s="27"/>
      <c r="N1952" s="27"/>
      <c r="O1952" s="31" t="str">
        <f aca="false">IF(G1952="","",VLOOKUP(G1952,Setup!$A$14:$C$17,3,0))</f>
        <v/>
      </c>
      <c r="P1952" s="27"/>
      <c r="Q1952" s="33" t="str">
        <f aca="false">IF(OR(P1952="",M1952&lt;&gt;"Paid",O1952=""),"",P1952/O1952)</f>
        <v/>
      </c>
      <c r="R1952" s="34" t="str">
        <f aca="false">IF(Q1952="","",Q1952+N(H1952)*0.000000001)</f>
        <v/>
      </c>
      <c r="S1952" s="32" t="str">
        <f aca="false">IF(R1952="","",SUMPRODUCT((I$5:I$4004=I1952)*ISNUMBER(R$5:R$4004)*(R$5:R$4004&gt;R1952))+1)</f>
        <v/>
      </c>
      <c r="T1952" s="32" t="str">
        <f aca="false">IF(S1952="","",IF(S1952&lt;=Setup!$B$5,"🏆 WINNER",""))</f>
        <v/>
      </c>
      <c r="U1952" s="31" t="str">
        <f aca="false">IF(S1952="","",I1952&amp;"|"&amp;S1952)</f>
        <v/>
      </c>
    </row>
    <row r="1953" customFormat="false" ht="15" hidden="false" customHeight="false" outlineLevel="0" collapsed="false">
      <c r="A1953" s="24" t="n">
        <v>1949</v>
      </c>
      <c r="B1953" s="25" t="str">
        <f aca="false">IF(OR(C1953="",I1953="",G1953=""),"",IFERROR(VLOOKUP(I1953,Setup!$A$9:$B$11,2,0),"???")&amp;"-"&amp;G1953&amp;"-"&amp;TEXT(COUNTIFS(I$5:I1953,I1953,G$5:G1953,G1953),"0000"))</f>
        <v/>
      </c>
      <c r="C1953" s="26"/>
      <c r="D1953" s="26"/>
      <c r="E1953" s="27"/>
      <c r="F1953" s="27"/>
      <c r="G1953" s="24" t="str">
        <f aca="false">IF(F1953="","",IF(F1953&lt;=5,"A",IF(F1953&lt;=8,"B",IF(F1953&lt;=10,"C","D"))))</f>
        <v/>
      </c>
      <c r="H1953" s="28"/>
      <c r="I1953" s="27"/>
      <c r="J1953" s="26"/>
      <c r="K1953" s="27"/>
      <c r="L1953" s="27"/>
      <c r="M1953" s="27"/>
      <c r="N1953" s="27"/>
      <c r="O1953" s="24" t="str">
        <f aca="false">IF(G1953="","",VLOOKUP(G1953,Setup!$A$14:$C$17,3,0))</f>
        <v/>
      </c>
      <c r="P1953" s="27"/>
      <c r="Q1953" s="29" t="str">
        <f aca="false">IF(OR(P1953="",M1953&lt;&gt;"Paid",O1953=""),"",P1953/O1953)</f>
        <v/>
      </c>
      <c r="R1953" s="30" t="str">
        <f aca="false">IF(Q1953="","",Q1953+N(H1953)*0.000000001)</f>
        <v/>
      </c>
      <c r="S1953" s="25" t="str">
        <f aca="false">IF(R1953="","",SUMPRODUCT((I$5:I$4004=I1953)*ISNUMBER(R$5:R$4004)*(R$5:R$4004&gt;R1953))+1)</f>
        <v/>
      </c>
      <c r="T1953" s="25" t="str">
        <f aca="false">IF(S1953="","",IF(S1953&lt;=Setup!$B$5,"🏆 WINNER",""))</f>
        <v/>
      </c>
      <c r="U1953" s="24" t="str">
        <f aca="false">IF(S1953="","",I1953&amp;"|"&amp;S1953)</f>
        <v/>
      </c>
    </row>
    <row r="1954" customFormat="false" ht="15" hidden="false" customHeight="false" outlineLevel="0" collapsed="false">
      <c r="A1954" s="31" t="n">
        <v>1950</v>
      </c>
      <c r="B1954" s="32" t="str">
        <f aca="false">IF(OR(C1954="",I1954="",G1954=""),"",IFERROR(VLOOKUP(I1954,Setup!$A$9:$B$11,2,0),"???")&amp;"-"&amp;G1954&amp;"-"&amp;TEXT(COUNTIFS(I$5:I1954,I1954,G$5:G1954,G1954),"0000"))</f>
        <v/>
      </c>
      <c r="C1954" s="26"/>
      <c r="D1954" s="26"/>
      <c r="E1954" s="27"/>
      <c r="F1954" s="27"/>
      <c r="G1954" s="31" t="str">
        <f aca="false">IF(F1954="","",IF(F1954&lt;=5,"A",IF(F1954&lt;=8,"B",IF(F1954&lt;=10,"C","D"))))</f>
        <v/>
      </c>
      <c r="H1954" s="28"/>
      <c r="I1954" s="27"/>
      <c r="J1954" s="26"/>
      <c r="K1954" s="27"/>
      <c r="L1954" s="27"/>
      <c r="M1954" s="27"/>
      <c r="N1954" s="27"/>
      <c r="O1954" s="31" t="str">
        <f aca="false">IF(G1954="","",VLOOKUP(G1954,Setup!$A$14:$C$17,3,0))</f>
        <v/>
      </c>
      <c r="P1954" s="27"/>
      <c r="Q1954" s="33" t="str">
        <f aca="false">IF(OR(P1954="",M1954&lt;&gt;"Paid",O1954=""),"",P1954/O1954)</f>
        <v/>
      </c>
      <c r="R1954" s="34" t="str">
        <f aca="false">IF(Q1954="","",Q1954+N(H1954)*0.000000001)</f>
        <v/>
      </c>
      <c r="S1954" s="32" t="str">
        <f aca="false">IF(R1954="","",SUMPRODUCT((I$5:I$4004=I1954)*ISNUMBER(R$5:R$4004)*(R$5:R$4004&gt;R1954))+1)</f>
        <v/>
      </c>
      <c r="T1954" s="32" t="str">
        <f aca="false">IF(S1954="","",IF(S1954&lt;=Setup!$B$5,"🏆 WINNER",""))</f>
        <v/>
      </c>
      <c r="U1954" s="31" t="str">
        <f aca="false">IF(S1954="","",I1954&amp;"|"&amp;S1954)</f>
        <v/>
      </c>
    </row>
    <row r="1955" customFormat="false" ht="15" hidden="false" customHeight="false" outlineLevel="0" collapsed="false">
      <c r="A1955" s="24" t="n">
        <v>1951</v>
      </c>
      <c r="B1955" s="25" t="str">
        <f aca="false">IF(OR(C1955="",I1955="",G1955=""),"",IFERROR(VLOOKUP(I1955,Setup!$A$9:$B$11,2,0),"???")&amp;"-"&amp;G1955&amp;"-"&amp;TEXT(COUNTIFS(I$5:I1955,I1955,G$5:G1955,G1955),"0000"))</f>
        <v/>
      </c>
      <c r="C1955" s="26"/>
      <c r="D1955" s="26"/>
      <c r="E1955" s="27"/>
      <c r="F1955" s="27"/>
      <c r="G1955" s="24" t="str">
        <f aca="false">IF(F1955="","",IF(F1955&lt;=5,"A",IF(F1955&lt;=8,"B",IF(F1955&lt;=10,"C","D"))))</f>
        <v/>
      </c>
      <c r="H1955" s="28"/>
      <c r="I1955" s="27"/>
      <c r="J1955" s="26"/>
      <c r="K1955" s="27"/>
      <c r="L1955" s="27"/>
      <c r="M1955" s="27"/>
      <c r="N1955" s="27"/>
      <c r="O1955" s="24" t="str">
        <f aca="false">IF(G1955="","",VLOOKUP(G1955,Setup!$A$14:$C$17,3,0))</f>
        <v/>
      </c>
      <c r="P1955" s="27"/>
      <c r="Q1955" s="29" t="str">
        <f aca="false">IF(OR(P1955="",M1955&lt;&gt;"Paid",O1955=""),"",P1955/O1955)</f>
        <v/>
      </c>
      <c r="R1955" s="30" t="str">
        <f aca="false">IF(Q1955="","",Q1955+N(H1955)*0.000000001)</f>
        <v/>
      </c>
      <c r="S1955" s="25" t="str">
        <f aca="false">IF(R1955="","",SUMPRODUCT((I$5:I$4004=I1955)*ISNUMBER(R$5:R$4004)*(R$5:R$4004&gt;R1955))+1)</f>
        <v/>
      </c>
      <c r="T1955" s="25" t="str">
        <f aca="false">IF(S1955="","",IF(S1955&lt;=Setup!$B$5,"🏆 WINNER",""))</f>
        <v/>
      </c>
      <c r="U1955" s="24" t="str">
        <f aca="false">IF(S1955="","",I1955&amp;"|"&amp;S1955)</f>
        <v/>
      </c>
    </row>
    <row r="1956" customFormat="false" ht="15" hidden="false" customHeight="false" outlineLevel="0" collapsed="false">
      <c r="A1956" s="31" t="n">
        <v>1952</v>
      </c>
      <c r="B1956" s="32" t="str">
        <f aca="false">IF(OR(C1956="",I1956="",G1956=""),"",IFERROR(VLOOKUP(I1956,Setup!$A$9:$B$11,2,0),"???")&amp;"-"&amp;G1956&amp;"-"&amp;TEXT(COUNTIFS(I$5:I1956,I1956,G$5:G1956,G1956),"0000"))</f>
        <v/>
      </c>
      <c r="C1956" s="26"/>
      <c r="D1956" s="26"/>
      <c r="E1956" s="27"/>
      <c r="F1956" s="27"/>
      <c r="G1956" s="31" t="str">
        <f aca="false">IF(F1956="","",IF(F1956&lt;=5,"A",IF(F1956&lt;=8,"B",IF(F1956&lt;=10,"C","D"))))</f>
        <v/>
      </c>
      <c r="H1956" s="28"/>
      <c r="I1956" s="27"/>
      <c r="J1956" s="26"/>
      <c r="K1956" s="27"/>
      <c r="L1956" s="27"/>
      <c r="M1956" s="27"/>
      <c r="N1956" s="27"/>
      <c r="O1956" s="31" t="str">
        <f aca="false">IF(G1956="","",VLOOKUP(G1956,Setup!$A$14:$C$17,3,0))</f>
        <v/>
      </c>
      <c r="P1956" s="27"/>
      <c r="Q1956" s="33" t="str">
        <f aca="false">IF(OR(P1956="",M1956&lt;&gt;"Paid",O1956=""),"",P1956/O1956)</f>
        <v/>
      </c>
      <c r="R1956" s="34" t="str">
        <f aca="false">IF(Q1956="","",Q1956+N(H1956)*0.000000001)</f>
        <v/>
      </c>
      <c r="S1956" s="32" t="str">
        <f aca="false">IF(R1956="","",SUMPRODUCT((I$5:I$4004=I1956)*ISNUMBER(R$5:R$4004)*(R$5:R$4004&gt;R1956))+1)</f>
        <v/>
      </c>
      <c r="T1956" s="32" t="str">
        <f aca="false">IF(S1956="","",IF(S1956&lt;=Setup!$B$5,"🏆 WINNER",""))</f>
        <v/>
      </c>
      <c r="U1956" s="31" t="str">
        <f aca="false">IF(S1956="","",I1956&amp;"|"&amp;S1956)</f>
        <v/>
      </c>
    </row>
    <row r="1957" customFormat="false" ht="15" hidden="false" customHeight="false" outlineLevel="0" collapsed="false">
      <c r="A1957" s="24" t="n">
        <v>1953</v>
      </c>
      <c r="B1957" s="25" t="str">
        <f aca="false">IF(OR(C1957="",I1957="",G1957=""),"",IFERROR(VLOOKUP(I1957,Setup!$A$9:$B$11,2,0),"???")&amp;"-"&amp;G1957&amp;"-"&amp;TEXT(COUNTIFS(I$5:I1957,I1957,G$5:G1957,G1957),"0000"))</f>
        <v/>
      </c>
      <c r="C1957" s="26"/>
      <c r="D1957" s="26"/>
      <c r="E1957" s="27"/>
      <c r="F1957" s="27"/>
      <c r="G1957" s="24" t="str">
        <f aca="false">IF(F1957="","",IF(F1957&lt;=5,"A",IF(F1957&lt;=8,"B",IF(F1957&lt;=10,"C","D"))))</f>
        <v/>
      </c>
      <c r="H1957" s="28"/>
      <c r="I1957" s="27"/>
      <c r="J1957" s="26"/>
      <c r="K1957" s="27"/>
      <c r="L1957" s="27"/>
      <c r="M1957" s="27"/>
      <c r="N1957" s="27"/>
      <c r="O1957" s="24" t="str">
        <f aca="false">IF(G1957="","",VLOOKUP(G1957,Setup!$A$14:$C$17,3,0))</f>
        <v/>
      </c>
      <c r="P1957" s="27"/>
      <c r="Q1957" s="29" t="str">
        <f aca="false">IF(OR(P1957="",M1957&lt;&gt;"Paid",O1957=""),"",P1957/O1957)</f>
        <v/>
      </c>
      <c r="R1957" s="30" t="str">
        <f aca="false">IF(Q1957="","",Q1957+N(H1957)*0.000000001)</f>
        <v/>
      </c>
      <c r="S1957" s="25" t="str">
        <f aca="false">IF(R1957="","",SUMPRODUCT((I$5:I$4004=I1957)*ISNUMBER(R$5:R$4004)*(R$5:R$4004&gt;R1957))+1)</f>
        <v/>
      </c>
      <c r="T1957" s="25" t="str">
        <f aca="false">IF(S1957="","",IF(S1957&lt;=Setup!$B$5,"🏆 WINNER",""))</f>
        <v/>
      </c>
      <c r="U1957" s="24" t="str">
        <f aca="false">IF(S1957="","",I1957&amp;"|"&amp;S1957)</f>
        <v/>
      </c>
    </row>
    <row r="1958" customFormat="false" ht="15" hidden="false" customHeight="false" outlineLevel="0" collapsed="false">
      <c r="A1958" s="31" t="n">
        <v>1954</v>
      </c>
      <c r="B1958" s="32" t="str">
        <f aca="false">IF(OR(C1958="",I1958="",G1958=""),"",IFERROR(VLOOKUP(I1958,Setup!$A$9:$B$11,2,0),"???")&amp;"-"&amp;G1958&amp;"-"&amp;TEXT(COUNTIFS(I$5:I1958,I1958,G$5:G1958,G1958),"0000"))</f>
        <v/>
      </c>
      <c r="C1958" s="26"/>
      <c r="D1958" s="26"/>
      <c r="E1958" s="27"/>
      <c r="F1958" s="27"/>
      <c r="G1958" s="31" t="str">
        <f aca="false">IF(F1958="","",IF(F1958&lt;=5,"A",IF(F1958&lt;=8,"B",IF(F1958&lt;=10,"C","D"))))</f>
        <v/>
      </c>
      <c r="H1958" s="28"/>
      <c r="I1958" s="27"/>
      <c r="J1958" s="26"/>
      <c r="K1958" s="27"/>
      <c r="L1958" s="27"/>
      <c r="M1958" s="27"/>
      <c r="N1958" s="27"/>
      <c r="O1958" s="31" t="str">
        <f aca="false">IF(G1958="","",VLOOKUP(G1958,Setup!$A$14:$C$17,3,0))</f>
        <v/>
      </c>
      <c r="P1958" s="27"/>
      <c r="Q1958" s="33" t="str">
        <f aca="false">IF(OR(P1958="",M1958&lt;&gt;"Paid",O1958=""),"",P1958/O1958)</f>
        <v/>
      </c>
      <c r="R1958" s="34" t="str">
        <f aca="false">IF(Q1958="","",Q1958+N(H1958)*0.000000001)</f>
        <v/>
      </c>
      <c r="S1958" s="32" t="str">
        <f aca="false">IF(R1958="","",SUMPRODUCT((I$5:I$4004=I1958)*ISNUMBER(R$5:R$4004)*(R$5:R$4004&gt;R1958))+1)</f>
        <v/>
      </c>
      <c r="T1958" s="32" t="str">
        <f aca="false">IF(S1958="","",IF(S1958&lt;=Setup!$B$5,"🏆 WINNER",""))</f>
        <v/>
      </c>
      <c r="U1958" s="31" t="str">
        <f aca="false">IF(S1958="","",I1958&amp;"|"&amp;S1958)</f>
        <v/>
      </c>
    </row>
    <row r="1959" customFormat="false" ht="15" hidden="false" customHeight="false" outlineLevel="0" collapsed="false">
      <c r="A1959" s="24" t="n">
        <v>1955</v>
      </c>
      <c r="B1959" s="25" t="str">
        <f aca="false">IF(OR(C1959="",I1959="",G1959=""),"",IFERROR(VLOOKUP(I1959,Setup!$A$9:$B$11,2,0),"???")&amp;"-"&amp;G1959&amp;"-"&amp;TEXT(COUNTIFS(I$5:I1959,I1959,G$5:G1959,G1959),"0000"))</f>
        <v/>
      </c>
      <c r="C1959" s="26"/>
      <c r="D1959" s="26"/>
      <c r="E1959" s="27"/>
      <c r="F1959" s="27"/>
      <c r="G1959" s="24" t="str">
        <f aca="false">IF(F1959="","",IF(F1959&lt;=5,"A",IF(F1959&lt;=8,"B",IF(F1959&lt;=10,"C","D"))))</f>
        <v/>
      </c>
      <c r="H1959" s="28"/>
      <c r="I1959" s="27"/>
      <c r="J1959" s="26"/>
      <c r="K1959" s="27"/>
      <c r="L1959" s="27"/>
      <c r="M1959" s="27"/>
      <c r="N1959" s="27"/>
      <c r="O1959" s="24" t="str">
        <f aca="false">IF(G1959="","",VLOOKUP(G1959,Setup!$A$14:$C$17,3,0))</f>
        <v/>
      </c>
      <c r="P1959" s="27"/>
      <c r="Q1959" s="29" t="str">
        <f aca="false">IF(OR(P1959="",M1959&lt;&gt;"Paid",O1959=""),"",P1959/O1959)</f>
        <v/>
      </c>
      <c r="R1959" s="30" t="str">
        <f aca="false">IF(Q1959="","",Q1959+N(H1959)*0.000000001)</f>
        <v/>
      </c>
      <c r="S1959" s="25" t="str">
        <f aca="false">IF(R1959="","",SUMPRODUCT((I$5:I$4004=I1959)*ISNUMBER(R$5:R$4004)*(R$5:R$4004&gt;R1959))+1)</f>
        <v/>
      </c>
      <c r="T1959" s="25" t="str">
        <f aca="false">IF(S1959="","",IF(S1959&lt;=Setup!$B$5,"🏆 WINNER",""))</f>
        <v/>
      </c>
      <c r="U1959" s="24" t="str">
        <f aca="false">IF(S1959="","",I1959&amp;"|"&amp;S1959)</f>
        <v/>
      </c>
    </row>
    <row r="1960" customFormat="false" ht="15" hidden="false" customHeight="false" outlineLevel="0" collapsed="false">
      <c r="A1960" s="31" t="n">
        <v>1956</v>
      </c>
      <c r="B1960" s="32" t="str">
        <f aca="false">IF(OR(C1960="",I1960="",G1960=""),"",IFERROR(VLOOKUP(I1960,Setup!$A$9:$B$11,2,0),"???")&amp;"-"&amp;G1960&amp;"-"&amp;TEXT(COUNTIFS(I$5:I1960,I1960,G$5:G1960,G1960),"0000"))</f>
        <v/>
      </c>
      <c r="C1960" s="26"/>
      <c r="D1960" s="26"/>
      <c r="E1960" s="27"/>
      <c r="F1960" s="27"/>
      <c r="G1960" s="31" t="str">
        <f aca="false">IF(F1960="","",IF(F1960&lt;=5,"A",IF(F1960&lt;=8,"B",IF(F1960&lt;=10,"C","D"))))</f>
        <v/>
      </c>
      <c r="H1960" s="28"/>
      <c r="I1960" s="27"/>
      <c r="J1960" s="26"/>
      <c r="K1960" s="27"/>
      <c r="L1960" s="27"/>
      <c r="M1960" s="27"/>
      <c r="N1960" s="27"/>
      <c r="O1960" s="31" t="str">
        <f aca="false">IF(G1960="","",VLOOKUP(G1960,Setup!$A$14:$C$17,3,0))</f>
        <v/>
      </c>
      <c r="P1960" s="27"/>
      <c r="Q1960" s="33" t="str">
        <f aca="false">IF(OR(P1960="",M1960&lt;&gt;"Paid",O1960=""),"",P1960/O1960)</f>
        <v/>
      </c>
      <c r="R1960" s="34" t="str">
        <f aca="false">IF(Q1960="","",Q1960+N(H1960)*0.000000001)</f>
        <v/>
      </c>
      <c r="S1960" s="32" t="str">
        <f aca="false">IF(R1960="","",SUMPRODUCT((I$5:I$4004=I1960)*ISNUMBER(R$5:R$4004)*(R$5:R$4004&gt;R1960))+1)</f>
        <v/>
      </c>
      <c r="T1960" s="32" t="str">
        <f aca="false">IF(S1960="","",IF(S1960&lt;=Setup!$B$5,"🏆 WINNER",""))</f>
        <v/>
      </c>
      <c r="U1960" s="31" t="str">
        <f aca="false">IF(S1960="","",I1960&amp;"|"&amp;S1960)</f>
        <v/>
      </c>
    </row>
    <row r="1961" customFormat="false" ht="15" hidden="false" customHeight="false" outlineLevel="0" collapsed="false">
      <c r="A1961" s="24" t="n">
        <v>1957</v>
      </c>
      <c r="B1961" s="25" t="str">
        <f aca="false">IF(OR(C1961="",I1961="",G1961=""),"",IFERROR(VLOOKUP(I1961,Setup!$A$9:$B$11,2,0),"???")&amp;"-"&amp;G1961&amp;"-"&amp;TEXT(COUNTIFS(I$5:I1961,I1961,G$5:G1961,G1961),"0000"))</f>
        <v/>
      </c>
      <c r="C1961" s="26"/>
      <c r="D1961" s="26"/>
      <c r="E1961" s="27"/>
      <c r="F1961" s="27"/>
      <c r="G1961" s="24" t="str">
        <f aca="false">IF(F1961="","",IF(F1961&lt;=5,"A",IF(F1961&lt;=8,"B",IF(F1961&lt;=10,"C","D"))))</f>
        <v/>
      </c>
      <c r="H1961" s="28"/>
      <c r="I1961" s="27"/>
      <c r="J1961" s="26"/>
      <c r="K1961" s="27"/>
      <c r="L1961" s="27"/>
      <c r="M1961" s="27"/>
      <c r="N1961" s="27"/>
      <c r="O1961" s="24" t="str">
        <f aca="false">IF(G1961="","",VLOOKUP(G1961,Setup!$A$14:$C$17,3,0))</f>
        <v/>
      </c>
      <c r="P1961" s="27"/>
      <c r="Q1961" s="29" t="str">
        <f aca="false">IF(OR(P1961="",M1961&lt;&gt;"Paid",O1961=""),"",P1961/O1961)</f>
        <v/>
      </c>
      <c r="R1961" s="30" t="str">
        <f aca="false">IF(Q1961="","",Q1961+N(H1961)*0.000000001)</f>
        <v/>
      </c>
      <c r="S1961" s="25" t="str">
        <f aca="false">IF(R1961="","",SUMPRODUCT((I$5:I$4004=I1961)*ISNUMBER(R$5:R$4004)*(R$5:R$4004&gt;R1961))+1)</f>
        <v/>
      </c>
      <c r="T1961" s="25" t="str">
        <f aca="false">IF(S1961="","",IF(S1961&lt;=Setup!$B$5,"🏆 WINNER",""))</f>
        <v/>
      </c>
      <c r="U1961" s="24" t="str">
        <f aca="false">IF(S1961="","",I1961&amp;"|"&amp;S1961)</f>
        <v/>
      </c>
    </row>
    <row r="1962" customFormat="false" ht="15" hidden="false" customHeight="false" outlineLevel="0" collapsed="false">
      <c r="A1962" s="31" t="n">
        <v>1958</v>
      </c>
      <c r="B1962" s="32" t="str">
        <f aca="false">IF(OR(C1962="",I1962="",G1962=""),"",IFERROR(VLOOKUP(I1962,Setup!$A$9:$B$11,2,0),"???")&amp;"-"&amp;G1962&amp;"-"&amp;TEXT(COUNTIFS(I$5:I1962,I1962,G$5:G1962,G1962),"0000"))</f>
        <v/>
      </c>
      <c r="C1962" s="26"/>
      <c r="D1962" s="26"/>
      <c r="E1962" s="27"/>
      <c r="F1962" s="27"/>
      <c r="G1962" s="31" t="str">
        <f aca="false">IF(F1962="","",IF(F1962&lt;=5,"A",IF(F1962&lt;=8,"B",IF(F1962&lt;=10,"C","D"))))</f>
        <v/>
      </c>
      <c r="H1962" s="28"/>
      <c r="I1962" s="27"/>
      <c r="J1962" s="26"/>
      <c r="K1962" s="27"/>
      <c r="L1962" s="27"/>
      <c r="M1962" s="27"/>
      <c r="N1962" s="27"/>
      <c r="O1962" s="31" t="str">
        <f aca="false">IF(G1962="","",VLOOKUP(G1962,Setup!$A$14:$C$17,3,0))</f>
        <v/>
      </c>
      <c r="P1962" s="27"/>
      <c r="Q1962" s="33" t="str">
        <f aca="false">IF(OR(P1962="",M1962&lt;&gt;"Paid",O1962=""),"",P1962/O1962)</f>
        <v/>
      </c>
      <c r="R1962" s="34" t="str">
        <f aca="false">IF(Q1962="","",Q1962+N(H1962)*0.000000001)</f>
        <v/>
      </c>
      <c r="S1962" s="32" t="str">
        <f aca="false">IF(R1962="","",SUMPRODUCT((I$5:I$4004=I1962)*ISNUMBER(R$5:R$4004)*(R$5:R$4004&gt;R1962))+1)</f>
        <v/>
      </c>
      <c r="T1962" s="32" t="str">
        <f aca="false">IF(S1962="","",IF(S1962&lt;=Setup!$B$5,"🏆 WINNER",""))</f>
        <v/>
      </c>
      <c r="U1962" s="31" t="str">
        <f aca="false">IF(S1962="","",I1962&amp;"|"&amp;S1962)</f>
        <v/>
      </c>
    </row>
    <row r="1963" customFormat="false" ht="15" hidden="false" customHeight="false" outlineLevel="0" collapsed="false">
      <c r="A1963" s="24" t="n">
        <v>1959</v>
      </c>
      <c r="B1963" s="25" t="str">
        <f aca="false">IF(OR(C1963="",I1963="",G1963=""),"",IFERROR(VLOOKUP(I1963,Setup!$A$9:$B$11,2,0),"???")&amp;"-"&amp;G1963&amp;"-"&amp;TEXT(COUNTIFS(I$5:I1963,I1963,G$5:G1963,G1963),"0000"))</f>
        <v/>
      </c>
      <c r="C1963" s="26"/>
      <c r="D1963" s="26"/>
      <c r="E1963" s="27"/>
      <c r="F1963" s="27"/>
      <c r="G1963" s="24" t="str">
        <f aca="false">IF(F1963="","",IF(F1963&lt;=5,"A",IF(F1963&lt;=8,"B",IF(F1963&lt;=10,"C","D"))))</f>
        <v/>
      </c>
      <c r="H1963" s="28"/>
      <c r="I1963" s="27"/>
      <c r="J1963" s="26"/>
      <c r="K1963" s="27"/>
      <c r="L1963" s="27"/>
      <c r="M1963" s="27"/>
      <c r="N1963" s="27"/>
      <c r="O1963" s="24" t="str">
        <f aca="false">IF(G1963="","",VLOOKUP(G1963,Setup!$A$14:$C$17,3,0))</f>
        <v/>
      </c>
      <c r="P1963" s="27"/>
      <c r="Q1963" s="29" t="str">
        <f aca="false">IF(OR(P1963="",M1963&lt;&gt;"Paid",O1963=""),"",P1963/O1963)</f>
        <v/>
      </c>
      <c r="R1963" s="30" t="str">
        <f aca="false">IF(Q1963="","",Q1963+N(H1963)*0.000000001)</f>
        <v/>
      </c>
      <c r="S1963" s="25" t="str">
        <f aca="false">IF(R1963="","",SUMPRODUCT((I$5:I$4004=I1963)*ISNUMBER(R$5:R$4004)*(R$5:R$4004&gt;R1963))+1)</f>
        <v/>
      </c>
      <c r="T1963" s="25" t="str">
        <f aca="false">IF(S1963="","",IF(S1963&lt;=Setup!$B$5,"🏆 WINNER",""))</f>
        <v/>
      </c>
      <c r="U1963" s="24" t="str">
        <f aca="false">IF(S1963="","",I1963&amp;"|"&amp;S1963)</f>
        <v/>
      </c>
    </row>
    <row r="1964" customFormat="false" ht="15" hidden="false" customHeight="false" outlineLevel="0" collapsed="false">
      <c r="A1964" s="31" t="n">
        <v>1960</v>
      </c>
      <c r="B1964" s="32" t="str">
        <f aca="false">IF(OR(C1964="",I1964="",G1964=""),"",IFERROR(VLOOKUP(I1964,Setup!$A$9:$B$11,2,0),"???")&amp;"-"&amp;G1964&amp;"-"&amp;TEXT(COUNTIFS(I$5:I1964,I1964,G$5:G1964,G1964),"0000"))</f>
        <v/>
      </c>
      <c r="C1964" s="26"/>
      <c r="D1964" s="26"/>
      <c r="E1964" s="27"/>
      <c r="F1964" s="27"/>
      <c r="G1964" s="31" t="str">
        <f aca="false">IF(F1964="","",IF(F1964&lt;=5,"A",IF(F1964&lt;=8,"B",IF(F1964&lt;=10,"C","D"))))</f>
        <v/>
      </c>
      <c r="H1964" s="28"/>
      <c r="I1964" s="27"/>
      <c r="J1964" s="26"/>
      <c r="K1964" s="27"/>
      <c r="L1964" s="27"/>
      <c r="M1964" s="27"/>
      <c r="N1964" s="27"/>
      <c r="O1964" s="31" t="str">
        <f aca="false">IF(G1964="","",VLOOKUP(G1964,Setup!$A$14:$C$17,3,0))</f>
        <v/>
      </c>
      <c r="P1964" s="27"/>
      <c r="Q1964" s="33" t="str">
        <f aca="false">IF(OR(P1964="",M1964&lt;&gt;"Paid",O1964=""),"",P1964/O1964)</f>
        <v/>
      </c>
      <c r="R1964" s="34" t="str">
        <f aca="false">IF(Q1964="","",Q1964+N(H1964)*0.000000001)</f>
        <v/>
      </c>
      <c r="S1964" s="32" t="str">
        <f aca="false">IF(R1964="","",SUMPRODUCT((I$5:I$4004=I1964)*ISNUMBER(R$5:R$4004)*(R$5:R$4004&gt;R1964))+1)</f>
        <v/>
      </c>
      <c r="T1964" s="32" t="str">
        <f aca="false">IF(S1964="","",IF(S1964&lt;=Setup!$B$5,"🏆 WINNER",""))</f>
        <v/>
      </c>
      <c r="U1964" s="31" t="str">
        <f aca="false">IF(S1964="","",I1964&amp;"|"&amp;S1964)</f>
        <v/>
      </c>
    </row>
    <row r="1965" customFormat="false" ht="15" hidden="false" customHeight="false" outlineLevel="0" collapsed="false">
      <c r="A1965" s="24" t="n">
        <v>1961</v>
      </c>
      <c r="B1965" s="25" t="str">
        <f aca="false">IF(OR(C1965="",I1965="",G1965=""),"",IFERROR(VLOOKUP(I1965,Setup!$A$9:$B$11,2,0),"???")&amp;"-"&amp;G1965&amp;"-"&amp;TEXT(COUNTIFS(I$5:I1965,I1965,G$5:G1965,G1965),"0000"))</f>
        <v/>
      </c>
      <c r="C1965" s="26"/>
      <c r="D1965" s="26"/>
      <c r="E1965" s="27"/>
      <c r="F1965" s="27"/>
      <c r="G1965" s="24" t="str">
        <f aca="false">IF(F1965="","",IF(F1965&lt;=5,"A",IF(F1965&lt;=8,"B",IF(F1965&lt;=10,"C","D"))))</f>
        <v/>
      </c>
      <c r="H1965" s="28"/>
      <c r="I1965" s="27"/>
      <c r="J1965" s="26"/>
      <c r="K1965" s="27"/>
      <c r="L1965" s="27"/>
      <c r="M1965" s="27"/>
      <c r="N1965" s="27"/>
      <c r="O1965" s="24" t="str">
        <f aca="false">IF(G1965="","",VLOOKUP(G1965,Setup!$A$14:$C$17,3,0))</f>
        <v/>
      </c>
      <c r="P1965" s="27"/>
      <c r="Q1965" s="29" t="str">
        <f aca="false">IF(OR(P1965="",M1965&lt;&gt;"Paid",O1965=""),"",P1965/O1965)</f>
        <v/>
      </c>
      <c r="R1965" s="30" t="str">
        <f aca="false">IF(Q1965="","",Q1965+N(H1965)*0.000000001)</f>
        <v/>
      </c>
      <c r="S1965" s="25" t="str">
        <f aca="false">IF(R1965="","",SUMPRODUCT((I$5:I$4004=I1965)*ISNUMBER(R$5:R$4004)*(R$5:R$4004&gt;R1965))+1)</f>
        <v/>
      </c>
      <c r="T1965" s="25" t="str">
        <f aca="false">IF(S1965="","",IF(S1965&lt;=Setup!$B$5,"🏆 WINNER",""))</f>
        <v/>
      </c>
      <c r="U1965" s="24" t="str">
        <f aca="false">IF(S1965="","",I1965&amp;"|"&amp;S1965)</f>
        <v/>
      </c>
    </row>
    <row r="1966" customFormat="false" ht="15" hidden="false" customHeight="false" outlineLevel="0" collapsed="false">
      <c r="A1966" s="31" t="n">
        <v>1962</v>
      </c>
      <c r="B1966" s="32" t="str">
        <f aca="false">IF(OR(C1966="",I1966="",G1966=""),"",IFERROR(VLOOKUP(I1966,Setup!$A$9:$B$11,2,0),"???")&amp;"-"&amp;G1966&amp;"-"&amp;TEXT(COUNTIFS(I$5:I1966,I1966,G$5:G1966,G1966),"0000"))</f>
        <v/>
      </c>
      <c r="C1966" s="26"/>
      <c r="D1966" s="26"/>
      <c r="E1966" s="27"/>
      <c r="F1966" s="27"/>
      <c r="G1966" s="31" t="str">
        <f aca="false">IF(F1966="","",IF(F1966&lt;=5,"A",IF(F1966&lt;=8,"B",IF(F1966&lt;=10,"C","D"))))</f>
        <v/>
      </c>
      <c r="H1966" s="28"/>
      <c r="I1966" s="27"/>
      <c r="J1966" s="26"/>
      <c r="K1966" s="27"/>
      <c r="L1966" s="27"/>
      <c r="M1966" s="27"/>
      <c r="N1966" s="27"/>
      <c r="O1966" s="31" t="str">
        <f aca="false">IF(G1966="","",VLOOKUP(G1966,Setup!$A$14:$C$17,3,0))</f>
        <v/>
      </c>
      <c r="P1966" s="27"/>
      <c r="Q1966" s="33" t="str">
        <f aca="false">IF(OR(P1966="",M1966&lt;&gt;"Paid",O1966=""),"",P1966/O1966)</f>
        <v/>
      </c>
      <c r="R1966" s="34" t="str">
        <f aca="false">IF(Q1966="","",Q1966+N(H1966)*0.000000001)</f>
        <v/>
      </c>
      <c r="S1966" s="32" t="str">
        <f aca="false">IF(R1966="","",SUMPRODUCT((I$5:I$4004=I1966)*ISNUMBER(R$5:R$4004)*(R$5:R$4004&gt;R1966))+1)</f>
        <v/>
      </c>
      <c r="T1966" s="32" t="str">
        <f aca="false">IF(S1966="","",IF(S1966&lt;=Setup!$B$5,"🏆 WINNER",""))</f>
        <v/>
      </c>
      <c r="U1966" s="31" t="str">
        <f aca="false">IF(S1966="","",I1966&amp;"|"&amp;S1966)</f>
        <v/>
      </c>
    </row>
    <row r="1967" customFormat="false" ht="15" hidden="false" customHeight="false" outlineLevel="0" collapsed="false">
      <c r="A1967" s="24" t="n">
        <v>1963</v>
      </c>
      <c r="B1967" s="25" t="str">
        <f aca="false">IF(OR(C1967="",I1967="",G1967=""),"",IFERROR(VLOOKUP(I1967,Setup!$A$9:$B$11,2,0),"???")&amp;"-"&amp;G1967&amp;"-"&amp;TEXT(COUNTIFS(I$5:I1967,I1967,G$5:G1967,G1967),"0000"))</f>
        <v/>
      </c>
      <c r="C1967" s="26"/>
      <c r="D1967" s="26"/>
      <c r="E1967" s="27"/>
      <c r="F1967" s="27"/>
      <c r="G1967" s="24" t="str">
        <f aca="false">IF(F1967="","",IF(F1967&lt;=5,"A",IF(F1967&lt;=8,"B",IF(F1967&lt;=10,"C","D"))))</f>
        <v/>
      </c>
      <c r="H1967" s="28"/>
      <c r="I1967" s="27"/>
      <c r="J1967" s="26"/>
      <c r="K1967" s="27"/>
      <c r="L1967" s="27"/>
      <c r="M1967" s="27"/>
      <c r="N1967" s="27"/>
      <c r="O1967" s="24" t="str">
        <f aca="false">IF(G1967="","",VLOOKUP(G1967,Setup!$A$14:$C$17,3,0))</f>
        <v/>
      </c>
      <c r="P1967" s="27"/>
      <c r="Q1967" s="29" t="str">
        <f aca="false">IF(OR(P1967="",M1967&lt;&gt;"Paid",O1967=""),"",P1967/O1967)</f>
        <v/>
      </c>
      <c r="R1967" s="30" t="str">
        <f aca="false">IF(Q1967="","",Q1967+N(H1967)*0.000000001)</f>
        <v/>
      </c>
      <c r="S1967" s="25" t="str">
        <f aca="false">IF(R1967="","",SUMPRODUCT((I$5:I$4004=I1967)*ISNUMBER(R$5:R$4004)*(R$5:R$4004&gt;R1967))+1)</f>
        <v/>
      </c>
      <c r="T1967" s="25" t="str">
        <f aca="false">IF(S1967="","",IF(S1967&lt;=Setup!$B$5,"🏆 WINNER",""))</f>
        <v/>
      </c>
      <c r="U1967" s="24" t="str">
        <f aca="false">IF(S1967="","",I1967&amp;"|"&amp;S1967)</f>
        <v/>
      </c>
    </row>
    <row r="1968" customFormat="false" ht="15" hidden="false" customHeight="false" outlineLevel="0" collapsed="false">
      <c r="A1968" s="31" t="n">
        <v>1964</v>
      </c>
      <c r="B1968" s="32" t="str">
        <f aca="false">IF(OR(C1968="",I1968="",G1968=""),"",IFERROR(VLOOKUP(I1968,Setup!$A$9:$B$11,2,0),"???")&amp;"-"&amp;G1968&amp;"-"&amp;TEXT(COUNTIFS(I$5:I1968,I1968,G$5:G1968,G1968),"0000"))</f>
        <v/>
      </c>
      <c r="C1968" s="26"/>
      <c r="D1968" s="26"/>
      <c r="E1968" s="27"/>
      <c r="F1968" s="27"/>
      <c r="G1968" s="31" t="str">
        <f aca="false">IF(F1968="","",IF(F1968&lt;=5,"A",IF(F1968&lt;=8,"B",IF(F1968&lt;=10,"C","D"))))</f>
        <v/>
      </c>
      <c r="H1968" s="28"/>
      <c r="I1968" s="27"/>
      <c r="J1968" s="26"/>
      <c r="K1968" s="27"/>
      <c r="L1968" s="27"/>
      <c r="M1968" s="27"/>
      <c r="N1968" s="27"/>
      <c r="O1968" s="31" t="str">
        <f aca="false">IF(G1968="","",VLOOKUP(G1968,Setup!$A$14:$C$17,3,0))</f>
        <v/>
      </c>
      <c r="P1968" s="27"/>
      <c r="Q1968" s="33" t="str">
        <f aca="false">IF(OR(P1968="",M1968&lt;&gt;"Paid",O1968=""),"",P1968/O1968)</f>
        <v/>
      </c>
      <c r="R1968" s="34" t="str">
        <f aca="false">IF(Q1968="","",Q1968+N(H1968)*0.000000001)</f>
        <v/>
      </c>
      <c r="S1968" s="32" t="str">
        <f aca="false">IF(R1968="","",SUMPRODUCT((I$5:I$4004=I1968)*ISNUMBER(R$5:R$4004)*(R$5:R$4004&gt;R1968))+1)</f>
        <v/>
      </c>
      <c r="T1968" s="32" t="str">
        <f aca="false">IF(S1968="","",IF(S1968&lt;=Setup!$B$5,"🏆 WINNER",""))</f>
        <v/>
      </c>
      <c r="U1968" s="31" t="str">
        <f aca="false">IF(S1968="","",I1968&amp;"|"&amp;S1968)</f>
        <v/>
      </c>
    </row>
    <row r="1969" customFormat="false" ht="15" hidden="false" customHeight="false" outlineLevel="0" collapsed="false">
      <c r="A1969" s="24" t="n">
        <v>1965</v>
      </c>
      <c r="B1969" s="25" t="str">
        <f aca="false">IF(OR(C1969="",I1969="",G1969=""),"",IFERROR(VLOOKUP(I1969,Setup!$A$9:$B$11,2,0),"???")&amp;"-"&amp;G1969&amp;"-"&amp;TEXT(COUNTIFS(I$5:I1969,I1969,G$5:G1969,G1969),"0000"))</f>
        <v/>
      </c>
      <c r="C1969" s="26"/>
      <c r="D1969" s="26"/>
      <c r="E1969" s="27"/>
      <c r="F1969" s="27"/>
      <c r="G1969" s="24" t="str">
        <f aca="false">IF(F1969="","",IF(F1969&lt;=5,"A",IF(F1969&lt;=8,"B",IF(F1969&lt;=10,"C","D"))))</f>
        <v/>
      </c>
      <c r="H1969" s="28"/>
      <c r="I1969" s="27"/>
      <c r="J1969" s="26"/>
      <c r="K1969" s="27"/>
      <c r="L1969" s="27"/>
      <c r="M1969" s="27"/>
      <c r="N1969" s="27"/>
      <c r="O1969" s="24" t="str">
        <f aca="false">IF(G1969="","",VLOOKUP(G1969,Setup!$A$14:$C$17,3,0))</f>
        <v/>
      </c>
      <c r="P1969" s="27"/>
      <c r="Q1969" s="29" t="str">
        <f aca="false">IF(OR(P1969="",M1969&lt;&gt;"Paid",O1969=""),"",P1969/O1969)</f>
        <v/>
      </c>
      <c r="R1969" s="30" t="str">
        <f aca="false">IF(Q1969="","",Q1969+N(H1969)*0.000000001)</f>
        <v/>
      </c>
      <c r="S1969" s="25" t="str">
        <f aca="false">IF(R1969="","",SUMPRODUCT((I$5:I$4004=I1969)*ISNUMBER(R$5:R$4004)*(R$5:R$4004&gt;R1969))+1)</f>
        <v/>
      </c>
      <c r="T1969" s="25" t="str">
        <f aca="false">IF(S1969="","",IF(S1969&lt;=Setup!$B$5,"🏆 WINNER",""))</f>
        <v/>
      </c>
      <c r="U1969" s="24" t="str">
        <f aca="false">IF(S1969="","",I1969&amp;"|"&amp;S1969)</f>
        <v/>
      </c>
    </row>
    <row r="1970" customFormat="false" ht="15" hidden="false" customHeight="false" outlineLevel="0" collapsed="false">
      <c r="A1970" s="31" t="n">
        <v>1966</v>
      </c>
      <c r="B1970" s="32" t="str">
        <f aca="false">IF(OR(C1970="",I1970="",G1970=""),"",IFERROR(VLOOKUP(I1970,Setup!$A$9:$B$11,2,0),"???")&amp;"-"&amp;G1970&amp;"-"&amp;TEXT(COUNTIFS(I$5:I1970,I1970,G$5:G1970,G1970),"0000"))</f>
        <v/>
      </c>
      <c r="C1970" s="26"/>
      <c r="D1970" s="26"/>
      <c r="E1970" s="27"/>
      <c r="F1970" s="27"/>
      <c r="G1970" s="31" t="str">
        <f aca="false">IF(F1970="","",IF(F1970&lt;=5,"A",IF(F1970&lt;=8,"B",IF(F1970&lt;=10,"C","D"))))</f>
        <v/>
      </c>
      <c r="H1970" s="28"/>
      <c r="I1970" s="27"/>
      <c r="J1970" s="26"/>
      <c r="K1970" s="27"/>
      <c r="L1970" s="27"/>
      <c r="M1970" s="27"/>
      <c r="N1970" s="27"/>
      <c r="O1970" s="31" t="str">
        <f aca="false">IF(G1970="","",VLOOKUP(G1970,Setup!$A$14:$C$17,3,0))</f>
        <v/>
      </c>
      <c r="P1970" s="27"/>
      <c r="Q1970" s="33" t="str">
        <f aca="false">IF(OR(P1970="",M1970&lt;&gt;"Paid",O1970=""),"",P1970/O1970)</f>
        <v/>
      </c>
      <c r="R1970" s="34" t="str">
        <f aca="false">IF(Q1970="","",Q1970+N(H1970)*0.000000001)</f>
        <v/>
      </c>
      <c r="S1970" s="32" t="str">
        <f aca="false">IF(R1970="","",SUMPRODUCT((I$5:I$4004=I1970)*ISNUMBER(R$5:R$4004)*(R$5:R$4004&gt;R1970))+1)</f>
        <v/>
      </c>
      <c r="T1970" s="32" t="str">
        <f aca="false">IF(S1970="","",IF(S1970&lt;=Setup!$B$5,"🏆 WINNER",""))</f>
        <v/>
      </c>
      <c r="U1970" s="31" t="str">
        <f aca="false">IF(S1970="","",I1970&amp;"|"&amp;S1970)</f>
        <v/>
      </c>
    </row>
    <row r="1971" customFormat="false" ht="15" hidden="false" customHeight="false" outlineLevel="0" collapsed="false">
      <c r="A1971" s="24" t="n">
        <v>1967</v>
      </c>
      <c r="B1971" s="25" t="str">
        <f aca="false">IF(OR(C1971="",I1971="",G1971=""),"",IFERROR(VLOOKUP(I1971,Setup!$A$9:$B$11,2,0),"???")&amp;"-"&amp;G1971&amp;"-"&amp;TEXT(COUNTIFS(I$5:I1971,I1971,G$5:G1971,G1971),"0000"))</f>
        <v/>
      </c>
      <c r="C1971" s="26"/>
      <c r="D1971" s="26"/>
      <c r="E1971" s="27"/>
      <c r="F1971" s="27"/>
      <c r="G1971" s="24" t="str">
        <f aca="false">IF(F1971="","",IF(F1971&lt;=5,"A",IF(F1971&lt;=8,"B",IF(F1971&lt;=10,"C","D"))))</f>
        <v/>
      </c>
      <c r="H1971" s="28"/>
      <c r="I1971" s="27"/>
      <c r="J1971" s="26"/>
      <c r="K1971" s="27"/>
      <c r="L1971" s="27"/>
      <c r="M1971" s="27"/>
      <c r="N1971" s="27"/>
      <c r="O1971" s="24" t="str">
        <f aca="false">IF(G1971="","",VLOOKUP(G1971,Setup!$A$14:$C$17,3,0))</f>
        <v/>
      </c>
      <c r="P1971" s="27"/>
      <c r="Q1971" s="29" t="str">
        <f aca="false">IF(OR(P1971="",M1971&lt;&gt;"Paid",O1971=""),"",P1971/O1971)</f>
        <v/>
      </c>
      <c r="R1971" s="30" t="str">
        <f aca="false">IF(Q1971="","",Q1971+N(H1971)*0.000000001)</f>
        <v/>
      </c>
      <c r="S1971" s="25" t="str">
        <f aca="false">IF(R1971="","",SUMPRODUCT((I$5:I$4004=I1971)*ISNUMBER(R$5:R$4004)*(R$5:R$4004&gt;R1971))+1)</f>
        <v/>
      </c>
      <c r="T1971" s="25" t="str">
        <f aca="false">IF(S1971="","",IF(S1971&lt;=Setup!$B$5,"🏆 WINNER",""))</f>
        <v/>
      </c>
      <c r="U1971" s="24" t="str">
        <f aca="false">IF(S1971="","",I1971&amp;"|"&amp;S1971)</f>
        <v/>
      </c>
    </row>
    <row r="1972" customFormat="false" ht="15" hidden="false" customHeight="false" outlineLevel="0" collapsed="false">
      <c r="A1972" s="31" t="n">
        <v>1968</v>
      </c>
      <c r="B1972" s="32" t="str">
        <f aca="false">IF(OR(C1972="",I1972="",G1972=""),"",IFERROR(VLOOKUP(I1972,Setup!$A$9:$B$11,2,0),"???")&amp;"-"&amp;G1972&amp;"-"&amp;TEXT(COUNTIFS(I$5:I1972,I1972,G$5:G1972,G1972),"0000"))</f>
        <v/>
      </c>
      <c r="C1972" s="26"/>
      <c r="D1972" s="26"/>
      <c r="E1972" s="27"/>
      <c r="F1972" s="27"/>
      <c r="G1972" s="31" t="str">
        <f aca="false">IF(F1972="","",IF(F1972&lt;=5,"A",IF(F1972&lt;=8,"B",IF(F1972&lt;=10,"C","D"))))</f>
        <v/>
      </c>
      <c r="H1972" s="28"/>
      <c r="I1972" s="27"/>
      <c r="J1972" s="26"/>
      <c r="K1972" s="27"/>
      <c r="L1972" s="27"/>
      <c r="M1972" s="27"/>
      <c r="N1972" s="27"/>
      <c r="O1972" s="31" t="str">
        <f aca="false">IF(G1972="","",VLOOKUP(G1972,Setup!$A$14:$C$17,3,0))</f>
        <v/>
      </c>
      <c r="P1972" s="27"/>
      <c r="Q1972" s="33" t="str">
        <f aca="false">IF(OR(P1972="",M1972&lt;&gt;"Paid",O1972=""),"",P1972/O1972)</f>
        <v/>
      </c>
      <c r="R1972" s="34" t="str">
        <f aca="false">IF(Q1972="","",Q1972+N(H1972)*0.000000001)</f>
        <v/>
      </c>
      <c r="S1972" s="32" t="str">
        <f aca="false">IF(R1972="","",SUMPRODUCT((I$5:I$4004=I1972)*ISNUMBER(R$5:R$4004)*(R$5:R$4004&gt;R1972))+1)</f>
        <v/>
      </c>
      <c r="T1972" s="32" t="str">
        <f aca="false">IF(S1972="","",IF(S1972&lt;=Setup!$B$5,"🏆 WINNER",""))</f>
        <v/>
      </c>
      <c r="U1972" s="31" t="str">
        <f aca="false">IF(S1972="","",I1972&amp;"|"&amp;S1972)</f>
        <v/>
      </c>
    </row>
    <row r="1973" customFormat="false" ht="15" hidden="false" customHeight="false" outlineLevel="0" collapsed="false">
      <c r="A1973" s="24" t="n">
        <v>1969</v>
      </c>
      <c r="B1973" s="25" t="str">
        <f aca="false">IF(OR(C1973="",I1973="",G1973=""),"",IFERROR(VLOOKUP(I1973,Setup!$A$9:$B$11,2,0),"???")&amp;"-"&amp;G1973&amp;"-"&amp;TEXT(COUNTIFS(I$5:I1973,I1973,G$5:G1973,G1973),"0000"))</f>
        <v/>
      </c>
      <c r="C1973" s="26"/>
      <c r="D1973" s="26"/>
      <c r="E1973" s="27"/>
      <c r="F1973" s="27"/>
      <c r="G1973" s="24" t="str">
        <f aca="false">IF(F1973="","",IF(F1973&lt;=5,"A",IF(F1973&lt;=8,"B",IF(F1973&lt;=10,"C","D"))))</f>
        <v/>
      </c>
      <c r="H1973" s="28"/>
      <c r="I1973" s="27"/>
      <c r="J1973" s="26"/>
      <c r="K1973" s="27"/>
      <c r="L1973" s="27"/>
      <c r="M1973" s="27"/>
      <c r="N1973" s="27"/>
      <c r="O1973" s="24" t="str">
        <f aca="false">IF(G1973="","",VLOOKUP(G1973,Setup!$A$14:$C$17,3,0))</f>
        <v/>
      </c>
      <c r="P1973" s="27"/>
      <c r="Q1973" s="29" t="str">
        <f aca="false">IF(OR(P1973="",M1973&lt;&gt;"Paid",O1973=""),"",P1973/O1973)</f>
        <v/>
      </c>
      <c r="R1973" s="30" t="str">
        <f aca="false">IF(Q1973="","",Q1973+N(H1973)*0.000000001)</f>
        <v/>
      </c>
      <c r="S1973" s="25" t="str">
        <f aca="false">IF(R1973="","",SUMPRODUCT((I$5:I$4004=I1973)*ISNUMBER(R$5:R$4004)*(R$5:R$4004&gt;R1973))+1)</f>
        <v/>
      </c>
      <c r="T1973" s="25" t="str">
        <f aca="false">IF(S1973="","",IF(S1973&lt;=Setup!$B$5,"🏆 WINNER",""))</f>
        <v/>
      </c>
      <c r="U1973" s="24" t="str">
        <f aca="false">IF(S1973="","",I1973&amp;"|"&amp;S1973)</f>
        <v/>
      </c>
    </row>
    <row r="1974" customFormat="false" ht="15" hidden="false" customHeight="false" outlineLevel="0" collapsed="false">
      <c r="A1974" s="31" t="n">
        <v>1970</v>
      </c>
      <c r="B1974" s="32" t="str">
        <f aca="false">IF(OR(C1974="",I1974="",G1974=""),"",IFERROR(VLOOKUP(I1974,Setup!$A$9:$B$11,2,0),"???")&amp;"-"&amp;G1974&amp;"-"&amp;TEXT(COUNTIFS(I$5:I1974,I1974,G$5:G1974,G1974),"0000"))</f>
        <v/>
      </c>
      <c r="C1974" s="26"/>
      <c r="D1974" s="26"/>
      <c r="E1974" s="27"/>
      <c r="F1974" s="27"/>
      <c r="G1974" s="31" t="str">
        <f aca="false">IF(F1974="","",IF(F1974&lt;=5,"A",IF(F1974&lt;=8,"B",IF(F1974&lt;=10,"C","D"))))</f>
        <v/>
      </c>
      <c r="H1974" s="28"/>
      <c r="I1974" s="27"/>
      <c r="J1974" s="26"/>
      <c r="K1974" s="27"/>
      <c r="L1974" s="27"/>
      <c r="M1974" s="27"/>
      <c r="N1974" s="27"/>
      <c r="O1974" s="31" t="str">
        <f aca="false">IF(G1974="","",VLOOKUP(G1974,Setup!$A$14:$C$17,3,0))</f>
        <v/>
      </c>
      <c r="P1974" s="27"/>
      <c r="Q1974" s="33" t="str">
        <f aca="false">IF(OR(P1974="",M1974&lt;&gt;"Paid",O1974=""),"",P1974/O1974)</f>
        <v/>
      </c>
      <c r="R1974" s="34" t="str">
        <f aca="false">IF(Q1974="","",Q1974+N(H1974)*0.000000001)</f>
        <v/>
      </c>
      <c r="S1974" s="32" t="str">
        <f aca="false">IF(R1974="","",SUMPRODUCT((I$5:I$4004=I1974)*ISNUMBER(R$5:R$4004)*(R$5:R$4004&gt;R1974))+1)</f>
        <v/>
      </c>
      <c r="T1974" s="32" t="str">
        <f aca="false">IF(S1974="","",IF(S1974&lt;=Setup!$B$5,"🏆 WINNER",""))</f>
        <v/>
      </c>
      <c r="U1974" s="31" t="str">
        <f aca="false">IF(S1974="","",I1974&amp;"|"&amp;S1974)</f>
        <v/>
      </c>
    </row>
    <row r="1975" customFormat="false" ht="15" hidden="false" customHeight="false" outlineLevel="0" collapsed="false">
      <c r="A1975" s="24" t="n">
        <v>1971</v>
      </c>
      <c r="B1975" s="25" t="str">
        <f aca="false">IF(OR(C1975="",I1975="",G1975=""),"",IFERROR(VLOOKUP(I1975,Setup!$A$9:$B$11,2,0),"???")&amp;"-"&amp;G1975&amp;"-"&amp;TEXT(COUNTIFS(I$5:I1975,I1975,G$5:G1975,G1975),"0000"))</f>
        <v/>
      </c>
      <c r="C1975" s="26"/>
      <c r="D1975" s="26"/>
      <c r="E1975" s="27"/>
      <c r="F1975" s="27"/>
      <c r="G1975" s="24" t="str">
        <f aca="false">IF(F1975="","",IF(F1975&lt;=5,"A",IF(F1975&lt;=8,"B",IF(F1975&lt;=10,"C","D"))))</f>
        <v/>
      </c>
      <c r="H1975" s="28"/>
      <c r="I1975" s="27"/>
      <c r="J1975" s="26"/>
      <c r="K1975" s="27"/>
      <c r="L1975" s="27"/>
      <c r="M1975" s="27"/>
      <c r="N1975" s="27"/>
      <c r="O1975" s="24" t="str">
        <f aca="false">IF(G1975="","",VLOOKUP(G1975,Setup!$A$14:$C$17,3,0))</f>
        <v/>
      </c>
      <c r="P1975" s="27"/>
      <c r="Q1975" s="29" t="str">
        <f aca="false">IF(OR(P1975="",M1975&lt;&gt;"Paid",O1975=""),"",P1975/O1975)</f>
        <v/>
      </c>
      <c r="R1975" s="30" t="str">
        <f aca="false">IF(Q1975="","",Q1975+N(H1975)*0.000000001)</f>
        <v/>
      </c>
      <c r="S1975" s="25" t="str">
        <f aca="false">IF(R1975="","",SUMPRODUCT((I$5:I$4004=I1975)*ISNUMBER(R$5:R$4004)*(R$5:R$4004&gt;R1975))+1)</f>
        <v/>
      </c>
      <c r="T1975" s="25" t="str">
        <f aca="false">IF(S1975="","",IF(S1975&lt;=Setup!$B$5,"🏆 WINNER",""))</f>
        <v/>
      </c>
      <c r="U1975" s="24" t="str">
        <f aca="false">IF(S1975="","",I1975&amp;"|"&amp;S1975)</f>
        <v/>
      </c>
    </row>
    <row r="1976" customFormat="false" ht="15" hidden="false" customHeight="false" outlineLevel="0" collapsed="false">
      <c r="A1976" s="31" t="n">
        <v>1972</v>
      </c>
      <c r="B1976" s="32" t="str">
        <f aca="false">IF(OR(C1976="",I1976="",G1976=""),"",IFERROR(VLOOKUP(I1976,Setup!$A$9:$B$11,2,0),"???")&amp;"-"&amp;G1976&amp;"-"&amp;TEXT(COUNTIFS(I$5:I1976,I1976,G$5:G1976,G1976),"0000"))</f>
        <v/>
      </c>
      <c r="C1976" s="26"/>
      <c r="D1976" s="26"/>
      <c r="E1976" s="27"/>
      <c r="F1976" s="27"/>
      <c r="G1976" s="31" t="str">
        <f aca="false">IF(F1976="","",IF(F1976&lt;=5,"A",IF(F1976&lt;=8,"B",IF(F1976&lt;=10,"C","D"))))</f>
        <v/>
      </c>
      <c r="H1976" s="28"/>
      <c r="I1976" s="27"/>
      <c r="J1976" s="26"/>
      <c r="K1976" s="27"/>
      <c r="L1976" s="27"/>
      <c r="M1976" s="27"/>
      <c r="N1976" s="27"/>
      <c r="O1976" s="31" t="str">
        <f aca="false">IF(G1976="","",VLOOKUP(G1976,Setup!$A$14:$C$17,3,0))</f>
        <v/>
      </c>
      <c r="P1976" s="27"/>
      <c r="Q1976" s="33" t="str">
        <f aca="false">IF(OR(P1976="",M1976&lt;&gt;"Paid",O1976=""),"",P1976/O1976)</f>
        <v/>
      </c>
      <c r="R1976" s="34" t="str">
        <f aca="false">IF(Q1976="","",Q1976+N(H1976)*0.000000001)</f>
        <v/>
      </c>
      <c r="S1976" s="32" t="str">
        <f aca="false">IF(R1976="","",SUMPRODUCT((I$5:I$4004=I1976)*ISNUMBER(R$5:R$4004)*(R$5:R$4004&gt;R1976))+1)</f>
        <v/>
      </c>
      <c r="T1976" s="32" t="str">
        <f aca="false">IF(S1976="","",IF(S1976&lt;=Setup!$B$5,"🏆 WINNER",""))</f>
        <v/>
      </c>
      <c r="U1976" s="31" t="str">
        <f aca="false">IF(S1976="","",I1976&amp;"|"&amp;S1976)</f>
        <v/>
      </c>
    </row>
    <row r="1977" customFormat="false" ht="15" hidden="false" customHeight="false" outlineLevel="0" collapsed="false">
      <c r="A1977" s="24" t="n">
        <v>1973</v>
      </c>
      <c r="B1977" s="25" t="str">
        <f aca="false">IF(OR(C1977="",I1977="",G1977=""),"",IFERROR(VLOOKUP(I1977,Setup!$A$9:$B$11,2,0),"???")&amp;"-"&amp;G1977&amp;"-"&amp;TEXT(COUNTIFS(I$5:I1977,I1977,G$5:G1977,G1977),"0000"))</f>
        <v/>
      </c>
      <c r="C1977" s="26"/>
      <c r="D1977" s="26"/>
      <c r="E1977" s="27"/>
      <c r="F1977" s="27"/>
      <c r="G1977" s="24" t="str">
        <f aca="false">IF(F1977="","",IF(F1977&lt;=5,"A",IF(F1977&lt;=8,"B",IF(F1977&lt;=10,"C","D"))))</f>
        <v/>
      </c>
      <c r="H1977" s="28"/>
      <c r="I1977" s="27"/>
      <c r="J1977" s="26"/>
      <c r="K1977" s="27"/>
      <c r="L1977" s="27"/>
      <c r="M1977" s="27"/>
      <c r="N1977" s="27"/>
      <c r="O1977" s="24" t="str">
        <f aca="false">IF(G1977="","",VLOOKUP(G1977,Setup!$A$14:$C$17,3,0))</f>
        <v/>
      </c>
      <c r="P1977" s="27"/>
      <c r="Q1977" s="29" t="str">
        <f aca="false">IF(OR(P1977="",M1977&lt;&gt;"Paid",O1977=""),"",P1977/O1977)</f>
        <v/>
      </c>
      <c r="R1977" s="30" t="str">
        <f aca="false">IF(Q1977="","",Q1977+N(H1977)*0.000000001)</f>
        <v/>
      </c>
      <c r="S1977" s="25" t="str">
        <f aca="false">IF(R1977="","",SUMPRODUCT((I$5:I$4004=I1977)*ISNUMBER(R$5:R$4004)*(R$5:R$4004&gt;R1977))+1)</f>
        <v/>
      </c>
      <c r="T1977" s="25" t="str">
        <f aca="false">IF(S1977="","",IF(S1977&lt;=Setup!$B$5,"🏆 WINNER",""))</f>
        <v/>
      </c>
      <c r="U1977" s="24" t="str">
        <f aca="false">IF(S1977="","",I1977&amp;"|"&amp;S1977)</f>
        <v/>
      </c>
    </row>
    <row r="1978" customFormat="false" ht="15" hidden="false" customHeight="false" outlineLevel="0" collapsed="false">
      <c r="A1978" s="31" t="n">
        <v>1974</v>
      </c>
      <c r="B1978" s="32" t="str">
        <f aca="false">IF(OR(C1978="",I1978="",G1978=""),"",IFERROR(VLOOKUP(I1978,Setup!$A$9:$B$11,2,0),"???")&amp;"-"&amp;G1978&amp;"-"&amp;TEXT(COUNTIFS(I$5:I1978,I1978,G$5:G1978,G1978),"0000"))</f>
        <v/>
      </c>
      <c r="C1978" s="26"/>
      <c r="D1978" s="26"/>
      <c r="E1978" s="27"/>
      <c r="F1978" s="27"/>
      <c r="G1978" s="31" t="str">
        <f aca="false">IF(F1978="","",IF(F1978&lt;=5,"A",IF(F1978&lt;=8,"B",IF(F1978&lt;=10,"C","D"))))</f>
        <v/>
      </c>
      <c r="H1978" s="28"/>
      <c r="I1978" s="27"/>
      <c r="J1978" s="26"/>
      <c r="K1978" s="27"/>
      <c r="L1978" s="27"/>
      <c r="M1978" s="27"/>
      <c r="N1978" s="27"/>
      <c r="O1978" s="31" t="str">
        <f aca="false">IF(G1978="","",VLOOKUP(G1978,Setup!$A$14:$C$17,3,0))</f>
        <v/>
      </c>
      <c r="P1978" s="27"/>
      <c r="Q1978" s="33" t="str">
        <f aca="false">IF(OR(P1978="",M1978&lt;&gt;"Paid",O1978=""),"",P1978/O1978)</f>
        <v/>
      </c>
      <c r="R1978" s="34" t="str">
        <f aca="false">IF(Q1978="","",Q1978+N(H1978)*0.000000001)</f>
        <v/>
      </c>
      <c r="S1978" s="32" t="str">
        <f aca="false">IF(R1978="","",SUMPRODUCT((I$5:I$4004=I1978)*ISNUMBER(R$5:R$4004)*(R$5:R$4004&gt;R1978))+1)</f>
        <v/>
      </c>
      <c r="T1978" s="32" t="str">
        <f aca="false">IF(S1978="","",IF(S1978&lt;=Setup!$B$5,"🏆 WINNER",""))</f>
        <v/>
      </c>
      <c r="U1978" s="31" t="str">
        <f aca="false">IF(S1978="","",I1978&amp;"|"&amp;S1978)</f>
        <v/>
      </c>
    </row>
    <row r="1979" customFormat="false" ht="15" hidden="false" customHeight="false" outlineLevel="0" collapsed="false">
      <c r="A1979" s="24" t="n">
        <v>1975</v>
      </c>
      <c r="B1979" s="25" t="str">
        <f aca="false">IF(OR(C1979="",I1979="",G1979=""),"",IFERROR(VLOOKUP(I1979,Setup!$A$9:$B$11,2,0),"???")&amp;"-"&amp;G1979&amp;"-"&amp;TEXT(COUNTIFS(I$5:I1979,I1979,G$5:G1979,G1979),"0000"))</f>
        <v/>
      </c>
      <c r="C1979" s="26"/>
      <c r="D1979" s="26"/>
      <c r="E1979" s="27"/>
      <c r="F1979" s="27"/>
      <c r="G1979" s="24" t="str">
        <f aca="false">IF(F1979="","",IF(F1979&lt;=5,"A",IF(F1979&lt;=8,"B",IF(F1979&lt;=10,"C","D"))))</f>
        <v/>
      </c>
      <c r="H1979" s="28"/>
      <c r="I1979" s="27"/>
      <c r="J1979" s="26"/>
      <c r="K1979" s="27"/>
      <c r="L1979" s="27"/>
      <c r="M1979" s="27"/>
      <c r="N1979" s="27"/>
      <c r="O1979" s="24" t="str">
        <f aca="false">IF(G1979="","",VLOOKUP(G1979,Setup!$A$14:$C$17,3,0))</f>
        <v/>
      </c>
      <c r="P1979" s="27"/>
      <c r="Q1979" s="29" t="str">
        <f aca="false">IF(OR(P1979="",M1979&lt;&gt;"Paid",O1979=""),"",P1979/O1979)</f>
        <v/>
      </c>
      <c r="R1979" s="30" t="str">
        <f aca="false">IF(Q1979="","",Q1979+N(H1979)*0.000000001)</f>
        <v/>
      </c>
      <c r="S1979" s="25" t="str">
        <f aca="false">IF(R1979="","",SUMPRODUCT((I$5:I$4004=I1979)*ISNUMBER(R$5:R$4004)*(R$5:R$4004&gt;R1979))+1)</f>
        <v/>
      </c>
      <c r="T1979" s="25" t="str">
        <f aca="false">IF(S1979="","",IF(S1979&lt;=Setup!$B$5,"🏆 WINNER",""))</f>
        <v/>
      </c>
      <c r="U1979" s="24" t="str">
        <f aca="false">IF(S1979="","",I1979&amp;"|"&amp;S1979)</f>
        <v/>
      </c>
    </row>
    <row r="1980" customFormat="false" ht="15" hidden="false" customHeight="false" outlineLevel="0" collapsed="false">
      <c r="A1980" s="31" t="n">
        <v>1976</v>
      </c>
      <c r="B1980" s="32" t="str">
        <f aca="false">IF(OR(C1980="",I1980="",G1980=""),"",IFERROR(VLOOKUP(I1980,Setup!$A$9:$B$11,2,0),"???")&amp;"-"&amp;G1980&amp;"-"&amp;TEXT(COUNTIFS(I$5:I1980,I1980,G$5:G1980,G1980),"0000"))</f>
        <v/>
      </c>
      <c r="C1980" s="26"/>
      <c r="D1980" s="26"/>
      <c r="E1980" s="27"/>
      <c r="F1980" s="27"/>
      <c r="G1980" s="31" t="str">
        <f aca="false">IF(F1980="","",IF(F1980&lt;=5,"A",IF(F1980&lt;=8,"B",IF(F1980&lt;=10,"C","D"))))</f>
        <v/>
      </c>
      <c r="H1980" s="28"/>
      <c r="I1980" s="27"/>
      <c r="J1980" s="26"/>
      <c r="K1980" s="27"/>
      <c r="L1980" s="27"/>
      <c r="M1980" s="27"/>
      <c r="N1980" s="27"/>
      <c r="O1980" s="31" t="str">
        <f aca="false">IF(G1980="","",VLOOKUP(G1980,Setup!$A$14:$C$17,3,0))</f>
        <v/>
      </c>
      <c r="P1980" s="27"/>
      <c r="Q1980" s="33" t="str">
        <f aca="false">IF(OR(P1980="",M1980&lt;&gt;"Paid",O1980=""),"",P1980/O1980)</f>
        <v/>
      </c>
      <c r="R1980" s="34" t="str">
        <f aca="false">IF(Q1980="","",Q1980+N(H1980)*0.000000001)</f>
        <v/>
      </c>
      <c r="S1980" s="32" t="str">
        <f aca="false">IF(R1980="","",SUMPRODUCT((I$5:I$4004=I1980)*ISNUMBER(R$5:R$4004)*(R$5:R$4004&gt;R1980))+1)</f>
        <v/>
      </c>
      <c r="T1980" s="32" t="str">
        <f aca="false">IF(S1980="","",IF(S1980&lt;=Setup!$B$5,"🏆 WINNER",""))</f>
        <v/>
      </c>
      <c r="U1980" s="31" t="str">
        <f aca="false">IF(S1980="","",I1980&amp;"|"&amp;S1980)</f>
        <v/>
      </c>
    </row>
    <row r="1981" customFormat="false" ht="15" hidden="false" customHeight="false" outlineLevel="0" collapsed="false">
      <c r="A1981" s="24" t="n">
        <v>1977</v>
      </c>
      <c r="B1981" s="25" t="str">
        <f aca="false">IF(OR(C1981="",I1981="",G1981=""),"",IFERROR(VLOOKUP(I1981,Setup!$A$9:$B$11,2,0),"???")&amp;"-"&amp;G1981&amp;"-"&amp;TEXT(COUNTIFS(I$5:I1981,I1981,G$5:G1981,G1981),"0000"))</f>
        <v/>
      </c>
      <c r="C1981" s="26"/>
      <c r="D1981" s="26"/>
      <c r="E1981" s="27"/>
      <c r="F1981" s="27"/>
      <c r="G1981" s="24" t="str">
        <f aca="false">IF(F1981="","",IF(F1981&lt;=5,"A",IF(F1981&lt;=8,"B",IF(F1981&lt;=10,"C","D"))))</f>
        <v/>
      </c>
      <c r="H1981" s="28"/>
      <c r="I1981" s="27"/>
      <c r="J1981" s="26"/>
      <c r="K1981" s="27"/>
      <c r="L1981" s="27"/>
      <c r="M1981" s="27"/>
      <c r="N1981" s="27"/>
      <c r="O1981" s="24" t="str">
        <f aca="false">IF(G1981="","",VLOOKUP(G1981,Setup!$A$14:$C$17,3,0))</f>
        <v/>
      </c>
      <c r="P1981" s="27"/>
      <c r="Q1981" s="29" t="str">
        <f aca="false">IF(OR(P1981="",M1981&lt;&gt;"Paid",O1981=""),"",P1981/O1981)</f>
        <v/>
      </c>
      <c r="R1981" s="30" t="str">
        <f aca="false">IF(Q1981="","",Q1981+N(H1981)*0.000000001)</f>
        <v/>
      </c>
      <c r="S1981" s="25" t="str">
        <f aca="false">IF(R1981="","",SUMPRODUCT((I$5:I$4004=I1981)*ISNUMBER(R$5:R$4004)*(R$5:R$4004&gt;R1981))+1)</f>
        <v/>
      </c>
      <c r="T1981" s="25" t="str">
        <f aca="false">IF(S1981="","",IF(S1981&lt;=Setup!$B$5,"🏆 WINNER",""))</f>
        <v/>
      </c>
      <c r="U1981" s="24" t="str">
        <f aca="false">IF(S1981="","",I1981&amp;"|"&amp;S1981)</f>
        <v/>
      </c>
    </row>
    <row r="1982" customFormat="false" ht="15" hidden="false" customHeight="false" outlineLevel="0" collapsed="false">
      <c r="A1982" s="31" t="n">
        <v>1978</v>
      </c>
      <c r="B1982" s="32" t="str">
        <f aca="false">IF(OR(C1982="",I1982="",G1982=""),"",IFERROR(VLOOKUP(I1982,Setup!$A$9:$B$11,2,0),"???")&amp;"-"&amp;G1982&amp;"-"&amp;TEXT(COUNTIFS(I$5:I1982,I1982,G$5:G1982,G1982),"0000"))</f>
        <v/>
      </c>
      <c r="C1982" s="26"/>
      <c r="D1982" s="26"/>
      <c r="E1982" s="27"/>
      <c r="F1982" s="27"/>
      <c r="G1982" s="31" t="str">
        <f aca="false">IF(F1982="","",IF(F1982&lt;=5,"A",IF(F1982&lt;=8,"B",IF(F1982&lt;=10,"C","D"))))</f>
        <v/>
      </c>
      <c r="H1982" s="28"/>
      <c r="I1982" s="27"/>
      <c r="J1982" s="26"/>
      <c r="K1982" s="27"/>
      <c r="L1982" s="27"/>
      <c r="M1982" s="27"/>
      <c r="N1982" s="27"/>
      <c r="O1982" s="31" t="str">
        <f aca="false">IF(G1982="","",VLOOKUP(G1982,Setup!$A$14:$C$17,3,0))</f>
        <v/>
      </c>
      <c r="P1982" s="27"/>
      <c r="Q1982" s="33" t="str">
        <f aca="false">IF(OR(P1982="",M1982&lt;&gt;"Paid",O1982=""),"",P1982/O1982)</f>
        <v/>
      </c>
      <c r="R1982" s="34" t="str">
        <f aca="false">IF(Q1982="","",Q1982+N(H1982)*0.000000001)</f>
        <v/>
      </c>
      <c r="S1982" s="32" t="str">
        <f aca="false">IF(R1982="","",SUMPRODUCT((I$5:I$4004=I1982)*ISNUMBER(R$5:R$4004)*(R$5:R$4004&gt;R1982))+1)</f>
        <v/>
      </c>
      <c r="T1982" s="32" t="str">
        <f aca="false">IF(S1982="","",IF(S1982&lt;=Setup!$B$5,"🏆 WINNER",""))</f>
        <v/>
      </c>
      <c r="U1982" s="31" t="str">
        <f aca="false">IF(S1982="","",I1982&amp;"|"&amp;S1982)</f>
        <v/>
      </c>
    </row>
    <row r="1983" customFormat="false" ht="15" hidden="false" customHeight="false" outlineLevel="0" collapsed="false">
      <c r="A1983" s="24" t="n">
        <v>1979</v>
      </c>
      <c r="B1983" s="25" t="str">
        <f aca="false">IF(OR(C1983="",I1983="",G1983=""),"",IFERROR(VLOOKUP(I1983,Setup!$A$9:$B$11,2,0),"???")&amp;"-"&amp;G1983&amp;"-"&amp;TEXT(COUNTIFS(I$5:I1983,I1983,G$5:G1983,G1983),"0000"))</f>
        <v/>
      </c>
      <c r="C1983" s="26"/>
      <c r="D1983" s="26"/>
      <c r="E1983" s="27"/>
      <c r="F1983" s="27"/>
      <c r="G1983" s="24" t="str">
        <f aca="false">IF(F1983="","",IF(F1983&lt;=5,"A",IF(F1983&lt;=8,"B",IF(F1983&lt;=10,"C","D"))))</f>
        <v/>
      </c>
      <c r="H1983" s="28"/>
      <c r="I1983" s="27"/>
      <c r="J1983" s="26"/>
      <c r="K1983" s="27"/>
      <c r="L1983" s="27"/>
      <c r="M1983" s="27"/>
      <c r="N1983" s="27"/>
      <c r="O1983" s="24" t="str">
        <f aca="false">IF(G1983="","",VLOOKUP(G1983,Setup!$A$14:$C$17,3,0))</f>
        <v/>
      </c>
      <c r="P1983" s="27"/>
      <c r="Q1983" s="29" t="str">
        <f aca="false">IF(OR(P1983="",M1983&lt;&gt;"Paid",O1983=""),"",P1983/O1983)</f>
        <v/>
      </c>
      <c r="R1983" s="30" t="str">
        <f aca="false">IF(Q1983="","",Q1983+N(H1983)*0.000000001)</f>
        <v/>
      </c>
      <c r="S1983" s="25" t="str">
        <f aca="false">IF(R1983="","",SUMPRODUCT((I$5:I$4004=I1983)*ISNUMBER(R$5:R$4004)*(R$5:R$4004&gt;R1983))+1)</f>
        <v/>
      </c>
      <c r="T1983" s="25" t="str">
        <f aca="false">IF(S1983="","",IF(S1983&lt;=Setup!$B$5,"🏆 WINNER",""))</f>
        <v/>
      </c>
      <c r="U1983" s="24" t="str">
        <f aca="false">IF(S1983="","",I1983&amp;"|"&amp;S1983)</f>
        <v/>
      </c>
    </row>
    <row r="1984" customFormat="false" ht="15" hidden="false" customHeight="false" outlineLevel="0" collapsed="false">
      <c r="A1984" s="31" t="n">
        <v>1980</v>
      </c>
      <c r="B1984" s="32" t="str">
        <f aca="false">IF(OR(C1984="",I1984="",G1984=""),"",IFERROR(VLOOKUP(I1984,Setup!$A$9:$B$11,2,0),"???")&amp;"-"&amp;G1984&amp;"-"&amp;TEXT(COUNTIFS(I$5:I1984,I1984,G$5:G1984,G1984),"0000"))</f>
        <v/>
      </c>
      <c r="C1984" s="26"/>
      <c r="D1984" s="26"/>
      <c r="E1984" s="27"/>
      <c r="F1984" s="27"/>
      <c r="G1984" s="31" t="str">
        <f aca="false">IF(F1984="","",IF(F1984&lt;=5,"A",IF(F1984&lt;=8,"B",IF(F1984&lt;=10,"C","D"))))</f>
        <v/>
      </c>
      <c r="H1984" s="28"/>
      <c r="I1984" s="27"/>
      <c r="J1984" s="26"/>
      <c r="K1984" s="27"/>
      <c r="L1984" s="27"/>
      <c r="M1984" s="27"/>
      <c r="N1984" s="27"/>
      <c r="O1984" s="31" t="str">
        <f aca="false">IF(G1984="","",VLOOKUP(G1984,Setup!$A$14:$C$17,3,0))</f>
        <v/>
      </c>
      <c r="P1984" s="27"/>
      <c r="Q1984" s="33" t="str">
        <f aca="false">IF(OR(P1984="",M1984&lt;&gt;"Paid",O1984=""),"",P1984/O1984)</f>
        <v/>
      </c>
      <c r="R1984" s="34" t="str">
        <f aca="false">IF(Q1984="","",Q1984+N(H1984)*0.000000001)</f>
        <v/>
      </c>
      <c r="S1984" s="32" t="str">
        <f aca="false">IF(R1984="","",SUMPRODUCT((I$5:I$4004=I1984)*ISNUMBER(R$5:R$4004)*(R$5:R$4004&gt;R1984))+1)</f>
        <v/>
      </c>
      <c r="T1984" s="32" t="str">
        <f aca="false">IF(S1984="","",IF(S1984&lt;=Setup!$B$5,"🏆 WINNER",""))</f>
        <v/>
      </c>
      <c r="U1984" s="31" t="str">
        <f aca="false">IF(S1984="","",I1984&amp;"|"&amp;S1984)</f>
        <v/>
      </c>
    </row>
    <row r="1985" customFormat="false" ht="15" hidden="false" customHeight="false" outlineLevel="0" collapsed="false">
      <c r="A1985" s="24" t="n">
        <v>1981</v>
      </c>
      <c r="B1985" s="25" t="str">
        <f aca="false">IF(OR(C1985="",I1985="",G1985=""),"",IFERROR(VLOOKUP(I1985,Setup!$A$9:$B$11,2,0),"???")&amp;"-"&amp;G1985&amp;"-"&amp;TEXT(COUNTIFS(I$5:I1985,I1985,G$5:G1985,G1985),"0000"))</f>
        <v/>
      </c>
      <c r="C1985" s="26"/>
      <c r="D1985" s="26"/>
      <c r="E1985" s="27"/>
      <c r="F1985" s="27"/>
      <c r="G1985" s="24" t="str">
        <f aca="false">IF(F1985="","",IF(F1985&lt;=5,"A",IF(F1985&lt;=8,"B",IF(F1985&lt;=10,"C","D"))))</f>
        <v/>
      </c>
      <c r="H1985" s="28"/>
      <c r="I1985" s="27"/>
      <c r="J1985" s="26"/>
      <c r="K1985" s="27"/>
      <c r="L1985" s="27"/>
      <c r="M1985" s="27"/>
      <c r="N1985" s="27"/>
      <c r="O1985" s="24" t="str">
        <f aca="false">IF(G1985="","",VLOOKUP(G1985,Setup!$A$14:$C$17,3,0))</f>
        <v/>
      </c>
      <c r="P1985" s="27"/>
      <c r="Q1985" s="29" t="str">
        <f aca="false">IF(OR(P1985="",M1985&lt;&gt;"Paid",O1985=""),"",P1985/O1985)</f>
        <v/>
      </c>
      <c r="R1985" s="30" t="str">
        <f aca="false">IF(Q1985="","",Q1985+N(H1985)*0.000000001)</f>
        <v/>
      </c>
      <c r="S1985" s="25" t="str">
        <f aca="false">IF(R1985="","",SUMPRODUCT((I$5:I$4004=I1985)*ISNUMBER(R$5:R$4004)*(R$5:R$4004&gt;R1985))+1)</f>
        <v/>
      </c>
      <c r="T1985" s="25" t="str">
        <f aca="false">IF(S1985="","",IF(S1985&lt;=Setup!$B$5,"🏆 WINNER",""))</f>
        <v/>
      </c>
      <c r="U1985" s="24" t="str">
        <f aca="false">IF(S1985="","",I1985&amp;"|"&amp;S1985)</f>
        <v/>
      </c>
    </row>
    <row r="1986" customFormat="false" ht="15" hidden="false" customHeight="false" outlineLevel="0" collapsed="false">
      <c r="A1986" s="31" t="n">
        <v>1982</v>
      </c>
      <c r="B1986" s="32" t="str">
        <f aca="false">IF(OR(C1986="",I1986="",G1986=""),"",IFERROR(VLOOKUP(I1986,Setup!$A$9:$B$11,2,0),"???")&amp;"-"&amp;G1986&amp;"-"&amp;TEXT(COUNTIFS(I$5:I1986,I1986,G$5:G1986,G1986),"0000"))</f>
        <v/>
      </c>
      <c r="C1986" s="26"/>
      <c r="D1986" s="26"/>
      <c r="E1986" s="27"/>
      <c r="F1986" s="27"/>
      <c r="G1986" s="31" t="str">
        <f aca="false">IF(F1986="","",IF(F1986&lt;=5,"A",IF(F1986&lt;=8,"B",IF(F1986&lt;=10,"C","D"))))</f>
        <v/>
      </c>
      <c r="H1986" s="28"/>
      <c r="I1986" s="27"/>
      <c r="J1986" s="26"/>
      <c r="K1986" s="27"/>
      <c r="L1986" s="27"/>
      <c r="M1986" s="27"/>
      <c r="N1986" s="27"/>
      <c r="O1986" s="31" t="str">
        <f aca="false">IF(G1986="","",VLOOKUP(G1986,Setup!$A$14:$C$17,3,0))</f>
        <v/>
      </c>
      <c r="P1986" s="27"/>
      <c r="Q1986" s="33" t="str">
        <f aca="false">IF(OR(P1986="",M1986&lt;&gt;"Paid",O1986=""),"",P1986/O1986)</f>
        <v/>
      </c>
      <c r="R1986" s="34" t="str">
        <f aca="false">IF(Q1986="","",Q1986+N(H1986)*0.000000001)</f>
        <v/>
      </c>
      <c r="S1986" s="32" t="str">
        <f aca="false">IF(R1986="","",SUMPRODUCT((I$5:I$4004=I1986)*ISNUMBER(R$5:R$4004)*(R$5:R$4004&gt;R1986))+1)</f>
        <v/>
      </c>
      <c r="T1986" s="32" t="str">
        <f aca="false">IF(S1986="","",IF(S1986&lt;=Setup!$B$5,"🏆 WINNER",""))</f>
        <v/>
      </c>
      <c r="U1986" s="31" t="str">
        <f aca="false">IF(S1986="","",I1986&amp;"|"&amp;S1986)</f>
        <v/>
      </c>
    </row>
    <row r="1987" customFormat="false" ht="15" hidden="false" customHeight="false" outlineLevel="0" collapsed="false">
      <c r="A1987" s="24" t="n">
        <v>1983</v>
      </c>
      <c r="B1987" s="25" t="str">
        <f aca="false">IF(OR(C1987="",I1987="",G1987=""),"",IFERROR(VLOOKUP(I1987,Setup!$A$9:$B$11,2,0),"???")&amp;"-"&amp;G1987&amp;"-"&amp;TEXT(COUNTIFS(I$5:I1987,I1987,G$5:G1987,G1987),"0000"))</f>
        <v/>
      </c>
      <c r="C1987" s="26"/>
      <c r="D1987" s="26"/>
      <c r="E1987" s="27"/>
      <c r="F1987" s="27"/>
      <c r="G1987" s="24" t="str">
        <f aca="false">IF(F1987="","",IF(F1987&lt;=5,"A",IF(F1987&lt;=8,"B",IF(F1987&lt;=10,"C","D"))))</f>
        <v/>
      </c>
      <c r="H1987" s="28"/>
      <c r="I1987" s="27"/>
      <c r="J1987" s="26"/>
      <c r="K1987" s="27"/>
      <c r="L1987" s="27"/>
      <c r="M1987" s="27"/>
      <c r="N1987" s="27"/>
      <c r="O1987" s="24" t="str">
        <f aca="false">IF(G1987="","",VLOOKUP(G1987,Setup!$A$14:$C$17,3,0))</f>
        <v/>
      </c>
      <c r="P1987" s="27"/>
      <c r="Q1987" s="29" t="str">
        <f aca="false">IF(OR(P1987="",M1987&lt;&gt;"Paid",O1987=""),"",P1987/O1987)</f>
        <v/>
      </c>
      <c r="R1987" s="30" t="str">
        <f aca="false">IF(Q1987="","",Q1987+N(H1987)*0.000000001)</f>
        <v/>
      </c>
      <c r="S1987" s="25" t="str">
        <f aca="false">IF(R1987="","",SUMPRODUCT((I$5:I$4004=I1987)*ISNUMBER(R$5:R$4004)*(R$5:R$4004&gt;R1987))+1)</f>
        <v/>
      </c>
      <c r="T1987" s="25" t="str">
        <f aca="false">IF(S1987="","",IF(S1987&lt;=Setup!$B$5,"🏆 WINNER",""))</f>
        <v/>
      </c>
      <c r="U1987" s="24" t="str">
        <f aca="false">IF(S1987="","",I1987&amp;"|"&amp;S1987)</f>
        <v/>
      </c>
    </row>
    <row r="1988" customFormat="false" ht="15" hidden="false" customHeight="false" outlineLevel="0" collapsed="false">
      <c r="A1988" s="31" t="n">
        <v>1984</v>
      </c>
      <c r="B1988" s="32" t="str">
        <f aca="false">IF(OR(C1988="",I1988="",G1988=""),"",IFERROR(VLOOKUP(I1988,Setup!$A$9:$B$11,2,0),"???")&amp;"-"&amp;G1988&amp;"-"&amp;TEXT(COUNTIFS(I$5:I1988,I1988,G$5:G1988,G1988),"0000"))</f>
        <v/>
      </c>
      <c r="C1988" s="26"/>
      <c r="D1988" s="26"/>
      <c r="E1988" s="27"/>
      <c r="F1988" s="27"/>
      <c r="G1988" s="31" t="str">
        <f aca="false">IF(F1988="","",IF(F1988&lt;=5,"A",IF(F1988&lt;=8,"B",IF(F1988&lt;=10,"C","D"))))</f>
        <v/>
      </c>
      <c r="H1988" s="28"/>
      <c r="I1988" s="27"/>
      <c r="J1988" s="26"/>
      <c r="K1988" s="27"/>
      <c r="L1988" s="27"/>
      <c r="M1988" s="27"/>
      <c r="N1988" s="27"/>
      <c r="O1988" s="31" t="str">
        <f aca="false">IF(G1988="","",VLOOKUP(G1988,Setup!$A$14:$C$17,3,0))</f>
        <v/>
      </c>
      <c r="P1988" s="27"/>
      <c r="Q1988" s="33" t="str">
        <f aca="false">IF(OR(P1988="",M1988&lt;&gt;"Paid",O1988=""),"",P1988/O1988)</f>
        <v/>
      </c>
      <c r="R1988" s="34" t="str">
        <f aca="false">IF(Q1988="","",Q1988+N(H1988)*0.000000001)</f>
        <v/>
      </c>
      <c r="S1988" s="32" t="str">
        <f aca="false">IF(R1988="","",SUMPRODUCT((I$5:I$4004=I1988)*ISNUMBER(R$5:R$4004)*(R$5:R$4004&gt;R1988))+1)</f>
        <v/>
      </c>
      <c r="T1988" s="32" t="str">
        <f aca="false">IF(S1988="","",IF(S1988&lt;=Setup!$B$5,"🏆 WINNER",""))</f>
        <v/>
      </c>
      <c r="U1988" s="31" t="str">
        <f aca="false">IF(S1988="","",I1988&amp;"|"&amp;S1988)</f>
        <v/>
      </c>
    </row>
    <row r="1989" customFormat="false" ht="15" hidden="false" customHeight="false" outlineLevel="0" collapsed="false">
      <c r="A1989" s="24" t="n">
        <v>1985</v>
      </c>
      <c r="B1989" s="25" t="str">
        <f aca="false">IF(OR(C1989="",I1989="",G1989=""),"",IFERROR(VLOOKUP(I1989,Setup!$A$9:$B$11,2,0),"???")&amp;"-"&amp;G1989&amp;"-"&amp;TEXT(COUNTIFS(I$5:I1989,I1989,G$5:G1989,G1989),"0000"))</f>
        <v/>
      </c>
      <c r="C1989" s="26"/>
      <c r="D1989" s="26"/>
      <c r="E1989" s="27"/>
      <c r="F1989" s="27"/>
      <c r="G1989" s="24" t="str">
        <f aca="false">IF(F1989="","",IF(F1989&lt;=5,"A",IF(F1989&lt;=8,"B",IF(F1989&lt;=10,"C","D"))))</f>
        <v/>
      </c>
      <c r="H1989" s="28"/>
      <c r="I1989" s="27"/>
      <c r="J1989" s="26"/>
      <c r="K1989" s="27"/>
      <c r="L1989" s="27"/>
      <c r="M1989" s="27"/>
      <c r="N1989" s="27"/>
      <c r="O1989" s="24" t="str">
        <f aca="false">IF(G1989="","",VLOOKUP(G1989,Setup!$A$14:$C$17,3,0))</f>
        <v/>
      </c>
      <c r="P1989" s="27"/>
      <c r="Q1989" s="29" t="str">
        <f aca="false">IF(OR(P1989="",M1989&lt;&gt;"Paid",O1989=""),"",P1989/O1989)</f>
        <v/>
      </c>
      <c r="R1989" s="30" t="str">
        <f aca="false">IF(Q1989="","",Q1989+N(H1989)*0.000000001)</f>
        <v/>
      </c>
      <c r="S1989" s="25" t="str">
        <f aca="false">IF(R1989="","",SUMPRODUCT((I$5:I$4004=I1989)*ISNUMBER(R$5:R$4004)*(R$5:R$4004&gt;R1989))+1)</f>
        <v/>
      </c>
      <c r="T1989" s="25" t="str">
        <f aca="false">IF(S1989="","",IF(S1989&lt;=Setup!$B$5,"🏆 WINNER",""))</f>
        <v/>
      </c>
      <c r="U1989" s="24" t="str">
        <f aca="false">IF(S1989="","",I1989&amp;"|"&amp;S1989)</f>
        <v/>
      </c>
    </row>
    <row r="1990" customFormat="false" ht="15" hidden="false" customHeight="false" outlineLevel="0" collapsed="false">
      <c r="A1990" s="31" t="n">
        <v>1986</v>
      </c>
      <c r="B1990" s="32" t="str">
        <f aca="false">IF(OR(C1990="",I1990="",G1990=""),"",IFERROR(VLOOKUP(I1990,Setup!$A$9:$B$11,2,0),"???")&amp;"-"&amp;G1990&amp;"-"&amp;TEXT(COUNTIFS(I$5:I1990,I1990,G$5:G1990,G1990),"0000"))</f>
        <v/>
      </c>
      <c r="C1990" s="26"/>
      <c r="D1990" s="26"/>
      <c r="E1990" s="27"/>
      <c r="F1990" s="27"/>
      <c r="G1990" s="31" t="str">
        <f aca="false">IF(F1990="","",IF(F1990&lt;=5,"A",IF(F1990&lt;=8,"B",IF(F1990&lt;=10,"C","D"))))</f>
        <v/>
      </c>
      <c r="H1990" s="28"/>
      <c r="I1990" s="27"/>
      <c r="J1990" s="26"/>
      <c r="K1990" s="27"/>
      <c r="L1990" s="27"/>
      <c r="M1990" s="27"/>
      <c r="N1990" s="27"/>
      <c r="O1990" s="31" t="str">
        <f aca="false">IF(G1990="","",VLOOKUP(G1990,Setup!$A$14:$C$17,3,0))</f>
        <v/>
      </c>
      <c r="P1990" s="27"/>
      <c r="Q1990" s="33" t="str">
        <f aca="false">IF(OR(P1990="",M1990&lt;&gt;"Paid",O1990=""),"",P1990/O1990)</f>
        <v/>
      </c>
      <c r="R1990" s="34" t="str">
        <f aca="false">IF(Q1990="","",Q1990+N(H1990)*0.000000001)</f>
        <v/>
      </c>
      <c r="S1990" s="32" t="str">
        <f aca="false">IF(R1990="","",SUMPRODUCT((I$5:I$4004=I1990)*ISNUMBER(R$5:R$4004)*(R$5:R$4004&gt;R1990))+1)</f>
        <v/>
      </c>
      <c r="T1990" s="32" t="str">
        <f aca="false">IF(S1990="","",IF(S1990&lt;=Setup!$B$5,"🏆 WINNER",""))</f>
        <v/>
      </c>
      <c r="U1990" s="31" t="str">
        <f aca="false">IF(S1990="","",I1990&amp;"|"&amp;S1990)</f>
        <v/>
      </c>
    </row>
    <row r="1991" customFormat="false" ht="15" hidden="false" customHeight="false" outlineLevel="0" collapsed="false">
      <c r="A1991" s="24" t="n">
        <v>1987</v>
      </c>
      <c r="B1991" s="25" t="str">
        <f aca="false">IF(OR(C1991="",I1991="",G1991=""),"",IFERROR(VLOOKUP(I1991,Setup!$A$9:$B$11,2,0),"???")&amp;"-"&amp;G1991&amp;"-"&amp;TEXT(COUNTIFS(I$5:I1991,I1991,G$5:G1991,G1991),"0000"))</f>
        <v/>
      </c>
      <c r="C1991" s="26"/>
      <c r="D1991" s="26"/>
      <c r="E1991" s="27"/>
      <c r="F1991" s="27"/>
      <c r="G1991" s="24" t="str">
        <f aca="false">IF(F1991="","",IF(F1991&lt;=5,"A",IF(F1991&lt;=8,"B",IF(F1991&lt;=10,"C","D"))))</f>
        <v/>
      </c>
      <c r="H1991" s="28"/>
      <c r="I1991" s="27"/>
      <c r="J1991" s="26"/>
      <c r="K1991" s="27"/>
      <c r="L1991" s="27"/>
      <c r="M1991" s="27"/>
      <c r="N1991" s="27"/>
      <c r="O1991" s="24" t="str">
        <f aca="false">IF(G1991="","",VLOOKUP(G1991,Setup!$A$14:$C$17,3,0))</f>
        <v/>
      </c>
      <c r="P1991" s="27"/>
      <c r="Q1991" s="29" t="str">
        <f aca="false">IF(OR(P1991="",M1991&lt;&gt;"Paid",O1991=""),"",P1991/O1991)</f>
        <v/>
      </c>
      <c r="R1991" s="30" t="str">
        <f aca="false">IF(Q1991="","",Q1991+N(H1991)*0.000000001)</f>
        <v/>
      </c>
      <c r="S1991" s="25" t="str">
        <f aca="false">IF(R1991="","",SUMPRODUCT((I$5:I$4004=I1991)*ISNUMBER(R$5:R$4004)*(R$5:R$4004&gt;R1991))+1)</f>
        <v/>
      </c>
      <c r="T1991" s="25" t="str">
        <f aca="false">IF(S1991="","",IF(S1991&lt;=Setup!$B$5,"🏆 WINNER",""))</f>
        <v/>
      </c>
      <c r="U1991" s="24" t="str">
        <f aca="false">IF(S1991="","",I1991&amp;"|"&amp;S1991)</f>
        <v/>
      </c>
    </row>
    <row r="1992" customFormat="false" ht="15" hidden="false" customHeight="false" outlineLevel="0" collapsed="false">
      <c r="A1992" s="31" t="n">
        <v>1988</v>
      </c>
      <c r="B1992" s="32" t="str">
        <f aca="false">IF(OR(C1992="",I1992="",G1992=""),"",IFERROR(VLOOKUP(I1992,Setup!$A$9:$B$11,2,0),"???")&amp;"-"&amp;G1992&amp;"-"&amp;TEXT(COUNTIFS(I$5:I1992,I1992,G$5:G1992,G1992),"0000"))</f>
        <v/>
      </c>
      <c r="C1992" s="26"/>
      <c r="D1992" s="26"/>
      <c r="E1992" s="27"/>
      <c r="F1992" s="27"/>
      <c r="G1992" s="31" t="str">
        <f aca="false">IF(F1992="","",IF(F1992&lt;=5,"A",IF(F1992&lt;=8,"B",IF(F1992&lt;=10,"C","D"))))</f>
        <v/>
      </c>
      <c r="H1992" s="28"/>
      <c r="I1992" s="27"/>
      <c r="J1992" s="26"/>
      <c r="K1992" s="27"/>
      <c r="L1992" s="27"/>
      <c r="M1992" s="27"/>
      <c r="N1992" s="27"/>
      <c r="O1992" s="31" t="str">
        <f aca="false">IF(G1992="","",VLOOKUP(G1992,Setup!$A$14:$C$17,3,0))</f>
        <v/>
      </c>
      <c r="P1992" s="27"/>
      <c r="Q1992" s="33" t="str">
        <f aca="false">IF(OR(P1992="",M1992&lt;&gt;"Paid",O1992=""),"",P1992/O1992)</f>
        <v/>
      </c>
      <c r="R1992" s="34" t="str">
        <f aca="false">IF(Q1992="","",Q1992+N(H1992)*0.000000001)</f>
        <v/>
      </c>
      <c r="S1992" s="32" t="str">
        <f aca="false">IF(R1992="","",SUMPRODUCT((I$5:I$4004=I1992)*ISNUMBER(R$5:R$4004)*(R$5:R$4004&gt;R1992))+1)</f>
        <v/>
      </c>
      <c r="T1992" s="32" t="str">
        <f aca="false">IF(S1992="","",IF(S1992&lt;=Setup!$B$5,"🏆 WINNER",""))</f>
        <v/>
      </c>
      <c r="U1992" s="31" t="str">
        <f aca="false">IF(S1992="","",I1992&amp;"|"&amp;S1992)</f>
        <v/>
      </c>
    </row>
    <row r="1993" customFormat="false" ht="15" hidden="false" customHeight="false" outlineLevel="0" collapsed="false">
      <c r="A1993" s="24" t="n">
        <v>1989</v>
      </c>
      <c r="B1993" s="25" t="str">
        <f aca="false">IF(OR(C1993="",I1993="",G1993=""),"",IFERROR(VLOOKUP(I1993,Setup!$A$9:$B$11,2,0),"???")&amp;"-"&amp;G1993&amp;"-"&amp;TEXT(COUNTIFS(I$5:I1993,I1993,G$5:G1993,G1993),"0000"))</f>
        <v/>
      </c>
      <c r="C1993" s="26"/>
      <c r="D1993" s="26"/>
      <c r="E1993" s="27"/>
      <c r="F1993" s="27"/>
      <c r="G1993" s="24" t="str">
        <f aca="false">IF(F1993="","",IF(F1993&lt;=5,"A",IF(F1993&lt;=8,"B",IF(F1993&lt;=10,"C","D"))))</f>
        <v/>
      </c>
      <c r="H1993" s="28"/>
      <c r="I1993" s="27"/>
      <c r="J1993" s="26"/>
      <c r="K1993" s="27"/>
      <c r="L1993" s="27"/>
      <c r="M1993" s="27"/>
      <c r="N1993" s="27"/>
      <c r="O1993" s="24" t="str">
        <f aca="false">IF(G1993="","",VLOOKUP(G1993,Setup!$A$14:$C$17,3,0))</f>
        <v/>
      </c>
      <c r="P1993" s="27"/>
      <c r="Q1993" s="29" t="str">
        <f aca="false">IF(OR(P1993="",M1993&lt;&gt;"Paid",O1993=""),"",P1993/O1993)</f>
        <v/>
      </c>
      <c r="R1993" s="30" t="str">
        <f aca="false">IF(Q1993="","",Q1993+N(H1993)*0.000000001)</f>
        <v/>
      </c>
      <c r="S1993" s="25" t="str">
        <f aca="false">IF(R1993="","",SUMPRODUCT((I$5:I$4004=I1993)*ISNUMBER(R$5:R$4004)*(R$5:R$4004&gt;R1993))+1)</f>
        <v/>
      </c>
      <c r="T1993" s="25" t="str">
        <f aca="false">IF(S1993="","",IF(S1993&lt;=Setup!$B$5,"🏆 WINNER",""))</f>
        <v/>
      </c>
      <c r="U1993" s="24" t="str">
        <f aca="false">IF(S1993="","",I1993&amp;"|"&amp;S1993)</f>
        <v/>
      </c>
    </row>
    <row r="1994" customFormat="false" ht="15" hidden="false" customHeight="false" outlineLevel="0" collapsed="false">
      <c r="A1994" s="31" t="n">
        <v>1990</v>
      </c>
      <c r="B1994" s="32" t="str">
        <f aca="false">IF(OR(C1994="",I1994="",G1994=""),"",IFERROR(VLOOKUP(I1994,Setup!$A$9:$B$11,2,0),"???")&amp;"-"&amp;G1994&amp;"-"&amp;TEXT(COUNTIFS(I$5:I1994,I1994,G$5:G1994,G1994),"0000"))</f>
        <v/>
      </c>
      <c r="C1994" s="26"/>
      <c r="D1994" s="26"/>
      <c r="E1994" s="27"/>
      <c r="F1994" s="27"/>
      <c r="G1994" s="31" t="str">
        <f aca="false">IF(F1994="","",IF(F1994&lt;=5,"A",IF(F1994&lt;=8,"B",IF(F1994&lt;=10,"C","D"))))</f>
        <v/>
      </c>
      <c r="H1994" s="28"/>
      <c r="I1994" s="27"/>
      <c r="J1994" s="26"/>
      <c r="K1994" s="27"/>
      <c r="L1994" s="27"/>
      <c r="M1994" s="27"/>
      <c r="N1994" s="27"/>
      <c r="O1994" s="31" t="str">
        <f aca="false">IF(G1994="","",VLOOKUP(G1994,Setup!$A$14:$C$17,3,0))</f>
        <v/>
      </c>
      <c r="P1994" s="27"/>
      <c r="Q1994" s="33" t="str">
        <f aca="false">IF(OR(P1994="",M1994&lt;&gt;"Paid",O1994=""),"",P1994/O1994)</f>
        <v/>
      </c>
      <c r="R1994" s="34" t="str">
        <f aca="false">IF(Q1994="","",Q1994+N(H1994)*0.000000001)</f>
        <v/>
      </c>
      <c r="S1994" s="32" t="str">
        <f aca="false">IF(R1994="","",SUMPRODUCT((I$5:I$4004=I1994)*ISNUMBER(R$5:R$4004)*(R$5:R$4004&gt;R1994))+1)</f>
        <v/>
      </c>
      <c r="T1994" s="32" t="str">
        <f aca="false">IF(S1994="","",IF(S1994&lt;=Setup!$B$5,"🏆 WINNER",""))</f>
        <v/>
      </c>
      <c r="U1994" s="31" t="str">
        <f aca="false">IF(S1994="","",I1994&amp;"|"&amp;S1994)</f>
        <v/>
      </c>
    </row>
    <row r="1995" customFormat="false" ht="15" hidden="false" customHeight="false" outlineLevel="0" collapsed="false">
      <c r="A1995" s="24" t="n">
        <v>1991</v>
      </c>
      <c r="B1995" s="25" t="str">
        <f aca="false">IF(OR(C1995="",I1995="",G1995=""),"",IFERROR(VLOOKUP(I1995,Setup!$A$9:$B$11,2,0),"???")&amp;"-"&amp;G1995&amp;"-"&amp;TEXT(COUNTIFS(I$5:I1995,I1995,G$5:G1995,G1995),"0000"))</f>
        <v/>
      </c>
      <c r="C1995" s="26"/>
      <c r="D1995" s="26"/>
      <c r="E1995" s="27"/>
      <c r="F1995" s="27"/>
      <c r="G1995" s="24" t="str">
        <f aca="false">IF(F1995="","",IF(F1995&lt;=5,"A",IF(F1995&lt;=8,"B",IF(F1995&lt;=10,"C","D"))))</f>
        <v/>
      </c>
      <c r="H1995" s="28"/>
      <c r="I1995" s="27"/>
      <c r="J1995" s="26"/>
      <c r="K1995" s="27"/>
      <c r="L1995" s="27"/>
      <c r="M1995" s="27"/>
      <c r="N1995" s="27"/>
      <c r="O1995" s="24" t="str">
        <f aca="false">IF(G1995="","",VLOOKUP(G1995,Setup!$A$14:$C$17,3,0))</f>
        <v/>
      </c>
      <c r="P1995" s="27"/>
      <c r="Q1995" s="29" t="str">
        <f aca="false">IF(OR(P1995="",M1995&lt;&gt;"Paid",O1995=""),"",P1995/O1995)</f>
        <v/>
      </c>
      <c r="R1995" s="30" t="str">
        <f aca="false">IF(Q1995="","",Q1995+N(H1995)*0.000000001)</f>
        <v/>
      </c>
      <c r="S1995" s="25" t="str">
        <f aca="false">IF(R1995="","",SUMPRODUCT((I$5:I$4004=I1995)*ISNUMBER(R$5:R$4004)*(R$5:R$4004&gt;R1995))+1)</f>
        <v/>
      </c>
      <c r="T1995" s="25" t="str">
        <f aca="false">IF(S1995="","",IF(S1995&lt;=Setup!$B$5,"🏆 WINNER",""))</f>
        <v/>
      </c>
      <c r="U1995" s="24" t="str">
        <f aca="false">IF(S1995="","",I1995&amp;"|"&amp;S1995)</f>
        <v/>
      </c>
    </row>
    <row r="1996" customFormat="false" ht="15" hidden="false" customHeight="false" outlineLevel="0" collapsed="false">
      <c r="A1996" s="31" t="n">
        <v>1992</v>
      </c>
      <c r="B1996" s="32" t="str">
        <f aca="false">IF(OR(C1996="",I1996="",G1996=""),"",IFERROR(VLOOKUP(I1996,Setup!$A$9:$B$11,2,0),"???")&amp;"-"&amp;G1996&amp;"-"&amp;TEXT(COUNTIFS(I$5:I1996,I1996,G$5:G1996,G1996),"0000"))</f>
        <v/>
      </c>
      <c r="C1996" s="26"/>
      <c r="D1996" s="26"/>
      <c r="E1996" s="27"/>
      <c r="F1996" s="27"/>
      <c r="G1996" s="31" t="str">
        <f aca="false">IF(F1996="","",IF(F1996&lt;=5,"A",IF(F1996&lt;=8,"B",IF(F1996&lt;=10,"C","D"))))</f>
        <v/>
      </c>
      <c r="H1996" s="28"/>
      <c r="I1996" s="27"/>
      <c r="J1996" s="26"/>
      <c r="K1996" s="27"/>
      <c r="L1996" s="27"/>
      <c r="M1996" s="27"/>
      <c r="N1996" s="27"/>
      <c r="O1996" s="31" t="str">
        <f aca="false">IF(G1996="","",VLOOKUP(G1996,Setup!$A$14:$C$17,3,0))</f>
        <v/>
      </c>
      <c r="P1996" s="27"/>
      <c r="Q1996" s="33" t="str">
        <f aca="false">IF(OR(P1996="",M1996&lt;&gt;"Paid",O1996=""),"",P1996/O1996)</f>
        <v/>
      </c>
      <c r="R1996" s="34" t="str">
        <f aca="false">IF(Q1996="","",Q1996+N(H1996)*0.000000001)</f>
        <v/>
      </c>
      <c r="S1996" s="32" t="str">
        <f aca="false">IF(R1996="","",SUMPRODUCT((I$5:I$4004=I1996)*ISNUMBER(R$5:R$4004)*(R$5:R$4004&gt;R1996))+1)</f>
        <v/>
      </c>
      <c r="T1996" s="32" t="str">
        <f aca="false">IF(S1996="","",IF(S1996&lt;=Setup!$B$5,"🏆 WINNER",""))</f>
        <v/>
      </c>
      <c r="U1996" s="31" t="str">
        <f aca="false">IF(S1996="","",I1996&amp;"|"&amp;S1996)</f>
        <v/>
      </c>
    </row>
    <row r="1997" customFormat="false" ht="15" hidden="false" customHeight="false" outlineLevel="0" collapsed="false">
      <c r="A1997" s="24" t="n">
        <v>1993</v>
      </c>
      <c r="B1997" s="25" t="str">
        <f aca="false">IF(OR(C1997="",I1997="",G1997=""),"",IFERROR(VLOOKUP(I1997,Setup!$A$9:$B$11,2,0),"???")&amp;"-"&amp;G1997&amp;"-"&amp;TEXT(COUNTIFS(I$5:I1997,I1997,G$5:G1997,G1997),"0000"))</f>
        <v/>
      </c>
      <c r="C1997" s="26"/>
      <c r="D1997" s="26"/>
      <c r="E1997" s="27"/>
      <c r="F1997" s="27"/>
      <c r="G1997" s="24" t="str">
        <f aca="false">IF(F1997="","",IF(F1997&lt;=5,"A",IF(F1997&lt;=8,"B",IF(F1997&lt;=10,"C","D"))))</f>
        <v/>
      </c>
      <c r="H1997" s="28"/>
      <c r="I1997" s="27"/>
      <c r="J1997" s="26"/>
      <c r="K1997" s="27"/>
      <c r="L1997" s="27"/>
      <c r="M1997" s="27"/>
      <c r="N1997" s="27"/>
      <c r="O1997" s="24" t="str">
        <f aca="false">IF(G1997="","",VLOOKUP(G1997,Setup!$A$14:$C$17,3,0))</f>
        <v/>
      </c>
      <c r="P1997" s="27"/>
      <c r="Q1997" s="29" t="str">
        <f aca="false">IF(OR(P1997="",M1997&lt;&gt;"Paid",O1997=""),"",P1997/O1997)</f>
        <v/>
      </c>
      <c r="R1997" s="30" t="str">
        <f aca="false">IF(Q1997="","",Q1997+N(H1997)*0.000000001)</f>
        <v/>
      </c>
      <c r="S1997" s="25" t="str">
        <f aca="false">IF(R1997="","",SUMPRODUCT((I$5:I$4004=I1997)*ISNUMBER(R$5:R$4004)*(R$5:R$4004&gt;R1997))+1)</f>
        <v/>
      </c>
      <c r="T1997" s="25" t="str">
        <f aca="false">IF(S1997="","",IF(S1997&lt;=Setup!$B$5,"🏆 WINNER",""))</f>
        <v/>
      </c>
      <c r="U1997" s="24" t="str">
        <f aca="false">IF(S1997="","",I1997&amp;"|"&amp;S1997)</f>
        <v/>
      </c>
    </row>
    <row r="1998" customFormat="false" ht="15" hidden="false" customHeight="false" outlineLevel="0" collapsed="false">
      <c r="A1998" s="31" t="n">
        <v>1994</v>
      </c>
      <c r="B1998" s="32" t="str">
        <f aca="false">IF(OR(C1998="",I1998="",G1998=""),"",IFERROR(VLOOKUP(I1998,Setup!$A$9:$B$11,2,0),"???")&amp;"-"&amp;G1998&amp;"-"&amp;TEXT(COUNTIFS(I$5:I1998,I1998,G$5:G1998,G1998),"0000"))</f>
        <v/>
      </c>
      <c r="C1998" s="26"/>
      <c r="D1998" s="26"/>
      <c r="E1998" s="27"/>
      <c r="F1998" s="27"/>
      <c r="G1998" s="31" t="str">
        <f aca="false">IF(F1998="","",IF(F1998&lt;=5,"A",IF(F1998&lt;=8,"B",IF(F1998&lt;=10,"C","D"))))</f>
        <v/>
      </c>
      <c r="H1998" s="28"/>
      <c r="I1998" s="27"/>
      <c r="J1998" s="26"/>
      <c r="K1998" s="27"/>
      <c r="L1998" s="27"/>
      <c r="M1998" s="27"/>
      <c r="N1998" s="27"/>
      <c r="O1998" s="31" t="str">
        <f aca="false">IF(G1998="","",VLOOKUP(G1998,Setup!$A$14:$C$17,3,0))</f>
        <v/>
      </c>
      <c r="P1998" s="27"/>
      <c r="Q1998" s="33" t="str">
        <f aca="false">IF(OR(P1998="",M1998&lt;&gt;"Paid",O1998=""),"",P1998/O1998)</f>
        <v/>
      </c>
      <c r="R1998" s="34" t="str">
        <f aca="false">IF(Q1998="","",Q1998+N(H1998)*0.000000001)</f>
        <v/>
      </c>
      <c r="S1998" s="32" t="str">
        <f aca="false">IF(R1998="","",SUMPRODUCT((I$5:I$4004=I1998)*ISNUMBER(R$5:R$4004)*(R$5:R$4004&gt;R1998))+1)</f>
        <v/>
      </c>
      <c r="T1998" s="32" t="str">
        <f aca="false">IF(S1998="","",IF(S1998&lt;=Setup!$B$5,"🏆 WINNER",""))</f>
        <v/>
      </c>
      <c r="U1998" s="31" t="str">
        <f aca="false">IF(S1998="","",I1998&amp;"|"&amp;S1998)</f>
        <v/>
      </c>
    </row>
    <row r="1999" customFormat="false" ht="15" hidden="false" customHeight="false" outlineLevel="0" collapsed="false">
      <c r="A1999" s="24" t="n">
        <v>1995</v>
      </c>
      <c r="B1999" s="25" t="str">
        <f aca="false">IF(OR(C1999="",I1999="",G1999=""),"",IFERROR(VLOOKUP(I1999,Setup!$A$9:$B$11,2,0),"???")&amp;"-"&amp;G1999&amp;"-"&amp;TEXT(COUNTIFS(I$5:I1999,I1999,G$5:G1999,G1999),"0000"))</f>
        <v/>
      </c>
      <c r="C1999" s="26"/>
      <c r="D1999" s="26"/>
      <c r="E1999" s="27"/>
      <c r="F1999" s="27"/>
      <c r="G1999" s="24" t="str">
        <f aca="false">IF(F1999="","",IF(F1999&lt;=5,"A",IF(F1999&lt;=8,"B",IF(F1999&lt;=10,"C","D"))))</f>
        <v/>
      </c>
      <c r="H1999" s="28"/>
      <c r="I1999" s="27"/>
      <c r="J1999" s="26"/>
      <c r="K1999" s="27"/>
      <c r="L1999" s="27"/>
      <c r="M1999" s="27"/>
      <c r="N1999" s="27"/>
      <c r="O1999" s="24" t="str">
        <f aca="false">IF(G1999="","",VLOOKUP(G1999,Setup!$A$14:$C$17,3,0))</f>
        <v/>
      </c>
      <c r="P1999" s="27"/>
      <c r="Q1999" s="29" t="str">
        <f aca="false">IF(OR(P1999="",M1999&lt;&gt;"Paid",O1999=""),"",P1999/O1999)</f>
        <v/>
      </c>
      <c r="R1999" s="30" t="str">
        <f aca="false">IF(Q1999="","",Q1999+N(H1999)*0.000000001)</f>
        <v/>
      </c>
      <c r="S1999" s="25" t="str">
        <f aca="false">IF(R1999="","",SUMPRODUCT((I$5:I$4004=I1999)*ISNUMBER(R$5:R$4004)*(R$5:R$4004&gt;R1999))+1)</f>
        <v/>
      </c>
      <c r="T1999" s="25" t="str">
        <f aca="false">IF(S1999="","",IF(S1999&lt;=Setup!$B$5,"🏆 WINNER",""))</f>
        <v/>
      </c>
      <c r="U1999" s="24" t="str">
        <f aca="false">IF(S1999="","",I1999&amp;"|"&amp;S1999)</f>
        <v/>
      </c>
    </row>
    <row r="2000" customFormat="false" ht="15" hidden="false" customHeight="false" outlineLevel="0" collapsed="false">
      <c r="A2000" s="31" t="n">
        <v>1996</v>
      </c>
      <c r="B2000" s="32" t="str">
        <f aca="false">IF(OR(C2000="",I2000="",G2000=""),"",IFERROR(VLOOKUP(I2000,Setup!$A$9:$B$11,2,0),"???")&amp;"-"&amp;G2000&amp;"-"&amp;TEXT(COUNTIFS(I$5:I2000,I2000,G$5:G2000,G2000),"0000"))</f>
        <v/>
      </c>
      <c r="C2000" s="26"/>
      <c r="D2000" s="26"/>
      <c r="E2000" s="27"/>
      <c r="F2000" s="27"/>
      <c r="G2000" s="31" t="str">
        <f aca="false">IF(F2000="","",IF(F2000&lt;=5,"A",IF(F2000&lt;=8,"B",IF(F2000&lt;=10,"C","D"))))</f>
        <v/>
      </c>
      <c r="H2000" s="28"/>
      <c r="I2000" s="27"/>
      <c r="J2000" s="26"/>
      <c r="K2000" s="27"/>
      <c r="L2000" s="27"/>
      <c r="M2000" s="27"/>
      <c r="N2000" s="27"/>
      <c r="O2000" s="31" t="str">
        <f aca="false">IF(G2000="","",VLOOKUP(G2000,Setup!$A$14:$C$17,3,0))</f>
        <v/>
      </c>
      <c r="P2000" s="27"/>
      <c r="Q2000" s="33" t="str">
        <f aca="false">IF(OR(P2000="",M2000&lt;&gt;"Paid",O2000=""),"",P2000/O2000)</f>
        <v/>
      </c>
      <c r="R2000" s="34" t="str">
        <f aca="false">IF(Q2000="","",Q2000+N(H2000)*0.000000001)</f>
        <v/>
      </c>
      <c r="S2000" s="32" t="str">
        <f aca="false">IF(R2000="","",SUMPRODUCT((I$5:I$4004=I2000)*ISNUMBER(R$5:R$4004)*(R$5:R$4004&gt;R2000))+1)</f>
        <v/>
      </c>
      <c r="T2000" s="32" t="str">
        <f aca="false">IF(S2000="","",IF(S2000&lt;=Setup!$B$5,"🏆 WINNER",""))</f>
        <v/>
      </c>
      <c r="U2000" s="31" t="str">
        <f aca="false">IF(S2000="","",I2000&amp;"|"&amp;S2000)</f>
        <v/>
      </c>
    </row>
    <row r="2001" customFormat="false" ht="15" hidden="false" customHeight="false" outlineLevel="0" collapsed="false">
      <c r="A2001" s="24" t="n">
        <v>1997</v>
      </c>
      <c r="B2001" s="25" t="str">
        <f aca="false">IF(OR(C2001="",I2001="",G2001=""),"",IFERROR(VLOOKUP(I2001,Setup!$A$9:$B$11,2,0),"???")&amp;"-"&amp;G2001&amp;"-"&amp;TEXT(COUNTIFS(I$5:I2001,I2001,G$5:G2001,G2001),"0000"))</f>
        <v/>
      </c>
      <c r="C2001" s="26"/>
      <c r="D2001" s="26"/>
      <c r="E2001" s="27"/>
      <c r="F2001" s="27"/>
      <c r="G2001" s="24" t="str">
        <f aca="false">IF(F2001="","",IF(F2001&lt;=5,"A",IF(F2001&lt;=8,"B",IF(F2001&lt;=10,"C","D"))))</f>
        <v/>
      </c>
      <c r="H2001" s="28"/>
      <c r="I2001" s="27"/>
      <c r="J2001" s="26"/>
      <c r="K2001" s="27"/>
      <c r="L2001" s="27"/>
      <c r="M2001" s="27"/>
      <c r="N2001" s="27"/>
      <c r="O2001" s="24" t="str">
        <f aca="false">IF(G2001="","",VLOOKUP(G2001,Setup!$A$14:$C$17,3,0))</f>
        <v/>
      </c>
      <c r="P2001" s="27"/>
      <c r="Q2001" s="29" t="str">
        <f aca="false">IF(OR(P2001="",M2001&lt;&gt;"Paid",O2001=""),"",P2001/O2001)</f>
        <v/>
      </c>
      <c r="R2001" s="30" t="str">
        <f aca="false">IF(Q2001="","",Q2001+N(H2001)*0.000000001)</f>
        <v/>
      </c>
      <c r="S2001" s="25" t="str">
        <f aca="false">IF(R2001="","",SUMPRODUCT((I$5:I$4004=I2001)*ISNUMBER(R$5:R$4004)*(R$5:R$4004&gt;R2001))+1)</f>
        <v/>
      </c>
      <c r="T2001" s="25" t="str">
        <f aca="false">IF(S2001="","",IF(S2001&lt;=Setup!$B$5,"🏆 WINNER",""))</f>
        <v/>
      </c>
      <c r="U2001" s="24" t="str">
        <f aca="false">IF(S2001="","",I2001&amp;"|"&amp;S2001)</f>
        <v/>
      </c>
    </row>
    <row r="2002" customFormat="false" ht="15" hidden="false" customHeight="false" outlineLevel="0" collapsed="false">
      <c r="A2002" s="31" t="n">
        <v>1998</v>
      </c>
      <c r="B2002" s="32" t="str">
        <f aca="false">IF(OR(C2002="",I2002="",G2002=""),"",IFERROR(VLOOKUP(I2002,Setup!$A$9:$B$11,2,0),"???")&amp;"-"&amp;G2002&amp;"-"&amp;TEXT(COUNTIFS(I$5:I2002,I2002,G$5:G2002,G2002),"0000"))</f>
        <v/>
      </c>
      <c r="C2002" s="26"/>
      <c r="D2002" s="26"/>
      <c r="E2002" s="27"/>
      <c r="F2002" s="27"/>
      <c r="G2002" s="31" t="str">
        <f aca="false">IF(F2002="","",IF(F2002&lt;=5,"A",IF(F2002&lt;=8,"B",IF(F2002&lt;=10,"C","D"))))</f>
        <v/>
      </c>
      <c r="H2002" s="28"/>
      <c r="I2002" s="27"/>
      <c r="J2002" s="26"/>
      <c r="K2002" s="27"/>
      <c r="L2002" s="27"/>
      <c r="M2002" s="27"/>
      <c r="N2002" s="27"/>
      <c r="O2002" s="31" t="str">
        <f aca="false">IF(G2002="","",VLOOKUP(G2002,Setup!$A$14:$C$17,3,0))</f>
        <v/>
      </c>
      <c r="P2002" s="27"/>
      <c r="Q2002" s="33" t="str">
        <f aca="false">IF(OR(P2002="",M2002&lt;&gt;"Paid",O2002=""),"",P2002/O2002)</f>
        <v/>
      </c>
      <c r="R2002" s="34" t="str">
        <f aca="false">IF(Q2002="","",Q2002+N(H2002)*0.000000001)</f>
        <v/>
      </c>
      <c r="S2002" s="32" t="str">
        <f aca="false">IF(R2002="","",SUMPRODUCT((I$5:I$4004=I2002)*ISNUMBER(R$5:R$4004)*(R$5:R$4004&gt;R2002))+1)</f>
        <v/>
      </c>
      <c r="T2002" s="32" t="str">
        <f aca="false">IF(S2002="","",IF(S2002&lt;=Setup!$B$5,"🏆 WINNER",""))</f>
        <v/>
      </c>
      <c r="U2002" s="31" t="str">
        <f aca="false">IF(S2002="","",I2002&amp;"|"&amp;S2002)</f>
        <v/>
      </c>
    </row>
    <row r="2003" customFormat="false" ht="15" hidden="false" customHeight="false" outlineLevel="0" collapsed="false">
      <c r="A2003" s="24" t="n">
        <v>1999</v>
      </c>
      <c r="B2003" s="25" t="str">
        <f aca="false">IF(OR(C2003="",I2003="",G2003=""),"",IFERROR(VLOOKUP(I2003,Setup!$A$9:$B$11,2,0),"???")&amp;"-"&amp;G2003&amp;"-"&amp;TEXT(COUNTIFS(I$5:I2003,I2003,G$5:G2003,G2003),"0000"))</f>
        <v/>
      </c>
      <c r="C2003" s="26"/>
      <c r="D2003" s="26"/>
      <c r="E2003" s="27"/>
      <c r="F2003" s="27"/>
      <c r="G2003" s="24" t="str">
        <f aca="false">IF(F2003="","",IF(F2003&lt;=5,"A",IF(F2003&lt;=8,"B",IF(F2003&lt;=10,"C","D"))))</f>
        <v/>
      </c>
      <c r="H2003" s="28"/>
      <c r="I2003" s="27"/>
      <c r="J2003" s="26"/>
      <c r="K2003" s="27"/>
      <c r="L2003" s="27"/>
      <c r="M2003" s="27"/>
      <c r="N2003" s="27"/>
      <c r="O2003" s="24" t="str">
        <f aca="false">IF(G2003="","",VLOOKUP(G2003,Setup!$A$14:$C$17,3,0))</f>
        <v/>
      </c>
      <c r="P2003" s="27"/>
      <c r="Q2003" s="29" t="str">
        <f aca="false">IF(OR(P2003="",M2003&lt;&gt;"Paid",O2003=""),"",P2003/O2003)</f>
        <v/>
      </c>
      <c r="R2003" s="30" t="str">
        <f aca="false">IF(Q2003="","",Q2003+N(H2003)*0.000000001)</f>
        <v/>
      </c>
      <c r="S2003" s="25" t="str">
        <f aca="false">IF(R2003="","",SUMPRODUCT((I$5:I$4004=I2003)*ISNUMBER(R$5:R$4004)*(R$5:R$4004&gt;R2003))+1)</f>
        <v/>
      </c>
      <c r="T2003" s="25" t="str">
        <f aca="false">IF(S2003="","",IF(S2003&lt;=Setup!$B$5,"🏆 WINNER",""))</f>
        <v/>
      </c>
      <c r="U2003" s="24" t="str">
        <f aca="false">IF(S2003="","",I2003&amp;"|"&amp;S2003)</f>
        <v/>
      </c>
    </row>
    <row r="2004" customFormat="false" ht="15" hidden="false" customHeight="false" outlineLevel="0" collapsed="false">
      <c r="A2004" s="31" t="n">
        <v>2000</v>
      </c>
      <c r="B2004" s="32" t="str">
        <f aca="false">IF(OR(C2004="",I2004="",G2004=""),"",IFERROR(VLOOKUP(I2004,Setup!$A$9:$B$11,2,0),"???")&amp;"-"&amp;G2004&amp;"-"&amp;TEXT(COUNTIFS(I$5:I2004,I2004,G$5:G2004,G2004),"0000"))</f>
        <v/>
      </c>
      <c r="C2004" s="26"/>
      <c r="D2004" s="26"/>
      <c r="E2004" s="27"/>
      <c r="F2004" s="27"/>
      <c r="G2004" s="31" t="str">
        <f aca="false">IF(F2004="","",IF(F2004&lt;=5,"A",IF(F2004&lt;=8,"B",IF(F2004&lt;=10,"C","D"))))</f>
        <v/>
      </c>
      <c r="H2004" s="28"/>
      <c r="I2004" s="27"/>
      <c r="J2004" s="26"/>
      <c r="K2004" s="27"/>
      <c r="L2004" s="27"/>
      <c r="M2004" s="27"/>
      <c r="N2004" s="27"/>
      <c r="O2004" s="31" t="str">
        <f aca="false">IF(G2004="","",VLOOKUP(G2004,Setup!$A$14:$C$17,3,0))</f>
        <v/>
      </c>
      <c r="P2004" s="27"/>
      <c r="Q2004" s="33" t="str">
        <f aca="false">IF(OR(P2004="",M2004&lt;&gt;"Paid",O2004=""),"",P2004/O2004)</f>
        <v/>
      </c>
      <c r="R2004" s="34" t="str">
        <f aca="false">IF(Q2004="","",Q2004+N(H2004)*0.000000001)</f>
        <v/>
      </c>
      <c r="S2004" s="32" t="str">
        <f aca="false">IF(R2004="","",SUMPRODUCT((I$5:I$4004=I2004)*ISNUMBER(R$5:R$4004)*(R$5:R$4004&gt;R2004))+1)</f>
        <v/>
      </c>
      <c r="T2004" s="32" t="str">
        <f aca="false">IF(S2004="","",IF(S2004&lt;=Setup!$B$5,"🏆 WINNER",""))</f>
        <v/>
      </c>
      <c r="U2004" s="31" t="str">
        <f aca="false">IF(S2004="","",I2004&amp;"|"&amp;S2004)</f>
        <v/>
      </c>
    </row>
    <row r="2005" customFormat="false" ht="15" hidden="false" customHeight="false" outlineLevel="0" collapsed="false">
      <c r="A2005" s="24" t="n">
        <v>2001</v>
      </c>
      <c r="B2005" s="25" t="str">
        <f aca="false">IF(OR(C2005="",I2005="",G2005=""),"",IFERROR(VLOOKUP(I2005,Setup!$A$9:$B$11,2,0),"???")&amp;"-"&amp;G2005&amp;"-"&amp;TEXT(COUNTIFS(I$5:I2005,I2005,G$5:G2005,G2005),"0000"))</f>
        <v/>
      </c>
      <c r="C2005" s="26"/>
      <c r="D2005" s="26"/>
      <c r="E2005" s="27"/>
      <c r="F2005" s="27"/>
      <c r="G2005" s="24" t="str">
        <f aca="false">IF(F2005="","",IF(F2005&lt;=5,"A",IF(F2005&lt;=8,"B",IF(F2005&lt;=10,"C","D"))))</f>
        <v/>
      </c>
      <c r="H2005" s="28"/>
      <c r="I2005" s="27"/>
      <c r="J2005" s="26"/>
      <c r="K2005" s="27"/>
      <c r="L2005" s="27"/>
      <c r="M2005" s="27"/>
      <c r="N2005" s="27"/>
      <c r="O2005" s="24" t="str">
        <f aca="false">IF(G2005="","",VLOOKUP(G2005,Setup!$A$14:$C$17,3,0))</f>
        <v/>
      </c>
      <c r="P2005" s="27"/>
      <c r="Q2005" s="29" t="str">
        <f aca="false">IF(OR(P2005="",M2005&lt;&gt;"Paid",O2005=""),"",P2005/O2005)</f>
        <v/>
      </c>
      <c r="R2005" s="30" t="str">
        <f aca="false">IF(Q2005="","",Q2005+N(H2005)*0.000000001)</f>
        <v/>
      </c>
      <c r="S2005" s="25" t="str">
        <f aca="false">IF(R2005="","",SUMPRODUCT((I$5:I$4004=I2005)*ISNUMBER(R$5:R$4004)*(R$5:R$4004&gt;R2005))+1)</f>
        <v/>
      </c>
      <c r="T2005" s="25" t="str">
        <f aca="false">IF(S2005="","",IF(S2005&lt;=Setup!$B$5,"🏆 WINNER",""))</f>
        <v/>
      </c>
      <c r="U2005" s="24" t="str">
        <f aca="false">IF(S2005="","",I2005&amp;"|"&amp;S2005)</f>
        <v/>
      </c>
    </row>
    <row r="2006" customFormat="false" ht="15" hidden="false" customHeight="false" outlineLevel="0" collapsed="false">
      <c r="A2006" s="31" t="n">
        <v>2002</v>
      </c>
      <c r="B2006" s="32" t="str">
        <f aca="false">IF(OR(C2006="",I2006="",G2006=""),"",IFERROR(VLOOKUP(I2006,Setup!$A$9:$B$11,2,0),"???")&amp;"-"&amp;G2006&amp;"-"&amp;TEXT(COUNTIFS(I$5:I2006,I2006,G$5:G2006,G2006),"0000"))</f>
        <v/>
      </c>
      <c r="C2006" s="26"/>
      <c r="D2006" s="26"/>
      <c r="E2006" s="27"/>
      <c r="F2006" s="27"/>
      <c r="G2006" s="31" t="str">
        <f aca="false">IF(F2006="","",IF(F2006&lt;=5,"A",IF(F2006&lt;=8,"B",IF(F2006&lt;=10,"C","D"))))</f>
        <v/>
      </c>
      <c r="H2006" s="28"/>
      <c r="I2006" s="27"/>
      <c r="J2006" s="26"/>
      <c r="K2006" s="27"/>
      <c r="L2006" s="27"/>
      <c r="M2006" s="27"/>
      <c r="N2006" s="27"/>
      <c r="O2006" s="31" t="str">
        <f aca="false">IF(G2006="","",VLOOKUP(G2006,Setup!$A$14:$C$17,3,0))</f>
        <v/>
      </c>
      <c r="P2006" s="27"/>
      <c r="Q2006" s="33" t="str">
        <f aca="false">IF(OR(P2006="",M2006&lt;&gt;"Paid",O2006=""),"",P2006/O2006)</f>
        <v/>
      </c>
      <c r="R2006" s="34" t="str">
        <f aca="false">IF(Q2006="","",Q2006+N(H2006)*0.000000001)</f>
        <v/>
      </c>
      <c r="S2006" s="32" t="str">
        <f aca="false">IF(R2006="","",SUMPRODUCT((I$5:I$4004=I2006)*ISNUMBER(R$5:R$4004)*(R$5:R$4004&gt;R2006))+1)</f>
        <v/>
      </c>
      <c r="T2006" s="32" t="str">
        <f aca="false">IF(S2006="","",IF(S2006&lt;=Setup!$B$5,"🏆 WINNER",""))</f>
        <v/>
      </c>
      <c r="U2006" s="31" t="str">
        <f aca="false">IF(S2006="","",I2006&amp;"|"&amp;S2006)</f>
        <v/>
      </c>
    </row>
    <row r="2007" customFormat="false" ht="15" hidden="false" customHeight="false" outlineLevel="0" collapsed="false">
      <c r="A2007" s="24" t="n">
        <v>2003</v>
      </c>
      <c r="B2007" s="25" t="str">
        <f aca="false">IF(OR(C2007="",I2007="",G2007=""),"",IFERROR(VLOOKUP(I2007,Setup!$A$9:$B$11,2,0),"???")&amp;"-"&amp;G2007&amp;"-"&amp;TEXT(COUNTIFS(I$5:I2007,I2007,G$5:G2007,G2007),"0000"))</f>
        <v/>
      </c>
      <c r="C2007" s="26"/>
      <c r="D2007" s="26"/>
      <c r="E2007" s="27"/>
      <c r="F2007" s="27"/>
      <c r="G2007" s="24" t="str">
        <f aca="false">IF(F2007="","",IF(F2007&lt;=5,"A",IF(F2007&lt;=8,"B",IF(F2007&lt;=10,"C","D"))))</f>
        <v/>
      </c>
      <c r="H2007" s="28"/>
      <c r="I2007" s="27"/>
      <c r="J2007" s="26"/>
      <c r="K2007" s="27"/>
      <c r="L2007" s="27"/>
      <c r="M2007" s="27"/>
      <c r="N2007" s="27"/>
      <c r="O2007" s="24" t="str">
        <f aca="false">IF(G2007="","",VLOOKUP(G2007,Setup!$A$14:$C$17,3,0))</f>
        <v/>
      </c>
      <c r="P2007" s="27"/>
      <c r="Q2007" s="29" t="str">
        <f aca="false">IF(OR(P2007="",M2007&lt;&gt;"Paid",O2007=""),"",P2007/O2007)</f>
        <v/>
      </c>
      <c r="R2007" s="30" t="str">
        <f aca="false">IF(Q2007="","",Q2007+N(H2007)*0.000000001)</f>
        <v/>
      </c>
      <c r="S2007" s="25" t="str">
        <f aca="false">IF(R2007="","",SUMPRODUCT((I$5:I$4004=I2007)*ISNUMBER(R$5:R$4004)*(R$5:R$4004&gt;R2007))+1)</f>
        <v/>
      </c>
      <c r="T2007" s="25" t="str">
        <f aca="false">IF(S2007="","",IF(S2007&lt;=Setup!$B$5,"🏆 WINNER",""))</f>
        <v/>
      </c>
      <c r="U2007" s="24" t="str">
        <f aca="false">IF(S2007="","",I2007&amp;"|"&amp;S2007)</f>
        <v/>
      </c>
    </row>
    <row r="2008" customFormat="false" ht="15" hidden="false" customHeight="false" outlineLevel="0" collapsed="false">
      <c r="A2008" s="31" t="n">
        <v>2004</v>
      </c>
      <c r="B2008" s="32" t="str">
        <f aca="false">IF(OR(C2008="",I2008="",G2008=""),"",IFERROR(VLOOKUP(I2008,Setup!$A$9:$B$11,2,0),"???")&amp;"-"&amp;G2008&amp;"-"&amp;TEXT(COUNTIFS(I$5:I2008,I2008,G$5:G2008,G2008),"0000"))</f>
        <v/>
      </c>
      <c r="C2008" s="26"/>
      <c r="D2008" s="26"/>
      <c r="E2008" s="27"/>
      <c r="F2008" s="27"/>
      <c r="G2008" s="31" t="str">
        <f aca="false">IF(F2008="","",IF(F2008&lt;=5,"A",IF(F2008&lt;=8,"B",IF(F2008&lt;=10,"C","D"))))</f>
        <v/>
      </c>
      <c r="H2008" s="28"/>
      <c r="I2008" s="27"/>
      <c r="J2008" s="26"/>
      <c r="K2008" s="27"/>
      <c r="L2008" s="27"/>
      <c r="M2008" s="27"/>
      <c r="N2008" s="27"/>
      <c r="O2008" s="31" t="str">
        <f aca="false">IF(G2008="","",VLOOKUP(G2008,Setup!$A$14:$C$17,3,0))</f>
        <v/>
      </c>
      <c r="P2008" s="27"/>
      <c r="Q2008" s="33" t="str">
        <f aca="false">IF(OR(P2008="",M2008&lt;&gt;"Paid",O2008=""),"",P2008/O2008)</f>
        <v/>
      </c>
      <c r="R2008" s="34" t="str">
        <f aca="false">IF(Q2008="","",Q2008+N(H2008)*0.000000001)</f>
        <v/>
      </c>
      <c r="S2008" s="32" t="str">
        <f aca="false">IF(R2008="","",SUMPRODUCT((I$5:I$4004=I2008)*ISNUMBER(R$5:R$4004)*(R$5:R$4004&gt;R2008))+1)</f>
        <v/>
      </c>
      <c r="T2008" s="32" t="str">
        <f aca="false">IF(S2008="","",IF(S2008&lt;=Setup!$B$5,"🏆 WINNER",""))</f>
        <v/>
      </c>
      <c r="U2008" s="31" t="str">
        <f aca="false">IF(S2008="","",I2008&amp;"|"&amp;S2008)</f>
        <v/>
      </c>
    </row>
    <row r="2009" customFormat="false" ht="15" hidden="false" customHeight="false" outlineLevel="0" collapsed="false">
      <c r="A2009" s="24" t="n">
        <v>2005</v>
      </c>
      <c r="B2009" s="25" t="str">
        <f aca="false">IF(OR(C2009="",I2009="",G2009=""),"",IFERROR(VLOOKUP(I2009,Setup!$A$9:$B$11,2,0),"???")&amp;"-"&amp;G2009&amp;"-"&amp;TEXT(COUNTIFS(I$5:I2009,I2009,G$5:G2009,G2009),"0000"))</f>
        <v/>
      </c>
      <c r="C2009" s="26"/>
      <c r="D2009" s="26"/>
      <c r="E2009" s="27"/>
      <c r="F2009" s="27"/>
      <c r="G2009" s="24" t="str">
        <f aca="false">IF(F2009="","",IF(F2009&lt;=5,"A",IF(F2009&lt;=8,"B",IF(F2009&lt;=10,"C","D"))))</f>
        <v/>
      </c>
      <c r="H2009" s="28"/>
      <c r="I2009" s="27"/>
      <c r="J2009" s="26"/>
      <c r="K2009" s="27"/>
      <c r="L2009" s="27"/>
      <c r="M2009" s="27"/>
      <c r="N2009" s="27"/>
      <c r="O2009" s="24" t="str">
        <f aca="false">IF(G2009="","",VLOOKUP(G2009,Setup!$A$14:$C$17,3,0))</f>
        <v/>
      </c>
      <c r="P2009" s="27"/>
      <c r="Q2009" s="29" t="str">
        <f aca="false">IF(OR(P2009="",M2009&lt;&gt;"Paid",O2009=""),"",P2009/O2009)</f>
        <v/>
      </c>
      <c r="R2009" s="30" t="str">
        <f aca="false">IF(Q2009="","",Q2009+N(H2009)*0.000000001)</f>
        <v/>
      </c>
      <c r="S2009" s="25" t="str">
        <f aca="false">IF(R2009="","",SUMPRODUCT((I$5:I$4004=I2009)*ISNUMBER(R$5:R$4004)*(R$5:R$4004&gt;R2009))+1)</f>
        <v/>
      </c>
      <c r="T2009" s="25" t="str">
        <f aca="false">IF(S2009="","",IF(S2009&lt;=Setup!$B$5,"🏆 WINNER",""))</f>
        <v/>
      </c>
      <c r="U2009" s="24" t="str">
        <f aca="false">IF(S2009="","",I2009&amp;"|"&amp;S2009)</f>
        <v/>
      </c>
    </row>
    <row r="2010" customFormat="false" ht="15" hidden="false" customHeight="false" outlineLevel="0" collapsed="false">
      <c r="A2010" s="31" t="n">
        <v>2006</v>
      </c>
      <c r="B2010" s="32" t="str">
        <f aca="false">IF(OR(C2010="",I2010="",G2010=""),"",IFERROR(VLOOKUP(I2010,Setup!$A$9:$B$11,2,0),"???")&amp;"-"&amp;G2010&amp;"-"&amp;TEXT(COUNTIFS(I$5:I2010,I2010,G$5:G2010,G2010),"0000"))</f>
        <v/>
      </c>
      <c r="C2010" s="26"/>
      <c r="D2010" s="26"/>
      <c r="E2010" s="27"/>
      <c r="F2010" s="27"/>
      <c r="G2010" s="31" t="str">
        <f aca="false">IF(F2010="","",IF(F2010&lt;=5,"A",IF(F2010&lt;=8,"B",IF(F2010&lt;=10,"C","D"))))</f>
        <v/>
      </c>
      <c r="H2010" s="28"/>
      <c r="I2010" s="27"/>
      <c r="J2010" s="26"/>
      <c r="K2010" s="27"/>
      <c r="L2010" s="27"/>
      <c r="M2010" s="27"/>
      <c r="N2010" s="27"/>
      <c r="O2010" s="31" t="str">
        <f aca="false">IF(G2010="","",VLOOKUP(G2010,Setup!$A$14:$C$17,3,0))</f>
        <v/>
      </c>
      <c r="P2010" s="27"/>
      <c r="Q2010" s="33" t="str">
        <f aca="false">IF(OR(P2010="",M2010&lt;&gt;"Paid",O2010=""),"",P2010/O2010)</f>
        <v/>
      </c>
      <c r="R2010" s="34" t="str">
        <f aca="false">IF(Q2010="","",Q2010+N(H2010)*0.000000001)</f>
        <v/>
      </c>
      <c r="S2010" s="32" t="str">
        <f aca="false">IF(R2010="","",SUMPRODUCT((I$5:I$4004=I2010)*ISNUMBER(R$5:R$4004)*(R$5:R$4004&gt;R2010))+1)</f>
        <v/>
      </c>
      <c r="T2010" s="32" t="str">
        <f aca="false">IF(S2010="","",IF(S2010&lt;=Setup!$B$5,"🏆 WINNER",""))</f>
        <v/>
      </c>
      <c r="U2010" s="31" t="str">
        <f aca="false">IF(S2010="","",I2010&amp;"|"&amp;S2010)</f>
        <v/>
      </c>
    </row>
    <row r="2011" customFormat="false" ht="15" hidden="false" customHeight="false" outlineLevel="0" collapsed="false">
      <c r="A2011" s="24" t="n">
        <v>2007</v>
      </c>
      <c r="B2011" s="25" t="str">
        <f aca="false">IF(OR(C2011="",I2011="",G2011=""),"",IFERROR(VLOOKUP(I2011,Setup!$A$9:$B$11,2,0),"???")&amp;"-"&amp;G2011&amp;"-"&amp;TEXT(COUNTIFS(I$5:I2011,I2011,G$5:G2011,G2011),"0000"))</f>
        <v/>
      </c>
      <c r="C2011" s="26"/>
      <c r="D2011" s="26"/>
      <c r="E2011" s="27"/>
      <c r="F2011" s="27"/>
      <c r="G2011" s="24" t="str">
        <f aca="false">IF(F2011="","",IF(F2011&lt;=5,"A",IF(F2011&lt;=8,"B",IF(F2011&lt;=10,"C","D"))))</f>
        <v/>
      </c>
      <c r="H2011" s="28"/>
      <c r="I2011" s="27"/>
      <c r="J2011" s="26"/>
      <c r="K2011" s="27"/>
      <c r="L2011" s="27"/>
      <c r="M2011" s="27"/>
      <c r="N2011" s="27"/>
      <c r="O2011" s="24" t="str">
        <f aca="false">IF(G2011="","",VLOOKUP(G2011,Setup!$A$14:$C$17,3,0))</f>
        <v/>
      </c>
      <c r="P2011" s="27"/>
      <c r="Q2011" s="29" t="str">
        <f aca="false">IF(OR(P2011="",M2011&lt;&gt;"Paid",O2011=""),"",P2011/O2011)</f>
        <v/>
      </c>
      <c r="R2011" s="30" t="str">
        <f aca="false">IF(Q2011="","",Q2011+N(H2011)*0.000000001)</f>
        <v/>
      </c>
      <c r="S2011" s="25" t="str">
        <f aca="false">IF(R2011="","",SUMPRODUCT((I$5:I$4004=I2011)*ISNUMBER(R$5:R$4004)*(R$5:R$4004&gt;R2011))+1)</f>
        <v/>
      </c>
      <c r="T2011" s="25" t="str">
        <f aca="false">IF(S2011="","",IF(S2011&lt;=Setup!$B$5,"🏆 WINNER",""))</f>
        <v/>
      </c>
      <c r="U2011" s="24" t="str">
        <f aca="false">IF(S2011="","",I2011&amp;"|"&amp;S2011)</f>
        <v/>
      </c>
    </row>
    <row r="2012" customFormat="false" ht="15" hidden="false" customHeight="false" outlineLevel="0" collapsed="false">
      <c r="A2012" s="31" t="n">
        <v>2008</v>
      </c>
      <c r="B2012" s="32" t="str">
        <f aca="false">IF(OR(C2012="",I2012="",G2012=""),"",IFERROR(VLOOKUP(I2012,Setup!$A$9:$B$11,2,0),"???")&amp;"-"&amp;G2012&amp;"-"&amp;TEXT(COUNTIFS(I$5:I2012,I2012,G$5:G2012,G2012),"0000"))</f>
        <v/>
      </c>
      <c r="C2012" s="26"/>
      <c r="D2012" s="26"/>
      <c r="E2012" s="27"/>
      <c r="F2012" s="27"/>
      <c r="G2012" s="31" t="str">
        <f aca="false">IF(F2012="","",IF(F2012&lt;=5,"A",IF(F2012&lt;=8,"B",IF(F2012&lt;=10,"C","D"))))</f>
        <v/>
      </c>
      <c r="H2012" s="28"/>
      <c r="I2012" s="27"/>
      <c r="J2012" s="26"/>
      <c r="K2012" s="27"/>
      <c r="L2012" s="27"/>
      <c r="M2012" s="27"/>
      <c r="N2012" s="27"/>
      <c r="O2012" s="31" t="str">
        <f aca="false">IF(G2012="","",VLOOKUP(G2012,Setup!$A$14:$C$17,3,0))</f>
        <v/>
      </c>
      <c r="P2012" s="27"/>
      <c r="Q2012" s="33" t="str">
        <f aca="false">IF(OR(P2012="",M2012&lt;&gt;"Paid",O2012=""),"",P2012/O2012)</f>
        <v/>
      </c>
      <c r="R2012" s="34" t="str">
        <f aca="false">IF(Q2012="","",Q2012+N(H2012)*0.000000001)</f>
        <v/>
      </c>
      <c r="S2012" s="32" t="str">
        <f aca="false">IF(R2012="","",SUMPRODUCT((I$5:I$4004=I2012)*ISNUMBER(R$5:R$4004)*(R$5:R$4004&gt;R2012))+1)</f>
        <v/>
      </c>
      <c r="T2012" s="32" t="str">
        <f aca="false">IF(S2012="","",IF(S2012&lt;=Setup!$B$5,"🏆 WINNER",""))</f>
        <v/>
      </c>
      <c r="U2012" s="31" t="str">
        <f aca="false">IF(S2012="","",I2012&amp;"|"&amp;S2012)</f>
        <v/>
      </c>
    </row>
    <row r="2013" customFormat="false" ht="15" hidden="false" customHeight="false" outlineLevel="0" collapsed="false">
      <c r="A2013" s="24" t="n">
        <v>2009</v>
      </c>
      <c r="B2013" s="25" t="str">
        <f aca="false">IF(OR(C2013="",I2013="",G2013=""),"",IFERROR(VLOOKUP(I2013,Setup!$A$9:$B$11,2,0),"???")&amp;"-"&amp;G2013&amp;"-"&amp;TEXT(COUNTIFS(I$5:I2013,I2013,G$5:G2013,G2013),"0000"))</f>
        <v/>
      </c>
      <c r="C2013" s="26"/>
      <c r="D2013" s="26"/>
      <c r="E2013" s="27"/>
      <c r="F2013" s="27"/>
      <c r="G2013" s="24" t="str">
        <f aca="false">IF(F2013="","",IF(F2013&lt;=5,"A",IF(F2013&lt;=8,"B",IF(F2013&lt;=10,"C","D"))))</f>
        <v/>
      </c>
      <c r="H2013" s="28"/>
      <c r="I2013" s="27"/>
      <c r="J2013" s="26"/>
      <c r="K2013" s="27"/>
      <c r="L2013" s="27"/>
      <c r="M2013" s="27"/>
      <c r="N2013" s="27"/>
      <c r="O2013" s="24" t="str">
        <f aca="false">IF(G2013="","",VLOOKUP(G2013,Setup!$A$14:$C$17,3,0))</f>
        <v/>
      </c>
      <c r="P2013" s="27"/>
      <c r="Q2013" s="29" t="str">
        <f aca="false">IF(OR(P2013="",M2013&lt;&gt;"Paid",O2013=""),"",P2013/O2013)</f>
        <v/>
      </c>
      <c r="R2013" s="30" t="str">
        <f aca="false">IF(Q2013="","",Q2013+N(H2013)*0.000000001)</f>
        <v/>
      </c>
      <c r="S2013" s="25" t="str">
        <f aca="false">IF(R2013="","",SUMPRODUCT((I$5:I$4004=I2013)*ISNUMBER(R$5:R$4004)*(R$5:R$4004&gt;R2013))+1)</f>
        <v/>
      </c>
      <c r="T2013" s="25" t="str">
        <f aca="false">IF(S2013="","",IF(S2013&lt;=Setup!$B$5,"🏆 WINNER",""))</f>
        <v/>
      </c>
      <c r="U2013" s="24" t="str">
        <f aca="false">IF(S2013="","",I2013&amp;"|"&amp;S2013)</f>
        <v/>
      </c>
    </row>
    <row r="2014" customFormat="false" ht="15" hidden="false" customHeight="false" outlineLevel="0" collapsed="false">
      <c r="A2014" s="31" t="n">
        <v>2010</v>
      </c>
      <c r="B2014" s="32" t="str">
        <f aca="false">IF(OR(C2014="",I2014="",G2014=""),"",IFERROR(VLOOKUP(I2014,Setup!$A$9:$B$11,2,0),"???")&amp;"-"&amp;G2014&amp;"-"&amp;TEXT(COUNTIFS(I$5:I2014,I2014,G$5:G2014,G2014),"0000"))</f>
        <v/>
      </c>
      <c r="C2014" s="26"/>
      <c r="D2014" s="26"/>
      <c r="E2014" s="27"/>
      <c r="F2014" s="27"/>
      <c r="G2014" s="31" t="str">
        <f aca="false">IF(F2014="","",IF(F2014&lt;=5,"A",IF(F2014&lt;=8,"B",IF(F2014&lt;=10,"C","D"))))</f>
        <v/>
      </c>
      <c r="H2014" s="28"/>
      <c r="I2014" s="27"/>
      <c r="J2014" s="26"/>
      <c r="K2014" s="27"/>
      <c r="L2014" s="27"/>
      <c r="M2014" s="27"/>
      <c r="N2014" s="27"/>
      <c r="O2014" s="31" t="str">
        <f aca="false">IF(G2014="","",VLOOKUP(G2014,Setup!$A$14:$C$17,3,0))</f>
        <v/>
      </c>
      <c r="P2014" s="27"/>
      <c r="Q2014" s="33" t="str">
        <f aca="false">IF(OR(P2014="",M2014&lt;&gt;"Paid",O2014=""),"",P2014/O2014)</f>
        <v/>
      </c>
      <c r="R2014" s="34" t="str">
        <f aca="false">IF(Q2014="","",Q2014+N(H2014)*0.000000001)</f>
        <v/>
      </c>
      <c r="S2014" s="32" t="str">
        <f aca="false">IF(R2014="","",SUMPRODUCT((I$5:I$4004=I2014)*ISNUMBER(R$5:R$4004)*(R$5:R$4004&gt;R2014))+1)</f>
        <v/>
      </c>
      <c r="T2014" s="32" t="str">
        <f aca="false">IF(S2014="","",IF(S2014&lt;=Setup!$B$5,"🏆 WINNER",""))</f>
        <v/>
      </c>
      <c r="U2014" s="31" t="str">
        <f aca="false">IF(S2014="","",I2014&amp;"|"&amp;S2014)</f>
        <v/>
      </c>
    </row>
    <row r="2015" customFormat="false" ht="15" hidden="false" customHeight="false" outlineLevel="0" collapsed="false">
      <c r="A2015" s="24" t="n">
        <v>2011</v>
      </c>
      <c r="B2015" s="25" t="str">
        <f aca="false">IF(OR(C2015="",I2015="",G2015=""),"",IFERROR(VLOOKUP(I2015,Setup!$A$9:$B$11,2,0),"???")&amp;"-"&amp;G2015&amp;"-"&amp;TEXT(COUNTIFS(I$5:I2015,I2015,G$5:G2015,G2015),"0000"))</f>
        <v/>
      </c>
      <c r="C2015" s="26"/>
      <c r="D2015" s="26"/>
      <c r="E2015" s="27"/>
      <c r="F2015" s="27"/>
      <c r="G2015" s="24" t="str">
        <f aca="false">IF(F2015="","",IF(F2015&lt;=5,"A",IF(F2015&lt;=8,"B",IF(F2015&lt;=10,"C","D"))))</f>
        <v/>
      </c>
      <c r="H2015" s="28"/>
      <c r="I2015" s="27"/>
      <c r="J2015" s="26"/>
      <c r="K2015" s="27"/>
      <c r="L2015" s="27"/>
      <c r="M2015" s="27"/>
      <c r="N2015" s="27"/>
      <c r="O2015" s="24" t="str">
        <f aca="false">IF(G2015="","",VLOOKUP(G2015,Setup!$A$14:$C$17,3,0))</f>
        <v/>
      </c>
      <c r="P2015" s="27"/>
      <c r="Q2015" s="29" t="str">
        <f aca="false">IF(OR(P2015="",M2015&lt;&gt;"Paid",O2015=""),"",P2015/O2015)</f>
        <v/>
      </c>
      <c r="R2015" s="30" t="str">
        <f aca="false">IF(Q2015="","",Q2015+N(H2015)*0.000000001)</f>
        <v/>
      </c>
      <c r="S2015" s="25" t="str">
        <f aca="false">IF(R2015="","",SUMPRODUCT((I$5:I$4004=I2015)*ISNUMBER(R$5:R$4004)*(R$5:R$4004&gt;R2015))+1)</f>
        <v/>
      </c>
      <c r="T2015" s="25" t="str">
        <f aca="false">IF(S2015="","",IF(S2015&lt;=Setup!$B$5,"🏆 WINNER",""))</f>
        <v/>
      </c>
      <c r="U2015" s="24" t="str">
        <f aca="false">IF(S2015="","",I2015&amp;"|"&amp;S2015)</f>
        <v/>
      </c>
    </row>
    <row r="2016" customFormat="false" ht="15" hidden="false" customHeight="false" outlineLevel="0" collapsed="false">
      <c r="A2016" s="31" t="n">
        <v>2012</v>
      </c>
      <c r="B2016" s="32" t="str">
        <f aca="false">IF(OR(C2016="",I2016="",G2016=""),"",IFERROR(VLOOKUP(I2016,Setup!$A$9:$B$11,2,0),"???")&amp;"-"&amp;G2016&amp;"-"&amp;TEXT(COUNTIFS(I$5:I2016,I2016,G$5:G2016,G2016),"0000"))</f>
        <v/>
      </c>
      <c r="C2016" s="26"/>
      <c r="D2016" s="26"/>
      <c r="E2016" s="27"/>
      <c r="F2016" s="27"/>
      <c r="G2016" s="31" t="str">
        <f aca="false">IF(F2016="","",IF(F2016&lt;=5,"A",IF(F2016&lt;=8,"B",IF(F2016&lt;=10,"C","D"))))</f>
        <v/>
      </c>
      <c r="H2016" s="28"/>
      <c r="I2016" s="27"/>
      <c r="J2016" s="26"/>
      <c r="K2016" s="27"/>
      <c r="L2016" s="27"/>
      <c r="M2016" s="27"/>
      <c r="N2016" s="27"/>
      <c r="O2016" s="31" t="str">
        <f aca="false">IF(G2016="","",VLOOKUP(G2016,Setup!$A$14:$C$17,3,0))</f>
        <v/>
      </c>
      <c r="P2016" s="27"/>
      <c r="Q2016" s="33" t="str">
        <f aca="false">IF(OR(P2016="",M2016&lt;&gt;"Paid",O2016=""),"",P2016/O2016)</f>
        <v/>
      </c>
      <c r="R2016" s="34" t="str">
        <f aca="false">IF(Q2016="","",Q2016+N(H2016)*0.000000001)</f>
        <v/>
      </c>
      <c r="S2016" s="32" t="str">
        <f aca="false">IF(R2016="","",SUMPRODUCT((I$5:I$4004=I2016)*ISNUMBER(R$5:R$4004)*(R$5:R$4004&gt;R2016))+1)</f>
        <v/>
      </c>
      <c r="T2016" s="32" t="str">
        <f aca="false">IF(S2016="","",IF(S2016&lt;=Setup!$B$5,"🏆 WINNER",""))</f>
        <v/>
      </c>
      <c r="U2016" s="31" t="str">
        <f aca="false">IF(S2016="","",I2016&amp;"|"&amp;S2016)</f>
        <v/>
      </c>
    </row>
    <row r="2017" customFormat="false" ht="15" hidden="false" customHeight="false" outlineLevel="0" collapsed="false">
      <c r="A2017" s="24" t="n">
        <v>2013</v>
      </c>
      <c r="B2017" s="25" t="str">
        <f aca="false">IF(OR(C2017="",I2017="",G2017=""),"",IFERROR(VLOOKUP(I2017,Setup!$A$9:$B$11,2,0),"???")&amp;"-"&amp;G2017&amp;"-"&amp;TEXT(COUNTIFS(I$5:I2017,I2017,G$5:G2017,G2017),"0000"))</f>
        <v/>
      </c>
      <c r="C2017" s="26"/>
      <c r="D2017" s="26"/>
      <c r="E2017" s="27"/>
      <c r="F2017" s="27"/>
      <c r="G2017" s="24" t="str">
        <f aca="false">IF(F2017="","",IF(F2017&lt;=5,"A",IF(F2017&lt;=8,"B",IF(F2017&lt;=10,"C","D"))))</f>
        <v/>
      </c>
      <c r="H2017" s="28"/>
      <c r="I2017" s="27"/>
      <c r="J2017" s="26"/>
      <c r="K2017" s="27"/>
      <c r="L2017" s="27"/>
      <c r="M2017" s="27"/>
      <c r="N2017" s="27"/>
      <c r="O2017" s="24" t="str">
        <f aca="false">IF(G2017="","",VLOOKUP(G2017,Setup!$A$14:$C$17,3,0))</f>
        <v/>
      </c>
      <c r="P2017" s="27"/>
      <c r="Q2017" s="29" t="str">
        <f aca="false">IF(OR(P2017="",M2017&lt;&gt;"Paid",O2017=""),"",P2017/O2017)</f>
        <v/>
      </c>
      <c r="R2017" s="30" t="str">
        <f aca="false">IF(Q2017="","",Q2017+N(H2017)*0.000000001)</f>
        <v/>
      </c>
      <c r="S2017" s="25" t="str">
        <f aca="false">IF(R2017="","",SUMPRODUCT((I$5:I$4004=I2017)*ISNUMBER(R$5:R$4004)*(R$5:R$4004&gt;R2017))+1)</f>
        <v/>
      </c>
      <c r="T2017" s="25" t="str">
        <f aca="false">IF(S2017="","",IF(S2017&lt;=Setup!$B$5,"🏆 WINNER",""))</f>
        <v/>
      </c>
      <c r="U2017" s="24" t="str">
        <f aca="false">IF(S2017="","",I2017&amp;"|"&amp;S2017)</f>
        <v/>
      </c>
    </row>
    <row r="2018" customFormat="false" ht="15" hidden="false" customHeight="false" outlineLevel="0" collapsed="false">
      <c r="A2018" s="31" t="n">
        <v>2014</v>
      </c>
      <c r="B2018" s="32" t="str">
        <f aca="false">IF(OR(C2018="",I2018="",G2018=""),"",IFERROR(VLOOKUP(I2018,Setup!$A$9:$B$11,2,0),"???")&amp;"-"&amp;G2018&amp;"-"&amp;TEXT(COUNTIFS(I$5:I2018,I2018,G$5:G2018,G2018),"0000"))</f>
        <v/>
      </c>
      <c r="C2018" s="26"/>
      <c r="D2018" s="26"/>
      <c r="E2018" s="27"/>
      <c r="F2018" s="27"/>
      <c r="G2018" s="31" t="str">
        <f aca="false">IF(F2018="","",IF(F2018&lt;=5,"A",IF(F2018&lt;=8,"B",IF(F2018&lt;=10,"C","D"))))</f>
        <v/>
      </c>
      <c r="H2018" s="28"/>
      <c r="I2018" s="27"/>
      <c r="J2018" s="26"/>
      <c r="K2018" s="27"/>
      <c r="L2018" s="27"/>
      <c r="M2018" s="27"/>
      <c r="N2018" s="27"/>
      <c r="O2018" s="31" t="str">
        <f aca="false">IF(G2018="","",VLOOKUP(G2018,Setup!$A$14:$C$17,3,0))</f>
        <v/>
      </c>
      <c r="P2018" s="27"/>
      <c r="Q2018" s="33" t="str">
        <f aca="false">IF(OR(P2018="",M2018&lt;&gt;"Paid",O2018=""),"",P2018/O2018)</f>
        <v/>
      </c>
      <c r="R2018" s="34" t="str">
        <f aca="false">IF(Q2018="","",Q2018+N(H2018)*0.000000001)</f>
        <v/>
      </c>
      <c r="S2018" s="32" t="str">
        <f aca="false">IF(R2018="","",SUMPRODUCT((I$5:I$4004=I2018)*ISNUMBER(R$5:R$4004)*(R$5:R$4004&gt;R2018))+1)</f>
        <v/>
      </c>
      <c r="T2018" s="32" t="str">
        <f aca="false">IF(S2018="","",IF(S2018&lt;=Setup!$B$5,"🏆 WINNER",""))</f>
        <v/>
      </c>
      <c r="U2018" s="31" t="str">
        <f aca="false">IF(S2018="","",I2018&amp;"|"&amp;S2018)</f>
        <v/>
      </c>
    </row>
    <row r="2019" customFormat="false" ht="15" hidden="false" customHeight="false" outlineLevel="0" collapsed="false">
      <c r="A2019" s="24" t="n">
        <v>2015</v>
      </c>
      <c r="B2019" s="25" t="str">
        <f aca="false">IF(OR(C2019="",I2019="",G2019=""),"",IFERROR(VLOOKUP(I2019,Setup!$A$9:$B$11,2,0),"???")&amp;"-"&amp;G2019&amp;"-"&amp;TEXT(COUNTIFS(I$5:I2019,I2019,G$5:G2019,G2019),"0000"))</f>
        <v/>
      </c>
      <c r="C2019" s="26"/>
      <c r="D2019" s="26"/>
      <c r="E2019" s="27"/>
      <c r="F2019" s="27"/>
      <c r="G2019" s="24" t="str">
        <f aca="false">IF(F2019="","",IF(F2019&lt;=5,"A",IF(F2019&lt;=8,"B",IF(F2019&lt;=10,"C","D"))))</f>
        <v/>
      </c>
      <c r="H2019" s="28"/>
      <c r="I2019" s="27"/>
      <c r="J2019" s="26"/>
      <c r="K2019" s="27"/>
      <c r="L2019" s="27"/>
      <c r="M2019" s="27"/>
      <c r="N2019" s="27"/>
      <c r="O2019" s="24" t="str">
        <f aca="false">IF(G2019="","",VLOOKUP(G2019,Setup!$A$14:$C$17,3,0))</f>
        <v/>
      </c>
      <c r="P2019" s="27"/>
      <c r="Q2019" s="29" t="str">
        <f aca="false">IF(OR(P2019="",M2019&lt;&gt;"Paid",O2019=""),"",P2019/O2019)</f>
        <v/>
      </c>
      <c r="R2019" s="30" t="str">
        <f aca="false">IF(Q2019="","",Q2019+N(H2019)*0.000000001)</f>
        <v/>
      </c>
      <c r="S2019" s="25" t="str">
        <f aca="false">IF(R2019="","",SUMPRODUCT((I$5:I$4004=I2019)*ISNUMBER(R$5:R$4004)*(R$5:R$4004&gt;R2019))+1)</f>
        <v/>
      </c>
      <c r="T2019" s="25" t="str">
        <f aca="false">IF(S2019="","",IF(S2019&lt;=Setup!$B$5,"🏆 WINNER",""))</f>
        <v/>
      </c>
      <c r="U2019" s="24" t="str">
        <f aca="false">IF(S2019="","",I2019&amp;"|"&amp;S2019)</f>
        <v/>
      </c>
    </row>
    <row r="2020" customFormat="false" ht="15" hidden="false" customHeight="false" outlineLevel="0" collapsed="false">
      <c r="A2020" s="31" t="n">
        <v>2016</v>
      </c>
      <c r="B2020" s="32" t="str">
        <f aca="false">IF(OR(C2020="",I2020="",G2020=""),"",IFERROR(VLOOKUP(I2020,Setup!$A$9:$B$11,2,0),"???")&amp;"-"&amp;G2020&amp;"-"&amp;TEXT(COUNTIFS(I$5:I2020,I2020,G$5:G2020,G2020),"0000"))</f>
        <v/>
      </c>
      <c r="C2020" s="26"/>
      <c r="D2020" s="26"/>
      <c r="E2020" s="27"/>
      <c r="F2020" s="27"/>
      <c r="G2020" s="31" t="str">
        <f aca="false">IF(F2020="","",IF(F2020&lt;=5,"A",IF(F2020&lt;=8,"B",IF(F2020&lt;=10,"C","D"))))</f>
        <v/>
      </c>
      <c r="H2020" s="28"/>
      <c r="I2020" s="27"/>
      <c r="J2020" s="26"/>
      <c r="K2020" s="27"/>
      <c r="L2020" s="27"/>
      <c r="M2020" s="27"/>
      <c r="N2020" s="27"/>
      <c r="O2020" s="31" t="str">
        <f aca="false">IF(G2020="","",VLOOKUP(G2020,Setup!$A$14:$C$17,3,0))</f>
        <v/>
      </c>
      <c r="P2020" s="27"/>
      <c r="Q2020" s="33" t="str">
        <f aca="false">IF(OR(P2020="",M2020&lt;&gt;"Paid",O2020=""),"",P2020/O2020)</f>
        <v/>
      </c>
      <c r="R2020" s="34" t="str">
        <f aca="false">IF(Q2020="","",Q2020+N(H2020)*0.000000001)</f>
        <v/>
      </c>
      <c r="S2020" s="32" t="str">
        <f aca="false">IF(R2020="","",SUMPRODUCT((I$5:I$4004=I2020)*ISNUMBER(R$5:R$4004)*(R$5:R$4004&gt;R2020))+1)</f>
        <v/>
      </c>
      <c r="T2020" s="32" t="str">
        <f aca="false">IF(S2020="","",IF(S2020&lt;=Setup!$B$5,"🏆 WINNER",""))</f>
        <v/>
      </c>
      <c r="U2020" s="31" t="str">
        <f aca="false">IF(S2020="","",I2020&amp;"|"&amp;S2020)</f>
        <v/>
      </c>
    </row>
    <row r="2021" customFormat="false" ht="15" hidden="false" customHeight="false" outlineLevel="0" collapsed="false">
      <c r="A2021" s="24" t="n">
        <v>2017</v>
      </c>
      <c r="B2021" s="25" t="str">
        <f aca="false">IF(OR(C2021="",I2021="",G2021=""),"",IFERROR(VLOOKUP(I2021,Setup!$A$9:$B$11,2,0),"???")&amp;"-"&amp;G2021&amp;"-"&amp;TEXT(COUNTIFS(I$5:I2021,I2021,G$5:G2021,G2021),"0000"))</f>
        <v/>
      </c>
      <c r="C2021" s="26"/>
      <c r="D2021" s="26"/>
      <c r="E2021" s="27"/>
      <c r="F2021" s="27"/>
      <c r="G2021" s="24" t="str">
        <f aca="false">IF(F2021="","",IF(F2021&lt;=5,"A",IF(F2021&lt;=8,"B",IF(F2021&lt;=10,"C","D"))))</f>
        <v/>
      </c>
      <c r="H2021" s="28"/>
      <c r="I2021" s="27"/>
      <c r="J2021" s="26"/>
      <c r="K2021" s="27"/>
      <c r="L2021" s="27"/>
      <c r="M2021" s="27"/>
      <c r="N2021" s="27"/>
      <c r="O2021" s="24" t="str">
        <f aca="false">IF(G2021="","",VLOOKUP(G2021,Setup!$A$14:$C$17,3,0))</f>
        <v/>
      </c>
      <c r="P2021" s="27"/>
      <c r="Q2021" s="29" t="str">
        <f aca="false">IF(OR(P2021="",M2021&lt;&gt;"Paid",O2021=""),"",P2021/O2021)</f>
        <v/>
      </c>
      <c r="R2021" s="30" t="str">
        <f aca="false">IF(Q2021="","",Q2021+N(H2021)*0.000000001)</f>
        <v/>
      </c>
      <c r="S2021" s="25" t="str">
        <f aca="false">IF(R2021="","",SUMPRODUCT((I$5:I$4004=I2021)*ISNUMBER(R$5:R$4004)*(R$5:R$4004&gt;R2021))+1)</f>
        <v/>
      </c>
      <c r="T2021" s="25" t="str">
        <f aca="false">IF(S2021="","",IF(S2021&lt;=Setup!$B$5,"🏆 WINNER",""))</f>
        <v/>
      </c>
      <c r="U2021" s="24" t="str">
        <f aca="false">IF(S2021="","",I2021&amp;"|"&amp;S2021)</f>
        <v/>
      </c>
    </row>
    <row r="2022" customFormat="false" ht="15" hidden="false" customHeight="false" outlineLevel="0" collapsed="false">
      <c r="A2022" s="31" t="n">
        <v>2018</v>
      </c>
      <c r="B2022" s="32" t="str">
        <f aca="false">IF(OR(C2022="",I2022="",G2022=""),"",IFERROR(VLOOKUP(I2022,Setup!$A$9:$B$11,2,0),"???")&amp;"-"&amp;G2022&amp;"-"&amp;TEXT(COUNTIFS(I$5:I2022,I2022,G$5:G2022,G2022),"0000"))</f>
        <v/>
      </c>
      <c r="C2022" s="26"/>
      <c r="D2022" s="26"/>
      <c r="E2022" s="27"/>
      <c r="F2022" s="27"/>
      <c r="G2022" s="31" t="str">
        <f aca="false">IF(F2022="","",IF(F2022&lt;=5,"A",IF(F2022&lt;=8,"B",IF(F2022&lt;=10,"C","D"))))</f>
        <v/>
      </c>
      <c r="H2022" s="28"/>
      <c r="I2022" s="27"/>
      <c r="J2022" s="26"/>
      <c r="K2022" s="27"/>
      <c r="L2022" s="27"/>
      <c r="M2022" s="27"/>
      <c r="N2022" s="27"/>
      <c r="O2022" s="31" t="str">
        <f aca="false">IF(G2022="","",VLOOKUP(G2022,Setup!$A$14:$C$17,3,0))</f>
        <v/>
      </c>
      <c r="P2022" s="27"/>
      <c r="Q2022" s="33" t="str">
        <f aca="false">IF(OR(P2022="",M2022&lt;&gt;"Paid",O2022=""),"",P2022/O2022)</f>
        <v/>
      </c>
      <c r="R2022" s="34" t="str">
        <f aca="false">IF(Q2022="","",Q2022+N(H2022)*0.000000001)</f>
        <v/>
      </c>
      <c r="S2022" s="32" t="str">
        <f aca="false">IF(R2022="","",SUMPRODUCT((I$5:I$4004=I2022)*ISNUMBER(R$5:R$4004)*(R$5:R$4004&gt;R2022))+1)</f>
        <v/>
      </c>
      <c r="T2022" s="32" t="str">
        <f aca="false">IF(S2022="","",IF(S2022&lt;=Setup!$B$5,"🏆 WINNER",""))</f>
        <v/>
      </c>
      <c r="U2022" s="31" t="str">
        <f aca="false">IF(S2022="","",I2022&amp;"|"&amp;S2022)</f>
        <v/>
      </c>
    </row>
    <row r="2023" customFormat="false" ht="15" hidden="false" customHeight="false" outlineLevel="0" collapsed="false">
      <c r="A2023" s="24" t="n">
        <v>2019</v>
      </c>
      <c r="B2023" s="25" t="str">
        <f aca="false">IF(OR(C2023="",I2023="",G2023=""),"",IFERROR(VLOOKUP(I2023,Setup!$A$9:$B$11,2,0),"???")&amp;"-"&amp;G2023&amp;"-"&amp;TEXT(COUNTIFS(I$5:I2023,I2023,G$5:G2023,G2023),"0000"))</f>
        <v/>
      </c>
      <c r="C2023" s="26"/>
      <c r="D2023" s="26"/>
      <c r="E2023" s="27"/>
      <c r="F2023" s="27"/>
      <c r="G2023" s="24" t="str">
        <f aca="false">IF(F2023="","",IF(F2023&lt;=5,"A",IF(F2023&lt;=8,"B",IF(F2023&lt;=10,"C","D"))))</f>
        <v/>
      </c>
      <c r="H2023" s="28"/>
      <c r="I2023" s="27"/>
      <c r="J2023" s="26"/>
      <c r="K2023" s="27"/>
      <c r="L2023" s="27"/>
      <c r="M2023" s="27"/>
      <c r="N2023" s="27"/>
      <c r="O2023" s="24" t="str">
        <f aca="false">IF(G2023="","",VLOOKUP(G2023,Setup!$A$14:$C$17,3,0))</f>
        <v/>
      </c>
      <c r="P2023" s="27"/>
      <c r="Q2023" s="29" t="str">
        <f aca="false">IF(OR(P2023="",M2023&lt;&gt;"Paid",O2023=""),"",P2023/O2023)</f>
        <v/>
      </c>
      <c r="R2023" s="30" t="str">
        <f aca="false">IF(Q2023="","",Q2023+N(H2023)*0.000000001)</f>
        <v/>
      </c>
      <c r="S2023" s="25" t="str">
        <f aca="false">IF(R2023="","",SUMPRODUCT((I$5:I$4004=I2023)*ISNUMBER(R$5:R$4004)*(R$5:R$4004&gt;R2023))+1)</f>
        <v/>
      </c>
      <c r="T2023" s="25" t="str">
        <f aca="false">IF(S2023="","",IF(S2023&lt;=Setup!$B$5,"🏆 WINNER",""))</f>
        <v/>
      </c>
      <c r="U2023" s="24" t="str">
        <f aca="false">IF(S2023="","",I2023&amp;"|"&amp;S2023)</f>
        <v/>
      </c>
    </row>
    <row r="2024" customFormat="false" ht="15" hidden="false" customHeight="false" outlineLevel="0" collapsed="false">
      <c r="A2024" s="31" t="n">
        <v>2020</v>
      </c>
      <c r="B2024" s="32" t="str">
        <f aca="false">IF(OR(C2024="",I2024="",G2024=""),"",IFERROR(VLOOKUP(I2024,Setup!$A$9:$B$11,2,0),"???")&amp;"-"&amp;G2024&amp;"-"&amp;TEXT(COUNTIFS(I$5:I2024,I2024,G$5:G2024,G2024),"0000"))</f>
        <v/>
      </c>
      <c r="C2024" s="26"/>
      <c r="D2024" s="26"/>
      <c r="E2024" s="27"/>
      <c r="F2024" s="27"/>
      <c r="G2024" s="31" t="str">
        <f aca="false">IF(F2024="","",IF(F2024&lt;=5,"A",IF(F2024&lt;=8,"B",IF(F2024&lt;=10,"C","D"))))</f>
        <v/>
      </c>
      <c r="H2024" s="28"/>
      <c r="I2024" s="27"/>
      <c r="J2024" s="26"/>
      <c r="K2024" s="27"/>
      <c r="L2024" s="27"/>
      <c r="M2024" s="27"/>
      <c r="N2024" s="27"/>
      <c r="O2024" s="31" t="str">
        <f aca="false">IF(G2024="","",VLOOKUP(G2024,Setup!$A$14:$C$17,3,0))</f>
        <v/>
      </c>
      <c r="P2024" s="27"/>
      <c r="Q2024" s="33" t="str">
        <f aca="false">IF(OR(P2024="",M2024&lt;&gt;"Paid",O2024=""),"",P2024/O2024)</f>
        <v/>
      </c>
      <c r="R2024" s="34" t="str">
        <f aca="false">IF(Q2024="","",Q2024+N(H2024)*0.000000001)</f>
        <v/>
      </c>
      <c r="S2024" s="32" t="str">
        <f aca="false">IF(R2024="","",SUMPRODUCT((I$5:I$4004=I2024)*ISNUMBER(R$5:R$4004)*(R$5:R$4004&gt;R2024))+1)</f>
        <v/>
      </c>
      <c r="T2024" s="32" t="str">
        <f aca="false">IF(S2024="","",IF(S2024&lt;=Setup!$B$5,"🏆 WINNER",""))</f>
        <v/>
      </c>
      <c r="U2024" s="31" t="str">
        <f aca="false">IF(S2024="","",I2024&amp;"|"&amp;S2024)</f>
        <v/>
      </c>
    </row>
    <row r="2025" customFormat="false" ht="15" hidden="false" customHeight="false" outlineLevel="0" collapsed="false">
      <c r="A2025" s="24" t="n">
        <v>2021</v>
      </c>
      <c r="B2025" s="25" t="str">
        <f aca="false">IF(OR(C2025="",I2025="",G2025=""),"",IFERROR(VLOOKUP(I2025,Setup!$A$9:$B$11,2,0),"???")&amp;"-"&amp;G2025&amp;"-"&amp;TEXT(COUNTIFS(I$5:I2025,I2025,G$5:G2025,G2025),"0000"))</f>
        <v/>
      </c>
      <c r="C2025" s="26"/>
      <c r="D2025" s="26"/>
      <c r="E2025" s="27"/>
      <c r="F2025" s="27"/>
      <c r="G2025" s="24" t="str">
        <f aca="false">IF(F2025="","",IF(F2025&lt;=5,"A",IF(F2025&lt;=8,"B",IF(F2025&lt;=10,"C","D"))))</f>
        <v/>
      </c>
      <c r="H2025" s="28"/>
      <c r="I2025" s="27"/>
      <c r="J2025" s="26"/>
      <c r="K2025" s="27"/>
      <c r="L2025" s="27"/>
      <c r="M2025" s="27"/>
      <c r="N2025" s="27"/>
      <c r="O2025" s="24" t="str">
        <f aca="false">IF(G2025="","",VLOOKUP(G2025,Setup!$A$14:$C$17,3,0))</f>
        <v/>
      </c>
      <c r="P2025" s="27"/>
      <c r="Q2025" s="29" t="str">
        <f aca="false">IF(OR(P2025="",M2025&lt;&gt;"Paid",O2025=""),"",P2025/O2025)</f>
        <v/>
      </c>
      <c r="R2025" s="30" t="str">
        <f aca="false">IF(Q2025="","",Q2025+N(H2025)*0.000000001)</f>
        <v/>
      </c>
      <c r="S2025" s="25" t="str">
        <f aca="false">IF(R2025="","",SUMPRODUCT((I$5:I$4004=I2025)*ISNUMBER(R$5:R$4004)*(R$5:R$4004&gt;R2025))+1)</f>
        <v/>
      </c>
      <c r="T2025" s="25" t="str">
        <f aca="false">IF(S2025="","",IF(S2025&lt;=Setup!$B$5,"🏆 WINNER",""))</f>
        <v/>
      </c>
      <c r="U2025" s="24" t="str">
        <f aca="false">IF(S2025="","",I2025&amp;"|"&amp;S2025)</f>
        <v/>
      </c>
    </row>
    <row r="2026" customFormat="false" ht="15" hidden="false" customHeight="false" outlineLevel="0" collapsed="false">
      <c r="A2026" s="31" t="n">
        <v>2022</v>
      </c>
      <c r="B2026" s="32" t="str">
        <f aca="false">IF(OR(C2026="",I2026="",G2026=""),"",IFERROR(VLOOKUP(I2026,Setup!$A$9:$B$11,2,0),"???")&amp;"-"&amp;G2026&amp;"-"&amp;TEXT(COUNTIFS(I$5:I2026,I2026,G$5:G2026,G2026),"0000"))</f>
        <v/>
      </c>
      <c r="C2026" s="26"/>
      <c r="D2026" s="26"/>
      <c r="E2026" s="27"/>
      <c r="F2026" s="27"/>
      <c r="G2026" s="31" t="str">
        <f aca="false">IF(F2026="","",IF(F2026&lt;=5,"A",IF(F2026&lt;=8,"B",IF(F2026&lt;=10,"C","D"))))</f>
        <v/>
      </c>
      <c r="H2026" s="28"/>
      <c r="I2026" s="27"/>
      <c r="J2026" s="26"/>
      <c r="K2026" s="27"/>
      <c r="L2026" s="27"/>
      <c r="M2026" s="27"/>
      <c r="N2026" s="27"/>
      <c r="O2026" s="31" t="str">
        <f aca="false">IF(G2026="","",VLOOKUP(G2026,Setup!$A$14:$C$17,3,0))</f>
        <v/>
      </c>
      <c r="P2026" s="27"/>
      <c r="Q2026" s="33" t="str">
        <f aca="false">IF(OR(P2026="",M2026&lt;&gt;"Paid",O2026=""),"",P2026/O2026)</f>
        <v/>
      </c>
      <c r="R2026" s="34" t="str">
        <f aca="false">IF(Q2026="","",Q2026+N(H2026)*0.000000001)</f>
        <v/>
      </c>
      <c r="S2026" s="32" t="str">
        <f aca="false">IF(R2026="","",SUMPRODUCT((I$5:I$4004=I2026)*ISNUMBER(R$5:R$4004)*(R$5:R$4004&gt;R2026))+1)</f>
        <v/>
      </c>
      <c r="T2026" s="32" t="str">
        <f aca="false">IF(S2026="","",IF(S2026&lt;=Setup!$B$5,"🏆 WINNER",""))</f>
        <v/>
      </c>
      <c r="U2026" s="31" t="str">
        <f aca="false">IF(S2026="","",I2026&amp;"|"&amp;S2026)</f>
        <v/>
      </c>
    </row>
    <row r="2027" customFormat="false" ht="15" hidden="false" customHeight="false" outlineLevel="0" collapsed="false">
      <c r="A2027" s="24" t="n">
        <v>2023</v>
      </c>
      <c r="B2027" s="25" t="str">
        <f aca="false">IF(OR(C2027="",I2027="",G2027=""),"",IFERROR(VLOOKUP(I2027,Setup!$A$9:$B$11,2,0),"???")&amp;"-"&amp;G2027&amp;"-"&amp;TEXT(COUNTIFS(I$5:I2027,I2027,G$5:G2027,G2027),"0000"))</f>
        <v/>
      </c>
      <c r="C2027" s="26"/>
      <c r="D2027" s="26"/>
      <c r="E2027" s="27"/>
      <c r="F2027" s="27"/>
      <c r="G2027" s="24" t="str">
        <f aca="false">IF(F2027="","",IF(F2027&lt;=5,"A",IF(F2027&lt;=8,"B",IF(F2027&lt;=10,"C","D"))))</f>
        <v/>
      </c>
      <c r="H2027" s="28"/>
      <c r="I2027" s="27"/>
      <c r="J2027" s="26"/>
      <c r="K2027" s="27"/>
      <c r="L2027" s="27"/>
      <c r="M2027" s="27"/>
      <c r="N2027" s="27"/>
      <c r="O2027" s="24" t="str">
        <f aca="false">IF(G2027="","",VLOOKUP(G2027,Setup!$A$14:$C$17,3,0))</f>
        <v/>
      </c>
      <c r="P2027" s="27"/>
      <c r="Q2027" s="29" t="str">
        <f aca="false">IF(OR(P2027="",M2027&lt;&gt;"Paid",O2027=""),"",P2027/O2027)</f>
        <v/>
      </c>
      <c r="R2027" s="30" t="str">
        <f aca="false">IF(Q2027="","",Q2027+N(H2027)*0.000000001)</f>
        <v/>
      </c>
      <c r="S2027" s="25" t="str">
        <f aca="false">IF(R2027="","",SUMPRODUCT((I$5:I$4004=I2027)*ISNUMBER(R$5:R$4004)*(R$5:R$4004&gt;R2027))+1)</f>
        <v/>
      </c>
      <c r="T2027" s="25" t="str">
        <f aca="false">IF(S2027="","",IF(S2027&lt;=Setup!$B$5,"🏆 WINNER",""))</f>
        <v/>
      </c>
      <c r="U2027" s="24" t="str">
        <f aca="false">IF(S2027="","",I2027&amp;"|"&amp;S2027)</f>
        <v/>
      </c>
    </row>
    <row r="2028" customFormat="false" ht="15" hidden="false" customHeight="false" outlineLevel="0" collapsed="false">
      <c r="A2028" s="31" t="n">
        <v>2024</v>
      </c>
      <c r="B2028" s="32" t="str">
        <f aca="false">IF(OR(C2028="",I2028="",G2028=""),"",IFERROR(VLOOKUP(I2028,Setup!$A$9:$B$11,2,0),"???")&amp;"-"&amp;G2028&amp;"-"&amp;TEXT(COUNTIFS(I$5:I2028,I2028,G$5:G2028,G2028),"0000"))</f>
        <v/>
      </c>
      <c r="C2028" s="26"/>
      <c r="D2028" s="26"/>
      <c r="E2028" s="27"/>
      <c r="F2028" s="27"/>
      <c r="G2028" s="31" t="str">
        <f aca="false">IF(F2028="","",IF(F2028&lt;=5,"A",IF(F2028&lt;=8,"B",IF(F2028&lt;=10,"C","D"))))</f>
        <v/>
      </c>
      <c r="H2028" s="28"/>
      <c r="I2028" s="27"/>
      <c r="J2028" s="26"/>
      <c r="K2028" s="27"/>
      <c r="L2028" s="27"/>
      <c r="M2028" s="27"/>
      <c r="N2028" s="27"/>
      <c r="O2028" s="31" t="str">
        <f aca="false">IF(G2028="","",VLOOKUP(G2028,Setup!$A$14:$C$17,3,0))</f>
        <v/>
      </c>
      <c r="P2028" s="27"/>
      <c r="Q2028" s="33" t="str">
        <f aca="false">IF(OR(P2028="",M2028&lt;&gt;"Paid",O2028=""),"",P2028/O2028)</f>
        <v/>
      </c>
      <c r="R2028" s="34" t="str">
        <f aca="false">IF(Q2028="","",Q2028+N(H2028)*0.000000001)</f>
        <v/>
      </c>
      <c r="S2028" s="32" t="str">
        <f aca="false">IF(R2028="","",SUMPRODUCT((I$5:I$4004=I2028)*ISNUMBER(R$5:R$4004)*(R$5:R$4004&gt;R2028))+1)</f>
        <v/>
      </c>
      <c r="T2028" s="32" t="str">
        <f aca="false">IF(S2028="","",IF(S2028&lt;=Setup!$B$5,"🏆 WINNER",""))</f>
        <v/>
      </c>
      <c r="U2028" s="31" t="str">
        <f aca="false">IF(S2028="","",I2028&amp;"|"&amp;S2028)</f>
        <v/>
      </c>
    </row>
    <row r="2029" customFormat="false" ht="15" hidden="false" customHeight="false" outlineLevel="0" collapsed="false">
      <c r="A2029" s="24" t="n">
        <v>2025</v>
      </c>
      <c r="B2029" s="25" t="str">
        <f aca="false">IF(OR(C2029="",I2029="",G2029=""),"",IFERROR(VLOOKUP(I2029,Setup!$A$9:$B$11,2,0),"???")&amp;"-"&amp;G2029&amp;"-"&amp;TEXT(COUNTIFS(I$5:I2029,I2029,G$5:G2029,G2029),"0000"))</f>
        <v/>
      </c>
      <c r="C2029" s="26"/>
      <c r="D2029" s="26"/>
      <c r="E2029" s="27"/>
      <c r="F2029" s="27"/>
      <c r="G2029" s="24" t="str">
        <f aca="false">IF(F2029="","",IF(F2029&lt;=5,"A",IF(F2029&lt;=8,"B",IF(F2029&lt;=10,"C","D"))))</f>
        <v/>
      </c>
      <c r="H2029" s="28"/>
      <c r="I2029" s="27"/>
      <c r="J2029" s="26"/>
      <c r="K2029" s="27"/>
      <c r="L2029" s="27"/>
      <c r="M2029" s="27"/>
      <c r="N2029" s="27"/>
      <c r="O2029" s="24" t="str">
        <f aca="false">IF(G2029="","",VLOOKUP(G2029,Setup!$A$14:$C$17,3,0))</f>
        <v/>
      </c>
      <c r="P2029" s="27"/>
      <c r="Q2029" s="29" t="str">
        <f aca="false">IF(OR(P2029="",M2029&lt;&gt;"Paid",O2029=""),"",P2029/O2029)</f>
        <v/>
      </c>
      <c r="R2029" s="30" t="str">
        <f aca="false">IF(Q2029="","",Q2029+N(H2029)*0.000000001)</f>
        <v/>
      </c>
      <c r="S2029" s="25" t="str">
        <f aca="false">IF(R2029="","",SUMPRODUCT((I$5:I$4004=I2029)*ISNUMBER(R$5:R$4004)*(R$5:R$4004&gt;R2029))+1)</f>
        <v/>
      </c>
      <c r="T2029" s="25" t="str">
        <f aca="false">IF(S2029="","",IF(S2029&lt;=Setup!$B$5,"🏆 WINNER",""))</f>
        <v/>
      </c>
      <c r="U2029" s="24" t="str">
        <f aca="false">IF(S2029="","",I2029&amp;"|"&amp;S2029)</f>
        <v/>
      </c>
    </row>
    <row r="2030" customFormat="false" ht="15" hidden="false" customHeight="false" outlineLevel="0" collapsed="false">
      <c r="A2030" s="31" t="n">
        <v>2026</v>
      </c>
      <c r="B2030" s="32" t="str">
        <f aca="false">IF(OR(C2030="",I2030="",G2030=""),"",IFERROR(VLOOKUP(I2030,Setup!$A$9:$B$11,2,0),"???")&amp;"-"&amp;G2030&amp;"-"&amp;TEXT(COUNTIFS(I$5:I2030,I2030,G$5:G2030,G2030),"0000"))</f>
        <v/>
      </c>
      <c r="C2030" s="26"/>
      <c r="D2030" s="26"/>
      <c r="E2030" s="27"/>
      <c r="F2030" s="27"/>
      <c r="G2030" s="31" t="str">
        <f aca="false">IF(F2030="","",IF(F2030&lt;=5,"A",IF(F2030&lt;=8,"B",IF(F2030&lt;=10,"C","D"))))</f>
        <v/>
      </c>
      <c r="H2030" s="28"/>
      <c r="I2030" s="27"/>
      <c r="J2030" s="26"/>
      <c r="K2030" s="27"/>
      <c r="L2030" s="27"/>
      <c r="M2030" s="27"/>
      <c r="N2030" s="27"/>
      <c r="O2030" s="31" t="str">
        <f aca="false">IF(G2030="","",VLOOKUP(G2030,Setup!$A$14:$C$17,3,0))</f>
        <v/>
      </c>
      <c r="P2030" s="27"/>
      <c r="Q2030" s="33" t="str">
        <f aca="false">IF(OR(P2030="",M2030&lt;&gt;"Paid",O2030=""),"",P2030/O2030)</f>
        <v/>
      </c>
      <c r="R2030" s="34" t="str">
        <f aca="false">IF(Q2030="","",Q2030+N(H2030)*0.000000001)</f>
        <v/>
      </c>
      <c r="S2030" s="32" t="str">
        <f aca="false">IF(R2030="","",SUMPRODUCT((I$5:I$4004=I2030)*ISNUMBER(R$5:R$4004)*(R$5:R$4004&gt;R2030))+1)</f>
        <v/>
      </c>
      <c r="T2030" s="32" t="str">
        <f aca="false">IF(S2030="","",IF(S2030&lt;=Setup!$B$5,"🏆 WINNER",""))</f>
        <v/>
      </c>
      <c r="U2030" s="31" t="str">
        <f aca="false">IF(S2030="","",I2030&amp;"|"&amp;S2030)</f>
        <v/>
      </c>
    </row>
    <row r="2031" customFormat="false" ht="15" hidden="false" customHeight="false" outlineLevel="0" collapsed="false">
      <c r="A2031" s="24" t="n">
        <v>2027</v>
      </c>
      <c r="B2031" s="25" t="str">
        <f aca="false">IF(OR(C2031="",I2031="",G2031=""),"",IFERROR(VLOOKUP(I2031,Setup!$A$9:$B$11,2,0),"???")&amp;"-"&amp;G2031&amp;"-"&amp;TEXT(COUNTIFS(I$5:I2031,I2031,G$5:G2031,G2031),"0000"))</f>
        <v/>
      </c>
      <c r="C2031" s="26"/>
      <c r="D2031" s="26"/>
      <c r="E2031" s="27"/>
      <c r="F2031" s="27"/>
      <c r="G2031" s="24" t="str">
        <f aca="false">IF(F2031="","",IF(F2031&lt;=5,"A",IF(F2031&lt;=8,"B",IF(F2031&lt;=10,"C","D"))))</f>
        <v/>
      </c>
      <c r="H2031" s="28"/>
      <c r="I2031" s="27"/>
      <c r="J2031" s="26"/>
      <c r="K2031" s="27"/>
      <c r="L2031" s="27"/>
      <c r="M2031" s="27"/>
      <c r="N2031" s="27"/>
      <c r="O2031" s="24" t="str">
        <f aca="false">IF(G2031="","",VLOOKUP(G2031,Setup!$A$14:$C$17,3,0))</f>
        <v/>
      </c>
      <c r="P2031" s="27"/>
      <c r="Q2031" s="29" t="str">
        <f aca="false">IF(OR(P2031="",M2031&lt;&gt;"Paid",O2031=""),"",P2031/O2031)</f>
        <v/>
      </c>
      <c r="R2031" s="30" t="str">
        <f aca="false">IF(Q2031="","",Q2031+N(H2031)*0.000000001)</f>
        <v/>
      </c>
      <c r="S2031" s="25" t="str">
        <f aca="false">IF(R2031="","",SUMPRODUCT((I$5:I$4004=I2031)*ISNUMBER(R$5:R$4004)*(R$5:R$4004&gt;R2031))+1)</f>
        <v/>
      </c>
      <c r="T2031" s="25" t="str">
        <f aca="false">IF(S2031="","",IF(S2031&lt;=Setup!$B$5,"🏆 WINNER",""))</f>
        <v/>
      </c>
      <c r="U2031" s="24" t="str">
        <f aca="false">IF(S2031="","",I2031&amp;"|"&amp;S2031)</f>
        <v/>
      </c>
    </row>
    <row r="2032" customFormat="false" ht="15" hidden="false" customHeight="false" outlineLevel="0" collapsed="false">
      <c r="A2032" s="31" t="n">
        <v>2028</v>
      </c>
      <c r="B2032" s="32" t="str">
        <f aca="false">IF(OR(C2032="",I2032="",G2032=""),"",IFERROR(VLOOKUP(I2032,Setup!$A$9:$B$11,2,0),"???")&amp;"-"&amp;G2032&amp;"-"&amp;TEXT(COUNTIFS(I$5:I2032,I2032,G$5:G2032,G2032),"0000"))</f>
        <v/>
      </c>
      <c r="C2032" s="26"/>
      <c r="D2032" s="26"/>
      <c r="E2032" s="27"/>
      <c r="F2032" s="27"/>
      <c r="G2032" s="31" t="str">
        <f aca="false">IF(F2032="","",IF(F2032&lt;=5,"A",IF(F2032&lt;=8,"B",IF(F2032&lt;=10,"C","D"))))</f>
        <v/>
      </c>
      <c r="H2032" s="28"/>
      <c r="I2032" s="27"/>
      <c r="J2032" s="26"/>
      <c r="K2032" s="27"/>
      <c r="L2032" s="27"/>
      <c r="M2032" s="27"/>
      <c r="N2032" s="27"/>
      <c r="O2032" s="31" t="str">
        <f aca="false">IF(G2032="","",VLOOKUP(G2032,Setup!$A$14:$C$17,3,0))</f>
        <v/>
      </c>
      <c r="P2032" s="27"/>
      <c r="Q2032" s="33" t="str">
        <f aca="false">IF(OR(P2032="",M2032&lt;&gt;"Paid",O2032=""),"",P2032/O2032)</f>
        <v/>
      </c>
      <c r="R2032" s="34" t="str">
        <f aca="false">IF(Q2032="","",Q2032+N(H2032)*0.000000001)</f>
        <v/>
      </c>
      <c r="S2032" s="32" t="str">
        <f aca="false">IF(R2032="","",SUMPRODUCT((I$5:I$4004=I2032)*ISNUMBER(R$5:R$4004)*(R$5:R$4004&gt;R2032))+1)</f>
        <v/>
      </c>
      <c r="T2032" s="32" t="str">
        <f aca="false">IF(S2032="","",IF(S2032&lt;=Setup!$B$5,"🏆 WINNER",""))</f>
        <v/>
      </c>
      <c r="U2032" s="31" t="str">
        <f aca="false">IF(S2032="","",I2032&amp;"|"&amp;S2032)</f>
        <v/>
      </c>
    </row>
    <row r="2033" customFormat="false" ht="15" hidden="false" customHeight="false" outlineLevel="0" collapsed="false">
      <c r="A2033" s="24" t="n">
        <v>2029</v>
      </c>
      <c r="B2033" s="25" t="str">
        <f aca="false">IF(OR(C2033="",I2033="",G2033=""),"",IFERROR(VLOOKUP(I2033,Setup!$A$9:$B$11,2,0),"???")&amp;"-"&amp;G2033&amp;"-"&amp;TEXT(COUNTIFS(I$5:I2033,I2033,G$5:G2033,G2033),"0000"))</f>
        <v/>
      </c>
      <c r="C2033" s="26"/>
      <c r="D2033" s="26"/>
      <c r="E2033" s="27"/>
      <c r="F2033" s="27"/>
      <c r="G2033" s="24" t="str">
        <f aca="false">IF(F2033="","",IF(F2033&lt;=5,"A",IF(F2033&lt;=8,"B",IF(F2033&lt;=10,"C","D"))))</f>
        <v/>
      </c>
      <c r="H2033" s="28"/>
      <c r="I2033" s="27"/>
      <c r="J2033" s="26"/>
      <c r="K2033" s="27"/>
      <c r="L2033" s="27"/>
      <c r="M2033" s="27"/>
      <c r="N2033" s="27"/>
      <c r="O2033" s="24" t="str">
        <f aca="false">IF(G2033="","",VLOOKUP(G2033,Setup!$A$14:$C$17,3,0))</f>
        <v/>
      </c>
      <c r="P2033" s="27"/>
      <c r="Q2033" s="29" t="str">
        <f aca="false">IF(OR(P2033="",M2033&lt;&gt;"Paid",O2033=""),"",P2033/O2033)</f>
        <v/>
      </c>
      <c r="R2033" s="30" t="str">
        <f aca="false">IF(Q2033="","",Q2033+N(H2033)*0.000000001)</f>
        <v/>
      </c>
      <c r="S2033" s="25" t="str">
        <f aca="false">IF(R2033="","",SUMPRODUCT((I$5:I$4004=I2033)*ISNUMBER(R$5:R$4004)*(R$5:R$4004&gt;R2033))+1)</f>
        <v/>
      </c>
      <c r="T2033" s="25" t="str">
        <f aca="false">IF(S2033="","",IF(S2033&lt;=Setup!$B$5,"🏆 WINNER",""))</f>
        <v/>
      </c>
      <c r="U2033" s="24" t="str">
        <f aca="false">IF(S2033="","",I2033&amp;"|"&amp;S2033)</f>
        <v/>
      </c>
    </row>
    <row r="2034" customFormat="false" ht="15" hidden="false" customHeight="false" outlineLevel="0" collapsed="false">
      <c r="A2034" s="31" t="n">
        <v>2030</v>
      </c>
      <c r="B2034" s="32" t="str">
        <f aca="false">IF(OR(C2034="",I2034="",G2034=""),"",IFERROR(VLOOKUP(I2034,Setup!$A$9:$B$11,2,0),"???")&amp;"-"&amp;G2034&amp;"-"&amp;TEXT(COUNTIFS(I$5:I2034,I2034,G$5:G2034,G2034),"0000"))</f>
        <v/>
      </c>
      <c r="C2034" s="26"/>
      <c r="D2034" s="26"/>
      <c r="E2034" s="27"/>
      <c r="F2034" s="27"/>
      <c r="G2034" s="31" t="str">
        <f aca="false">IF(F2034="","",IF(F2034&lt;=5,"A",IF(F2034&lt;=8,"B",IF(F2034&lt;=10,"C","D"))))</f>
        <v/>
      </c>
      <c r="H2034" s="28"/>
      <c r="I2034" s="27"/>
      <c r="J2034" s="26"/>
      <c r="K2034" s="27"/>
      <c r="L2034" s="27"/>
      <c r="M2034" s="27"/>
      <c r="N2034" s="27"/>
      <c r="O2034" s="31" t="str">
        <f aca="false">IF(G2034="","",VLOOKUP(G2034,Setup!$A$14:$C$17,3,0))</f>
        <v/>
      </c>
      <c r="P2034" s="27"/>
      <c r="Q2034" s="33" t="str">
        <f aca="false">IF(OR(P2034="",M2034&lt;&gt;"Paid",O2034=""),"",P2034/O2034)</f>
        <v/>
      </c>
      <c r="R2034" s="34" t="str">
        <f aca="false">IF(Q2034="","",Q2034+N(H2034)*0.000000001)</f>
        <v/>
      </c>
      <c r="S2034" s="32" t="str">
        <f aca="false">IF(R2034="","",SUMPRODUCT((I$5:I$4004=I2034)*ISNUMBER(R$5:R$4004)*(R$5:R$4004&gt;R2034))+1)</f>
        <v/>
      </c>
      <c r="T2034" s="32" t="str">
        <f aca="false">IF(S2034="","",IF(S2034&lt;=Setup!$B$5,"🏆 WINNER",""))</f>
        <v/>
      </c>
      <c r="U2034" s="31" t="str">
        <f aca="false">IF(S2034="","",I2034&amp;"|"&amp;S2034)</f>
        <v/>
      </c>
    </row>
    <row r="2035" customFormat="false" ht="15" hidden="false" customHeight="false" outlineLevel="0" collapsed="false">
      <c r="A2035" s="24" t="n">
        <v>2031</v>
      </c>
      <c r="B2035" s="25" t="str">
        <f aca="false">IF(OR(C2035="",I2035="",G2035=""),"",IFERROR(VLOOKUP(I2035,Setup!$A$9:$B$11,2,0),"???")&amp;"-"&amp;G2035&amp;"-"&amp;TEXT(COUNTIFS(I$5:I2035,I2035,G$5:G2035,G2035),"0000"))</f>
        <v/>
      </c>
      <c r="C2035" s="26"/>
      <c r="D2035" s="26"/>
      <c r="E2035" s="27"/>
      <c r="F2035" s="27"/>
      <c r="G2035" s="24" t="str">
        <f aca="false">IF(F2035="","",IF(F2035&lt;=5,"A",IF(F2035&lt;=8,"B",IF(F2035&lt;=10,"C","D"))))</f>
        <v/>
      </c>
      <c r="H2035" s="28"/>
      <c r="I2035" s="27"/>
      <c r="J2035" s="26"/>
      <c r="K2035" s="27"/>
      <c r="L2035" s="27"/>
      <c r="M2035" s="27"/>
      <c r="N2035" s="27"/>
      <c r="O2035" s="24" t="str">
        <f aca="false">IF(G2035="","",VLOOKUP(G2035,Setup!$A$14:$C$17,3,0))</f>
        <v/>
      </c>
      <c r="P2035" s="27"/>
      <c r="Q2035" s="29" t="str">
        <f aca="false">IF(OR(P2035="",M2035&lt;&gt;"Paid",O2035=""),"",P2035/O2035)</f>
        <v/>
      </c>
      <c r="R2035" s="30" t="str">
        <f aca="false">IF(Q2035="","",Q2035+N(H2035)*0.000000001)</f>
        <v/>
      </c>
      <c r="S2035" s="25" t="str">
        <f aca="false">IF(R2035="","",SUMPRODUCT((I$5:I$4004=I2035)*ISNUMBER(R$5:R$4004)*(R$5:R$4004&gt;R2035))+1)</f>
        <v/>
      </c>
      <c r="T2035" s="25" t="str">
        <f aca="false">IF(S2035="","",IF(S2035&lt;=Setup!$B$5,"🏆 WINNER",""))</f>
        <v/>
      </c>
      <c r="U2035" s="24" t="str">
        <f aca="false">IF(S2035="","",I2035&amp;"|"&amp;S2035)</f>
        <v/>
      </c>
    </row>
    <row r="2036" customFormat="false" ht="15" hidden="false" customHeight="false" outlineLevel="0" collapsed="false">
      <c r="A2036" s="31" t="n">
        <v>2032</v>
      </c>
      <c r="B2036" s="32" t="str">
        <f aca="false">IF(OR(C2036="",I2036="",G2036=""),"",IFERROR(VLOOKUP(I2036,Setup!$A$9:$B$11,2,0),"???")&amp;"-"&amp;G2036&amp;"-"&amp;TEXT(COUNTIFS(I$5:I2036,I2036,G$5:G2036,G2036),"0000"))</f>
        <v/>
      </c>
      <c r="C2036" s="26"/>
      <c r="D2036" s="26"/>
      <c r="E2036" s="27"/>
      <c r="F2036" s="27"/>
      <c r="G2036" s="31" t="str">
        <f aca="false">IF(F2036="","",IF(F2036&lt;=5,"A",IF(F2036&lt;=8,"B",IF(F2036&lt;=10,"C","D"))))</f>
        <v/>
      </c>
      <c r="H2036" s="28"/>
      <c r="I2036" s="27"/>
      <c r="J2036" s="26"/>
      <c r="K2036" s="27"/>
      <c r="L2036" s="27"/>
      <c r="M2036" s="27"/>
      <c r="N2036" s="27"/>
      <c r="O2036" s="31" t="str">
        <f aca="false">IF(G2036="","",VLOOKUP(G2036,Setup!$A$14:$C$17,3,0))</f>
        <v/>
      </c>
      <c r="P2036" s="27"/>
      <c r="Q2036" s="33" t="str">
        <f aca="false">IF(OR(P2036="",M2036&lt;&gt;"Paid",O2036=""),"",P2036/O2036)</f>
        <v/>
      </c>
      <c r="R2036" s="34" t="str">
        <f aca="false">IF(Q2036="","",Q2036+N(H2036)*0.000000001)</f>
        <v/>
      </c>
      <c r="S2036" s="32" t="str">
        <f aca="false">IF(R2036="","",SUMPRODUCT((I$5:I$4004=I2036)*ISNUMBER(R$5:R$4004)*(R$5:R$4004&gt;R2036))+1)</f>
        <v/>
      </c>
      <c r="T2036" s="32" t="str">
        <f aca="false">IF(S2036="","",IF(S2036&lt;=Setup!$B$5,"🏆 WINNER",""))</f>
        <v/>
      </c>
      <c r="U2036" s="31" t="str">
        <f aca="false">IF(S2036="","",I2036&amp;"|"&amp;S2036)</f>
        <v/>
      </c>
    </row>
    <row r="2037" customFormat="false" ht="15" hidden="false" customHeight="false" outlineLevel="0" collapsed="false">
      <c r="A2037" s="24" t="n">
        <v>2033</v>
      </c>
      <c r="B2037" s="25" t="str">
        <f aca="false">IF(OR(C2037="",I2037="",G2037=""),"",IFERROR(VLOOKUP(I2037,Setup!$A$9:$B$11,2,0),"???")&amp;"-"&amp;G2037&amp;"-"&amp;TEXT(COUNTIFS(I$5:I2037,I2037,G$5:G2037,G2037),"0000"))</f>
        <v/>
      </c>
      <c r="C2037" s="26"/>
      <c r="D2037" s="26"/>
      <c r="E2037" s="27"/>
      <c r="F2037" s="27"/>
      <c r="G2037" s="24" t="str">
        <f aca="false">IF(F2037="","",IF(F2037&lt;=5,"A",IF(F2037&lt;=8,"B",IF(F2037&lt;=10,"C","D"))))</f>
        <v/>
      </c>
      <c r="H2037" s="28"/>
      <c r="I2037" s="27"/>
      <c r="J2037" s="26"/>
      <c r="K2037" s="27"/>
      <c r="L2037" s="27"/>
      <c r="M2037" s="27"/>
      <c r="N2037" s="27"/>
      <c r="O2037" s="24" t="str">
        <f aca="false">IF(G2037="","",VLOOKUP(G2037,Setup!$A$14:$C$17,3,0))</f>
        <v/>
      </c>
      <c r="P2037" s="27"/>
      <c r="Q2037" s="29" t="str">
        <f aca="false">IF(OR(P2037="",M2037&lt;&gt;"Paid",O2037=""),"",P2037/O2037)</f>
        <v/>
      </c>
      <c r="R2037" s="30" t="str">
        <f aca="false">IF(Q2037="","",Q2037+N(H2037)*0.000000001)</f>
        <v/>
      </c>
      <c r="S2037" s="25" t="str">
        <f aca="false">IF(R2037="","",SUMPRODUCT((I$5:I$4004=I2037)*ISNUMBER(R$5:R$4004)*(R$5:R$4004&gt;R2037))+1)</f>
        <v/>
      </c>
      <c r="T2037" s="25" t="str">
        <f aca="false">IF(S2037="","",IF(S2037&lt;=Setup!$B$5,"🏆 WINNER",""))</f>
        <v/>
      </c>
      <c r="U2037" s="24" t="str">
        <f aca="false">IF(S2037="","",I2037&amp;"|"&amp;S2037)</f>
        <v/>
      </c>
    </row>
    <row r="2038" customFormat="false" ht="15" hidden="false" customHeight="false" outlineLevel="0" collapsed="false">
      <c r="A2038" s="31" t="n">
        <v>2034</v>
      </c>
      <c r="B2038" s="32" t="str">
        <f aca="false">IF(OR(C2038="",I2038="",G2038=""),"",IFERROR(VLOOKUP(I2038,Setup!$A$9:$B$11,2,0),"???")&amp;"-"&amp;G2038&amp;"-"&amp;TEXT(COUNTIFS(I$5:I2038,I2038,G$5:G2038,G2038),"0000"))</f>
        <v/>
      </c>
      <c r="C2038" s="26"/>
      <c r="D2038" s="26"/>
      <c r="E2038" s="27"/>
      <c r="F2038" s="27"/>
      <c r="G2038" s="31" t="str">
        <f aca="false">IF(F2038="","",IF(F2038&lt;=5,"A",IF(F2038&lt;=8,"B",IF(F2038&lt;=10,"C","D"))))</f>
        <v/>
      </c>
      <c r="H2038" s="28"/>
      <c r="I2038" s="27"/>
      <c r="J2038" s="26"/>
      <c r="K2038" s="27"/>
      <c r="L2038" s="27"/>
      <c r="M2038" s="27"/>
      <c r="N2038" s="27"/>
      <c r="O2038" s="31" t="str">
        <f aca="false">IF(G2038="","",VLOOKUP(G2038,Setup!$A$14:$C$17,3,0))</f>
        <v/>
      </c>
      <c r="P2038" s="27"/>
      <c r="Q2038" s="33" t="str">
        <f aca="false">IF(OR(P2038="",M2038&lt;&gt;"Paid",O2038=""),"",P2038/O2038)</f>
        <v/>
      </c>
      <c r="R2038" s="34" t="str">
        <f aca="false">IF(Q2038="","",Q2038+N(H2038)*0.000000001)</f>
        <v/>
      </c>
      <c r="S2038" s="32" t="str">
        <f aca="false">IF(R2038="","",SUMPRODUCT((I$5:I$4004=I2038)*ISNUMBER(R$5:R$4004)*(R$5:R$4004&gt;R2038))+1)</f>
        <v/>
      </c>
      <c r="T2038" s="32" t="str">
        <f aca="false">IF(S2038="","",IF(S2038&lt;=Setup!$B$5,"🏆 WINNER",""))</f>
        <v/>
      </c>
      <c r="U2038" s="31" t="str">
        <f aca="false">IF(S2038="","",I2038&amp;"|"&amp;S2038)</f>
        <v/>
      </c>
    </row>
    <row r="2039" customFormat="false" ht="15" hidden="false" customHeight="false" outlineLevel="0" collapsed="false">
      <c r="A2039" s="24" t="n">
        <v>2035</v>
      </c>
      <c r="B2039" s="25" t="str">
        <f aca="false">IF(OR(C2039="",I2039="",G2039=""),"",IFERROR(VLOOKUP(I2039,Setup!$A$9:$B$11,2,0),"???")&amp;"-"&amp;G2039&amp;"-"&amp;TEXT(COUNTIFS(I$5:I2039,I2039,G$5:G2039,G2039),"0000"))</f>
        <v/>
      </c>
      <c r="C2039" s="26"/>
      <c r="D2039" s="26"/>
      <c r="E2039" s="27"/>
      <c r="F2039" s="27"/>
      <c r="G2039" s="24" t="str">
        <f aca="false">IF(F2039="","",IF(F2039&lt;=5,"A",IF(F2039&lt;=8,"B",IF(F2039&lt;=10,"C","D"))))</f>
        <v/>
      </c>
      <c r="H2039" s="28"/>
      <c r="I2039" s="27"/>
      <c r="J2039" s="26"/>
      <c r="K2039" s="27"/>
      <c r="L2039" s="27"/>
      <c r="M2039" s="27"/>
      <c r="N2039" s="27"/>
      <c r="O2039" s="24" t="str">
        <f aca="false">IF(G2039="","",VLOOKUP(G2039,Setup!$A$14:$C$17,3,0))</f>
        <v/>
      </c>
      <c r="P2039" s="27"/>
      <c r="Q2039" s="29" t="str">
        <f aca="false">IF(OR(P2039="",M2039&lt;&gt;"Paid",O2039=""),"",P2039/O2039)</f>
        <v/>
      </c>
      <c r="R2039" s="30" t="str">
        <f aca="false">IF(Q2039="","",Q2039+N(H2039)*0.000000001)</f>
        <v/>
      </c>
      <c r="S2039" s="25" t="str">
        <f aca="false">IF(R2039="","",SUMPRODUCT((I$5:I$4004=I2039)*ISNUMBER(R$5:R$4004)*(R$5:R$4004&gt;R2039))+1)</f>
        <v/>
      </c>
      <c r="T2039" s="25" t="str">
        <f aca="false">IF(S2039="","",IF(S2039&lt;=Setup!$B$5,"🏆 WINNER",""))</f>
        <v/>
      </c>
      <c r="U2039" s="24" t="str">
        <f aca="false">IF(S2039="","",I2039&amp;"|"&amp;S2039)</f>
        <v/>
      </c>
    </row>
    <row r="2040" customFormat="false" ht="15" hidden="false" customHeight="false" outlineLevel="0" collapsed="false">
      <c r="A2040" s="31" t="n">
        <v>2036</v>
      </c>
      <c r="B2040" s="32" t="str">
        <f aca="false">IF(OR(C2040="",I2040="",G2040=""),"",IFERROR(VLOOKUP(I2040,Setup!$A$9:$B$11,2,0),"???")&amp;"-"&amp;G2040&amp;"-"&amp;TEXT(COUNTIFS(I$5:I2040,I2040,G$5:G2040,G2040),"0000"))</f>
        <v/>
      </c>
      <c r="C2040" s="26"/>
      <c r="D2040" s="26"/>
      <c r="E2040" s="27"/>
      <c r="F2040" s="27"/>
      <c r="G2040" s="31" t="str">
        <f aca="false">IF(F2040="","",IF(F2040&lt;=5,"A",IF(F2040&lt;=8,"B",IF(F2040&lt;=10,"C","D"))))</f>
        <v/>
      </c>
      <c r="H2040" s="28"/>
      <c r="I2040" s="27"/>
      <c r="J2040" s="26"/>
      <c r="K2040" s="27"/>
      <c r="L2040" s="27"/>
      <c r="M2040" s="27"/>
      <c r="N2040" s="27"/>
      <c r="O2040" s="31" t="str">
        <f aca="false">IF(G2040="","",VLOOKUP(G2040,Setup!$A$14:$C$17,3,0))</f>
        <v/>
      </c>
      <c r="P2040" s="27"/>
      <c r="Q2040" s="33" t="str">
        <f aca="false">IF(OR(P2040="",M2040&lt;&gt;"Paid",O2040=""),"",P2040/O2040)</f>
        <v/>
      </c>
      <c r="R2040" s="34" t="str">
        <f aca="false">IF(Q2040="","",Q2040+N(H2040)*0.000000001)</f>
        <v/>
      </c>
      <c r="S2040" s="32" t="str">
        <f aca="false">IF(R2040="","",SUMPRODUCT((I$5:I$4004=I2040)*ISNUMBER(R$5:R$4004)*(R$5:R$4004&gt;R2040))+1)</f>
        <v/>
      </c>
      <c r="T2040" s="32" t="str">
        <f aca="false">IF(S2040="","",IF(S2040&lt;=Setup!$B$5,"🏆 WINNER",""))</f>
        <v/>
      </c>
      <c r="U2040" s="31" t="str">
        <f aca="false">IF(S2040="","",I2040&amp;"|"&amp;S2040)</f>
        <v/>
      </c>
    </row>
    <row r="2041" customFormat="false" ht="15" hidden="false" customHeight="false" outlineLevel="0" collapsed="false">
      <c r="A2041" s="24" t="n">
        <v>2037</v>
      </c>
      <c r="B2041" s="25" t="str">
        <f aca="false">IF(OR(C2041="",I2041="",G2041=""),"",IFERROR(VLOOKUP(I2041,Setup!$A$9:$B$11,2,0),"???")&amp;"-"&amp;G2041&amp;"-"&amp;TEXT(COUNTIFS(I$5:I2041,I2041,G$5:G2041,G2041),"0000"))</f>
        <v/>
      </c>
      <c r="C2041" s="26"/>
      <c r="D2041" s="26"/>
      <c r="E2041" s="27"/>
      <c r="F2041" s="27"/>
      <c r="G2041" s="24" t="str">
        <f aca="false">IF(F2041="","",IF(F2041&lt;=5,"A",IF(F2041&lt;=8,"B",IF(F2041&lt;=10,"C","D"))))</f>
        <v/>
      </c>
      <c r="H2041" s="28"/>
      <c r="I2041" s="27"/>
      <c r="J2041" s="26"/>
      <c r="K2041" s="27"/>
      <c r="L2041" s="27"/>
      <c r="M2041" s="27"/>
      <c r="N2041" s="27"/>
      <c r="O2041" s="24" t="str">
        <f aca="false">IF(G2041="","",VLOOKUP(G2041,Setup!$A$14:$C$17,3,0))</f>
        <v/>
      </c>
      <c r="P2041" s="27"/>
      <c r="Q2041" s="29" t="str">
        <f aca="false">IF(OR(P2041="",M2041&lt;&gt;"Paid",O2041=""),"",P2041/O2041)</f>
        <v/>
      </c>
      <c r="R2041" s="30" t="str">
        <f aca="false">IF(Q2041="","",Q2041+N(H2041)*0.000000001)</f>
        <v/>
      </c>
      <c r="S2041" s="25" t="str">
        <f aca="false">IF(R2041="","",SUMPRODUCT((I$5:I$4004=I2041)*ISNUMBER(R$5:R$4004)*(R$5:R$4004&gt;R2041))+1)</f>
        <v/>
      </c>
      <c r="T2041" s="25" t="str">
        <f aca="false">IF(S2041="","",IF(S2041&lt;=Setup!$B$5,"🏆 WINNER",""))</f>
        <v/>
      </c>
      <c r="U2041" s="24" t="str">
        <f aca="false">IF(S2041="","",I2041&amp;"|"&amp;S2041)</f>
        <v/>
      </c>
    </row>
    <row r="2042" customFormat="false" ht="15" hidden="false" customHeight="false" outlineLevel="0" collapsed="false">
      <c r="A2042" s="31" t="n">
        <v>2038</v>
      </c>
      <c r="B2042" s="32" t="str">
        <f aca="false">IF(OR(C2042="",I2042="",G2042=""),"",IFERROR(VLOOKUP(I2042,Setup!$A$9:$B$11,2,0),"???")&amp;"-"&amp;G2042&amp;"-"&amp;TEXT(COUNTIFS(I$5:I2042,I2042,G$5:G2042,G2042),"0000"))</f>
        <v/>
      </c>
      <c r="C2042" s="26"/>
      <c r="D2042" s="26"/>
      <c r="E2042" s="27"/>
      <c r="F2042" s="27"/>
      <c r="G2042" s="31" t="str">
        <f aca="false">IF(F2042="","",IF(F2042&lt;=5,"A",IF(F2042&lt;=8,"B",IF(F2042&lt;=10,"C","D"))))</f>
        <v/>
      </c>
      <c r="H2042" s="28"/>
      <c r="I2042" s="27"/>
      <c r="J2042" s="26"/>
      <c r="K2042" s="27"/>
      <c r="L2042" s="27"/>
      <c r="M2042" s="27"/>
      <c r="N2042" s="27"/>
      <c r="O2042" s="31" t="str">
        <f aca="false">IF(G2042="","",VLOOKUP(G2042,Setup!$A$14:$C$17,3,0))</f>
        <v/>
      </c>
      <c r="P2042" s="27"/>
      <c r="Q2042" s="33" t="str">
        <f aca="false">IF(OR(P2042="",M2042&lt;&gt;"Paid",O2042=""),"",P2042/O2042)</f>
        <v/>
      </c>
      <c r="R2042" s="34" t="str">
        <f aca="false">IF(Q2042="","",Q2042+N(H2042)*0.000000001)</f>
        <v/>
      </c>
      <c r="S2042" s="32" t="str">
        <f aca="false">IF(R2042="","",SUMPRODUCT((I$5:I$4004=I2042)*ISNUMBER(R$5:R$4004)*(R$5:R$4004&gt;R2042))+1)</f>
        <v/>
      </c>
      <c r="T2042" s="32" t="str">
        <f aca="false">IF(S2042="","",IF(S2042&lt;=Setup!$B$5,"🏆 WINNER",""))</f>
        <v/>
      </c>
      <c r="U2042" s="31" t="str">
        <f aca="false">IF(S2042="","",I2042&amp;"|"&amp;S2042)</f>
        <v/>
      </c>
    </row>
    <row r="2043" customFormat="false" ht="15" hidden="false" customHeight="false" outlineLevel="0" collapsed="false">
      <c r="A2043" s="24" t="n">
        <v>2039</v>
      </c>
      <c r="B2043" s="25" t="str">
        <f aca="false">IF(OR(C2043="",I2043="",G2043=""),"",IFERROR(VLOOKUP(I2043,Setup!$A$9:$B$11,2,0),"???")&amp;"-"&amp;G2043&amp;"-"&amp;TEXT(COUNTIFS(I$5:I2043,I2043,G$5:G2043,G2043),"0000"))</f>
        <v/>
      </c>
      <c r="C2043" s="26"/>
      <c r="D2043" s="26"/>
      <c r="E2043" s="27"/>
      <c r="F2043" s="27"/>
      <c r="G2043" s="24" t="str">
        <f aca="false">IF(F2043="","",IF(F2043&lt;=5,"A",IF(F2043&lt;=8,"B",IF(F2043&lt;=10,"C","D"))))</f>
        <v/>
      </c>
      <c r="H2043" s="28"/>
      <c r="I2043" s="27"/>
      <c r="J2043" s="26"/>
      <c r="K2043" s="27"/>
      <c r="L2043" s="27"/>
      <c r="M2043" s="27"/>
      <c r="N2043" s="27"/>
      <c r="O2043" s="24" t="str">
        <f aca="false">IF(G2043="","",VLOOKUP(G2043,Setup!$A$14:$C$17,3,0))</f>
        <v/>
      </c>
      <c r="P2043" s="27"/>
      <c r="Q2043" s="29" t="str">
        <f aca="false">IF(OR(P2043="",M2043&lt;&gt;"Paid",O2043=""),"",P2043/O2043)</f>
        <v/>
      </c>
      <c r="R2043" s="30" t="str">
        <f aca="false">IF(Q2043="","",Q2043+N(H2043)*0.000000001)</f>
        <v/>
      </c>
      <c r="S2043" s="25" t="str">
        <f aca="false">IF(R2043="","",SUMPRODUCT((I$5:I$4004=I2043)*ISNUMBER(R$5:R$4004)*(R$5:R$4004&gt;R2043))+1)</f>
        <v/>
      </c>
      <c r="T2043" s="25" t="str">
        <f aca="false">IF(S2043="","",IF(S2043&lt;=Setup!$B$5,"🏆 WINNER",""))</f>
        <v/>
      </c>
      <c r="U2043" s="24" t="str">
        <f aca="false">IF(S2043="","",I2043&amp;"|"&amp;S2043)</f>
        <v/>
      </c>
    </row>
    <row r="2044" customFormat="false" ht="15" hidden="false" customHeight="false" outlineLevel="0" collapsed="false">
      <c r="A2044" s="31" t="n">
        <v>2040</v>
      </c>
      <c r="B2044" s="32" t="str">
        <f aca="false">IF(OR(C2044="",I2044="",G2044=""),"",IFERROR(VLOOKUP(I2044,Setup!$A$9:$B$11,2,0),"???")&amp;"-"&amp;G2044&amp;"-"&amp;TEXT(COUNTIFS(I$5:I2044,I2044,G$5:G2044,G2044),"0000"))</f>
        <v/>
      </c>
      <c r="C2044" s="26"/>
      <c r="D2044" s="26"/>
      <c r="E2044" s="27"/>
      <c r="F2044" s="27"/>
      <c r="G2044" s="31" t="str">
        <f aca="false">IF(F2044="","",IF(F2044&lt;=5,"A",IF(F2044&lt;=8,"B",IF(F2044&lt;=10,"C","D"))))</f>
        <v/>
      </c>
      <c r="H2044" s="28"/>
      <c r="I2044" s="27"/>
      <c r="J2044" s="26"/>
      <c r="K2044" s="27"/>
      <c r="L2044" s="27"/>
      <c r="M2044" s="27"/>
      <c r="N2044" s="27"/>
      <c r="O2044" s="31" t="str">
        <f aca="false">IF(G2044="","",VLOOKUP(G2044,Setup!$A$14:$C$17,3,0))</f>
        <v/>
      </c>
      <c r="P2044" s="27"/>
      <c r="Q2044" s="33" t="str">
        <f aca="false">IF(OR(P2044="",M2044&lt;&gt;"Paid",O2044=""),"",P2044/O2044)</f>
        <v/>
      </c>
      <c r="R2044" s="34" t="str">
        <f aca="false">IF(Q2044="","",Q2044+N(H2044)*0.000000001)</f>
        <v/>
      </c>
      <c r="S2044" s="32" t="str">
        <f aca="false">IF(R2044="","",SUMPRODUCT((I$5:I$4004=I2044)*ISNUMBER(R$5:R$4004)*(R$5:R$4004&gt;R2044))+1)</f>
        <v/>
      </c>
      <c r="T2044" s="32" t="str">
        <f aca="false">IF(S2044="","",IF(S2044&lt;=Setup!$B$5,"🏆 WINNER",""))</f>
        <v/>
      </c>
      <c r="U2044" s="31" t="str">
        <f aca="false">IF(S2044="","",I2044&amp;"|"&amp;S2044)</f>
        <v/>
      </c>
    </row>
    <row r="2045" customFormat="false" ht="15" hidden="false" customHeight="false" outlineLevel="0" collapsed="false">
      <c r="A2045" s="24" t="n">
        <v>2041</v>
      </c>
      <c r="B2045" s="25" t="str">
        <f aca="false">IF(OR(C2045="",I2045="",G2045=""),"",IFERROR(VLOOKUP(I2045,Setup!$A$9:$B$11,2,0),"???")&amp;"-"&amp;G2045&amp;"-"&amp;TEXT(COUNTIFS(I$5:I2045,I2045,G$5:G2045,G2045),"0000"))</f>
        <v/>
      </c>
      <c r="C2045" s="26"/>
      <c r="D2045" s="26"/>
      <c r="E2045" s="27"/>
      <c r="F2045" s="27"/>
      <c r="G2045" s="24" t="str">
        <f aca="false">IF(F2045="","",IF(F2045&lt;=5,"A",IF(F2045&lt;=8,"B",IF(F2045&lt;=10,"C","D"))))</f>
        <v/>
      </c>
      <c r="H2045" s="28"/>
      <c r="I2045" s="27"/>
      <c r="J2045" s="26"/>
      <c r="K2045" s="27"/>
      <c r="L2045" s="27"/>
      <c r="M2045" s="27"/>
      <c r="N2045" s="27"/>
      <c r="O2045" s="24" t="str">
        <f aca="false">IF(G2045="","",VLOOKUP(G2045,Setup!$A$14:$C$17,3,0))</f>
        <v/>
      </c>
      <c r="P2045" s="27"/>
      <c r="Q2045" s="29" t="str">
        <f aca="false">IF(OR(P2045="",M2045&lt;&gt;"Paid",O2045=""),"",P2045/O2045)</f>
        <v/>
      </c>
      <c r="R2045" s="30" t="str">
        <f aca="false">IF(Q2045="","",Q2045+N(H2045)*0.000000001)</f>
        <v/>
      </c>
      <c r="S2045" s="25" t="str">
        <f aca="false">IF(R2045="","",SUMPRODUCT((I$5:I$4004=I2045)*ISNUMBER(R$5:R$4004)*(R$5:R$4004&gt;R2045))+1)</f>
        <v/>
      </c>
      <c r="T2045" s="25" t="str">
        <f aca="false">IF(S2045="","",IF(S2045&lt;=Setup!$B$5,"🏆 WINNER",""))</f>
        <v/>
      </c>
      <c r="U2045" s="24" t="str">
        <f aca="false">IF(S2045="","",I2045&amp;"|"&amp;S2045)</f>
        <v/>
      </c>
    </row>
    <row r="2046" customFormat="false" ht="15" hidden="false" customHeight="false" outlineLevel="0" collapsed="false">
      <c r="A2046" s="31" t="n">
        <v>2042</v>
      </c>
      <c r="B2046" s="32" t="str">
        <f aca="false">IF(OR(C2046="",I2046="",G2046=""),"",IFERROR(VLOOKUP(I2046,Setup!$A$9:$B$11,2,0),"???")&amp;"-"&amp;G2046&amp;"-"&amp;TEXT(COUNTIFS(I$5:I2046,I2046,G$5:G2046,G2046),"0000"))</f>
        <v/>
      </c>
      <c r="C2046" s="26"/>
      <c r="D2046" s="26"/>
      <c r="E2046" s="27"/>
      <c r="F2046" s="27"/>
      <c r="G2046" s="31" t="str">
        <f aca="false">IF(F2046="","",IF(F2046&lt;=5,"A",IF(F2046&lt;=8,"B",IF(F2046&lt;=10,"C","D"))))</f>
        <v/>
      </c>
      <c r="H2046" s="28"/>
      <c r="I2046" s="27"/>
      <c r="J2046" s="26"/>
      <c r="K2046" s="27"/>
      <c r="L2046" s="27"/>
      <c r="M2046" s="27"/>
      <c r="N2046" s="27"/>
      <c r="O2046" s="31" t="str">
        <f aca="false">IF(G2046="","",VLOOKUP(G2046,Setup!$A$14:$C$17,3,0))</f>
        <v/>
      </c>
      <c r="P2046" s="27"/>
      <c r="Q2046" s="33" t="str">
        <f aca="false">IF(OR(P2046="",M2046&lt;&gt;"Paid",O2046=""),"",P2046/O2046)</f>
        <v/>
      </c>
      <c r="R2046" s="34" t="str">
        <f aca="false">IF(Q2046="","",Q2046+N(H2046)*0.000000001)</f>
        <v/>
      </c>
      <c r="S2046" s="32" t="str">
        <f aca="false">IF(R2046="","",SUMPRODUCT((I$5:I$4004=I2046)*ISNUMBER(R$5:R$4004)*(R$5:R$4004&gt;R2046))+1)</f>
        <v/>
      </c>
      <c r="T2046" s="32" t="str">
        <f aca="false">IF(S2046="","",IF(S2046&lt;=Setup!$B$5,"🏆 WINNER",""))</f>
        <v/>
      </c>
      <c r="U2046" s="31" t="str">
        <f aca="false">IF(S2046="","",I2046&amp;"|"&amp;S2046)</f>
        <v/>
      </c>
    </row>
    <row r="2047" customFormat="false" ht="15" hidden="false" customHeight="false" outlineLevel="0" collapsed="false">
      <c r="A2047" s="24" t="n">
        <v>2043</v>
      </c>
      <c r="B2047" s="25" t="str">
        <f aca="false">IF(OR(C2047="",I2047="",G2047=""),"",IFERROR(VLOOKUP(I2047,Setup!$A$9:$B$11,2,0),"???")&amp;"-"&amp;G2047&amp;"-"&amp;TEXT(COUNTIFS(I$5:I2047,I2047,G$5:G2047,G2047),"0000"))</f>
        <v/>
      </c>
      <c r="C2047" s="26"/>
      <c r="D2047" s="26"/>
      <c r="E2047" s="27"/>
      <c r="F2047" s="27"/>
      <c r="G2047" s="24" t="str">
        <f aca="false">IF(F2047="","",IF(F2047&lt;=5,"A",IF(F2047&lt;=8,"B",IF(F2047&lt;=10,"C","D"))))</f>
        <v/>
      </c>
      <c r="H2047" s="28"/>
      <c r="I2047" s="27"/>
      <c r="J2047" s="26"/>
      <c r="K2047" s="27"/>
      <c r="L2047" s="27"/>
      <c r="M2047" s="27"/>
      <c r="N2047" s="27"/>
      <c r="O2047" s="24" t="str">
        <f aca="false">IF(G2047="","",VLOOKUP(G2047,Setup!$A$14:$C$17,3,0))</f>
        <v/>
      </c>
      <c r="P2047" s="27"/>
      <c r="Q2047" s="29" t="str">
        <f aca="false">IF(OR(P2047="",M2047&lt;&gt;"Paid",O2047=""),"",P2047/O2047)</f>
        <v/>
      </c>
      <c r="R2047" s="30" t="str">
        <f aca="false">IF(Q2047="","",Q2047+N(H2047)*0.000000001)</f>
        <v/>
      </c>
      <c r="S2047" s="25" t="str">
        <f aca="false">IF(R2047="","",SUMPRODUCT((I$5:I$4004=I2047)*ISNUMBER(R$5:R$4004)*(R$5:R$4004&gt;R2047))+1)</f>
        <v/>
      </c>
      <c r="T2047" s="25" t="str">
        <f aca="false">IF(S2047="","",IF(S2047&lt;=Setup!$B$5,"🏆 WINNER",""))</f>
        <v/>
      </c>
      <c r="U2047" s="24" t="str">
        <f aca="false">IF(S2047="","",I2047&amp;"|"&amp;S2047)</f>
        <v/>
      </c>
    </row>
    <row r="2048" customFormat="false" ht="15" hidden="false" customHeight="false" outlineLevel="0" collapsed="false">
      <c r="A2048" s="31" t="n">
        <v>2044</v>
      </c>
      <c r="B2048" s="32" t="str">
        <f aca="false">IF(OR(C2048="",I2048="",G2048=""),"",IFERROR(VLOOKUP(I2048,Setup!$A$9:$B$11,2,0),"???")&amp;"-"&amp;G2048&amp;"-"&amp;TEXT(COUNTIFS(I$5:I2048,I2048,G$5:G2048,G2048),"0000"))</f>
        <v/>
      </c>
      <c r="C2048" s="26"/>
      <c r="D2048" s="26"/>
      <c r="E2048" s="27"/>
      <c r="F2048" s="27"/>
      <c r="G2048" s="31" t="str">
        <f aca="false">IF(F2048="","",IF(F2048&lt;=5,"A",IF(F2048&lt;=8,"B",IF(F2048&lt;=10,"C","D"))))</f>
        <v/>
      </c>
      <c r="H2048" s="28"/>
      <c r="I2048" s="27"/>
      <c r="J2048" s="26"/>
      <c r="K2048" s="27"/>
      <c r="L2048" s="27"/>
      <c r="M2048" s="27"/>
      <c r="N2048" s="27"/>
      <c r="O2048" s="31" t="str">
        <f aca="false">IF(G2048="","",VLOOKUP(G2048,Setup!$A$14:$C$17,3,0))</f>
        <v/>
      </c>
      <c r="P2048" s="27"/>
      <c r="Q2048" s="33" t="str">
        <f aca="false">IF(OR(P2048="",M2048&lt;&gt;"Paid",O2048=""),"",P2048/O2048)</f>
        <v/>
      </c>
      <c r="R2048" s="34" t="str">
        <f aca="false">IF(Q2048="","",Q2048+N(H2048)*0.000000001)</f>
        <v/>
      </c>
      <c r="S2048" s="32" t="str">
        <f aca="false">IF(R2048="","",SUMPRODUCT((I$5:I$4004=I2048)*ISNUMBER(R$5:R$4004)*(R$5:R$4004&gt;R2048))+1)</f>
        <v/>
      </c>
      <c r="T2048" s="32" t="str">
        <f aca="false">IF(S2048="","",IF(S2048&lt;=Setup!$B$5,"🏆 WINNER",""))</f>
        <v/>
      </c>
      <c r="U2048" s="31" t="str">
        <f aca="false">IF(S2048="","",I2048&amp;"|"&amp;S2048)</f>
        <v/>
      </c>
    </row>
    <row r="2049" customFormat="false" ht="15" hidden="false" customHeight="false" outlineLevel="0" collapsed="false">
      <c r="A2049" s="24" t="n">
        <v>2045</v>
      </c>
      <c r="B2049" s="25" t="str">
        <f aca="false">IF(OR(C2049="",I2049="",G2049=""),"",IFERROR(VLOOKUP(I2049,Setup!$A$9:$B$11,2,0),"???")&amp;"-"&amp;G2049&amp;"-"&amp;TEXT(COUNTIFS(I$5:I2049,I2049,G$5:G2049,G2049),"0000"))</f>
        <v/>
      </c>
      <c r="C2049" s="26"/>
      <c r="D2049" s="26"/>
      <c r="E2049" s="27"/>
      <c r="F2049" s="27"/>
      <c r="G2049" s="24" t="str">
        <f aca="false">IF(F2049="","",IF(F2049&lt;=5,"A",IF(F2049&lt;=8,"B",IF(F2049&lt;=10,"C","D"))))</f>
        <v/>
      </c>
      <c r="H2049" s="28"/>
      <c r="I2049" s="27"/>
      <c r="J2049" s="26"/>
      <c r="K2049" s="27"/>
      <c r="L2049" s="27"/>
      <c r="M2049" s="27"/>
      <c r="N2049" s="27"/>
      <c r="O2049" s="24" t="str">
        <f aca="false">IF(G2049="","",VLOOKUP(G2049,Setup!$A$14:$C$17,3,0))</f>
        <v/>
      </c>
      <c r="P2049" s="27"/>
      <c r="Q2049" s="29" t="str">
        <f aca="false">IF(OR(P2049="",M2049&lt;&gt;"Paid",O2049=""),"",P2049/O2049)</f>
        <v/>
      </c>
      <c r="R2049" s="30" t="str">
        <f aca="false">IF(Q2049="","",Q2049+N(H2049)*0.000000001)</f>
        <v/>
      </c>
      <c r="S2049" s="25" t="str">
        <f aca="false">IF(R2049="","",SUMPRODUCT((I$5:I$4004=I2049)*ISNUMBER(R$5:R$4004)*(R$5:R$4004&gt;R2049))+1)</f>
        <v/>
      </c>
      <c r="T2049" s="25" t="str">
        <f aca="false">IF(S2049="","",IF(S2049&lt;=Setup!$B$5,"🏆 WINNER",""))</f>
        <v/>
      </c>
      <c r="U2049" s="24" t="str">
        <f aca="false">IF(S2049="","",I2049&amp;"|"&amp;S2049)</f>
        <v/>
      </c>
    </row>
    <row r="2050" customFormat="false" ht="15" hidden="false" customHeight="false" outlineLevel="0" collapsed="false">
      <c r="A2050" s="31" t="n">
        <v>2046</v>
      </c>
      <c r="B2050" s="32" t="str">
        <f aca="false">IF(OR(C2050="",I2050="",G2050=""),"",IFERROR(VLOOKUP(I2050,Setup!$A$9:$B$11,2,0),"???")&amp;"-"&amp;G2050&amp;"-"&amp;TEXT(COUNTIFS(I$5:I2050,I2050,G$5:G2050,G2050),"0000"))</f>
        <v/>
      </c>
      <c r="C2050" s="26"/>
      <c r="D2050" s="26"/>
      <c r="E2050" s="27"/>
      <c r="F2050" s="27"/>
      <c r="G2050" s="31" t="str">
        <f aca="false">IF(F2050="","",IF(F2050&lt;=5,"A",IF(F2050&lt;=8,"B",IF(F2050&lt;=10,"C","D"))))</f>
        <v/>
      </c>
      <c r="H2050" s="28"/>
      <c r="I2050" s="27"/>
      <c r="J2050" s="26"/>
      <c r="K2050" s="27"/>
      <c r="L2050" s="27"/>
      <c r="M2050" s="27"/>
      <c r="N2050" s="27"/>
      <c r="O2050" s="31" t="str">
        <f aca="false">IF(G2050="","",VLOOKUP(G2050,Setup!$A$14:$C$17,3,0))</f>
        <v/>
      </c>
      <c r="P2050" s="27"/>
      <c r="Q2050" s="33" t="str">
        <f aca="false">IF(OR(P2050="",M2050&lt;&gt;"Paid",O2050=""),"",P2050/O2050)</f>
        <v/>
      </c>
      <c r="R2050" s="34" t="str">
        <f aca="false">IF(Q2050="","",Q2050+N(H2050)*0.000000001)</f>
        <v/>
      </c>
      <c r="S2050" s="32" t="str">
        <f aca="false">IF(R2050="","",SUMPRODUCT((I$5:I$4004=I2050)*ISNUMBER(R$5:R$4004)*(R$5:R$4004&gt;R2050))+1)</f>
        <v/>
      </c>
      <c r="T2050" s="32" t="str">
        <f aca="false">IF(S2050="","",IF(S2050&lt;=Setup!$B$5,"🏆 WINNER",""))</f>
        <v/>
      </c>
      <c r="U2050" s="31" t="str">
        <f aca="false">IF(S2050="","",I2050&amp;"|"&amp;S2050)</f>
        <v/>
      </c>
    </row>
    <row r="2051" customFormat="false" ht="15" hidden="false" customHeight="false" outlineLevel="0" collapsed="false">
      <c r="A2051" s="24" t="n">
        <v>2047</v>
      </c>
      <c r="B2051" s="25" t="str">
        <f aca="false">IF(OR(C2051="",I2051="",G2051=""),"",IFERROR(VLOOKUP(I2051,Setup!$A$9:$B$11,2,0),"???")&amp;"-"&amp;G2051&amp;"-"&amp;TEXT(COUNTIFS(I$5:I2051,I2051,G$5:G2051,G2051),"0000"))</f>
        <v/>
      </c>
      <c r="C2051" s="26"/>
      <c r="D2051" s="26"/>
      <c r="E2051" s="27"/>
      <c r="F2051" s="27"/>
      <c r="G2051" s="24" t="str">
        <f aca="false">IF(F2051="","",IF(F2051&lt;=5,"A",IF(F2051&lt;=8,"B",IF(F2051&lt;=10,"C","D"))))</f>
        <v/>
      </c>
      <c r="H2051" s="28"/>
      <c r="I2051" s="27"/>
      <c r="J2051" s="26"/>
      <c r="K2051" s="27"/>
      <c r="L2051" s="27"/>
      <c r="M2051" s="27"/>
      <c r="N2051" s="27"/>
      <c r="O2051" s="24" t="str">
        <f aca="false">IF(G2051="","",VLOOKUP(G2051,Setup!$A$14:$C$17,3,0))</f>
        <v/>
      </c>
      <c r="P2051" s="27"/>
      <c r="Q2051" s="29" t="str">
        <f aca="false">IF(OR(P2051="",M2051&lt;&gt;"Paid",O2051=""),"",P2051/O2051)</f>
        <v/>
      </c>
      <c r="R2051" s="30" t="str">
        <f aca="false">IF(Q2051="","",Q2051+N(H2051)*0.000000001)</f>
        <v/>
      </c>
      <c r="S2051" s="25" t="str">
        <f aca="false">IF(R2051="","",SUMPRODUCT((I$5:I$4004=I2051)*ISNUMBER(R$5:R$4004)*(R$5:R$4004&gt;R2051))+1)</f>
        <v/>
      </c>
      <c r="T2051" s="25" t="str">
        <f aca="false">IF(S2051="","",IF(S2051&lt;=Setup!$B$5,"🏆 WINNER",""))</f>
        <v/>
      </c>
      <c r="U2051" s="24" t="str">
        <f aca="false">IF(S2051="","",I2051&amp;"|"&amp;S2051)</f>
        <v/>
      </c>
    </row>
    <row r="2052" customFormat="false" ht="15" hidden="false" customHeight="false" outlineLevel="0" collapsed="false">
      <c r="A2052" s="31" t="n">
        <v>2048</v>
      </c>
      <c r="B2052" s="32" t="str">
        <f aca="false">IF(OR(C2052="",I2052="",G2052=""),"",IFERROR(VLOOKUP(I2052,Setup!$A$9:$B$11,2,0),"???")&amp;"-"&amp;G2052&amp;"-"&amp;TEXT(COUNTIFS(I$5:I2052,I2052,G$5:G2052,G2052),"0000"))</f>
        <v/>
      </c>
      <c r="C2052" s="26"/>
      <c r="D2052" s="26"/>
      <c r="E2052" s="27"/>
      <c r="F2052" s="27"/>
      <c r="G2052" s="31" t="str">
        <f aca="false">IF(F2052="","",IF(F2052&lt;=5,"A",IF(F2052&lt;=8,"B",IF(F2052&lt;=10,"C","D"))))</f>
        <v/>
      </c>
      <c r="H2052" s="28"/>
      <c r="I2052" s="27"/>
      <c r="J2052" s="26"/>
      <c r="K2052" s="27"/>
      <c r="L2052" s="27"/>
      <c r="M2052" s="27"/>
      <c r="N2052" s="27"/>
      <c r="O2052" s="31" t="str">
        <f aca="false">IF(G2052="","",VLOOKUP(G2052,Setup!$A$14:$C$17,3,0))</f>
        <v/>
      </c>
      <c r="P2052" s="27"/>
      <c r="Q2052" s="33" t="str">
        <f aca="false">IF(OR(P2052="",M2052&lt;&gt;"Paid",O2052=""),"",P2052/O2052)</f>
        <v/>
      </c>
      <c r="R2052" s="34" t="str">
        <f aca="false">IF(Q2052="","",Q2052+N(H2052)*0.000000001)</f>
        <v/>
      </c>
      <c r="S2052" s="32" t="str">
        <f aca="false">IF(R2052="","",SUMPRODUCT((I$5:I$4004=I2052)*ISNUMBER(R$5:R$4004)*(R$5:R$4004&gt;R2052))+1)</f>
        <v/>
      </c>
      <c r="T2052" s="32" t="str">
        <f aca="false">IF(S2052="","",IF(S2052&lt;=Setup!$B$5,"🏆 WINNER",""))</f>
        <v/>
      </c>
      <c r="U2052" s="31" t="str">
        <f aca="false">IF(S2052="","",I2052&amp;"|"&amp;S2052)</f>
        <v/>
      </c>
    </row>
    <row r="2053" customFormat="false" ht="15" hidden="false" customHeight="false" outlineLevel="0" collapsed="false">
      <c r="A2053" s="24" t="n">
        <v>2049</v>
      </c>
      <c r="B2053" s="25" t="str">
        <f aca="false">IF(OR(C2053="",I2053="",G2053=""),"",IFERROR(VLOOKUP(I2053,Setup!$A$9:$B$11,2,0),"???")&amp;"-"&amp;G2053&amp;"-"&amp;TEXT(COUNTIFS(I$5:I2053,I2053,G$5:G2053,G2053),"0000"))</f>
        <v/>
      </c>
      <c r="C2053" s="26"/>
      <c r="D2053" s="26"/>
      <c r="E2053" s="27"/>
      <c r="F2053" s="27"/>
      <c r="G2053" s="24" t="str">
        <f aca="false">IF(F2053="","",IF(F2053&lt;=5,"A",IF(F2053&lt;=8,"B",IF(F2053&lt;=10,"C","D"))))</f>
        <v/>
      </c>
      <c r="H2053" s="28"/>
      <c r="I2053" s="27"/>
      <c r="J2053" s="26"/>
      <c r="K2053" s="27"/>
      <c r="L2053" s="27"/>
      <c r="M2053" s="27"/>
      <c r="N2053" s="27"/>
      <c r="O2053" s="24" t="str">
        <f aca="false">IF(G2053="","",VLOOKUP(G2053,Setup!$A$14:$C$17,3,0))</f>
        <v/>
      </c>
      <c r="P2053" s="27"/>
      <c r="Q2053" s="29" t="str">
        <f aca="false">IF(OR(P2053="",M2053&lt;&gt;"Paid",O2053=""),"",P2053/O2053)</f>
        <v/>
      </c>
      <c r="R2053" s="30" t="str">
        <f aca="false">IF(Q2053="","",Q2053+N(H2053)*0.000000001)</f>
        <v/>
      </c>
      <c r="S2053" s="25" t="str">
        <f aca="false">IF(R2053="","",SUMPRODUCT((I$5:I$4004=I2053)*ISNUMBER(R$5:R$4004)*(R$5:R$4004&gt;R2053))+1)</f>
        <v/>
      </c>
      <c r="T2053" s="25" t="str">
        <f aca="false">IF(S2053="","",IF(S2053&lt;=Setup!$B$5,"🏆 WINNER",""))</f>
        <v/>
      </c>
      <c r="U2053" s="24" t="str">
        <f aca="false">IF(S2053="","",I2053&amp;"|"&amp;S2053)</f>
        <v/>
      </c>
    </row>
    <row r="2054" customFormat="false" ht="15" hidden="false" customHeight="false" outlineLevel="0" collapsed="false">
      <c r="A2054" s="31" t="n">
        <v>2050</v>
      </c>
      <c r="B2054" s="32" t="str">
        <f aca="false">IF(OR(C2054="",I2054="",G2054=""),"",IFERROR(VLOOKUP(I2054,Setup!$A$9:$B$11,2,0),"???")&amp;"-"&amp;G2054&amp;"-"&amp;TEXT(COUNTIFS(I$5:I2054,I2054,G$5:G2054,G2054),"0000"))</f>
        <v/>
      </c>
      <c r="C2054" s="26"/>
      <c r="D2054" s="26"/>
      <c r="E2054" s="27"/>
      <c r="F2054" s="27"/>
      <c r="G2054" s="31" t="str">
        <f aca="false">IF(F2054="","",IF(F2054&lt;=5,"A",IF(F2054&lt;=8,"B",IF(F2054&lt;=10,"C","D"))))</f>
        <v/>
      </c>
      <c r="H2054" s="28"/>
      <c r="I2054" s="27"/>
      <c r="J2054" s="26"/>
      <c r="K2054" s="27"/>
      <c r="L2054" s="27"/>
      <c r="M2054" s="27"/>
      <c r="N2054" s="27"/>
      <c r="O2054" s="31" t="str">
        <f aca="false">IF(G2054="","",VLOOKUP(G2054,Setup!$A$14:$C$17,3,0))</f>
        <v/>
      </c>
      <c r="P2054" s="27"/>
      <c r="Q2054" s="33" t="str">
        <f aca="false">IF(OR(P2054="",M2054&lt;&gt;"Paid",O2054=""),"",P2054/O2054)</f>
        <v/>
      </c>
      <c r="R2054" s="34" t="str">
        <f aca="false">IF(Q2054="","",Q2054+N(H2054)*0.000000001)</f>
        <v/>
      </c>
      <c r="S2054" s="32" t="str">
        <f aca="false">IF(R2054="","",SUMPRODUCT((I$5:I$4004=I2054)*ISNUMBER(R$5:R$4004)*(R$5:R$4004&gt;R2054))+1)</f>
        <v/>
      </c>
      <c r="T2054" s="32" t="str">
        <f aca="false">IF(S2054="","",IF(S2054&lt;=Setup!$B$5,"🏆 WINNER",""))</f>
        <v/>
      </c>
      <c r="U2054" s="31" t="str">
        <f aca="false">IF(S2054="","",I2054&amp;"|"&amp;S2054)</f>
        <v/>
      </c>
    </row>
    <row r="2055" customFormat="false" ht="15" hidden="false" customHeight="false" outlineLevel="0" collapsed="false">
      <c r="A2055" s="24" t="n">
        <v>2051</v>
      </c>
      <c r="B2055" s="25" t="str">
        <f aca="false">IF(OR(C2055="",I2055="",G2055=""),"",IFERROR(VLOOKUP(I2055,Setup!$A$9:$B$11,2,0),"???")&amp;"-"&amp;G2055&amp;"-"&amp;TEXT(COUNTIFS(I$5:I2055,I2055,G$5:G2055,G2055),"0000"))</f>
        <v/>
      </c>
      <c r="C2055" s="26"/>
      <c r="D2055" s="26"/>
      <c r="E2055" s="27"/>
      <c r="F2055" s="27"/>
      <c r="G2055" s="24" t="str">
        <f aca="false">IF(F2055="","",IF(F2055&lt;=5,"A",IF(F2055&lt;=8,"B",IF(F2055&lt;=10,"C","D"))))</f>
        <v/>
      </c>
      <c r="H2055" s="28"/>
      <c r="I2055" s="27"/>
      <c r="J2055" s="26"/>
      <c r="K2055" s="27"/>
      <c r="L2055" s="27"/>
      <c r="M2055" s="27"/>
      <c r="N2055" s="27"/>
      <c r="O2055" s="24" t="str">
        <f aca="false">IF(G2055="","",VLOOKUP(G2055,Setup!$A$14:$C$17,3,0))</f>
        <v/>
      </c>
      <c r="P2055" s="27"/>
      <c r="Q2055" s="29" t="str">
        <f aca="false">IF(OR(P2055="",M2055&lt;&gt;"Paid",O2055=""),"",P2055/O2055)</f>
        <v/>
      </c>
      <c r="R2055" s="30" t="str">
        <f aca="false">IF(Q2055="","",Q2055+N(H2055)*0.000000001)</f>
        <v/>
      </c>
      <c r="S2055" s="25" t="str">
        <f aca="false">IF(R2055="","",SUMPRODUCT((I$5:I$4004=I2055)*ISNUMBER(R$5:R$4004)*(R$5:R$4004&gt;R2055))+1)</f>
        <v/>
      </c>
      <c r="T2055" s="25" t="str">
        <f aca="false">IF(S2055="","",IF(S2055&lt;=Setup!$B$5,"🏆 WINNER",""))</f>
        <v/>
      </c>
      <c r="U2055" s="24" t="str">
        <f aca="false">IF(S2055="","",I2055&amp;"|"&amp;S2055)</f>
        <v/>
      </c>
    </row>
    <row r="2056" customFormat="false" ht="15" hidden="false" customHeight="false" outlineLevel="0" collapsed="false">
      <c r="A2056" s="31" t="n">
        <v>2052</v>
      </c>
      <c r="B2056" s="32" t="str">
        <f aca="false">IF(OR(C2056="",I2056="",G2056=""),"",IFERROR(VLOOKUP(I2056,Setup!$A$9:$B$11,2,0),"???")&amp;"-"&amp;G2056&amp;"-"&amp;TEXT(COUNTIFS(I$5:I2056,I2056,G$5:G2056,G2056),"0000"))</f>
        <v/>
      </c>
      <c r="C2056" s="26"/>
      <c r="D2056" s="26"/>
      <c r="E2056" s="27"/>
      <c r="F2056" s="27"/>
      <c r="G2056" s="31" t="str">
        <f aca="false">IF(F2056="","",IF(F2056&lt;=5,"A",IF(F2056&lt;=8,"B",IF(F2056&lt;=10,"C","D"))))</f>
        <v/>
      </c>
      <c r="H2056" s="28"/>
      <c r="I2056" s="27"/>
      <c r="J2056" s="26"/>
      <c r="K2056" s="27"/>
      <c r="L2056" s="27"/>
      <c r="M2056" s="27"/>
      <c r="N2056" s="27"/>
      <c r="O2056" s="31" t="str">
        <f aca="false">IF(G2056="","",VLOOKUP(G2056,Setup!$A$14:$C$17,3,0))</f>
        <v/>
      </c>
      <c r="P2056" s="27"/>
      <c r="Q2056" s="33" t="str">
        <f aca="false">IF(OR(P2056="",M2056&lt;&gt;"Paid",O2056=""),"",P2056/O2056)</f>
        <v/>
      </c>
      <c r="R2056" s="34" t="str">
        <f aca="false">IF(Q2056="","",Q2056+N(H2056)*0.000000001)</f>
        <v/>
      </c>
      <c r="S2056" s="32" t="str">
        <f aca="false">IF(R2056="","",SUMPRODUCT((I$5:I$4004=I2056)*ISNUMBER(R$5:R$4004)*(R$5:R$4004&gt;R2056))+1)</f>
        <v/>
      </c>
      <c r="T2056" s="32" t="str">
        <f aca="false">IF(S2056="","",IF(S2056&lt;=Setup!$B$5,"🏆 WINNER",""))</f>
        <v/>
      </c>
      <c r="U2056" s="31" t="str">
        <f aca="false">IF(S2056="","",I2056&amp;"|"&amp;S2056)</f>
        <v/>
      </c>
    </row>
    <row r="2057" customFormat="false" ht="15" hidden="false" customHeight="false" outlineLevel="0" collapsed="false">
      <c r="A2057" s="24" t="n">
        <v>2053</v>
      </c>
      <c r="B2057" s="25" t="str">
        <f aca="false">IF(OR(C2057="",I2057="",G2057=""),"",IFERROR(VLOOKUP(I2057,Setup!$A$9:$B$11,2,0),"???")&amp;"-"&amp;G2057&amp;"-"&amp;TEXT(COUNTIFS(I$5:I2057,I2057,G$5:G2057,G2057),"0000"))</f>
        <v/>
      </c>
      <c r="C2057" s="26"/>
      <c r="D2057" s="26"/>
      <c r="E2057" s="27"/>
      <c r="F2057" s="27"/>
      <c r="G2057" s="24" t="str">
        <f aca="false">IF(F2057="","",IF(F2057&lt;=5,"A",IF(F2057&lt;=8,"B",IF(F2057&lt;=10,"C","D"))))</f>
        <v/>
      </c>
      <c r="H2057" s="28"/>
      <c r="I2057" s="27"/>
      <c r="J2057" s="26"/>
      <c r="K2057" s="27"/>
      <c r="L2057" s="27"/>
      <c r="M2057" s="27"/>
      <c r="N2057" s="27"/>
      <c r="O2057" s="24" t="str">
        <f aca="false">IF(G2057="","",VLOOKUP(G2057,Setup!$A$14:$C$17,3,0))</f>
        <v/>
      </c>
      <c r="P2057" s="27"/>
      <c r="Q2057" s="29" t="str">
        <f aca="false">IF(OR(P2057="",M2057&lt;&gt;"Paid",O2057=""),"",P2057/O2057)</f>
        <v/>
      </c>
      <c r="R2057" s="30" t="str">
        <f aca="false">IF(Q2057="","",Q2057+N(H2057)*0.000000001)</f>
        <v/>
      </c>
      <c r="S2057" s="25" t="str">
        <f aca="false">IF(R2057="","",SUMPRODUCT((I$5:I$4004=I2057)*ISNUMBER(R$5:R$4004)*(R$5:R$4004&gt;R2057))+1)</f>
        <v/>
      </c>
      <c r="T2057" s="25" t="str">
        <f aca="false">IF(S2057="","",IF(S2057&lt;=Setup!$B$5,"🏆 WINNER",""))</f>
        <v/>
      </c>
      <c r="U2057" s="24" t="str">
        <f aca="false">IF(S2057="","",I2057&amp;"|"&amp;S2057)</f>
        <v/>
      </c>
    </row>
    <row r="2058" customFormat="false" ht="15" hidden="false" customHeight="false" outlineLevel="0" collapsed="false">
      <c r="A2058" s="31" t="n">
        <v>2054</v>
      </c>
      <c r="B2058" s="32" t="str">
        <f aca="false">IF(OR(C2058="",I2058="",G2058=""),"",IFERROR(VLOOKUP(I2058,Setup!$A$9:$B$11,2,0),"???")&amp;"-"&amp;G2058&amp;"-"&amp;TEXT(COUNTIFS(I$5:I2058,I2058,G$5:G2058,G2058),"0000"))</f>
        <v/>
      </c>
      <c r="C2058" s="26"/>
      <c r="D2058" s="26"/>
      <c r="E2058" s="27"/>
      <c r="F2058" s="27"/>
      <c r="G2058" s="31" t="str">
        <f aca="false">IF(F2058="","",IF(F2058&lt;=5,"A",IF(F2058&lt;=8,"B",IF(F2058&lt;=10,"C","D"))))</f>
        <v/>
      </c>
      <c r="H2058" s="28"/>
      <c r="I2058" s="27"/>
      <c r="J2058" s="26"/>
      <c r="K2058" s="27"/>
      <c r="L2058" s="27"/>
      <c r="M2058" s="27"/>
      <c r="N2058" s="27"/>
      <c r="O2058" s="31" t="str">
        <f aca="false">IF(G2058="","",VLOOKUP(G2058,Setup!$A$14:$C$17,3,0))</f>
        <v/>
      </c>
      <c r="P2058" s="27"/>
      <c r="Q2058" s="33" t="str">
        <f aca="false">IF(OR(P2058="",M2058&lt;&gt;"Paid",O2058=""),"",P2058/O2058)</f>
        <v/>
      </c>
      <c r="R2058" s="34" t="str">
        <f aca="false">IF(Q2058="","",Q2058+N(H2058)*0.000000001)</f>
        <v/>
      </c>
      <c r="S2058" s="32" t="str">
        <f aca="false">IF(R2058="","",SUMPRODUCT((I$5:I$4004=I2058)*ISNUMBER(R$5:R$4004)*(R$5:R$4004&gt;R2058))+1)</f>
        <v/>
      </c>
      <c r="T2058" s="32" t="str">
        <f aca="false">IF(S2058="","",IF(S2058&lt;=Setup!$B$5,"🏆 WINNER",""))</f>
        <v/>
      </c>
      <c r="U2058" s="31" t="str">
        <f aca="false">IF(S2058="","",I2058&amp;"|"&amp;S2058)</f>
        <v/>
      </c>
    </row>
    <row r="2059" customFormat="false" ht="15" hidden="false" customHeight="false" outlineLevel="0" collapsed="false">
      <c r="A2059" s="24" t="n">
        <v>2055</v>
      </c>
      <c r="B2059" s="25" t="str">
        <f aca="false">IF(OR(C2059="",I2059="",G2059=""),"",IFERROR(VLOOKUP(I2059,Setup!$A$9:$B$11,2,0),"???")&amp;"-"&amp;G2059&amp;"-"&amp;TEXT(COUNTIFS(I$5:I2059,I2059,G$5:G2059,G2059),"0000"))</f>
        <v/>
      </c>
      <c r="C2059" s="26"/>
      <c r="D2059" s="26"/>
      <c r="E2059" s="27"/>
      <c r="F2059" s="27"/>
      <c r="G2059" s="24" t="str">
        <f aca="false">IF(F2059="","",IF(F2059&lt;=5,"A",IF(F2059&lt;=8,"B",IF(F2059&lt;=10,"C","D"))))</f>
        <v/>
      </c>
      <c r="H2059" s="28"/>
      <c r="I2059" s="27"/>
      <c r="J2059" s="26"/>
      <c r="K2059" s="27"/>
      <c r="L2059" s="27"/>
      <c r="M2059" s="27"/>
      <c r="N2059" s="27"/>
      <c r="O2059" s="24" t="str">
        <f aca="false">IF(G2059="","",VLOOKUP(G2059,Setup!$A$14:$C$17,3,0))</f>
        <v/>
      </c>
      <c r="P2059" s="27"/>
      <c r="Q2059" s="29" t="str">
        <f aca="false">IF(OR(P2059="",M2059&lt;&gt;"Paid",O2059=""),"",P2059/O2059)</f>
        <v/>
      </c>
      <c r="R2059" s="30" t="str">
        <f aca="false">IF(Q2059="","",Q2059+N(H2059)*0.000000001)</f>
        <v/>
      </c>
      <c r="S2059" s="25" t="str">
        <f aca="false">IF(R2059="","",SUMPRODUCT((I$5:I$4004=I2059)*ISNUMBER(R$5:R$4004)*(R$5:R$4004&gt;R2059))+1)</f>
        <v/>
      </c>
      <c r="T2059" s="25" t="str">
        <f aca="false">IF(S2059="","",IF(S2059&lt;=Setup!$B$5,"🏆 WINNER",""))</f>
        <v/>
      </c>
      <c r="U2059" s="24" t="str">
        <f aca="false">IF(S2059="","",I2059&amp;"|"&amp;S2059)</f>
        <v/>
      </c>
    </row>
    <row r="2060" customFormat="false" ht="15" hidden="false" customHeight="false" outlineLevel="0" collapsed="false">
      <c r="A2060" s="31" t="n">
        <v>2056</v>
      </c>
      <c r="B2060" s="32" t="str">
        <f aca="false">IF(OR(C2060="",I2060="",G2060=""),"",IFERROR(VLOOKUP(I2060,Setup!$A$9:$B$11,2,0),"???")&amp;"-"&amp;G2060&amp;"-"&amp;TEXT(COUNTIFS(I$5:I2060,I2060,G$5:G2060,G2060),"0000"))</f>
        <v/>
      </c>
      <c r="C2060" s="26"/>
      <c r="D2060" s="26"/>
      <c r="E2060" s="27"/>
      <c r="F2060" s="27"/>
      <c r="G2060" s="31" t="str">
        <f aca="false">IF(F2060="","",IF(F2060&lt;=5,"A",IF(F2060&lt;=8,"B",IF(F2060&lt;=10,"C","D"))))</f>
        <v/>
      </c>
      <c r="H2060" s="28"/>
      <c r="I2060" s="27"/>
      <c r="J2060" s="26"/>
      <c r="K2060" s="27"/>
      <c r="L2060" s="27"/>
      <c r="M2060" s="27"/>
      <c r="N2060" s="27"/>
      <c r="O2060" s="31" t="str">
        <f aca="false">IF(G2060="","",VLOOKUP(G2060,Setup!$A$14:$C$17,3,0))</f>
        <v/>
      </c>
      <c r="P2060" s="27"/>
      <c r="Q2060" s="33" t="str">
        <f aca="false">IF(OR(P2060="",M2060&lt;&gt;"Paid",O2060=""),"",P2060/O2060)</f>
        <v/>
      </c>
      <c r="R2060" s="34" t="str">
        <f aca="false">IF(Q2060="","",Q2060+N(H2060)*0.000000001)</f>
        <v/>
      </c>
      <c r="S2060" s="32" t="str">
        <f aca="false">IF(R2060="","",SUMPRODUCT((I$5:I$4004=I2060)*ISNUMBER(R$5:R$4004)*(R$5:R$4004&gt;R2060))+1)</f>
        <v/>
      </c>
      <c r="T2060" s="32" t="str">
        <f aca="false">IF(S2060="","",IF(S2060&lt;=Setup!$B$5,"🏆 WINNER",""))</f>
        <v/>
      </c>
      <c r="U2060" s="31" t="str">
        <f aca="false">IF(S2060="","",I2060&amp;"|"&amp;S2060)</f>
        <v/>
      </c>
    </row>
    <row r="2061" customFormat="false" ht="15" hidden="false" customHeight="false" outlineLevel="0" collapsed="false">
      <c r="A2061" s="24" t="n">
        <v>2057</v>
      </c>
      <c r="B2061" s="25" t="str">
        <f aca="false">IF(OR(C2061="",I2061="",G2061=""),"",IFERROR(VLOOKUP(I2061,Setup!$A$9:$B$11,2,0),"???")&amp;"-"&amp;G2061&amp;"-"&amp;TEXT(COUNTIFS(I$5:I2061,I2061,G$5:G2061,G2061),"0000"))</f>
        <v/>
      </c>
      <c r="C2061" s="26"/>
      <c r="D2061" s="26"/>
      <c r="E2061" s="27"/>
      <c r="F2061" s="27"/>
      <c r="G2061" s="24" t="str">
        <f aca="false">IF(F2061="","",IF(F2061&lt;=5,"A",IF(F2061&lt;=8,"B",IF(F2061&lt;=10,"C","D"))))</f>
        <v/>
      </c>
      <c r="H2061" s="28"/>
      <c r="I2061" s="27"/>
      <c r="J2061" s="26"/>
      <c r="K2061" s="27"/>
      <c r="L2061" s="27"/>
      <c r="M2061" s="27"/>
      <c r="N2061" s="27"/>
      <c r="O2061" s="24" t="str">
        <f aca="false">IF(G2061="","",VLOOKUP(G2061,Setup!$A$14:$C$17,3,0))</f>
        <v/>
      </c>
      <c r="P2061" s="27"/>
      <c r="Q2061" s="29" t="str">
        <f aca="false">IF(OR(P2061="",M2061&lt;&gt;"Paid",O2061=""),"",P2061/O2061)</f>
        <v/>
      </c>
      <c r="R2061" s="30" t="str">
        <f aca="false">IF(Q2061="","",Q2061+N(H2061)*0.000000001)</f>
        <v/>
      </c>
      <c r="S2061" s="25" t="str">
        <f aca="false">IF(R2061="","",SUMPRODUCT((I$5:I$4004=I2061)*ISNUMBER(R$5:R$4004)*(R$5:R$4004&gt;R2061))+1)</f>
        <v/>
      </c>
      <c r="T2061" s="25" t="str">
        <f aca="false">IF(S2061="","",IF(S2061&lt;=Setup!$B$5,"🏆 WINNER",""))</f>
        <v/>
      </c>
      <c r="U2061" s="24" t="str">
        <f aca="false">IF(S2061="","",I2061&amp;"|"&amp;S2061)</f>
        <v/>
      </c>
    </row>
    <row r="2062" customFormat="false" ht="15" hidden="false" customHeight="false" outlineLevel="0" collapsed="false">
      <c r="A2062" s="31" t="n">
        <v>2058</v>
      </c>
      <c r="B2062" s="32" t="str">
        <f aca="false">IF(OR(C2062="",I2062="",G2062=""),"",IFERROR(VLOOKUP(I2062,Setup!$A$9:$B$11,2,0),"???")&amp;"-"&amp;G2062&amp;"-"&amp;TEXT(COUNTIFS(I$5:I2062,I2062,G$5:G2062,G2062),"0000"))</f>
        <v/>
      </c>
      <c r="C2062" s="26"/>
      <c r="D2062" s="26"/>
      <c r="E2062" s="27"/>
      <c r="F2062" s="27"/>
      <c r="G2062" s="31" t="str">
        <f aca="false">IF(F2062="","",IF(F2062&lt;=5,"A",IF(F2062&lt;=8,"B",IF(F2062&lt;=10,"C","D"))))</f>
        <v/>
      </c>
      <c r="H2062" s="28"/>
      <c r="I2062" s="27"/>
      <c r="J2062" s="26"/>
      <c r="K2062" s="27"/>
      <c r="L2062" s="27"/>
      <c r="M2062" s="27"/>
      <c r="N2062" s="27"/>
      <c r="O2062" s="31" t="str">
        <f aca="false">IF(G2062="","",VLOOKUP(G2062,Setup!$A$14:$C$17,3,0))</f>
        <v/>
      </c>
      <c r="P2062" s="27"/>
      <c r="Q2062" s="33" t="str">
        <f aca="false">IF(OR(P2062="",M2062&lt;&gt;"Paid",O2062=""),"",P2062/O2062)</f>
        <v/>
      </c>
      <c r="R2062" s="34" t="str">
        <f aca="false">IF(Q2062="","",Q2062+N(H2062)*0.000000001)</f>
        <v/>
      </c>
      <c r="S2062" s="32" t="str">
        <f aca="false">IF(R2062="","",SUMPRODUCT((I$5:I$4004=I2062)*ISNUMBER(R$5:R$4004)*(R$5:R$4004&gt;R2062))+1)</f>
        <v/>
      </c>
      <c r="T2062" s="32" t="str">
        <f aca="false">IF(S2062="","",IF(S2062&lt;=Setup!$B$5,"🏆 WINNER",""))</f>
        <v/>
      </c>
      <c r="U2062" s="31" t="str">
        <f aca="false">IF(S2062="","",I2062&amp;"|"&amp;S2062)</f>
        <v/>
      </c>
    </row>
    <row r="2063" customFormat="false" ht="15" hidden="false" customHeight="false" outlineLevel="0" collapsed="false">
      <c r="A2063" s="24" t="n">
        <v>2059</v>
      </c>
      <c r="B2063" s="25" t="str">
        <f aca="false">IF(OR(C2063="",I2063="",G2063=""),"",IFERROR(VLOOKUP(I2063,Setup!$A$9:$B$11,2,0),"???")&amp;"-"&amp;G2063&amp;"-"&amp;TEXT(COUNTIFS(I$5:I2063,I2063,G$5:G2063,G2063),"0000"))</f>
        <v/>
      </c>
      <c r="C2063" s="26"/>
      <c r="D2063" s="26"/>
      <c r="E2063" s="27"/>
      <c r="F2063" s="27"/>
      <c r="G2063" s="24" t="str">
        <f aca="false">IF(F2063="","",IF(F2063&lt;=5,"A",IF(F2063&lt;=8,"B",IF(F2063&lt;=10,"C","D"))))</f>
        <v/>
      </c>
      <c r="H2063" s="28"/>
      <c r="I2063" s="27"/>
      <c r="J2063" s="26"/>
      <c r="K2063" s="27"/>
      <c r="L2063" s="27"/>
      <c r="M2063" s="27"/>
      <c r="N2063" s="27"/>
      <c r="O2063" s="24" t="str">
        <f aca="false">IF(G2063="","",VLOOKUP(G2063,Setup!$A$14:$C$17,3,0))</f>
        <v/>
      </c>
      <c r="P2063" s="27"/>
      <c r="Q2063" s="29" t="str">
        <f aca="false">IF(OR(P2063="",M2063&lt;&gt;"Paid",O2063=""),"",P2063/O2063)</f>
        <v/>
      </c>
      <c r="R2063" s="30" t="str">
        <f aca="false">IF(Q2063="","",Q2063+N(H2063)*0.000000001)</f>
        <v/>
      </c>
      <c r="S2063" s="25" t="str">
        <f aca="false">IF(R2063="","",SUMPRODUCT((I$5:I$4004=I2063)*ISNUMBER(R$5:R$4004)*(R$5:R$4004&gt;R2063))+1)</f>
        <v/>
      </c>
      <c r="T2063" s="25" t="str">
        <f aca="false">IF(S2063="","",IF(S2063&lt;=Setup!$B$5,"🏆 WINNER",""))</f>
        <v/>
      </c>
      <c r="U2063" s="24" t="str">
        <f aca="false">IF(S2063="","",I2063&amp;"|"&amp;S2063)</f>
        <v/>
      </c>
    </row>
    <row r="2064" customFormat="false" ht="15" hidden="false" customHeight="false" outlineLevel="0" collapsed="false">
      <c r="A2064" s="31" t="n">
        <v>2060</v>
      </c>
      <c r="B2064" s="32" t="str">
        <f aca="false">IF(OR(C2064="",I2064="",G2064=""),"",IFERROR(VLOOKUP(I2064,Setup!$A$9:$B$11,2,0),"???")&amp;"-"&amp;G2064&amp;"-"&amp;TEXT(COUNTIFS(I$5:I2064,I2064,G$5:G2064,G2064),"0000"))</f>
        <v/>
      </c>
      <c r="C2064" s="26"/>
      <c r="D2064" s="26"/>
      <c r="E2064" s="27"/>
      <c r="F2064" s="27"/>
      <c r="G2064" s="31" t="str">
        <f aca="false">IF(F2064="","",IF(F2064&lt;=5,"A",IF(F2064&lt;=8,"B",IF(F2064&lt;=10,"C","D"))))</f>
        <v/>
      </c>
      <c r="H2064" s="28"/>
      <c r="I2064" s="27"/>
      <c r="J2064" s="26"/>
      <c r="K2064" s="27"/>
      <c r="L2064" s="27"/>
      <c r="M2064" s="27"/>
      <c r="N2064" s="27"/>
      <c r="O2064" s="31" t="str">
        <f aca="false">IF(G2064="","",VLOOKUP(G2064,Setup!$A$14:$C$17,3,0))</f>
        <v/>
      </c>
      <c r="P2064" s="27"/>
      <c r="Q2064" s="33" t="str">
        <f aca="false">IF(OR(P2064="",M2064&lt;&gt;"Paid",O2064=""),"",P2064/O2064)</f>
        <v/>
      </c>
      <c r="R2064" s="34" t="str">
        <f aca="false">IF(Q2064="","",Q2064+N(H2064)*0.000000001)</f>
        <v/>
      </c>
      <c r="S2064" s="32" t="str">
        <f aca="false">IF(R2064="","",SUMPRODUCT((I$5:I$4004=I2064)*ISNUMBER(R$5:R$4004)*(R$5:R$4004&gt;R2064))+1)</f>
        <v/>
      </c>
      <c r="T2064" s="32" t="str">
        <f aca="false">IF(S2064="","",IF(S2064&lt;=Setup!$B$5,"🏆 WINNER",""))</f>
        <v/>
      </c>
      <c r="U2064" s="31" t="str">
        <f aca="false">IF(S2064="","",I2064&amp;"|"&amp;S2064)</f>
        <v/>
      </c>
    </row>
    <row r="2065" customFormat="false" ht="15" hidden="false" customHeight="false" outlineLevel="0" collapsed="false">
      <c r="A2065" s="24" t="n">
        <v>2061</v>
      </c>
      <c r="B2065" s="25" t="str">
        <f aca="false">IF(OR(C2065="",I2065="",G2065=""),"",IFERROR(VLOOKUP(I2065,Setup!$A$9:$B$11,2,0),"???")&amp;"-"&amp;G2065&amp;"-"&amp;TEXT(COUNTIFS(I$5:I2065,I2065,G$5:G2065,G2065),"0000"))</f>
        <v/>
      </c>
      <c r="C2065" s="26"/>
      <c r="D2065" s="26"/>
      <c r="E2065" s="27"/>
      <c r="F2065" s="27"/>
      <c r="G2065" s="24" t="str">
        <f aca="false">IF(F2065="","",IF(F2065&lt;=5,"A",IF(F2065&lt;=8,"B",IF(F2065&lt;=10,"C","D"))))</f>
        <v/>
      </c>
      <c r="H2065" s="28"/>
      <c r="I2065" s="27"/>
      <c r="J2065" s="26"/>
      <c r="K2065" s="27"/>
      <c r="L2065" s="27"/>
      <c r="M2065" s="27"/>
      <c r="N2065" s="27"/>
      <c r="O2065" s="24" t="str">
        <f aca="false">IF(G2065="","",VLOOKUP(G2065,Setup!$A$14:$C$17,3,0))</f>
        <v/>
      </c>
      <c r="P2065" s="27"/>
      <c r="Q2065" s="29" t="str">
        <f aca="false">IF(OR(P2065="",M2065&lt;&gt;"Paid",O2065=""),"",P2065/O2065)</f>
        <v/>
      </c>
      <c r="R2065" s="30" t="str">
        <f aca="false">IF(Q2065="","",Q2065+N(H2065)*0.000000001)</f>
        <v/>
      </c>
      <c r="S2065" s="25" t="str">
        <f aca="false">IF(R2065="","",SUMPRODUCT((I$5:I$4004=I2065)*ISNUMBER(R$5:R$4004)*(R$5:R$4004&gt;R2065))+1)</f>
        <v/>
      </c>
      <c r="T2065" s="25" t="str">
        <f aca="false">IF(S2065="","",IF(S2065&lt;=Setup!$B$5,"🏆 WINNER",""))</f>
        <v/>
      </c>
      <c r="U2065" s="24" t="str">
        <f aca="false">IF(S2065="","",I2065&amp;"|"&amp;S2065)</f>
        <v/>
      </c>
    </row>
    <row r="2066" customFormat="false" ht="15" hidden="false" customHeight="false" outlineLevel="0" collapsed="false">
      <c r="A2066" s="31" t="n">
        <v>2062</v>
      </c>
      <c r="B2066" s="32" t="str">
        <f aca="false">IF(OR(C2066="",I2066="",G2066=""),"",IFERROR(VLOOKUP(I2066,Setup!$A$9:$B$11,2,0),"???")&amp;"-"&amp;G2066&amp;"-"&amp;TEXT(COUNTIFS(I$5:I2066,I2066,G$5:G2066,G2066),"0000"))</f>
        <v/>
      </c>
      <c r="C2066" s="26"/>
      <c r="D2066" s="26"/>
      <c r="E2066" s="27"/>
      <c r="F2066" s="27"/>
      <c r="G2066" s="31" t="str">
        <f aca="false">IF(F2066="","",IF(F2066&lt;=5,"A",IF(F2066&lt;=8,"B",IF(F2066&lt;=10,"C","D"))))</f>
        <v/>
      </c>
      <c r="H2066" s="28"/>
      <c r="I2066" s="27"/>
      <c r="J2066" s="26"/>
      <c r="K2066" s="27"/>
      <c r="L2066" s="27"/>
      <c r="M2066" s="27"/>
      <c r="N2066" s="27"/>
      <c r="O2066" s="31" t="str">
        <f aca="false">IF(G2066="","",VLOOKUP(G2066,Setup!$A$14:$C$17,3,0))</f>
        <v/>
      </c>
      <c r="P2066" s="27"/>
      <c r="Q2066" s="33" t="str">
        <f aca="false">IF(OR(P2066="",M2066&lt;&gt;"Paid",O2066=""),"",P2066/O2066)</f>
        <v/>
      </c>
      <c r="R2066" s="34" t="str">
        <f aca="false">IF(Q2066="","",Q2066+N(H2066)*0.000000001)</f>
        <v/>
      </c>
      <c r="S2066" s="32" t="str">
        <f aca="false">IF(R2066="","",SUMPRODUCT((I$5:I$4004=I2066)*ISNUMBER(R$5:R$4004)*(R$5:R$4004&gt;R2066))+1)</f>
        <v/>
      </c>
      <c r="T2066" s="32" t="str">
        <f aca="false">IF(S2066="","",IF(S2066&lt;=Setup!$B$5,"🏆 WINNER",""))</f>
        <v/>
      </c>
      <c r="U2066" s="31" t="str">
        <f aca="false">IF(S2066="","",I2066&amp;"|"&amp;S2066)</f>
        <v/>
      </c>
    </row>
    <row r="2067" customFormat="false" ht="15" hidden="false" customHeight="false" outlineLevel="0" collapsed="false">
      <c r="A2067" s="24" t="n">
        <v>2063</v>
      </c>
      <c r="B2067" s="25" t="str">
        <f aca="false">IF(OR(C2067="",I2067="",G2067=""),"",IFERROR(VLOOKUP(I2067,Setup!$A$9:$B$11,2,0),"???")&amp;"-"&amp;G2067&amp;"-"&amp;TEXT(COUNTIFS(I$5:I2067,I2067,G$5:G2067,G2067),"0000"))</f>
        <v/>
      </c>
      <c r="C2067" s="26"/>
      <c r="D2067" s="26"/>
      <c r="E2067" s="27"/>
      <c r="F2067" s="27"/>
      <c r="G2067" s="24" t="str">
        <f aca="false">IF(F2067="","",IF(F2067&lt;=5,"A",IF(F2067&lt;=8,"B",IF(F2067&lt;=10,"C","D"))))</f>
        <v/>
      </c>
      <c r="H2067" s="28"/>
      <c r="I2067" s="27"/>
      <c r="J2067" s="26"/>
      <c r="K2067" s="27"/>
      <c r="L2067" s="27"/>
      <c r="M2067" s="27"/>
      <c r="N2067" s="27"/>
      <c r="O2067" s="24" t="str">
        <f aca="false">IF(G2067="","",VLOOKUP(G2067,Setup!$A$14:$C$17,3,0))</f>
        <v/>
      </c>
      <c r="P2067" s="27"/>
      <c r="Q2067" s="29" t="str">
        <f aca="false">IF(OR(P2067="",M2067&lt;&gt;"Paid",O2067=""),"",P2067/O2067)</f>
        <v/>
      </c>
      <c r="R2067" s="30" t="str">
        <f aca="false">IF(Q2067="","",Q2067+N(H2067)*0.000000001)</f>
        <v/>
      </c>
      <c r="S2067" s="25" t="str">
        <f aca="false">IF(R2067="","",SUMPRODUCT((I$5:I$4004=I2067)*ISNUMBER(R$5:R$4004)*(R$5:R$4004&gt;R2067))+1)</f>
        <v/>
      </c>
      <c r="T2067" s="25" t="str">
        <f aca="false">IF(S2067="","",IF(S2067&lt;=Setup!$B$5,"🏆 WINNER",""))</f>
        <v/>
      </c>
      <c r="U2067" s="24" t="str">
        <f aca="false">IF(S2067="","",I2067&amp;"|"&amp;S2067)</f>
        <v/>
      </c>
    </row>
    <row r="2068" customFormat="false" ht="15" hidden="false" customHeight="false" outlineLevel="0" collapsed="false">
      <c r="A2068" s="31" t="n">
        <v>2064</v>
      </c>
      <c r="B2068" s="32" t="str">
        <f aca="false">IF(OR(C2068="",I2068="",G2068=""),"",IFERROR(VLOOKUP(I2068,Setup!$A$9:$B$11,2,0),"???")&amp;"-"&amp;G2068&amp;"-"&amp;TEXT(COUNTIFS(I$5:I2068,I2068,G$5:G2068,G2068),"0000"))</f>
        <v/>
      </c>
      <c r="C2068" s="26"/>
      <c r="D2068" s="26"/>
      <c r="E2068" s="27"/>
      <c r="F2068" s="27"/>
      <c r="G2068" s="31" t="str">
        <f aca="false">IF(F2068="","",IF(F2068&lt;=5,"A",IF(F2068&lt;=8,"B",IF(F2068&lt;=10,"C","D"))))</f>
        <v/>
      </c>
      <c r="H2068" s="28"/>
      <c r="I2068" s="27"/>
      <c r="J2068" s="26"/>
      <c r="K2068" s="27"/>
      <c r="L2068" s="27"/>
      <c r="M2068" s="27"/>
      <c r="N2068" s="27"/>
      <c r="O2068" s="31" t="str">
        <f aca="false">IF(G2068="","",VLOOKUP(G2068,Setup!$A$14:$C$17,3,0))</f>
        <v/>
      </c>
      <c r="P2068" s="27"/>
      <c r="Q2068" s="33" t="str">
        <f aca="false">IF(OR(P2068="",M2068&lt;&gt;"Paid",O2068=""),"",P2068/O2068)</f>
        <v/>
      </c>
      <c r="R2068" s="34" t="str">
        <f aca="false">IF(Q2068="","",Q2068+N(H2068)*0.000000001)</f>
        <v/>
      </c>
      <c r="S2068" s="32" t="str">
        <f aca="false">IF(R2068="","",SUMPRODUCT((I$5:I$4004=I2068)*ISNUMBER(R$5:R$4004)*(R$5:R$4004&gt;R2068))+1)</f>
        <v/>
      </c>
      <c r="T2068" s="32" t="str">
        <f aca="false">IF(S2068="","",IF(S2068&lt;=Setup!$B$5,"🏆 WINNER",""))</f>
        <v/>
      </c>
      <c r="U2068" s="31" t="str">
        <f aca="false">IF(S2068="","",I2068&amp;"|"&amp;S2068)</f>
        <v/>
      </c>
    </row>
    <row r="2069" customFormat="false" ht="15" hidden="false" customHeight="false" outlineLevel="0" collapsed="false">
      <c r="A2069" s="24" t="n">
        <v>2065</v>
      </c>
      <c r="B2069" s="25" t="str">
        <f aca="false">IF(OR(C2069="",I2069="",G2069=""),"",IFERROR(VLOOKUP(I2069,Setup!$A$9:$B$11,2,0),"???")&amp;"-"&amp;G2069&amp;"-"&amp;TEXT(COUNTIFS(I$5:I2069,I2069,G$5:G2069,G2069),"0000"))</f>
        <v/>
      </c>
      <c r="C2069" s="26"/>
      <c r="D2069" s="26"/>
      <c r="E2069" s="27"/>
      <c r="F2069" s="27"/>
      <c r="G2069" s="24" t="str">
        <f aca="false">IF(F2069="","",IF(F2069&lt;=5,"A",IF(F2069&lt;=8,"B",IF(F2069&lt;=10,"C","D"))))</f>
        <v/>
      </c>
      <c r="H2069" s="28"/>
      <c r="I2069" s="27"/>
      <c r="J2069" s="26"/>
      <c r="K2069" s="27"/>
      <c r="L2069" s="27"/>
      <c r="M2069" s="27"/>
      <c r="N2069" s="27"/>
      <c r="O2069" s="24" t="str">
        <f aca="false">IF(G2069="","",VLOOKUP(G2069,Setup!$A$14:$C$17,3,0))</f>
        <v/>
      </c>
      <c r="P2069" s="27"/>
      <c r="Q2069" s="29" t="str">
        <f aca="false">IF(OR(P2069="",M2069&lt;&gt;"Paid",O2069=""),"",P2069/O2069)</f>
        <v/>
      </c>
      <c r="R2069" s="30" t="str">
        <f aca="false">IF(Q2069="","",Q2069+N(H2069)*0.000000001)</f>
        <v/>
      </c>
      <c r="S2069" s="25" t="str">
        <f aca="false">IF(R2069="","",SUMPRODUCT((I$5:I$4004=I2069)*ISNUMBER(R$5:R$4004)*(R$5:R$4004&gt;R2069))+1)</f>
        <v/>
      </c>
      <c r="T2069" s="25" t="str">
        <f aca="false">IF(S2069="","",IF(S2069&lt;=Setup!$B$5,"🏆 WINNER",""))</f>
        <v/>
      </c>
      <c r="U2069" s="24" t="str">
        <f aca="false">IF(S2069="","",I2069&amp;"|"&amp;S2069)</f>
        <v/>
      </c>
    </row>
    <row r="2070" customFormat="false" ht="15" hidden="false" customHeight="false" outlineLevel="0" collapsed="false">
      <c r="A2070" s="31" t="n">
        <v>2066</v>
      </c>
      <c r="B2070" s="32" t="str">
        <f aca="false">IF(OR(C2070="",I2070="",G2070=""),"",IFERROR(VLOOKUP(I2070,Setup!$A$9:$B$11,2,0),"???")&amp;"-"&amp;G2070&amp;"-"&amp;TEXT(COUNTIFS(I$5:I2070,I2070,G$5:G2070,G2070),"0000"))</f>
        <v/>
      </c>
      <c r="C2070" s="26"/>
      <c r="D2070" s="26"/>
      <c r="E2070" s="27"/>
      <c r="F2070" s="27"/>
      <c r="G2070" s="31" t="str">
        <f aca="false">IF(F2070="","",IF(F2070&lt;=5,"A",IF(F2070&lt;=8,"B",IF(F2070&lt;=10,"C","D"))))</f>
        <v/>
      </c>
      <c r="H2070" s="28"/>
      <c r="I2070" s="27"/>
      <c r="J2070" s="26"/>
      <c r="K2070" s="27"/>
      <c r="L2070" s="27"/>
      <c r="M2070" s="27"/>
      <c r="N2070" s="27"/>
      <c r="O2070" s="31" t="str">
        <f aca="false">IF(G2070="","",VLOOKUP(G2070,Setup!$A$14:$C$17,3,0))</f>
        <v/>
      </c>
      <c r="P2070" s="27"/>
      <c r="Q2070" s="33" t="str">
        <f aca="false">IF(OR(P2070="",M2070&lt;&gt;"Paid",O2070=""),"",P2070/O2070)</f>
        <v/>
      </c>
      <c r="R2070" s="34" t="str">
        <f aca="false">IF(Q2070="","",Q2070+N(H2070)*0.000000001)</f>
        <v/>
      </c>
      <c r="S2070" s="32" t="str">
        <f aca="false">IF(R2070="","",SUMPRODUCT((I$5:I$4004=I2070)*ISNUMBER(R$5:R$4004)*(R$5:R$4004&gt;R2070))+1)</f>
        <v/>
      </c>
      <c r="T2070" s="32" t="str">
        <f aca="false">IF(S2070="","",IF(S2070&lt;=Setup!$B$5,"🏆 WINNER",""))</f>
        <v/>
      </c>
      <c r="U2070" s="31" t="str">
        <f aca="false">IF(S2070="","",I2070&amp;"|"&amp;S2070)</f>
        <v/>
      </c>
    </row>
    <row r="2071" customFormat="false" ht="15" hidden="false" customHeight="false" outlineLevel="0" collapsed="false">
      <c r="A2071" s="24" t="n">
        <v>2067</v>
      </c>
      <c r="B2071" s="25" t="str">
        <f aca="false">IF(OR(C2071="",I2071="",G2071=""),"",IFERROR(VLOOKUP(I2071,Setup!$A$9:$B$11,2,0),"???")&amp;"-"&amp;G2071&amp;"-"&amp;TEXT(COUNTIFS(I$5:I2071,I2071,G$5:G2071,G2071),"0000"))</f>
        <v/>
      </c>
      <c r="C2071" s="26"/>
      <c r="D2071" s="26"/>
      <c r="E2071" s="27"/>
      <c r="F2071" s="27"/>
      <c r="G2071" s="24" t="str">
        <f aca="false">IF(F2071="","",IF(F2071&lt;=5,"A",IF(F2071&lt;=8,"B",IF(F2071&lt;=10,"C","D"))))</f>
        <v/>
      </c>
      <c r="H2071" s="28"/>
      <c r="I2071" s="27"/>
      <c r="J2071" s="26"/>
      <c r="K2071" s="27"/>
      <c r="L2071" s="27"/>
      <c r="M2071" s="27"/>
      <c r="N2071" s="27"/>
      <c r="O2071" s="24" t="str">
        <f aca="false">IF(G2071="","",VLOOKUP(G2071,Setup!$A$14:$C$17,3,0))</f>
        <v/>
      </c>
      <c r="P2071" s="27"/>
      <c r="Q2071" s="29" t="str">
        <f aca="false">IF(OR(P2071="",M2071&lt;&gt;"Paid",O2071=""),"",P2071/O2071)</f>
        <v/>
      </c>
      <c r="R2071" s="30" t="str">
        <f aca="false">IF(Q2071="","",Q2071+N(H2071)*0.000000001)</f>
        <v/>
      </c>
      <c r="S2071" s="25" t="str">
        <f aca="false">IF(R2071="","",SUMPRODUCT((I$5:I$4004=I2071)*ISNUMBER(R$5:R$4004)*(R$5:R$4004&gt;R2071))+1)</f>
        <v/>
      </c>
      <c r="T2071" s="25" t="str">
        <f aca="false">IF(S2071="","",IF(S2071&lt;=Setup!$B$5,"🏆 WINNER",""))</f>
        <v/>
      </c>
      <c r="U2071" s="24" t="str">
        <f aca="false">IF(S2071="","",I2071&amp;"|"&amp;S2071)</f>
        <v/>
      </c>
    </row>
    <row r="2072" customFormat="false" ht="15" hidden="false" customHeight="false" outlineLevel="0" collapsed="false">
      <c r="A2072" s="31" t="n">
        <v>2068</v>
      </c>
      <c r="B2072" s="32" t="str">
        <f aca="false">IF(OR(C2072="",I2072="",G2072=""),"",IFERROR(VLOOKUP(I2072,Setup!$A$9:$B$11,2,0),"???")&amp;"-"&amp;G2072&amp;"-"&amp;TEXT(COUNTIFS(I$5:I2072,I2072,G$5:G2072,G2072),"0000"))</f>
        <v/>
      </c>
      <c r="C2072" s="26"/>
      <c r="D2072" s="26"/>
      <c r="E2072" s="27"/>
      <c r="F2072" s="27"/>
      <c r="G2072" s="31" t="str">
        <f aca="false">IF(F2072="","",IF(F2072&lt;=5,"A",IF(F2072&lt;=8,"B",IF(F2072&lt;=10,"C","D"))))</f>
        <v/>
      </c>
      <c r="H2072" s="28"/>
      <c r="I2072" s="27"/>
      <c r="J2072" s="26"/>
      <c r="K2072" s="27"/>
      <c r="L2072" s="27"/>
      <c r="M2072" s="27"/>
      <c r="N2072" s="27"/>
      <c r="O2072" s="31" t="str">
        <f aca="false">IF(G2072="","",VLOOKUP(G2072,Setup!$A$14:$C$17,3,0))</f>
        <v/>
      </c>
      <c r="P2072" s="27"/>
      <c r="Q2072" s="33" t="str">
        <f aca="false">IF(OR(P2072="",M2072&lt;&gt;"Paid",O2072=""),"",P2072/O2072)</f>
        <v/>
      </c>
      <c r="R2072" s="34" t="str">
        <f aca="false">IF(Q2072="","",Q2072+N(H2072)*0.000000001)</f>
        <v/>
      </c>
      <c r="S2072" s="32" t="str">
        <f aca="false">IF(R2072="","",SUMPRODUCT((I$5:I$4004=I2072)*ISNUMBER(R$5:R$4004)*(R$5:R$4004&gt;R2072))+1)</f>
        <v/>
      </c>
      <c r="T2072" s="32" t="str">
        <f aca="false">IF(S2072="","",IF(S2072&lt;=Setup!$B$5,"🏆 WINNER",""))</f>
        <v/>
      </c>
      <c r="U2072" s="31" t="str">
        <f aca="false">IF(S2072="","",I2072&amp;"|"&amp;S2072)</f>
        <v/>
      </c>
    </row>
    <row r="2073" customFormat="false" ht="15" hidden="false" customHeight="false" outlineLevel="0" collapsed="false">
      <c r="A2073" s="24" t="n">
        <v>2069</v>
      </c>
      <c r="B2073" s="25" t="str">
        <f aca="false">IF(OR(C2073="",I2073="",G2073=""),"",IFERROR(VLOOKUP(I2073,Setup!$A$9:$B$11,2,0),"???")&amp;"-"&amp;G2073&amp;"-"&amp;TEXT(COUNTIFS(I$5:I2073,I2073,G$5:G2073,G2073),"0000"))</f>
        <v/>
      </c>
      <c r="C2073" s="26"/>
      <c r="D2073" s="26"/>
      <c r="E2073" s="27"/>
      <c r="F2073" s="27"/>
      <c r="G2073" s="24" t="str">
        <f aca="false">IF(F2073="","",IF(F2073&lt;=5,"A",IF(F2073&lt;=8,"B",IF(F2073&lt;=10,"C","D"))))</f>
        <v/>
      </c>
      <c r="H2073" s="28"/>
      <c r="I2073" s="27"/>
      <c r="J2073" s="26"/>
      <c r="K2073" s="27"/>
      <c r="L2073" s="27"/>
      <c r="M2073" s="27"/>
      <c r="N2073" s="27"/>
      <c r="O2073" s="24" t="str">
        <f aca="false">IF(G2073="","",VLOOKUP(G2073,Setup!$A$14:$C$17,3,0))</f>
        <v/>
      </c>
      <c r="P2073" s="27"/>
      <c r="Q2073" s="29" t="str">
        <f aca="false">IF(OR(P2073="",M2073&lt;&gt;"Paid",O2073=""),"",P2073/O2073)</f>
        <v/>
      </c>
      <c r="R2073" s="30" t="str">
        <f aca="false">IF(Q2073="","",Q2073+N(H2073)*0.000000001)</f>
        <v/>
      </c>
      <c r="S2073" s="25" t="str">
        <f aca="false">IF(R2073="","",SUMPRODUCT((I$5:I$4004=I2073)*ISNUMBER(R$5:R$4004)*(R$5:R$4004&gt;R2073))+1)</f>
        <v/>
      </c>
      <c r="T2073" s="25" t="str">
        <f aca="false">IF(S2073="","",IF(S2073&lt;=Setup!$B$5,"🏆 WINNER",""))</f>
        <v/>
      </c>
      <c r="U2073" s="24" t="str">
        <f aca="false">IF(S2073="","",I2073&amp;"|"&amp;S2073)</f>
        <v/>
      </c>
    </row>
    <row r="2074" customFormat="false" ht="15" hidden="false" customHeight="false" outlineLevel="0" collapsed="false">
      <c r="A2074" s="31" t="n">
        <v>2070</v>
      </c>
      <c r="B2074" s="32" t="str">
        <f aca="false">IF(OR(C2074="",I2074="",G2074=""),"",IFERROR(VLOOKUP(I2074,Setup!$A$9:$B$11,2,0),"???")&amp;"-"&amp;G2074&amp;"-"&amp;TEXT(COUNTIFS(I$5:I2074,I2074,G$5:G2074,G2074),"0000"))</f>
        <v/>
      </c>
      <c r="C2074" s="26"/>
      <c r="D2074" s="26"/>
      <c r="E2074" s="27"/>
      <c r="F2074" s="27"/>
      <c r="G2074" s="31" t="str">
        <f aca="false">IF(F2074="","",IF(F2074&lt;=5,"A",IF(F2074&lt;=8,"B",IF(F2074&lt;=10,"C","D"))))</f>
        <v/>
      </c>
      <c r="H2074" s="28"/>
      <c r="I2074" s="27"/>
      <c r="J2074" s="26"/>
      <c r="K2074" s="27"/>
      <c r="L2074" s="27"/>
      <c r="M2074" s="27"/>
      <c r="N2074" s="27"/>
      <c r="O2074" s="31" t="str">
        <f aca="false">IF(G2074="","",VLOOKUP(G2074,Setup!$A$14:$C$17,3,0))</f>
        <v/>
      </c>
      <c r="P2074" s="27"/>
      <c r="Q2074" s="33" t="str">
        <f aca="false">IF(OR(P2074="",M2074&lt;&gt;"Paid",O2074=""),"",P2074/O2074)</f>
        <v/>
      </c>
      <c r="R2074" s="34" t="str">
        <f aca="false">IF(Q2074="","",Q2074+N(H2074)*0.000000001)</f>
        <v/>
      </c>
      <c r="S2074" s="32" t="str">
        <f aca="false">IF(R2074="","",SUMPRODUCT((I$5:I$4004=I2074)*ISNUMBER(R$5:R$4004)*(R$5:R$4004&gt;R2074))+1)</f>
        <v/>
      </c>
      <c r="T2074" s="32" t="str">
        <f aca="false">IF(S2074="","",IF(S2074&lt;=Setup!$B$5,"🏆 WINNER",""))</f>
        <v/>
      </c>
      <c r="U2074" s="31" t="str">
        <f aca="false">IF(S2074="","",I2074&amp;"|"&amp;S2074)</f>
        <v/>
      </c>
    </row>
    <row r="2075" customFormat="false" ht="15" hidden="false" customHeight="false" outlineLevel="0" collapsed="false">
      <c r="A2075" s="24" t="n">
        <v>2071</v>
      </c>
      <c r="B2075" s="25" t="str">
        <f aca="false">IF(OR(C2075="",I2075="",G2075=""),"",IFERROR(VLOOKUP(I2075,Setup!$A$9:$B$11,2,0),"???")&amp;"-"&amp;G2075&amp;"-"&amp;TEXT(COUNTIFS(I$5:I2075,I2075,G$5:G2075,G2075),"0000"))</f>
        <v/>
      </c>
      <c r="C2075" s="26"/>
      <c r="D2075" s="26"/>
      <c r="E2075" s="27"/>
      <c r="F2075" s="27"/>
      <c r="G2075" s="24" t="str">
        <f aca="false">IF(F2075="","",IF(F2075&lt;=5,"A",IF(F2075&lt;=8,"B",IF(F2075&lt;=10,"C","D"))))</f>
        <v/>
      </c>
      <c r="H2075" s="28"/>
      <c r="I2075" s="27"/>
      <c r="J2075" s="26"/>
      <c r="K2075" s="27"/>
      <c r="L2075" s="27"/>
      <c r="M2075" s="27"/>
      <c r="N2075" s="27"/>
      <c r="O2075" s="24" t="str">
        <f aca="false">IF(G2075="","",VLOOKUP(G2075,Setup!$A$14:$C$17,3,0))</f>
        <v/>
      </c>
      <c r="P2075" s="27"/>
      <c r="Q2075" s="29" t="str">
        <f aca="false">IF(OR(P2075="",M2075&lt;&gt;"Paid",O2075=""),"",P2075/O2075)</f>
        <v/>
      </c>
      <c r="R2075" s="30" t="str">
        <f aca="false">IF(Q2075="","",Q2075+N(H2075)*0.000000001)</f>
        <v/>
      </c>
      <c r="S2075" s="25" t="str">
        <f aca="false">IF(R2075="","",SUMPRODUCT((I$5:I$4004=I2075)*ISNUMBER(R$5:R$4004)*(R$5:R$4004&gt;R2075))+1)</f>
        <v/>
      </c>
      <c r="T2075" s="25" t="str">
        <f aca="false">IF(S2075="","",IF(S2075&lt;=Setup!$B$5,"🏆 WINNER",""))</f>
        <v/>
      </c>
      <c r="U2075" s="24" t="str">
        <f aca="false">IF(S2075="","",I2075&amp;"|"&amp;S2075)</f>
        <v/>
      </c>
    </row>
    <row r="2076" customFormat="false" ht="15" hidden="false" customHeight="false" outlineLevel="0" collapsed="false">
      <c r="A2076" s="31" t="n">
        <v>2072</v>
      </c>
      <c r="B2076" s="32" t="str">
        <f aca="false">IF(OR(C2076="",I2076="",G2076=""),"",IFERROR(VLOOKUP(I2076,Setup!$A$9:$B$11,2,0),"???")&amp;"-"&amp;G2076&amp;"-"&amp;TEXT(COUNTIFS(I$5:I2076,I2076,G$5:G2076,G2076),"0000"))</f>
        <v/>
      </c>
      <c r="C2076" s="26"/>
      <c r="D2076" s="26"/>
      <c r="E2076" s="27"/>
      <c r="F2076" s="27"/>
      <c r="G2076" s="31" t="str">
        <f aca="false">IF(F2076="","",IF(F2076&lt;=5,"A",IF(F2076&lt;=8,"B",IF(F2076&lt;=10,"C","D"))))</f>
        <v/>
      </c>
      <c r="H2076" s="28"/>
      <c r="I2076" s="27"/>
      <c r="J2076" s="26"/>
      <c r="K2076" s="27"/>
      <c r="L2076" s="27"/>
      <c r="M2076" s="27"/>
      <c r="N2076" s="27"/>
      <c r="O2076" s="31" t="str">
        <f aca="false">IF(G2076="","",VLOOKUP(G2076,Setup!$A$14:$C$17,3,0))</f>
        <v/>
      </c>
      <c r="P2076" s="27"/>
      <c r="Q2076" s="33" t="str">
        <f aca="false">IF(OR(P2076="",M2076&lt;&gt;"Paid",O2076=""),"",P2076/O2076)</f>
        <v/>
      </c>
      <c r="R2076" s="34" t="str">
        <f aca="false">IF(Q2076="","",Q2076+N(H2076)*0.000000001)</f>
        <v/>
      </c>
      <c r="S2076" s="32" t="str">
        <f aca="false">IF(R2076="","",SUMPRODUCT((I$5:I$4004=I2076)*ISNUMBER(R$5:R$4004)*(R$5:R$4004&gt;R2076))+1)</f>
        <v/>
      </c>
      <c r="T2076" s="32" t="str">
        <f aca="false">IF(S2076="","",IF(S2076&lt;=Setup!$B$5,"🏆 WINNER",""))</f>
        <v/>
      </c>
      <c r="U2076" s="31" t="str">
        <f aca="false">IF(S2076="","",I2076&amp;"|"&amp;S2076)</f>
        <v/>
      </c>
    </row>
    <row r="2077" customFormat="false" ht="15" hidden="false" customHeight="false" outlineLevel="0" collapsed="false">
      <c r="A2077" s="24" t="n">
        <v>2073</v>
      </c>
      <c r="B2077" s="25" t="str">
        <f aca="false">IF(OR(C2077="",I2077="",G2077=""),"",IFERROR(VLOOKUP(I2077,Setup!$A$9:$B$11,2,0),"???")&amp;"-"&amp;G2077&amp;"-"&amp;TEXT(COUNTIFS(I$5:I2077,I2077,G$5:G2077,G2077),"0000"))</f>
        <v/>
      </c>
      <c r="C2077" s="26"/>
      <c r="D2077" s="26"/>
      <c r="E2077" s="27"/>
      <c r="F2077" s="27"/>
      <c r="G2077" s="24" t="str">
        <f aca="false">IF(F2077="","",IF(F2077&lt;=5,"A",IF(F2077&lt;=8,"B",IF(F2077&lt;=10,"C","D"))))</f>
        <v/>
      </c>
      <c r="H2077" s="28"/>
      <c r="I2077" s="27"/>
      <c r="J2077" s="26"/>
      <c r="K2077" s="27"/>
      <c r="L2077" s="27"/>
      <c r="M2077" s="27"/>
      <c r="N2077" s="27"/>
      <c r="O2077" s="24" t="str">
        <f aca="false">IF(G2077="","",VLOOKUP(G2077,Setup!$A$14:$C$17,3,0))</f>
        <v/>
      </c>
      <c r="P2077" s="27"/>
      <c r="Q2077" s="29" t="str">
        <f aca="false">IF(OR(P2077="",M2077&lt;&gt;"Paid",O2077=""),"",P2077/O2077)</f>
        <v/>
      </c>
      <c r="R2077" s="30" t="str">
        <f aca="false">IF(Q2077="","",Q2077+N(H2077)*0.000000001)</f>
        <v/>
      </c>
      <c r="S2077" s="25" t="str">
        <f aca="false">IF(R2077="","",SUMPRODUCT((I$5:I$4004=I2077)*ISNUMBER(R$5:R$4004)*(R$5:R$4004&gt;R2077))+1)</f>
        <v/>
      </c>
      <c r="T2077" s="25" t="str">
        <f aca="false">IF(S2077="","",IF(S2077&lt;=Setup!$B$5,"🏆 WINNER",""))</f>
        <v/>
      </c>
      <c r="U2077" s="24" t="str">
        <f aca="false">IF(S2077="","",I2077&amp;"|"&amp;S2077)</f>
        <v/>
      </c>
    </row>
    <row r="2078" customFormat="false" ht="15" hidden="false" customHeight="false" outlineLevel="0" collapsed="false">
      <c r="A2078" s="31" t="n">
        <v>2074</v>
      </c>
      <c r="B2078" s="32" t="str">
        <f aca="false">IF(OR(C2078="",I2078="",G2078=""),"",IFERROR(VLOOKUP(I2078,Setup!$A$9:$B$11,2,0),"???")&amp;"-"&amp;G2078&amp;"-"&amp;TEXT(COUNTIFS(I$5:I2078,I2078,G$5:G2078,G2078),"0000"))</f>
        <v/>
      </c>
      <c r="C2078" s="26"/>
      <c r="D2078" s="26"/>
      <c r="E2078" s="27"/>
      <c r="F2078" s="27"/>
      <c r="G2078" s="31" t="str">
        <f aca="false">IF(F2078="","",IF(F2078&lt;=5,"A",IF(F2078&lt;=8,"B",IF(F2078&lt;=10,"C","D"))))</f>
        <v/>
      </c>
      <c r="H2078" s="28"/>
      <c r="I2078" s="27"/>
      <c r="J2078" s="26"/>
      <c r="K2078" s="27"/>
      <c r="L2078" s="27"/>
      <c r="M2078" s="27"/>
      <c r="N2078" s="27"/>
      <c r="O2078" s="31" t="str">
        <f aca="false">IF(G2078="","",VLOOKUP(G2078,Setup!$A$14:$C$17,3,0))</f>
        <v/>
      </c>
      <c r="P2078" s="27"/>
      <c r="Q2078" s="33" t="str">
        <f aca="false">IF(OR(P2078="",M2078&lt;&gt;"Paid",O2078=""),"",P2078/O2078)</f>
        <v/>
      </c>
      <c r="R2078" s="34" t="str">
        <f aca="false">IF(Q2078="","",Q2078+N(H2078)*0.000000001)</f>
        <v/>
      </c>
      <c r="S2078" s="32" t="str">
        <f aca="false">IF(R2078="","",SUMPRODUCT((I$5:I$4004=I2078)*ISNUMBER(R$5:R$4004)*(R$5:R$4004&gt;R2078))+1)</f>
        <v/>
      </c>
      <c r="T2078" s="32" t="str">
        <f aca="false">IF(S2078="","",IF(S2078&lt;=Setup!$B$5,"🏆 WINNER",""))</f>
        <v/>
      </c>
      <c r="U2078" s="31" t="str">
        <f aca="false">IF(S2078="","",I2078&amp;"|"&amp;S2078)</f>
        <v/>
      </c>
    </row>
    <row r="2079" customFormat="false" ht="15" hidden="false" customHeight="false" outlineLevel="0" collapsed="false">
      <c r="A2079" s="24" t="n">
        <v>2075</v>
      </c>
      <c r="B2079" s="25" t="str">
        <f aca="false">IF(OR(C2079="",I2079="",G2079=""),"",IFERROR(VLOOKUP(I2079,Setup!$A$9:$B$11,2,0),"???")&amp;"-"&amp;G2079&amp;"-"&amp;TEXT(COUNTIFS(I$5:I2079,I2079,G$5:G2079,G2079),"0000"))</f>
        <v/>
      </c>
      <c r="C2079" s="26"/>
      <c r="D2079" s="26"/>
      <c r="E2079" s="27"/>
      <c r="F2079" s="27"/>
      <c r="G2079" s="24" t="str">
        <f aca="false">IF(F2079="","",IF(F2079&lt;=5,"A",IF(F2079&lt;=8,"B",IF(F2079&lt;=10,"C","D"))))</f>
        <v/>
      </c>
      <c r="H2079" s="28"/>
      <c r="I2079" s="27"/>
      <c r="J2079" s="26"/>
      <c r="K2079" s="27"/>
      <c r="L2079" s="27"/>
      <c r="M2079" s="27"/>
      <c r="N2079" s="27"/>
      <c r="O2079" s="24" t="str">
        <f aca="false">IF(G2079="","",VLOOKUP(G2079,Setup!$A$14:$C$17,3,0))</f>
        <v/>
      </c>
      <c r="P2079" s="27"/>
      <c r="Q2079" s="29" t="str">
        <f aca="false">IF(OR(P2079="",M2079&lt;&gt;"Paid",O2079=""),"",P2079/O2079)</f>
        <v/>
      </c>
      <c r="R2079" s="30" t="str">
        <f aca="false">IF(Q2079="","",Q2079+N(H2079)*0.000000001)</f>
        <v/>
      </c>
      <c r="S2079" s="25" t="str">
        <f aca="false">IF(R2079="","",SUMPRODUCT((I$5:I$4004=I2079)*ISNUMBER(R$5:R$4004)*(R$5:R$4004&gt;R2079))+1)</f>
        <v/>
      </c>
      <c r="T2079" s="25" t="str">
        <f aca="false">IF(S2079="","",IF(S2079&lt;=Setup!$B$5,"🏆 WINNER",""))</f>
        <v/>
      </c>
      <c r="U2079" s="24" t="str">
        <f aca="false">IF(S2079="","",I2079&amp;"|"&amp;S2079)</f>
        <v/>
      </c>
    </row>
    <row r="2080" customFormat="false" ht="15" hidden="false" customHeight="false" outlineLevel="0" collapsed="false">
      <c r="A2080" s="31" t="n">
        <v>2076</v>
      </c>
      <c r="B2080" s="32" t="str">
        <f aca="false">IF(OR(C2080="",I2080="",G2080=""),"",IFERROR(VLOOKUP(I2080,Setup!$A$9:$B$11,2,0),"???")&amp;"-"&amp;G2080&amp;"-"&amp;TEXT(COUNTIFS(I$5:I2080,I2080,G$5:G2080,G2080),"0000"))</f>
        <v/>
      </c>
      <c r="C2080" s="26"/>
      <c r="D2080" s="26"/>
      <c r="E2080" s="27"/>
      <c r="F2080" s="27"/>
      <c r="G2080" s="31" t="str">
        <f aca="false">IF(F2080="","",IF(F2080&lt;=5,"A",IF(F2080&lt;=8,"B",IF(F2080&lt;=10,"C","D"))))</f>
        <v/>
      </c>
      <c r="H2080" s="28"/>
      <c r="I2080" s="27"/>
      <c r="J2080" s="26"/>
      <c r="K2080" s="27"/>
      <c r="L2080" s="27"/>
      <c r="M2080" s="27"/>
      <c r="N2080" s="27"/>
      <c r="O2080" s="31" t="str">
        <f aca="false">IF(G2080="","",VLOOKUP(G2080,Setup!$A$14:$C$17,3,0))</f>
        <v/>
      </c>
      <c r="P2080" s="27"/>
      <c r="Q2080" s="33" t="str">
        <f aca="false">IF(OR(P2080="",M2080&lt;&gt;"Paid",O2080=""),"",P2080/O2080)</f>
        <v/>
      </c>
      <c r="R2080" s="34" t="str">
        <f aca="false">IF(Q2080="","",Q2080+N(H2080)*0.000000001)</f>
        <v/>
      </c>
      <c r="S2080" s="32" t="str">
        <f aca="false">IF(R2080="","",SUMPRODUCT((I$5:I$4004=I2080)*ISNUMBER(R$5:R$4004)*(R$5:R$4004&gt;R2080))+1)</f>
        <v/>
      </c>
      <c r="T2080" s="32" t="str">
        <f aca="false">IF(S2080="","",IF(S2080&lt;=Setup!$B$5,"🏆 WINNER",""))</f>
        <v/>
      </c>
      <c r="U2080" s="31" t="str">
        <f aca="false">IF(S2080="","",I2080&amp;"|"&amp;S2080)</f>
        <v/>
      </c>
    </row>
    <row r="2081" customFormat="false" ht="15" hidden="false" customHeight="false" outlineLevel="0" collapsed="false">
      <c r="A2081" s="24" t="n">
        <v>2077</v>
      </c>
      <c r="B2081" s="25" t="str">
        <f aca="false">IF(OR(C2081="",I2081="",G2081=""),"",IFERROR(VLOOKUP(I2081,Setup!$A$9:$B$11,2,0),"???")&amp;"-"&amp;G2081&amp;"-"&amp;TEXT(COUNTIFS(I$5:I2081,I2081,G$5:G2081,G2081),"0000"))</f>
        <v/>
      </c>
      <c r="C2081" s="26"/>
      <c r="D2081" s="26"/>
      <c r="E2081" s="27"/>
      <c r="F2081" s="27"/>
      <c r="G2081" s="24" t="str">
        <f aca="false">IF(F2081="","",IF(F2081&lt;=5,"A",IF(F2081&lt;=8,"B",IF(F2081&lt;=10,"C","D"))))</f>
        <v/>
      </c>
      <c r="H2081" s="28"/>
      <c r="I2081" s="27"/>
      <c r="J2081" s="26"/>
      <c r="K2081" s="27"/>
      <c r="L2081" s="27"/>
      <c r="M2081" s="27"/>
      <c r="N2081" s="27"/>
      <c r="O2081" s="24" t="str">
        <f aca="false">IF(G2081="","",VLOOKUP(G2081,Setup!$A$14:$C$17,3,0))</f>
        <v/>
      </c>
      <c r="P2081" s="27"/>
      <c r="Q2081" s="29" t="str">
        <f aca="false">IF(OR(P2081="",M2081&lt;&gt;"Paid",O2081=""),"",P2081/O2081)</f>
        <v/>
      </c>
      <c r="R2081" s="30" t="str">
        <f aca="false">IF(Q2081="","",Q2081+N(H2081)*0.000000001)</f>
        <v/>
      </c>
      <c r="S2081" s="25" t="str">
        <f aca="false">IF(R2081="","",SUMPRODUCT((I$5:I$4004=I2081)*ISNUMBER(R$5:R$4004)*(R$5:R$4004&gt;R2081))+1)</f>
        <v/>
      </c>
      <c r="T2081" s="25" t="str">
        <f aca="false">IF(S2081="","",IF(S2081&lt;=Setup!$B$5,"🏆 WINNER",""))</f>
        <v/>
      </c>
      <c r="U2081" s="24" t="str">
        <f aca="false">IF(S2081="","",I2081&amp;"|"&amp;S2081)</f>
        <v/>
      </c>
    </row>
    <row r="2082" customFormat="false" ht="15" hidden="false" customHeight="false" outlineLevel="0" collapsed="false">
      <c r="A2082" s="31" t="n">
        <v>2078</v>
      </c>
      <c r="B2082" s="32" t="str">
        <f aca="false">IF(OR(C2082="",I2082="",G2082=""),"",IFERROR(VLOOKUP(I2082,Setup!$A$9:$B$11,2,0),"???")&amp;"-"&amp;G2082&amp;"-"&amp;TEXT(COUNTIFS(I$5:I2082,I2082,G$5:G2082,G2082),"0000"))</f>
        <v/>
      </c>
      <c r="C2082" s="26"/>
      <c r="D2082" s="26"/>
      <c r="E2082" s="27"/>
      <c r="F2082" s="27"/>
      <c r="G2082" s="31" t="str">
        <f aca="false">IF(F2082="","",IF(F2082&lt;=5,"A",IF(F2082&lt;=8,"B",IF(F2082&lt;=10,"C","D"))))</f>
        <v/>
      </c>
      <c r="H2082" s="28"/>
      <c r="I2082" s="27"/>
      <c r="J2082" s="26"/>
      <c r="K2082" s="27"/>
      <c r="L2082" s="27"/>
      <c r="M2082" s="27"/>
      <c r="N2082" s="27"/>
      <c r="O2082" s="31" t="str">
        <f aca="false">IF(G2082="","",VLOOKUP(G2082,Setup!$A$14:$C$17,3,0))</f>
        <v/>
      </c>
      <c r="P2082" s="27"/>
      <c r="Q2082" s="33" t="str">
        <f aca="false">IF(OR(P2082="",M2082&lt;&gt;"Paid",O2082=""),"",P2082/O2082)</f>
        <v/>
      </c>
      <c r="R2082" s="34" t="str">
        <f aca="false">IF(Q2082="","",Q2082+N(H2082)*0.000000001)</f>
        <v/>
      </c>
      <c r="S2082" s="32" t="str">
        <f aca="false">IF(R2082="","",SUMPRODUCT((I$5:I$4004=I2082)*ISNUMBER(R$5:R$4004)*(R$5:R$4004&gt;R2082))+1)</f>
        <v/>
      </c>
      <c r="T2082" s="32" t="str">
        <f aca="false">IF(S2082="","",IF(S2082&lt;=Setup!$B$5,"🏆 WINNER",""))</f>
        <v/>
      </c>
      <c r="U2082" s="31" t="str">
        <f aca="false">IF(S2082="","",I2082&amp;"|"&amp;S2082)</f>
        <v/>
      </c>
    </row>
    <row r="2083" customFormat="false" ht="15" hidden="false" customHeight="false" outlineLevel="0" collapsed="false">
      <c r="A2083" s="24" t="n">
        <v>2079</v>
      </c>
      <c r="B2083" s="25" t="str">
        <f aca="false">IF(OR(C2083="",I2083="",G2083=""),"",IFERROR(VLOOKUP(I2083,Setup!$A$9:$B$11,2,0),"???")&amp;"-"&amp;G2083&amp;"-"&amp;TEXT(COUNTIFS(I$5:I2083,I2083,G$5:G2083,G2083),"0000"))</f>
        <v/>
      </c>
      <c r="C2083" s="26"/>
      <c r="D2083" s="26"/>
      <c r="E2083" s="27"/>
      <c r="F2083" s="27"/>
      <c r="G2083" s="24" t="str">
        <f aca="false">IF(F2083="","",IF(F2083&lt;=5,"A",IF(F2083&lt;=8,"B",IF(F2083&lt;=10,"C","D"))))</f>
        <v/>
      </c>
      <c r="H2083" s="28"/>
      <c r="I2083" s="27"/>
      <c r="J2083" s="26"/>
      <c r="K2083" s="27"/>
      <c r="L2083" s="27"/>
      <c r="M2083" s="27"/>
      <c r="N2083" s="27"/>
      <c r="O2083" s="24" t="str">
        <f aca="false">IF(G2083="","",VLOOKUP(G2083,Setup!$A$14:$C$17,3,0))</f>
        <v/>
      </c>
      <c r="P2083" s="27"/>
      <c r="Q2083" s="29" t="str">
        <f aca="false">IF(OR(P2083="",M2083&lt;&gt;"Paid",O2083=""),"",P2083/O2083)</f>
        <v/>
      </c>
      <c r="R2083" s="30" t="str">
        <f aca="false">IF(Q2083="","",Q2083+N(H2083)*0.000000001)</f>
        <v/>
      </c>
      <c r="S2083" s="25" t="str">
        <f aca="false">IF(R2083="","",SUMPRODUCT((I$5:I$4004=I2083)*ISNUMBER(R$5:R$4004)*(R$5:R$4004&gt;R2083))+1)</f>
        <v/>
      </c>
      <c r="T2083" s="25" t="str">
        <f aca="false">IF(S2083="","",IF(S2083&lt;=Setup!$B$5,"🏆 WINNER",""))</f>
        <v/>
      </c>
      <c r="U2083" s="24" t="str">
        <f aca="false">IF(S2083="","",I2083&amp;"|"&amp;S2083)</f>
        <v/>
      </c>
    </row>
    <row r="2084" customFormat="false" ht="15" hidden="false" customHeight="false" outlineLevel="0" collapsed="false">
      <c r="A2084" s="31" t="n">
        <v>2080</v>
      </c>
      <c r="B2084" s="32" t="str">
        <f aca="false">IF(OR(C2084="",I2084="",G2084=""),"",IFERROR(VLOOKUP(I2084,Setup!$A$9:$B$11,2,0),"???")&amp;"-"&amp;G2084&amp;"-"&amp;TEXT(COUNTIFS(I$5:I2084,I2084,G$5:G2084,G2084),"0000"))</f>
        <v/>
      </c>
      <c r="C2084" s="26"/>
      <c r="D2084" s="26"/>
      <c r="E2084" s="27"/>
      <c r="F2084" s="27"/>
      <c r="G2084" s="31" t="str">
        <f aca="false">IF(F2084="","",IF(F2084&lt;=5,"A",IF(F2084&lt;=8,"B",IF(F2084&lt;=10,"C","D"))))</f>
        <v/>
      </c>
      <c r="H2084" s="28"/>
      <c r="I2084" s="27"/>
      <c r="J2084" s="26"/>
      <c r="K2084" s="27"/>
      <c r="L2084" s="27"/>
      <c r="M2084" s="27"/>
      <c r="N2084" s="27"/>
      <c r="O2084" s="31" t="str">
        <f aca="false">IF(G2084="","",VLOOKUP(G2084,Setup!$A$14:$C$17,3,0))</f>
        <v/>
      </c>
      <c r="P2084" s="27"/>
      <c r="Q2084" s="33" t="str">
        <f aca="false">IF(OR(P2084="",M2084&lt;&gt;"Paid",O2084=""),"",P2084/O2084)</f>
        <v/>
      </c>
      <c r="R2084" s="34" t="str">
        <f aca="false">IF(Q2084="","",Q2084+N(H2084)*0.000000001)</f>
        <v/>
      </c>
      <c r="S2084" s="32" t="str">
        <f aca="false">IF(R2084="","",SUMPRODUCT((I$5:I$4004=I2084)*ISNUMBER(R$5:R$4004)*(R$5:R$4004&gt;R2084))+1)</f>
        <v/>
      </c>
      <c r="T2084" s="32" t="str">
        <f aca="false">IF(S2084="","",IF(S2084&lt;=Setup!$B$5,"🏆 WINNER",""))</f>
        <v/>
      </c>
      <c r="U2084" s="31" t="str">
        <f aca="false">IF(S2084="","",I2084&amp;"|"&amp;S2084)</f>
        <v/>
      </c>
    </row>
    <row r="2085" customFormat="false" ht="15" hidden="false" customHeight="false" outlineLevel="0" collapsed="false">
      <c r="A2085" s="24" t="n">
        <v>2081</v>
      </c>
      <c r="B2085" s="25" t="str">
        <f aca="false">IF(OR(C2085="",I2085="",G2085=""),"",IFERROR(VLOOKUP(I2085,Setup!$A$9:$B$11,2,0),"???")&amp;"-"&amp;G2085&amp;"-"&amp;TEXT(COUNTIFS(I$5:I2085,I2085,G$5:G2085,G2085),"0000"))</f>
        <v/>
      </c>
      <c r="C2085" s="26"/>
      <c r="D2085" s="26"/>
      <c r="E2085" s="27"/>
      <c r="F2085" s="27"/>
      <c r="G2085" s="24" t="str">
        <f aca="false">IF(F2085="","",IF(F2085&lt;=5,"A",IF(F2085&lt;=8,"B",IF(F2085&lt;=10,"C","D"))))</f>
        <v/>
      </c>
      <c r="H2085" s="28"/>
      <c r="I2085" s="27"/>
      <c r="J2085" s="26"/>
      <c r="K2085" s="27"/>
      <c r="L2085" s="27"/>
      <c r="M2085" s="27"/>
      <c r="N2085" s="27"/>
      <c r="O2085" s="24" t="str">
        <f aca="false">IF(G2085="","",VLOOKUP(G2085,Setup!$A$14:$C$17,3,0))</f>
        <v/>
      </c>
      <c r="P2085" s="27"/>
      <c r="Q2085" s="29" t="str">
        <f aca="false">IF(OR(P2085="",M2085&lt;&gt;"Paid",O2085=""),"",P2085/O2085)</f>
        <v/>
      </c>
      <c r="R2085" s="30" t="str">
        <f aca="false">IF(Q2085="","",Q2085+N(H2085)*0.000000001)</f>
        <v/>
      </c>
      <c r="S2085" s="25" t="str">
        <f aca="false">IF(R2085="","",SUMPRODUCT((I$5:I$4004=I2085)*ISNUMBER(R$5:R$4004)*(R$5:R$4004&gt;R2085))+1)</f>
        <v/>
      </c>
      <c r="T2085" s="25" t="str">
        <f aca="false">IF(S2085="","",IF(S2085&lt;=Setup!$B$5,"🏆 WINNER",""))</f>
        <v/>
      </c>
      <c r="U2085" s="24" t="str">
        <f aca="false">IF(S2085="","",I2085&amp;"|"&amp;S2085)</f>
        <v/>
      </c>
    </row>
    <row r="2086" customFormat="false" ht="15" hidden="false" customHeight="false" outlineLevel="0" collapsed="false">
      <c r="A2086" s="31" t="n">
        <v>2082</v>
      </c>
      <c r="B2086" s="32" t="str">
        <f aca="false">IF(OR(C2086="",I2086="",G2086=""),"",IFERROR(VLOOKUP(I2086,Setup!$A$9:$B$11,2,0),"???")&amp;"-"&amp;G2086&amp;"-"&amp;TEXT(COUNTIFS(I$5:I2086,I2086,G$5:G2086,G2086),"0000"))</f>
        <v/>
      </c>
      <c r="C2086" s="26"/>
      <c r="D2086" s="26"/>
      <c r="E2086" s="27"/>
      <c r="F2086" s="27"/>
      <c r="G2086" s="31" t="str">
        <f aca="false">IF(F2086="","",IF(F2086&lt;=5,"A",IF(F2086&lt;=8,"B",IF(F2086&lt;=10,"C","D"))))</f>
        <v/>
      </c>
      <c r="H2086" s="28"/>
      <c r="I2086" s="27"/>
      <c r="J2086" s="26"/>
      <c r="K2086" s="27"/>
      <c r="L2086" s="27"/>
      <c r="M2086" s="27"/>
      <c r="N2086" s="27"/>
      <c r="O2086" s="31" t="str">
        <f aca="false">IF(G2086="","",VLOOKUP(G2086,Setup!$A$14:$C$17,3,0))</f>
        <v/>
      </c>
      <c r="P2086" s="27"/>
      <c r="Q2086" s="33" t="str">
        <f aca="false">IF(OR(P2086="",M2086&lt;&gt;"Paid",O2086=""),"",P2086/O2086)</f>
        <v/>
      </c>
      <c r="R2086" s="34" t="str">
        <f aca="false">IF(Q2086="","",Q2086+N(H2086)*0.000000001)</f>
        <v/>
      </c>
      <c r="S2086" s="32" t="str">
        <f aca="false">IF(R2086="","",SUMPRODUCT((I$5:I$4004=I2086)*ISNUMBER(R$5:R$4004)*(R$5:R$4004&gt;R2086))+1)</f>
        <v/>
      </c>
      <c r="T2086" s="32" t="str">
        <f aca="false">IF(S2086="","",IF(S2086&lt;=Setup!$B$5,"🏆 WINNER",""))</f>
        <v/>
      </c>
      <c r="U2086" s="31" t="str">
        <f aca="false">IF(S2086="","",I2086&amp;"|"&amp;S2086)</f>
        <v/>
      </c>
    </row>
    <row r="2087" customFormat="false" ht="15" hidden="false" customHeight="false" outlineLevel="0" collapsed="false">
      <c r="A2087" s="24" t="n">
        <v>2083</v>
      </c>
      <c r="B2087" s="25" t="str">
        <f aca="false">IF(OR(C2087="",I2087="",G2087=""),"",IFERROR(VLOOKUP(I2087,Setup!$A$9:$B$11,2,0),"???")&amp;"-"&amp;G2087&amp;"-"&amp;TEXT(COUNTIFS(I$5:I2087,I2087,G$5:G2087,G2087),"0000"))</f>
        <v/>
      </c>
      <c r="C2087" s="26"/>
      <c r="D2087" s="26"/>
      <c r="E2087" s="27"/>
      <c r="F2087" s="27"/>
      <c r="G2087" s="24" t="str">
        <f aca="false">IF(F2087="","",IF(F2087&lt;=5,"A",IF(F2087&lt;=8,"B",IF(F2087&lt;=10,"C","D"))))</f>
        <v/>
      </c>
      <c r="H2087" s="28"/>
      <c r="I2087" s="27"/>
      <c r="J2087" s="26"/>
      <c r="K2087" s="27"/>
      <c r="L2087" s="27"/>
      <c r="M2087" s="27"/>
      <c r="N2087" s="27"/>
      <c r="O2087" s="24" t="str">
        <f aca="false">IF(G2087="","",VLOOKUP(G2087,Setup!$A$14:$C$17,3,0))</f>
        <v/>
      </c>
      <c r="P2087" s="27"/>
      <c r="Q2087" s="29" t="str">
        <f aca="false">IF(OR(P2087="",M2087&lt;&gt;"Paid",O2087=""),"",P2087/O2087)</f>
        <v/>
      </c>
      <c r="R2087" s="30" t="str">
        <f aca="false">IF(Q2087="","",Q2087+N(H2087)*0.000000001)</f>
        <v/>
      </c>
      <c r="S2087" s="25" t="str">
        <f aca="false">IF(R2087="","",SUMPRODUCT((I$5:I$4004=I2087)*ISNUMBER(R$5:R$4004)*(R$5:R$4004&gt;R2087))+1)</f>
        <v/>
      </c>
      <c r="T2087" s="25" t="str">
        <f aca="false">IF(S2087="","",IF(S2087&lt;=Setup!$B$5,"🏆 WINNER",""))</f>
        <v/>
      </c>
      <c r="U2087" s="24" t="str">
        <f aca="false">IF(S2087="","",I2087&amp;"|"&amp;S2087)</f>
        <v/>
      </c>
    </row>
    <row r="2088" customFormat="false" ht="15" hidden="false" customHeight="false" outlineLevel="0" collapsed="false">
      <c r="A2088" s="31" t="n">
        <v>2084</v>
      </c>
      <c r="B2088" s="32" t="str">
        <f aca="false">IF(OR(C2088="",I2088="",G2088=""),"",IFERROR(VLOOKUP(I2088,Setup!$A$9:$B$11,2,0),"???")&amp;"-"&amp;G2088&amp;"-"&amp;TEXT(COUNTIFS(I$5:I2088,I2088,G$5:G2088,G2088),"0000"))</f>
        <v/>
      </c>
      <c r="C2088" s="26"/>
      <c r="D2088" s="26"/>
      <c r="E2088" s="27"/>
      <c r="F2088" s="27"/>
      <c r="G2088" s="31" t="str">
        <f aca="false">IF(F2088="","",IF(F2088&lt;=5,"A",IF(F2088&lt;=8,"B",IF(F2088&lt;=10,"C","D"))))</f>
        <v/>
      </c>
      <c r="H2088" s="28"/>
      <c r="I2088" s="27"/>
      <c r="J2088" s="26"/>
      <c r="K2088" s="27"/>
      <c r="L2088" s="27"/>
      <c r="M2088" s="27"/>
      <c r="N2088" s="27"/>
      <c r="O2088" s="31" t="str">
        <f aca="false">IF(G2088="","",VLOOKUP(G2088,Setup!$A$14:$C$17,3,0))</f>
        <v/>
      </c>
      <c r="P2088" s="27"/>
      <c r="Q2088" s="33" t="str">
        <f aca="false">IF(OR(P2088="",M2088&lt;&gt;"Paid",O2088=""),"",P2088/O2088)</f>
        <v/>
      </c>
      <c r="R2088" s="34" t="str">
        <f aca="false">IF(Q2088="","",Q2088+N(H2088)*0.000000001)</f>
        <v/>
      </c>
      <c r="S2088" s="32" t="str">
        <f aca="false">IF(R2088="","",SUMPRODUCT((I$5:I$4004=I2088)*ISNUMBER(R$5:R$4004)*(R$5:R$4004&gt;R2088))+1)</f>
        <v/>
      </c>
      <c r="T2088" s="32" t="str">
        <f aca="false">IF(S2088="","",IF(S2088&lt;=Setup!$B$5,"🏆 WINNER",""))</f>
        <v/>
      </c>
      <c r="U2088" s="31" t="str">
        <f aca="false">IF(S2088="","",I2088&amp;"|"&amp;S2088)</f>
        <v/>
      </c>
    </row>
    <row r="2089" customFormat="false" ht="15" hidden="false" customHeight="false" outlineLevel="0" collapsed="false">
      <c r="A2089" s="24" t="n">
        <v>2085</v>
      </c>
      <c r="B2089" s="25" t="str">
        <f aca="false">IF(OR(C2089="",I2089="",G2089=""),"",IFERROR(VLOOKUP(I2089,Setup!$A$9:$B$11,2,0),"???")&amp;"-"&amp;G2089&amp;"-"&amp;TEXT(COUNTIFS(I$5:I2089,I2089,G$5:G2089,G2089),"0000"))</f>
        <v/>
      </c>
      <c r="C2089" s="26"/>
      <c r="D2089" s="26"/>
      <c r="E2089" s="27"/>
      <c r="F2089" s="27"/>
      <c r="G2089" s="24" t="str">
        <f aca="false">IF(F2089="","",IF(F2089&lt;=5,"A",IF(F2089&lt;=8,"B",IF(F2089&lt;=10,"C","D"))))</f>
        <v/>
      </c>
      <c r="H2089" s="28"/>
      <c r="I2089" s="27"/>
      <c r="J2089" s="26"/>
      <c r="K2089" s="27"/>
      <c r="L2089" s="27"/>
      <c r="M2089" s="27"/>
      <c r="N2089" s="27"/>
      <c r="O2089" s="24" t="str">
        <f aca="false">IF(G2089="","",VLOOKUP(G2089,Setup!$A$14:$C$17,3,0))</f>
        <v/>
      </c>
      <c r="P2089" s="27"/>
      <c r="Q2089" s="29" t="str">
        <f aca="false">IF(OR(P2089="",M2089&lt;&gt;"Paid",O2089=""),"",P2089/O2089)</f>
        <v/>
      </c>
      <c r="R2089" s="30" t="str">
        <f aca="false">IF(Q2089="","",Q2089+N(H2089)*0.000000001)</f>
        <v/>
      </c>
      <c r="S2089" s="25" t="str">
        <f aca="false">IF(R2089="","",SUMPRODUCT((I$5:I$4004=I2089)*ISNUMBER(R$5:R$4004)*(R$5:R$4004&gt;R2089))+1)</f>
        <v/>
      </c>
      <c r="T2089" s="25" t="str">
        <f aca="false">IF(S2089="","",IF(S2089&lt;=Setup!$B$5,"🏆 WINNER",""))</f>
        <v/>
      </c>
      <c r="U2089" s="24" t="str">
        <f aca="false">IF(S2089="","",I2089&amp;"|"&amp;S2089)</f>
        <v/>
      </c>
    </row>
    <row r="2090" customFormat="false" ht="15" hidden="false" customHeight="false" outlineLevel="0" collapsed="false">
      <c r="A2090" s="31" t="n">
        <v>2086</v>
      </c>
      <c r="B2090" s="32" t="str">
        <f aca="false">IF(OR(C2090="",I2090="",G2090=""),"",IFERROR(VLOOKUP(I2090,Setup!$A$9:$B$11,2,0),"???")&amp;"-"&amp;G2090&amp;"-"&amp;TEXT(COUNTIFS(I$5:I2090,I2090,G$5:G2090,G2090),"0000"))</f>
        <v/>
      </c>
      <c r="C2090" s="26"/>
      <c r="D2090" s="26"/>
      <c r="E2090" s="27"/>
      <c r="F2090" s="27"/>
      <c r="G2090" s="31" t="str">
        <f aca="false">IF(F2090="","",IF(F2090&lt;=5,"A",IF(F2090&lt;=8,"B",IF(F2090&lt;=10,"C","D"))))</f>
        <v/>
      </c>
      <c r="H2090" s="28"/>
      <c r="I2090" s="27"/>
      <c r="J2090" s="26"/>
      <c r="K2090" s="27"/>
      <c r="L2090" s="27"/>
      <c r="M2090" s="27"/>
      <c r="N2090" s="27"/>
      <c r="O2090" s="31" t="str">
        <f aca="false">IF(G2090="","",VLOOKUP(G2090,Setup!$A$14:$C$17,3,0))</f>
        <v/>
      </c>
      <c r="P2090" s="27"/>
      <c r="Q2090" s="33" t="str">
        <f aca="false">IF(OR(P2090="",M2090&lt;&gt;"Paid",O2090=""),"",P2090/O2090)</f>
        <v/>
      </c>
      <c r="R2090" s="34" t="str">
        <f aca="false">IF(Q2090="","",Q2090+N(H2090)*0.000000001)</f>
        <v/>
      </c>
      <c r="S2090" s="32" t="str">
        <f aca="false">IF(R2090="","",SUMPRODUCT((I$5:I$4004=I2090)*ISNUMBER(R$5:R$4004)*(R$5:R$4004&gt;R2090))+1)</f>
        <v/>
      </c>
      <c r="T2090" s="32" t="str">
        <f aca="false">IF(S2090="","",IF(S2090&lt;=Setup!$B$5,"🏆 WINNER",""))</f>
        <v/>
      </c>
      <c r="U2090" s="31" t="str">
        <f aca="false">IF(S2090="","",I2090&amp;"|"&amp;S2090)</f>
        <v/>
      </c>
    </row>
    <row r="2091" customFormat="false" ht="15" hidden="false" customHeight="false" outlineLevel="0" collapsed="false">
      <c r="A2091" s="24" t="n">
        <v>2087</v>
      </c>
      <c r="B2091" s="25" t="str">
        <f aca="false">IF(OR(C2091="",I2091="",G2091=""),"",IFERROR(VLOOKUP(I2091,Setup!$A$9:$B$11,2,0),"???")&amp;"-"&amp;G2091&amp;"-"&amp;TEXT(COUNTIFS(I$5:I2091,I2091,G$5:G2091,G2091),"0000"))</f>
        <v/>
      </c>
      <c r="C2091" s="26"/>
      <c r="D2091" s="26"/>
      <c r="E2091" s="27"/>
      <c r="F2091" s="27"/>
      <c r="G2091" s="24" t="str">
        <f aca="false">IF(F2091="","",IF(F2091&lt;=5,"A",IF(F2091&lt;=8,"B",IF(F2091&lt;=10,"C","D"))))</f>
        <v/>
      </c>
      <c r="H2091" s="28"/>
      <c r="I2091" s="27"/>
      <c r="J2091" s="26"/>
      <c r="K2091" s="27"/>
      <c r="L2091" s="27"/>
      <c r="M2091" s="27"/>
      <c r="N2091" s="27"/>
      <c r="O2091" s="24" t="str">
        <f aca="false">IF(G2091="","",VLOOKUP(G2091,Setup!$A$14:$C$17,3,0))</f>
        <v/>
      </c>
      <c r="P2091" s="27"/>
      <c r="Q2091" s="29" t="str">
        <f aca="false">IF(OR(P2091="",M2091&lt;&gt;"Paid",O2091=""),"",P2091/O2091)</f>
        <v/>
      </c>
      <c r="R2091" s="30" t="str">
        <f aca="false">IF(Q2091="","",Q2091+N(H2091)*0.000000001)</f>
        <v/>
      </c>
      <c r="S2091" s="25" t="str">
        <f aca="false">IF(R2091="","",SUMPRODUCT((I$5:I$4004=I2091)*ISNUMBER(R$5:R$4004)*(R$5:R$4004&gt;R2091))+1)</f>
        <v/>
      </c>
      <c r="T2091" s="25" t="str">
        <f aca="false">IF(S2091="","",IF(S2091&lt;=Setup!$B$5,"🏆 WINNER",""))</f>
        <v/>
      </c>
      <c r="U2091" s="24" t="str">
        <f aca="false">IF(S2091="","",I2091&amp;"|"&amp;S2091)</f>
        <v/>
      </c>
    </row>
    <row r="2092" customFormat="false" ht="15" hidden="false" customHeight="false" outlineLevel="0" collapsed="false">
      <c r="A2092" s="31" t="n">
        <v>2088</v>
      </c>
      <c r="B2092" s="32" t="str">
        <f aca="false">IF(OR(C2092="",I2092="",G2092=""),"",IFERROR(VLOOKUP(I2092,Setup!$A$9:$B$11,2,0),"???")&amp;"-"&amp;G2092&amp;"-"&amp;TEXT(COUNTIFS(I$5:I2092,I2092,G$5:G2092,G2092),"0000"))</f>
        <v/>
      </c>
      <c r="C2092" s="26"/>
      <c r="D2092" s="26"/>
      <c r="E2092" s="27"/>
      <c r="F2092" s="27"/>
      <c r="G2092" s="31" t="str">
        <f aca="false">IF(F2092="","",IF(F2092&lt;=5,"A",IF(F2092&lt;=8,"B",IF(F2092&lt;=10,"C","D"))))</f>
        <v/>
      </c>
      <c r="H2092" s="28"/>
      <c r="I2092" s="27"/>
      <c r="J2092" s="26"/>
      <c r="K2092" s="27"/>
      <c r="L2092" s="27"/>
      <c r="M2092" s="27"/>
      <c r="N2092" s="27"/>
      <c r="O2092" s="31" t="str">
        <f aca="false">IF(G2092="","",VLOOKUP(G2092,Setup!$A$14:$C$17,3,0))</f>
        <v/>
      </c>
      <c r="P2092" s="27"/>
      <c r="Q2092" s="33" t="str">
        <f aca="false">IF(OR(P2092="",M2092&lt;&gt;"Paid",O2092=""),"",P2092/O2092)</f>
        <v/>
      </c>
      <c r="R2092" s="34" t="str">
        <f aca="false">IF(Q2092="","",Q2092+N(H2092)*0.000000001)</f>
        <v/>
      </c>
      <c r="S2092" s="32" t="str">
        <f aca="false">IF(R2092="","",SUMPRODUCT((I$5:I$4004=I2092)*ISNUMBER(R$5:R$4004)*(R$5:R$4004&gt;R2092))+1)</f>
        <v/>
      </c>
      <c r="T2092" s="32" t="str">
        <f aca="false">IF(S2092="","",IF(S2092&lt;=Setup!$B$5,"🏆 WINNER",""))</f>
        <v/>
      </c>
      <c r="U2092" s="31" t="str">
        <f aca="false">IF(S2092="","",I2092&amp;"|"&amp;S2092)</f>
        <v/>
      </c>
    </row>
    <row r="2093" customFormat="false" ht="15" hidden="false" customHeight="false" outlineLevel="0" collapsed="false">
      <c r="A2093" s="24" t="n">
        <v>2089</v>
      </c>
      <c r="B2093" s="25" t="str">
        <f aca="false">IF(OR(C2093="",I2093="",G2093=""),"",IFERROR(VLOOKUP(I2093,Setup!$A$9:$B$11,2,0),"???")&amp;"-"&amp;G2093&amp;"-"&amp;TEXT(COUNTIFS(I$5:I2093,I2093,G$5:G2093,G2093),"0000"))</f>
        <v/>
      </c>
      <c r="C2093" s="26"/>
      <c r="D2093" s="26"/>
      <c r="E2093" s="27"/>
      <c r="F2093" s="27"/>
      <c r="G2093" s="24" t="str">
        <f aca="false">IF(F2093="","",IF(F2093&lt;=5,"A",IF(F2093&lt;=8,"B",IF(F2093&lt;=10,"C","D"))))</f>
        <v/>
      </c>
      <c r="H2093" s="28"/>
      <c r="I2093" s="27"/>
      <c r="J2093" s="26"/>
      <c r="K2093" s="27"/>
      <c r="L2093" s="27"/>
      <c r="M2093" s="27"/>
      <c r="N2093" s="27"/>
      <c r="O2093" s="24" t="str">
        <f aca="false">IF(G2093="","",VLOOKUP(G2093,Setup!$A$14:$C$17,3,0))</f>
        <v/>
      </c>
      <c r="P2093" s="27"/>
      <c r="Q2093" s="29" t="str">
        <f aca="false">IF(OR(P2093="",M2093&lt;&gt;"Paid",O2093=""),"",P2093/O2093)</f>
        <v/>
      </c>
      <c r="R2093" s="30" t="str">
        <f aca="false">IF(Q2093="","",Q2093+N(H2093)*0.000000001)</f>
        <v/>
      </c>
      <c r="S2093" s="25" t="str">
        <f aca="false">IF(R2093="","",SUMPRODUCT((I$5:I$4004=I2093)*ISNUMBER(R$5:R$4004)*(R$5:R$4004&gt;R2093))+1)</f>
        <v/>
      </c>
      <c r="T2093" s="25" t="str">
        <f aca="false">IF(S2093="","",IF(S2093&lt;=Setup!$B$5,"🏆 WINNER",""))</f>
        <v/>
      </c>
      <c r="U2093" s="24" t="str">
        <f aca="false">IF(S2093="","",I2093&amp;"|"&amp;S2093)</f>
        <v/>
      </c>
    </row>
    <row r="2094" customFormat="false" ht="15" hidden="false" customHeight="false" outlineLevel="0" collapsed="false">
      <c r="A2094" s="31" t="n">
        <v>2090</v>
      </c>
      <c r="B2094" s="32" t="str">
        <f aca="false">IF(OR(C2094="",I2094="",G2094=""),"",IFERROR(VLOOKUP(I2094,Setup!$A$9:$B$11,2,0),"???")&amp;"-"&amp;G2094&amp;"-"&amp;TEXT(COUNTIFS(I$5:I2094,I2094,G$5:G2094,G2094),"0000"))</f>
        <v/>
      </c>
      <c r="C2094" s="26"/>
      <c r="D2094" s="26"/>
      <c r="E2094" s="27"/>
      <c r="F2094" s="27"/>
      <c r="G2094" s="31" t="str">
        <f aca="false">IF(F2094="","",IF(F2094&lt;=5,"A",IF(F2094&lt;=8,"B",IF(F2094&lt;=10,"C","D"))))</f>
        <v/>
      </c>
      <c r="H2094" s="28"/>
      <c r="I2094" s="27"/>
      <c r="J2094" s="26"/>
      <c r="K2094" s="27"/>
      <c r="L2094" s="27"/>
      <c r="M2094" s="27"/>
      <c r="N2094" s="27"/>
      <c r="O2094" s="31" t="str">
        <f aca="false">IF(G2094="","",VLOOKUP(G2094,Setup!$A$14:$C$17,3,0))</f>
        <v/>
      </c>
      <c r="P2094" s="27"/>
      <c r="Q2094" s="33" t="str">
        <f aca="false">IF(OR(P2094="",M2094&lt;&gt;"Paid",O2094=""),"",P2094/O2094)</f>
        <v/>
      </c>
      <c r="R2094" s="34" t="str">
        <f aca="false">IF(Q2094="","",Q2094+N(H2094)*0.000000001)</f>
        <v/>
      </c>
      <c r="S2094" s="32" t="str">
        <f aca="false">IF(R2094="","",SUMPRODUCT((I$5:I$4004=I2094)*ISNUMBER(R$5:R$4004)*(R$5:R$4004&gt;R2094))+1)</f>
        <v/>
      </c>
      <c r="T2094" s="32" t="str">
        <f aca="false">IF(S2094="","",IF(S2094&lt;=Setup!$B$5,"🏆 WINNER",""))</f>
        <v/>
      </c>
      <c r="U2094" s="31" t="str">
        <f aca="false">IF(S2094="","",I2094&amp;"|"&amp;S2094)</f>
        <v/>
      </c>
    </row>
    <row r="2095" customFormat="false" ht="15" hidden="false" customHeight="false" outlineLevel="0" collapsed="false">
      <c r="A2095" s="24" t="n">
        <v>2091</v>
      </c>
      <c r="B2095" s="25" t="str">
        <f aca="false">IF(OR(C2095="",I2095="",G2095=""),"",IFERROR(VLOOKUP(I2095,Setup!$A$9:$B$11,2,0),"???")&amp;"-"&amp;G2095&amp;"-"&amp;TEXT(COUNTIFS(I$5:I2095,I2095,G$5:G2095,G2095),"0000"))</f>
        <v/>
      </c>
      <c r="C2095" s="26"/>
      <c r="D2095" s="26"/>
      <c r="E2095" s="27"/>
      <c r="F2095" s="27"/>
      <c r="G2095" s="24" t="str">
        <f aca="false">IF(F2095="","",IF(F2095&lt;=5,"A",IF(F2095&lt;=8,"B",IF(F2095&lt;=10,"C","D"))))</f>
        <v/>
      </c>
      <c r="H2095" s="28"/>
      <c r="I2095" s="27"/>
      <c r="J2095" s="26"/>
      <c r="K2095" s="27"/>
      <c r="L2095" s="27"/>
      <c r="M2095" s="27"/>
      <c r="N2095" s="27"/>
      <c r="O2095" s="24" t="str">
        <f aca="false">IF(G2095="","",VLOOKUP(G2095,Setup!$A$14:$C$17,3,0))</f>
        <v/>
      </c>
      <c r="P2095" s="27"/>
      <c r="Q2095" s="29" t="str">
        <f aca="false">IF(OR(P2095="",M2095&lt;&gt;"Paid",O2095=""),"",P2095/O2095)</f>
        <v/>
      </c>
      <c r="R2095" s="30" t="str">
        <f aca="false">IF(Q2095="","",Q2095+N(H2095)*0.000000001)</f>
        <v/>
      </c>
      <c r="S2095" s="25" t="str">
        <f aca="false">IF(R2095="","",SUMPRODUCT((I$5:I$4004=I2095)*ISNUMBER(R$5:R$4004)*(R$5:R$4004&gt;R2095))+1)</f>
        <v/>
      </c>
      <c r="T2095" s="25" t="str">
        <f aca="false">IF(S2095="","",IF(S2095&lt;=Setup!$B$5,"🏆 WINNER",""))</f>
        <v/>
      </c>
      <c r="U2095" s="24" t="str">
        <f aca="false">IF(S2095="","",I2095&amp;"|"&amp;S2095)</f>
        <v/>
      </c>
    </row>
    <row r="2096" customFormat="false" ht="15" hidden="false" customHeight="false" outlineLevel="0" collapsed="false">
      <c r="A2096" s="31" t="n">
        <v>2092</v>
      </c>
      <c r="B2096" s="32" t="str">
        <f aca="false">IF(OR(C2096="",I2096="",G2096=""),"",IFERROR(VLOOKUP(I2096,Setup!$A$9:$B$11,2,0),"???")&amp;"-"&amp;G2096&amp;"-"&amp;TEXT(COUNTIFS(I$5:I2096,I2096,G$5:G2096,G2096),"0000"))</f>
        <v/>
      </c>
      <c r="C2096" s="26"/>
      <c r="D2096" s="26"/>
      <c r="E2096" s="27"/>
      <c r="F2096" s="27"/>
      <c r="G2096" s="31" t="str">
        <f aca="false">IF(F2096="","",IF(F2096&lt;=5,"A",IF(F2096&lt;=8,"B",IF(F2096&lt;=10,"C","D"))))</f>
        <v/>
      </c>
      <c r="H2096" s="28"/>
      <c r="I2096" s="27"/>
      <c r="J2096" s="26"/>
      <c r="K2096" s="27"/>
      <c r="L2096" s="27"/>
      <c r="M2096" s="27"/>
      <c r="N2096" s="27"/>
      <c r="O2096" s="31" t="str">
        <f aca="false">IF(G2096="","",VLOOKUP(G2096,Setup!$A$14:$C$17,3,0))</f>
        <v/>
      </c>
      <c r="P2096" s="27"/>
      <c r="Q2096" s="33" t="str">
        <f aca="false">IF(OR(P2096="",M2096&lt;&gt;"Paid",O2096=""),"",P2096/O2096)</f>
        <v/>
      </c>
      <c r="R2096" s="34" t="str">
        <f aca="false">IF(Q2096="","",Q2096+N(H2096)*0.000000001)</f>
        <v/>
      </c>
      <c r="S2096" s="32" t="str">
        <f aca="false">IF(R2096="","",SUMPRODUCT((I$5:I$4004=I2096)*ISNUMBER(R$5:R$4004)*(R$5:R$4004&gt;R2096))+1)</f>
        <v/>
      </c>
      <c r="T2096" s="32" t="str">
        <f aca="false">IF(S2096="","",IF(S2096&lt;=Setup!$B$5,"🏆 WINNER",""))</f>
        <v/>
      </c>
      <c r="U2096" s="31" t="str">
        <f aca="false">IF(S2096="","",I2096&amp;"|"&amp;S2096)</f>
        <v/>
      </c>
    </row>
    <row r="2097" customFormat="false" ht="15" hidden="false" customHeight="false" outlineLevel="0" collapsed="false">
      <c r="A2097" s="24" t="n">
        <v>2093</v>
      </c>
      <c r="B2097" s="25" t="str">
        <f aca="false">IF(OR(C2097="",I2097="",G2097=""),"",IFERROR(VLOOKUP(I2097,Setup!$A$9:$B$11,2,0),"???")&amp;"-"&amp;G2097&amp;"-"&amp;TEXT(COUNTIFS(I$5:I2097,I2097,G$5:G2097,G2097),"0000"))</f>
        <v/>
      </c>
      <c r="C2097" s="26"/>
      <c r="D2097" s="26"/>
      <c r="E2097" s="27"/>
      <c r="F2097" s="27"/>
      <c r="G2097" s="24" t="str">
        <f aca="false">IF(F2097="","",IF(F2097&lt;=5,"A",IF(F2097&lt;=8,"B",IF(F2097&lt;=10,"C","D"))))</f>
        <v/>
      </c>
      <c r="H2097" s="28"/>
      <c r="I2097" s="27"/>
      <c r="J2097" s="26"/>
      <c r="K2097" s="27"/>
      <c r="L2097" s="27"/>
      <c r="M2097" s="27"/>
      <c r="N2097" s="27"/>
      <c r="O2097" s="24" t="str">
        <f aca="false">IF(G2097="","",VLOOKUP(G2097,Setup!$A$14:$C$17,3,0))</f>
        <v/>
      </c>
      <c r="P2097" s="27"/>
      <c r="Q2097" s="29" t="str">
        <f aca="false">IF(OR(P2097="",M2097&lt;&gt;"Paid",O2097=""),"",P2097/O2097)</f>
        <v/>
      </c>
      <c r="R2097" s="30" t="str">
        <f aca="false">IF(Q2097="","",Q2097+N(H2097)*0.000000001)</f>
        <v/>
      </c>
      <c r="S2097" s="25" t="str">
        <f aca="false">IF(R2097="","",SUMPRODUCT((I$5:I$4004=I2097)*ISNUMBER(R$5:R$4004)*(R$5:R$4004&gt;R2097))+1)</f>
        <v/>
      </c>
      <c r="T2097" s="25" t="str">
        <f aca="false">IF(S2097="","",IF(S2097&lt;=Setup!$B$5,"🏆 WINNER",""))</f>
        <v/>
      </c>
      <c r="U2097" s="24" t="str">
        <f aca="false">IF(S2097="","",I2097&amp;"|"&amp;S2097)</f>
        <v/>
      </c>
    </row>
    <row r="2098" customFormat="false" ht="15" hidden="false" customHeight="false" outlineLevel="0" collapsed="false">
      <c r="A2098" s="31" t="n">
        <v>2094</v>
      </c>
      <c r="B2098" s="32" t="str">
        <f aca="false">IF(OR(C2098="",I2098="",G2098=""),"",IFERROR(VLOOKUP(I2098,Setup!$A$9:$B$11,2,0),"???")&amp;"-"&amp;G2098&amp;"-"&amp;TEXT(COUNTIFS(I$5:I2098,I2098,G$5:G2098,G2098),"0000"))</f>
        <v/>
      </c>
      <c r="C2098" s="26"/>
      <c r="D2098" s="26"/>
      <c r="E2098" s="27"/>
      <c r="F2098" s="27"/>
      <c r="G2098" s="31" t="str">
        <f aca="false">IF(F2098="","",IF(F2098&lt;=5,"A",IF(F2098&lt;=8,"B",IF(F2098&lt;=10,"C","D"))))</f>
        <v/>
      </c>
      <c r="H2098" s="28"/>
      <c r="I2098" s="27"/>
      <c r="J2098" s="26"/>
      <c r="K2098" s="27"/>
      <c r="L2098" s="27"/>
      <c r="M2098" s="27"/>
      <c r="N2098" s="27"/>
      <c r="O2098" s="31" t="str">
        <f aca="false">IF(G2098="","",VLOOKUP(G2098,Setup!$A$14:$C$17,3,0))</f>
        <v/>
      </c>
      <c r="P2098" s="27"/>
      <c r="Q2098" s="33" t="str">
        <f aca="false">IF(OR(P2098="",M2098&lt;&gt;"Paid",O2098=""),"",P2098/O2098)</f>
        <v/>
      </c>
      <c r="R2098" s="34" t="str">
        <f aca="false">IF(Q2098="","",Q2098+N(H2098)*0.000000001)</f>
        <v/>
      </c>
      <c r="S2098" s="32" t="str">
        <f aca="false">IF(R2098="","",SUMPRODUCT((I$5:I$4004=I2098)*ISNUMBER(R$5:R$4004)*(R$5:R$4004&gt;R2098))+1)</f>
        <v/>
      </c>
      <c r="T2098" s="32" t="str">
        <f aca="false">IF(S2098="","",IF(S2098&lt;=Setup!$B$5,"🏆 WINNER",""))</f>
        <v/>
      </c>
      <c r="U2098" s="31" t="str">
        <f aca="false">IF(S2098="","",I2098&amp;"|"&amp;S2098)</f>
        <v/>
      </c>
    </row>
    <row r="2099" customFormat="false" ht="15" hidden="false" customHeight="false" outlineLevel="0" collapsed="false">
      <c r="A2099" s="24" t="n">
        <v>2095</v>
      </c>
      <c r="B2099" s="25" t="str">
        <f aca="false">IF(OR(C2099="",I2099="",G2099=""),"",IFERROR(VLOOKUP(I2099,Setup!$A$9:$B$11,2,0),"???")&amp;"-"&amp;G2099&amp;"-"&amp;TEXT(COUNTIFS(I$5:I2099,I2099,G$5:G2099,G2099),"0000"))</f>
        <v/>
      </c>
      <c r="C2099" s="26"/>
      <c r="D2099" s="26"/>
      <c r="E2099" s="27"/>
      <c r="F2099" s="27"/>
      <c r="G2099" s="24" t="str">
        <f aca="false">IF(F2099="","",IF(F2099&lt;=5,"A",IF(F2099&lt;=8,"B",IF(F2099&lt;=10,"C","D"))))</f>
        <v/>
      </c>
      <c r="H2099" s="28"/>
      <c r="I2099" s="27"/>
      <c r="J2099" s="26"/>
      <c r="K2099" s="27"/>
      <c r="L2099" s="27"/>
      <c r="M2099" s="27"/>
      <c r="N2099" s="27"/>
      <c r="O2099" s="24" t="str">
        <f aca="false">IF(G2099="","",VLOOKUP(G2099,Setup!$A$14:$C$17,3,0))</f>
        <v/>
      </c>
      <c r="P2099" s="27"/>
      <c r="Q2099" s="29" t="str">
        <f aca="false">IF(OR(P2099="",M2099&lt;&gt;"Paid",O2099=""),"",P2099/O2099)</f>
        <v/>
      </c>
      <c r="R2099" s="30" t="str">
        <f aca="false">IF(Q2099="","",Q2099+N(H2099)*0.000000001)</f>
        <v/>
      </c>
      <c r="S2099" s="25" t="str">
        <f aca="false">IF(R2099="","",SUMPRODUCT((I$5:I$4004=I2099)*ISNUMBER(R$5:R$4004)*(R$5:R$4004&gt;R2099))+1)</f>
        <v/>
      </c>
      <c r="T2099" s="25" t="str">
        <f aca="false">IF(S2099="","",IF(S2099&lt;=Setup!$B$5,"🏆 WINNER",""))</f>
        <v/>
      </c>
      <c r="U2099" s="24" t="str">
        <f aca="false">IF(S2099="","",I2099&amp;"|"&amp;S2099)</f>
        <v/>
      </c>
    </row>
    <row r="2100" customFormat="false" ht="15" hidden="false" customHeight="false" outlineLevel="0" collapsed="false">
      <c r="A2100" s="31" t="n">
        <v>2096</v>
      </c>
      <c r="B2100" s="32" t="str">
        <f aca="false">IF(OR(C2100="",I2100="",G2100=""),"",IFERROR(VLOOKUP(I2100,Setup!$A$9:$B$11,2,0),"???")&amp;"-"&amp;G2100&amp;"-"&amp;TEXT(COUNTIFS(I$5:I2100,I2100,G$5:G2100,G2100),"0000"))</f>
        <v/>
      </c>
      <c r="C2100" s="26"/>
      <c r="D2100" s="26"/>
      <c r="E2100" s="27"/>
      <c r="F2100" s="27"/>
      <c r="G2100" s="31" t="str">
        <f aca="false">IF(F2100="","",IF(F2100&lt;=5,"A",IF(F2100&lt;=8,"B",IF(F2100&lt;=10,"C","D"))))</f>
        <v/>
      </c>
      <c r="H2100" s="28"/>
      <c r="I2100" s="27"/>
      <c r="J2100" s="26"/>
      <c r="K2100" s="27"/>
      <c r="L2100" s="27"/>
      <c r="M2100" s="27"/>
      <c r="N2100" s="27"/>
      <c r="O2100" s="31" t="str">
        <f aca="false">IF(G2100="","",VLOOKUP(G2100,Setup!$A$14:$C$17,3,0))</f>
        <v/>
      </c>
      <c r="P2100" s="27"/>
      <c r="Q2100" s="33" t="str">
        <f aca="false">IF(OR(P2100="",M2100&lt;&gt;"Paid",O2100=""),"",P2100/O2100)</f>
        <v/>
      </c>
      <c r="R2100" s="34" t="str">
        <f aca="false">IF(Q2100="","",Q2100+N(H2100)*0.000000001)</f>
        <v/>
      </c>
      <c r="S2100" s="32" t="str">
        <f aca="false">IF(R2100="","",SUMPRODUCT((I$5:I$4004=I2100)*ISNUMBER(R$5:R$4004)*(R$5:R$4004&gt;R2100))+1)</f>
        <v/>
      </c>
      <c r="T2100" s="32" t="str">
        <f aca="false">IF(S2100="","",IF(S2100&lt;=Setup!$B$5,"🏆 WINNER",""))</f>
        <v/>
      </c>
      <c r="U2100" s="31" t="str">
        <f aca="false">IF(S2100="","",I2100&amp;"|"&amp;S2100)</f>
        <v/>
      </c>
    </row>
    <row r="2101" customFormat="false" ht="15" hidden="false" customHeight="false" outlineLevel="0" collapsed="false">
      <c r="A2101" s="24" t="n">
        <v>2097</v>
      </c>
      <c r="B2101" s="25" t="str">
        <f aca="false">IF(OR(C2101="",I2101="",G2101=""),"",IFERROR(VLOOKUP(I2101,Setup!$A$9:$B$11,2,0),"???")&amp;"-"&amp;G2101&amp;"-"&amp;TEXT(COUNTIFS(I$5:I2101,I2101,G$5:G2101,G2101),"0000"))</f>
        <v/>
      </c>
      <c r="C2101" s="26"/>
      <c r="D2101" s="26"/>
      <c r="E2101" s="27"/>
      <c r="F2101" s="27"/>
      <c r="G2101" s="24" t="str">
        <f aca="false">IF(F2101="","",IF(F2101&lt;=5,"A",IF(F2101&lt;=8,"B",IF(F2101&lt;=10,"C","D"))))</f>
        <v/>
      </c>
      <c r="H2101" s="28"/>
      <c r="I2101" s="27"/>
      <c r="J2101" s="26"/>
      <c r="K2101" s="27"/>
      <c r="L2101" s="27"/>
      <c r="M2101" s="27"/>
      <c r="N2101" s="27"/>
      <c r="O2101" s="24" t="str">
        <f aca="false">IF(G2101="","",VLOOKUP(G2101,Setup!$A$14:$C$17,3,0))</f>
        <v/>
      </c>
      <c r="P2101" s="27"/>
      <c r="Q2101" s="29" t="str">
        <f aca="false">IF(OR(P2101="",M2101&lt;&gt;"Paid",O2101=""),"",P2101/O2101)</f>
        <v/>
      </c>
      <c r="R2101" s="30" t="str">
        <f aca="false">IF(Q2101="","",Q2101+N(H2101)*0.000000001)</f>
        <v/>
      </c>
      <c r="S2101" s="25" t="str">
        <f aca="false">IF(R2101="","",SUMPRODUCT((I$5:I$4004=I2101)*ISNUMBER(R$5:R$4004)*(R$5:R$4004&gt;R2101))+1)</f>
        <v/>
      </c>
      <c r="T2101" s="25" t="str">
        <f aca="false">IF(S2101="","",IF(S2101&lt;=Setup!$B$5,"🏆 WINNER",""))</f>
        <v/>
      </c>
      <c r="U2101" s="24" t="str">
        <f aca="false">IF(S2101="","",I2101&amp;"|"&amp;S2101)</f>
        <v/>
      </c>
    </row>
    <row r="2102" customFormat="false" ht="15" hidden="false" customHeight="false" outlineLevel="0" collapsed="false">
      <c r="A2102" s="31" t="n">
        <v>2098</v>
      </c>
      <c r="B2102" s="32" t="str">
        <f aca="false">IF(OR(C2102="",I2102="",G2102=""),"",IFERROR(VLOOKUP(I2102,Setup!$A$9:$B$11,2,0),"???")&amp;"-"&amp;G2102&amp;"-"&amp;TEXT(COUNTIFS(I$5:I2102,I2102,G$5:G2102,G2102),"0000"))</f>
        <v/>
      </c>
      <c r="C2102" s="26"/>
      <c r="D2102" s="26"/>
      <c r="E2102" s="27"/>
      <c r="F2102" s="27"/>
      <c r="G2102" s="31" t="str">
        <f aca="false">IF(F2102="","",IF(F2102&lt;=5,"A",IF(F2102&lt;=8,"B",IF(F2102&lt;=10,"C","D"))))</f>
        <v/>
      </c>
      <c r="H2102" s="28"/>
      <c r="I2102" s="27"/>
      <c r="J2102" s="26"/>
      <c r="K2102" s="27"/>
      <c r="L2102" s="27"/>
      <c r="M2102" s="27"/>
      <c r="N2102" s="27"/>
      <c r="O2102" s="31" t="str">
        <f aca="false">IF(G2102="","",VLOOKUP(G2102,Setup!$A$14:$C$17,3,0))</f>
        <v/>
      </c>
      <c r="P2102" s="27"/>
      <c r="Q2102" s="33" t="str">
        <f aca="false">IF(OR(P2102="",M2102&lt;&gt;"Paid",O2102=""),"",P2102/O2102)</f>
        <v/>
      </c>
      <c r="R2102" s="34" t="str">
        <f aca="false">IF(Q2102="","",Q2102+N(H2102)*0.000000001)</f>
        <v/>
      </c>
      <c r="S2102" s="32" t="str">
        <f aca="false">IF(R2102="","",SUMPRODUCT((I$5:I$4004=I2102)*ISNUMBER(R$5:R$4004)*(R$5:R$4004&gt;R2102))+1)</f>
        <v/>
      </c>
      <c r="T2102" s="32" t="str">
        <f aca="false">IF(S2102="","",IF(S2102&lt;=Setup!$B$5,"🏆 WINNER",""))</f>
        <v/>
      </c>
      <c r="U2102" s="31" t="str">
        <f aca="false">IF(S2102="","",I2102&amp;"|"&amp;S2102)</f>
        <v/>
      </c>
    </row>
    <row r="2103" customFormat="false" ht="15" hidden="false" customHeight="false" outlineLevel="0" collapsed="false">
      <c r="A2103" s="24" t="n">
        <v>2099</v>
      </c>
      <c r="B2103" s="25" t="str">
        <f aca="false">IF(OR(C2103="",I2103="",G2103=""),"",IFERROR(VLOOKUP(I2103,Setup!$A$9:$B$11,2,0),"???")&amp;"-"&amp;G2103&amp;"-"&amp;TEXT(COUNTIFS(I$5:I2103,I2103,G$5:G2103,G2103),"0000"))</f>
        <v/>
      </c>
      <c r="C2103" s="26"/>
      <c r="D2103" s="26"/>
      <c r="E2103" s="27"/>
      <c r="F2103" s="27"/>
      <c r="G2103" s="24" t="str">
        <f aca="false">IF(F2103="","",IF(F2103&lt;=5,"A",IF(F2103&lt;=8,"B",IF(F2103&lt;=10,"C","D"))))</f>
        <v/>
      </c>
      <c r="H2103" s="28"/>
      <c r="I2103" s="27"/>
      <c r="J2103" s="26"/>
      <c r="K2103" s="27"/>
      <c r="L2103" s="27"/>
      <c r="M2103" s="27"/>
      <c r="N2103" s="27"/>
      <c r="O2103" s="24" t="str">
        <f aca="false">IF(G2103="","",VLOOKUP(G2103,Setup!$A$14:$C$17,3,0))</f>
        <v/>
      </c>
      <c r="P2103" s="27"/>
      <c r="Q2103" s="29" t="str">
        <f aca="false">IF(OR(P2103="",M2103&lt;&gt;"Paid",O2103=""),"",P2103/O2103)</f>
        <v/>
      </c>
      <c r="R2103" s="30" t="str">
        <f aca="false">IF(Q2103="","",Q2103+N(H2103)*0.000000001)</f>
        <v/>
      </c>
      <c r="S2103" s="25" t="str">
        <f aca="false">IF(R2103="","",SUMPRODUCT((I$5:I$4004=I2103)*ISNUMBER(R$5:R$4004)*(R$5:R$4004&gt;R2103))+1)</f>
        <v/>
      </c>
      <c r="T2103" s="25" t="str">
        <f aca="false">IF(S2103="","",IF(S2103&lt;=Setup!$B$5,"🏆 WINNER",""))</f>
        <v/>
      </c>
      <c r="U2103" s="24" t="str">
        <f aca="false">IF(S2103="","",I2103&amp;"|"&amp;S2103)</f>
        <v/>
      </c>
    </row>
    <row r="2104" customFormat="false" ht="15" hidden="false" customHeight="false" outlineLevel="0" collapsed="false">
      <c r="A2104" s="31" t="n">
        <v>2100</v>
      </c>
      <c r="B2104" s="32" t="str">
        <f aca="false">IF(OR(C2104="",I2104="",G2104=""),"",IFERROR(VLOOKUP(I2104,Setup!$A$9:$B$11,2,0),"???")&amp;"-"&amp;G2104&amp;"-"&amp;TEXT(COUNTIFS(I$5:I2104,I2104,G$5:G2104,G2104),"0000"))</f>
        <v/>
      </c>
      <c r="C2104" s="26"/>
      <c r="D2104" s="26"/>
      <c r="E2104" s="27"/>
      <c r="F2104" s="27"/>
      <c r="G2104" s="31" t="str">
        <f aca="false">IF(F2104="","",IF(F2104&lt;=5,"A",IF(F2104&lt;=8,"B",IF(F2104&lt;=10,"C","D"))))</f>
        <v/>
      </c>
      <c r="H2104" s="28"/>
      <c r="I2104" s="27"/>
      <c r="J2104" s="26"/>
      <c r="K2104" s="27"/>
      <c r="L2104" s="27"/>
      <c r="M2104" s="27"/>
      <c r="N2104" s="27"/>
      <c r="O2104" s="31" t="str">
        <f aca="false">IF(G2104="","",VLOOKUP(G2104,Setup!$A$14:$C$17,3,0))</f>
        <v/>
      </c>
      <c r="P2104" s="27"/>
      <c r="Q2104" s="33" t="str">
        <f aca="false">IF(OR(P2104="",M2104&lt;&gt;"Paid",O2104=""),"",P2104/O2104)</f>
        <v/>
      </c>
      <c r="R2104" s="34" t="str">
        <f aca="false">IF(Q2104="","",Q2104+N(H2104)*0.000000001)</f>
        <v/>
      </c>
      <c r="S2104" s="32" t="str">
        <f aca="false">IF(R2104="","",SUMPRODUCT((I$5:I$4004=I2104)*ISNUMBER(R$5:R$4004)*(R$5:R$4004&gt;R2104))+1)</f>
        <v/>
      </c>
      <c r="T2104" s="32" t="str">
        <f aca="false">IF(S2104="","",IF(S2104&lt;=Setup!$B$5,"🏆 WINNER",""))</f>
        <v/>
      </c>
      <c r="U2104" s="31" t="str">
        <f aca="false">IF(S2104="","",I2104&amp;"|"&amp;S2104)</f>
        <v/>
      </c>
    </row>
    <row r="2105" customFormat="false" ht="15" hidden="false" customHeight="false" outlineLevel="0" collapsed="false">
      <c r="A2105" s="24" t="n">
        <v>2101</v>
      </c>
      <c r="B2105" s="25" t="str">
        <f aca="false">IF(OR(C2105="",I2105="",G2105=""),"",IFERROR(VLOOKUP(I2105,Setup!$A$9:$B$11,2,0),"???")&amp;"-"&amp;G2105&amp;"-"&amp;TEXT(COUNTIFS(I$5:I2105,I2105,G$5:G2105,G2105),"0000"))</f>
        <v/>
      </c>
      <c r="C2105" s="26"/>
      <c r="D2105" s="26"/>
      <c r="E2105" s="27"/>
      <c r="F2105" s="27"/>
      <c r="G2105" s="24" t="str">
        <f aca="false">IF(F2105="","",IF(F2105&lt;=5,"A",IF(F2105&lt;=8,"B",IF(F2105&lt;=10,"C","D"))))</f>
        <v/>
      </c>
      <c r="H2105" s="28"/>
      <c r="I2105" s="27"/>
      <c r="J2105" s="26"/>
      <c r="K2105" s="27"/>
      <c r="L2105" s="27"/>
      <c r="M2105" s="27"/>
      <c r="N2105" s="27"/>
      <c r="O2105" s="24" t="str">
        <f aca="false">IF(G2105="","",VLOOKUP(G2105,Setup!$A$14:$C$17,3,0))</f>
        <v/>
      </c>
      <c r="P2105" s="27"/>
      <c r="Q2105" s="29" t="str">
        <f aca="false">IF(OR(P2105="",M2105&lt;&gt;"Paid",O2105=""),"",P2105/O2105)</f>
        <v/>
      </c>
      <c r="R2105" s="30" t="str">
        <f aca="false">IF(Q2105="","",Q2105+N(H2105)*0.000000001)</f>
        <v/>
      </c>
      <c r="S2105" s="25" t="str">
        <f aca="false">IF(R2105="","",SUMPRODUCT((I$5:I$4004=I2105)*ISNUMBER(R$5:R$4004)*(R$5:R$4004&gt;R2105))+1)</f>
        <v/>
      </c>
      <c r="T2105" s="25" t="str">
        <f aca="false">IF(S2105="","",IF(S2105&lt;=Setup!$B$5,"🏆 WINNER",""))</f>
        <v/>
      </c>
      <c r="U2105" s="24" t="str">
        <f aca="false">IF(S2105="","",I2105&amp;"|"&amp;S2105)</f>
        <v/>
      </c>
    </row>
    <row r="2106" customFormat="false" ht="15" hidden="false" customHeight="false" outlineLevel="0" collapsed="false">
      <c r="A2106" s="31" t="n">
        <v>2102</v>
      </c>
      <c r="B2106" s="32" t="str">
        <f aca="false">IF(OR(C2106="",I2106="",G2106=""),"",IFERROR(VLOOKUP(I2106,Setup!$A$9:$B$11,2,0),"???")&amp;"-"&amp;G2106&amp;"-"&amp;TEXT(COUNTIFS(I$5:I2106,I2106,G$5:G2106,G2106),"0000"))</f>
        <v/>
      </c>
      <c r="C2106" s="26"/>
      <c r="D2106" s="26"/>
      <c r="E2106" s="27"/>
      <c r="F2106" s="27"/>
      <c r="G2106" s="31" t="str">
        <f aca="false">IF(F2106="","",IF(F2106&lt;=5,"A",IF(F2106&lt;=8,"B",IF(F2106&lt;=10,"C","D"))))</f>
        <v/>
      </c>
      <c r="H2106" s="28"/>
      <c r="I2106" s="27"/>
      <c r="J2106" s="26"/>
      <c r="K2106" s="27"/>
      <c r="L2106" s="27"/>
      <c r="M2106" s="27"/>
      <c r="N2106" s="27"/>
      <c r="O2106" s="31" t="str">
        <f aca="false">IF(G2106="","",VLOOKUP(G2106,Setup!$A$14:$C$17,3,0))</f>
        <v/>
      </c>
      <c r="P2106" s="27"/>
      <c r="Q2106" s="33" t="str">
        <f aca="false">IF(OR(P2106="",M2106&lt;&gt;"Paid",O2106=""),"",P2106/O2106)</f>
        <v/>
      </c>
      <c r="R2106" s="34" t="str">
        <f aca="false">IF(Q2106="","",Q2106+N(H2106)*0.000000001)</f>
        <v/>
      </c>
      <c r="S2106" s="32" t="str">
        <f aca="false">IF(R2106="","",SUMPRODUCT((I$5:I$4004=I2106)*ISNUMBER(R$5:R$4004)*(R$5:R$4004&gt;R2106))+1)</f>
        <v/>
      </c>
      <c r="T2106" s="32" t="str">
        <f aca="false">IF(S2106="","",IF(S2106&lt;=Setup!$B$5,"🏆 WINNER",""))</f>
        <v/>
      </c>
      <c r="U2106" s="31" t="str">
        <f aca="false">IF(S2106="","",I2106&amp;"|"&amp;S2106)</f>
        <v/>
      </c>
    </row>
    <row r="2107" customFormat="false" ht="15" hidden="false" customHeight="false" outlineLevel="0" collapsed="false">
      <c r="A2107" s="24" t="n">
        <v>2103</v>
      </c>
      <c r="B2107" s="25" t="str">
        <f aca="false">IF(OR(C2107="",I2107="",G2107=""),"",IFERROR(VLOOKUP(I2107,Setup!$A$9:$B$11,2,0),"???")&amp;"-"&amp;G2107&amp;"-"&amp;TEXT(COUNTIFS(I$5:I2107,I2107,G$5:G2107,G2107),"0000"))</f>
        <v/>
      </c>
      <c r="C2107" s="26"/>
      <c r="D2107" s="26"/>
      <c r="E2107" s="27"/>
      <c r="F2107" s="27"/>
      <c r="G2107" s="24" t="str">
        <f aca="false">IF(F2107="","",IF(F2107&lt;=5,"A",IF(F2107&lt;=8,"B",IF(F2107&lt;=10,"C","D"))))</f>
        <v/>
      </c>
      <c r="H2107" s="28"/>
      <c r="I2107" s="27"/>
      <c r="J2107" s="26"/>
      <c r="K2107" s="27"/>
      <c r="L2107" s="27"/>
      <c r="M2107" s="27"/>
      <c r="N2107" s="27"/>
      <c r="O2107" s="24" t="str">
        <f aca="false">IF(G2107="","",VLOOKUP(G2107,Setup!$A$14:$C$17,3,0))</f>
        <v/>
      </c>
      <c r="P2107" s="27"/>
      <c r="Q2107" s="29" t="str">
        <f aca="false">IF(OR(P2107="",M2107&lt;&gt;"Paid",O2107=""),"",P2107/O2107)</f>
        <v/>
      </c>
      <c r="R2107" s="30" t="str">
        <f aca="false">IF(Q2107="","",Q2107+N(H2107)*0.000000001)</f>
        <v/>
      </c>
      <c r="S2107" s="25" t="str">
        <f aca="false">IF(R2107="","",SUMPRODUCT((I$5:I$4004=I2107)*ISNUMBER(R$5:R$4004)*(R$5:R$4004&gt;R2107))+1)</f>
        <v/>
      </c>
      <c r="T2107" s="25" t="str">
        <f aca="false">IF(S2107="","",IF(S2107&lt;=Setup!$B$5,"🏆 WINNER",""))</f>
        <v/>
      </c>
      <c r="U2107" s="24" t="str">
        <f aca="false">IF(S2107="","",I2107&amp;"|"&amp;S2107)</f>
        <v/>
      </c>
    </row>
    <row r="2108" customFormat="false" ht="15" hidden="false" customHeight="false" outlineLevel="0" collapsed="false">
      <c r="A2108" s="31" t="n">
        <v>2104</v>
      </c>
      <c r="B2108" s="32" t="str">
        <f aca="false">IF(OR(C2108="",I2108="",G2108=""),"",IFERROR(VLOOKUP(I2108,Setup!$A$9:$B$11,2,0),"???")&amp;"-"&amp;G2108&amp;"-"&amp;TEXT(COUNTIFS(I$5:I2108,I2108,G$5:G2108,G2108),"0000"))</f>
        <v/>
      </c>
      <c r="C2108" s="26"/>
      <c r="D2108" s="26"/>
      <c r="E2108" s="27"/>
      <c r="F2108" s="27"/>
      <c r="G2108" s="31" t="str">
        <f aca="false">IF(F2108="","",IF(F2108&lt;=5,"A",IF(F2108&lt;=8,"B",IF(F2108&lt;=10,"C","D"))))</f>
        <v/>
      </c>
      <c r="H2108" s="28"/>
      <c r="I2108" s="27"/>
      <c r="J2108" s="26"/>
      <c r="K2108" s="27"/>
      <c r="L2108" s="27"/>
      <c r="M2108" s="27"/>
      <c r="N2108" s="27"/>
      <c r="O2108" s="31" t="str">
        <f aca="false">IF(G2108="","",VLOOKUP(G2108,Setup!$A$14:$C$17,3,0))</f>
        <v/>
      </c>
      <c r="P2108" s="27"/>
      <c r="Q2108" s="33" t="str">
        <f aca="false">IF(OR(P2108="",M2108&lt;&gt;"Paid",O2108=""),"",P2108/O2108)</f>
        <v/>
      </c>
      <c r="R2108" s="34" t="str">
        <f aca="false">IF(Q2108="","",Q2108+N(H2108)*0.000000001)</f>
        <v/>
      </c>
      <c r="S2108" s="32" t="str">
        <f aca="false">IF(R2108="","",SUMPRODUCT((I$5:I$4004=I2108)*ISNUMBER(R$5:R$4004)*(R$5:R$4004&gt;R2108))+1)</f>
        <v/>
      </c>
      <c r="T2108" s="32" t="str">
        <f aca="false">IF(S2108="","",IF(S2108&lt;=Setup!$B$5,"🏆 WINNER",""))</f>
        <v/>
      </c>
      <c r="U2108" s="31" t="str">
        <f aca="false">IF(S2108="","",I2108&amp;"|"&amp;S2108)</f>
        <v/>
      </c>
    </row>
    <row r="2109" customFormat="false" ht="15" hidden="false" customHeight="false" outlineLevel="0" collapsed="false">
      <c r="A2109" s="24" t="n">
        <v>2105</v>
      </c>
      <c r="B2109" s="25" t="str">
        <f aca="false">IF(OR(C2109="",I2109="",G2109=""),"",IFERROR(VLOOKUP(I2109,Setup!$A$9:$B$11,2,0),"???")&amp;"-"&amp;G2109&amp;"-"&amp;TEXT(COUNTIFS(I$5:I2109,I2109,G$5:G2109,G2109),"0000"))</f>
        <v/>
      </c>
      <c r="C2109" s="26"/>
      <c r="D2109" s="26"/>
      <c r="E2109" s="27"/>
      <c r="F2109" s="27"/>
      <c r="G2109" s="24" t="str">
        <f aca="false">IF(F2109="","",IF(F2109&lt;=5,"A",IF(F2109&lt;=8,"B",IF(F2109&lt;=10,"C","D"))))</f>
        <v/>
      </c>
      <c r="H2109" s="28"/>
      <c r="I2109" s="27"/>
      <c r="J2109" s="26"/>
      <c r="K2109" s="27"/>
      <c r="L2109" s="27"/>
      <c r="M2109" s="27"/>
      <c r="N2109" s="27"/>
      <c r="O2109" s="24" t="str">
        <f aca="false">IF(G2109="","",VLOOKUP(G2109,Setup!$A$14:$C$17,3,0))</f>
        <v/>
      </c>
      <c r="P2109" s="27"/>
      <c r="Q2109" s="29" t="str">
        <f aca="false">IF(OR(P2109="",M2109&lt;&gt;"Paid",O2109=""),"",P2109/O2109)</f>
        <v/>
      </c>
      <c r="R2109" s="30" t="str">
        <f aca="false">IF(Q2109="","",Q2109+N(H2109)*0.000000001)</f>
        <v/>
      </c>
      <c r="S2109" s="25" t="str">
        <f aca="false">IF(R2109="","",SUMPRODUCT((I$5:I$4004=I2109)*ISNUMBER(R$5:R$4004)*(R$5:R$4004&gt;R2109))+1)</f>
        <v/>
      </c>
      <c r="T2109" s="25" t="str">
        <f aca="false">IF(S2109="","",IF(S2109&lt;=Setup!$B$5,"🏆 WINNER",""))</f>
        <v/>
      </c>
      <c r="U2109" s="24" t="str">
        <f aca="false">IF(S2109="","",I2109&amp;"|"&amp;S2109)</f>
        <v/>
      </c>
    </row>
    <row r="2110" customFormat="false" ht="15" hidden="false" customHeight="false" outlineLevel="0" collapsed="false">
      <c r="A2110" s="31" t="n">
        <v>2106</v>
      </c>
      <c r="B2110" s="32" t="str">
        <f aca="false">IF(OR(C2110="",I2110="",G2110=""),"",IFERROR(VLOOKUP(I2110,Setup!$A$9:$B$11,2,0),"???")&amp;"-"&amp;G2110&amp;"-"&amp;TEXT(COUNTIFS(I$5:I2110,I2110,G$5:G2110,G2110),"0000"))</f>
        <v/>
      </c>
      <c r="C2110" s="26"/>
      <c r="D2110" s="26"/>
      <c r="E2110" s="27"/>
      <c r="F2110" s="27"/>
      <c r="G2110" s="31" t="str">
        <f aca="false">IF(F2110="","",IF(F2110&lt;=5,"A",IF(F2110&lt;=8,"B",IF(F2110&lt;=10,"C","D"))))</f>
        <v/>
      </c>
      <c r="H2110" s="28"/>
      <c r="I2110" s="27"/>
      <c r="J2110" s="26"/>
      <c r="K2110" s="27"/>
      <c r="L2110" s="27"/>
      <c r="M2110" s="27"/>
      <c r="N2110" s="27"/>
      <c r="O2110" s="31" t="str">
        <f aca="false">IF(G2110="","",VLOOKUP(G2110,Setup!$A$14:$C$17,3,0))</f>
        <v/>
      </c>
      <c r="P2110" s="27"/>
      <c r="Q2110" s="33" t="str">
        <f aca="false">IF(OR(P2110="",M2110&lt;&gt;"Paid",O2110=""),"",P2110/O2110)</f>
        <v/>
      </c>
      <c r="R2110" s="34" t="str">
        <f aca="false">IF(Q2110="","",Q2110+N(H2110)*0.000000001)</f>
        <v/>
      </c>
      <c r="S2110" s="32" t="str">
        <f aca="false">IF(R2110="","",SUMPRODUCT((I$5:I$4004=I2110)*ISNUMBER(R$5:R$4004)*(R$5:R$4004&gt;R2110))+1)</f>
        <v/>
      </c>
      <c r="T2110" s="32" t="str">
        <f aca="false">IF(S2110="","",IF(S2110&lt;=Setup!$B$5,"🏆 WINNER",""))</f>
        <v/>
      </c>
      <c r="U2110" s="31" t="str">
        <f aca="false">IF(S2110="","",I2110&amp;"|"&amp;S2110)</f>
        <v/>
      </c>
    </row>
    <row r="2111" customFormat="false" ht="15" hidden="false" customHeight="false" outlineLevel="0" collapsed="false">
      <c r="A2111" s="24" t="n">
        <v>2107</v>
      </c>
      <c r="B2111" s="25" t="str">
        <f aca="false">IF(OR(C2111="",I2111="",G2111=""),"",IFERROR(VLOOKUP(I2111,Setup!$A$9:$B$11,2,0),"???")&amp;"-"&amp;G2111&amp;"-"&amp;TEXT(COUNTIFS(I$5:I2111,I2111,G$5:G2111,G2111),"0000"))</f>
        <v/>
      </c>
      <c r="C2111" s="26"/>
      <c r="D2111" s="26"/>
      <c r="E2111" s="27"/>
      <c r="F2111" s="27"/>
      <c r="G2111" s="24" t="str">
        <f aca="false">IF(F2111="","",IF(F2111&lt;=5,"A",IF(F2111&lt;=8,"B",IF(F2111&lt;=10,"C","D"))))</f>
        <v/>
      </c>
      <c r="H2111" s="28"/>
      <c r="I2111" s="27"/>
      <c r="J2111" s="26"/>
      <c r="K2111" s="27"/>
      <c r="L2111" s="27"/>
      <c r="M2111" s="27"/>
      <c r="N2111" s="27"/>
      <c r="O2111" s="24" t="str">
        <f aca="false">IF(G2111="","",VLOOKUP(G2111,Setup!$A$14:$C$17,3,0))</f>
        <v/>
      </c>
      <c r="P2111" s="27"/>
      <c r="Q2111" s="29" t="str">
        <f aca="false">IF(OR(P2111="",M2111&lt;&gt;"Paid",O2111=""),"",P2111/O2111)</f>
        <v/>
      </c>
      <c r="R2111" s="30" t="str">
        <f aca="false">IF(Q2111="","",Q2111+N(H2111)*0.000000001)</f>
        <v/>
      </c>
      <c r="S2111" s="25" t="str">
        <f aca="false">IF(R2111="","",SUMPRODUCT((I$5:I$4004=I2111)*ISNUMBER(R$5:R$4004)*(R$5:R$4004&gt;R2111))+1)</f>
        <v/>
      </c>
      <c r="T2111" s="25" t="str">
        <f aca="false">IF(S2111="","",IF(S2111&lt;=Setup!$B$5,"🏆 WINNER",""))</f>
        <v/>
      </c>
      <c r="U2111" s="24" t="str">
        <f aca="false">IF(S2111="","",I2111&amp;"|"&amp;S2111)</f>
        <v/>
      </c>
    </row>
    <row r="2112" customFormat="false" ht="15" hidden="false" customHeight="false" outlineLevel="0" collapsed="false">
      <c r="A2112" s="31" t="n">
        <v>2108</v>
      </c>
      <c r="B2112" s="32" t="str">
        <f aca="false">IF(OR(C2112="",I2112="",G2112=""),"",IFERROR(VLOOKUP(I2112,Setup!$A$9:$B$11,2,0),"???")&amp;"-"&amp;G2112&amp;"-"&amp;TEXT(COUNTIFS(I$5:I2112,I2112,G$5:G2112,G2112),"0000"))</f>
        <v/>
      </c>
      <c r="C2112" s="26"/>
      <c r="D2112" s="26"/>
      <c r="E2112" s="27"/>
      <c r="F2112" s="27"/>
      <c r="G2112" s="31" t="str">
        <f aca="false">IF(F2112="","",IF(F2112&lt;=5,"A",IF(F2112&lt;=8,"B",IF(F2112&lt;=10,"C","D"))))</f>
        <v/>
      </c>
      <c r="H2112" s="28"/>
      <c r="I2112" s="27"/>
      <c r="J2112" s="26"/>
      <c r="K2112" s="27"/>
      <c r="L2112" s="27"/>
      <c r="M2112" s="27"/>
      <c r="N2112" s="27"/>
      <c r="O2112" s="31" t="str">
        <f aca="false">IF(G2112="","",VLOOKUP(G2112,Setup!$A$14:$C$17,3,0))</f>
        <v/>
      </c>
      <c r="P2112" s="27"/>
      <c r="Q2112" s="33" t="str">
        <f aca="false">IF(OR(P2112="",M2112&lt;&gt;"Paid",O2112=""),"",P2112/O2112)</f>
        <v/>
      </c>
      <c r="R2112" s="34" t="str">
        <f aca="false">IF(Q2112="","",Q2112+N(H2112)*0.000000001)</f>
        <v/>
      </c>
      <c r="S2112" s="32" t="str">
        <f aca="false">IF(R2112="","",SUMPRODUCT((I$5:I$4004=I2112)*ISNUMBER(R$5:R$4004)*(R$5:R$4004&gt;R2112))+1)</f>
        <v/>
      </c>
      <c r="T2112" s="32" t="str">
        <f aca="false">IF(S2112="","",IF(S2112&lt;=Setup!$B$5,"🏆 WINNER",""))</f>
        <v/>
      </c>
      <c r="U2112" s="31" t="str">
        <f aca="false">IF(S2112="","",I2112&amp;"|"&amp;S2112)</f>
        <v/>
      </c>
    </row>
    <row r="2113" customFormat="false" ht="15" hidden="false" customHeight="false" outlineLevel="0" collapsed="false">
      <c r="A2113" s="24" t="n">
        <v>2109</v>
      </c>
      <c r="B2113" s="25" t="str">
        <f aca="false">IF(OR(C2113="",I2113="",G2113=""),"",IFERROR(VLOOKUP(I2113,Setup!$A$9:$B$11,2,0),"???")&amp;"-"&amp;G2113&amp;"-"&amp;TEXT(COUNTIFS(I$5:I2113,I2113,G$5:G2113,G2113),"0000"))</f>
        <v/>
      </c>
      <c r="C2113" s="26"/>
      <c r="D2113" s="26"/>
      <c r="E2113" s="27"/>
      <c r="F2113" s="27"/>
      <c r="G2113" s="24" t="str">
        <f aca="false">IF(F2113="","",IF(F2113&lt;=5,"A",IF(F2113&lt;=8,"B",IF(F2113&lt;=10,"C","D"))))</f>
        <v/>
      </c>
      <c r="H2113" s="28"/>
      <c r="I2113" s="27"/>
      <c r="J2113" s="26"/>
      <c r="K2113" s="27"/>
      <c r="L2113" s="27"/>
      <c r="M2113" s="27"/>
      <c r="N2113" s="27"/>
      <c r="O2113" s="24" t="str">
        <f aca="false">IF(G2113="","",VLOOKUP(G2113,Setup!$A$14:$C$17,3,0))</f>
        <v/>
      </c>
      <c r="P2113" s="27"/>
      <c r="Q2113" s="29" t="str">
        <f aca="false">IF(OR(P2113="",M2113&lt;&gt;"Paid",O2113=""),"",P2113/O2113)</f>
        <v/>
      </c>
      <c r="R2113" s="30" t="str">
        <f aca="false">IF(Q2113="","",Q2113+N(H2113)*0.000000001)</f>
        <v/>
      </c>
      <c r="S2113" s="25" t="str">
        <f aca="false">IF(R2113="","",SUMPRODUCT((I$5:I$4004=I2113)*ISNUMBER(R$5:R$4004)*(R$5:R$4004&gt;R2113))+1)</f>
        <v/>
      </c>
      <c r="T2113" s="25" t="str">
        <f aca="false">IF(S2113="","",IF(S2113&lt;=Setup!$B$5,"🏆 WINNER",""))</f>
        <v/>
      </c>
      <c r="U2113" s="24" t="str">
        <f aca="false">IF(S2113="","",I2113&amp;"|"&amp;S2113)</f>
        <v/>
      </c>
    </row>
    <row r="2114" customFormat="false" ht="15" hidden="false" customHeight="false" outlineLevel="0" collapsed="false">
      <c r="A2114" s="31" t="n">
        <v>2110</v>
      </c>
      <c r="B2114" s="32" t="str">
        <f aca="false">IF(OR(C2114="",I2114="",G2114=""),"",IFERROR(VLOOKUP(I2114,Setup!$A$9:$B$11,2,0),"???")&amp;"-"&amp;G2114&amp;"-"&amp;TEXT(COUNTIFS(I$5:I2114,I2114,G$5:G2114,G2114),"0000"))</f>
        <v/>
      </c>
      <c r="C2114" s="26"/>
      <c r="D2114" s="26"/>
      <c r="E2114" s="27"/>
      <c r="F2114" s="27"/>
      <c r="G2114" s="31" t="str">
        <f aca="false">IF(F2114="","",IF(F2114&lt;=5,"A",IF(F2114&lt;=8,"B",IF(F2114&lt;=10,"C","D"))))</f>
        <v/>
      </c>
      <c r="H2114" s="28"/>
      <c r="I2114" s="27"/>
      <c r="J2114" s="26"/>
      <c r="K2114" s="27"/>
      <c r="L2114" s="27"/>
      <c r="M2114" s="27"/>
      <c r="N2114" s="27"/>
      <c r="O2114" s="31" t="str">
        <f aca="false">IF(G2114="","",VLOOKUP(G2114,Setup!$A$14:$C$17,3,0))</f>
        <v/>
      </c>
      <c r="P2114" s="27"/>
      <c r="Q2114" s="33" t="str">
        <f aca="false">IF(OR(P2114="",M2114&lt;&gt;"Paid",O2114=""),"",P2114/O2114)</f>
        <v/>
      </c>
      <c r="R2114" s="34" t="str">
        <f aca="false">IF(Q2114="","",Q2114+N(H2114)*0.000000001)</f>
        <v/>
      </c>
      <c r="S2114" s="32" t="str">
        <f aca="false">IF(R2114="","",SUMPRODUCT((I$5:I$4004=I2114)*ISNUMBER(R$5:R$4004)*(R$5:R$4004&gt;R2114))+1)</f>
        <v/>
      </c>
      <c r="T2114" s="32" t="str">
        <f aca="false">IF(S2114="","",IF(S2114&lt;=Setup!$B$5,"🏆 WINNER",""))</f>
        <v/>
      </c>
      <c r="U2114" s="31" t="str">
        <f aca="false">IF(S2114="","",I2114&amp;"|"&amp;S2114)</f>
        <v/>
      </c>
    </row>
    <row r="2115" customFormat="false" ht="15" hidden="false" customHeight="false" outlineLevel="0" collapsed="false">
      <c r="A2115" s="24" t="n">
        <v>2111</v>
      </c>
      <c r="B2115" s="25" t="str">
        <f aca="false">IF(OR(C2115="",I2115="",G2115=""),"",IFERROR(VLOOKUP(I2115,Setup!$A$9:$B$11,2,0),"???")&amp;"-"&amp;G2115&amp;"-"&amp;TEXT(COUNTIFS(I$5:I2115,I2115,G$5:G2115,G2115),"0000"))</f>
        <v/>
      </c>
      <c r="C2115" s="26"/>
      <c r="D2115" s="26"/>
      <c r="E2115" s="27"/>
      <c r="F2115" s="27"/>
      <c r="G2115" s="24" t="str">
        <f aca="false">IF(F2115="","",IF(F2115&lt;=5,"A",IF(F2115&lt;=8,"B",IF(F2115&lt;=10,"C","D"))))</f>
        <v/>
      </c>
      <c r="H2115" s="28"/>
      <c r="I2115" s="27"/>
      <c r="J2115" s="26"/>
      <c r="K2115" s="27"/>
      <c r="L2115" s="27"/>
      <c r="M2115" s="27"/>
      <c r="N2115" s="27"/>
      <c r="O2115" s="24" t="str">
        <f aca="false">IF(G2115="","",VLOOKUP(G2115,Setup!$A$14:$C$17,3,0))</f>
        <v/>
      </c>
      <c r="P2115" s="27"/>
      <c r="Q2115" s="29" t="str">
        <f aca="false">IF(OR(P2115="",M2115&lt;&gt;"Paid",O2115=""),"",P2115/O2115)</f>
        <v/>
      </c>
      <c r="R2115" s="30" t="str">
        <f aca="false">IF(Q2115="","",Q2115+N(H2115)*0.000000001)</f>
        <v/>
      </c>
      <c r="S2115" s="25" t="str">
        <f aca="false">IF(R2115="","",SUMPRODUCT((I$5:I$4004=I2115)*ISNUMBER(R$5:R$4004)*(R$5:R$4004&gt;R2115))+1)</f>
        <v/>
      </c>
      <c r="T2115" s="25" t="str">
        <f aca="false">IF(S2115="","",IF(S2115&lt;=Setup!$B$5,"🏆 WINNER",""))</f>
        <v/>
      </c>
      <c r="U2115" s="24" t="str">
        <f aca="false">IF(S2115="","",I2115&amp;"|"&amp;S2115)</f>
        <v/>
      </c>
    </row>
    <row r="2116" customFormat="false" ht="15" hidden="false" customHeight="false" outlineLevel="0" collapsed="false">
      <c r="A2116" s="31" t="n">
        <v>2112</v>
      </c>
      <c r="B2116" s="32" t="str">
        <f aca="false">IF(OR(C2116="",I2116="",G2116=""),"",IFERROR(VLOOKUP(I2116,Setup!$A$9:$B$11,2,0),"???")&amp;"-"&amp;G2116&amp;"-"&amp;TEXT(COUNTIFS(I$5:I2116,I2116,G$5:G2116,G2116),"0000"))</f>
        <v/>
      </c>
      <c r="C2116" s="26"/>
      <c r="D2116" s="26"/>
      <c r="E2116" s="27"/>
      <c r="F2116" s="27"/>
      <c r="G2116" s="31" t="str">
        <f aca="false">IF(F2116="","",IF(F2116&lt;=5,"A",IF(F2116&lt;=8,"B",IF(F2116&lt;=10,"C","D"))))</f>
        <v/>
      </c>
      <c r="H2116" s="28"/>
      <c r="I2116" s="27"/>
      <c r="J2116" s="26"/>
      <c r="K2116" s="27"/>
      <c r="L2116" s="27"/>
      <c r="M2116" s="27"/>
      <c r="N2116" s="27"/>
      <c r="O2116" s="31" t="str">
        <f aca="false">IF(G2116="","",VLOOKUP(G2116,Setup!$A$14:$C$17,3,0))</f>
        <v/>
      </c>
      <c r="P2116" s="27"/>
      <c r="Q2116" s="33" t="str">
        <f aca="false">IF(OR(P2116="",M2116&lt;&gt;"Paid",O2116=""),"",P2116/O2116)</f>
        <v/>
      </c>
      <c r="R2116" s="34" t="str">
        <f aca="false">IF(Q2116="","",Q2116+N(H2116)*0.000000001)</f>
        <v/>
      </c>
      <c r="S2116" s="32" t="str">
        <f aca="false">IF(R2116="","",SUMPRODUCT((I$5:I$4004=I2116)*ISNUMBER(R$5:R$4004)*(R$5:R$4004&gt;R2116))+1)</f>
        <v/>
      </c>
      <c r="T2116" s="32" t="str">
        <f aca="false">IF(S2116="","",IF(S2116&lt;=Setup!$B$5,"🏆 WINNER",""))</f>
        <v/>
      </c>
      <c r="U2116" s="31" t="str">
        <f aca="false">IF(S2116="","",I2116&amp;"|"&amp;S2116)</f>
        <v/>
      </c>
    </row>
    <row r="2117" customFormat="false" ht="15" hidden="false" customHeight="false" outlineLevel="0" collapsed="false">
      <c r="A2117" s="24" t="n">
        <v>2113</v>
      </c>
      <c r="B2117" s="25" t="str">
        <f aca="false">IF(OR(C2117="",I2117="",G2117=""),"",IFERROR(VLOOKUP(I2117,Setup!$A$9:$B$11,2,0),"???")&amp;"-"&amp;G2117&amp;"-"&amp;TEXT(COUNTIFS(I$5:I2117,I2117,G$5:G2117,G2117),"0000"))</f>
        <v/>
      </c>
      <c r="C2117" s="26"/>
      <c r="D2117" s="26"/>
      <c r="E2117" s="27"/>
      <c r="F2117" s="27"/>
      <c r="G2117" s="24" t="str">
        <f aca="false">IF(F2117="","",IF(F2117&lt;=5,"A",IF(F2117&lt;=8,"B",IF(F2117&lt;=10,"C","D"))))</f>
        <v/>
      </c>
      <c r="H2117" s="28"/>
      <c r="I2117" s="27"/>
      <c r="J2117" s="26"/>
      <c r="K2117" s="27"/>
      <c r="L2117" s="27"/>
      <c r="M2117" s="27"/>
      <c r="N2117" s="27"/>
      <c r="O2117" s="24" t="str">
        <f aca="false">IF(G2117="","",VLOOKUP(G2117,Setup!$A$14:$C$17,3,0))</f>
        <v/>
      </c>
      <c r="P2117" s="27"/>
      <c r="Q2117" s="29" t="str">
        <f aca="false">IF(OR(P2117="",M2117&lt;&gt;"Paid",O2117=""),"",P2117/O2117)</f>
        <v/>
      </c>
      <c r="R2117" s="30" t="str">
        <f aca="false">IF(Q2117="","",Q2117+N(H2117)*0.000000001)</f>
        <v/>
      </c>
      <c r="S2117" s="25" t="str">
        <f aca="false">IF(R2117="","",SUMPRODUCT((I$5:I$4004=I2117)*ISNUMBER(R$5:R$4004)*(R$5:R$4004&gt;R2117))+1)</f>
        <v/>
      </c>
      <c r="T2117" s="25" t="str">
        <f aca="false">IF(S2117="","",IF(S2117&lt;=Setup!$B$5,"🏆 WINNER",""))</f>
        <v/>
      </c>
      <c r="U2117" s="24" t="str">
        <f aca="false">IF(S2117="","",I2117&amp;"|"&amp;S2117)</f>
        <v/>
      </c>
    </row>
    <row r="2118" customFormat="false" ht="15" hidden="false" customHeight="false" outlineLevel="0" collapsed="false">
      <c r="A2118" s="31" t="n">
        <v>2114</v>
      </c>
      <c r="B2118" s="32" t="str">
        <f aca="false">IF(OR(C2118="",I2118="",G2118=""),"",IFERROR(VLOOKUP(I2118,Setup!$A$9:$B$11,2,0),"???")&amp;"-"&amp;G2118&amp;"-"&amp;TEXT(COUNTIFS(I$5:I2118,I2118,G$5:G2118,G2118),"0000"))</f>
        <v/>
      </c>
      <c r="C2118" s="26"/>
      <c r="D2118" s="26"/>
      <c r="E2118" s="27"/>
      <c r="F2118" s="27"/>
      <c r="G2118" s="31" t="str">
        <f aca="false">IF(F2118="","",IF(F2118&lt;=5,"A",IF(F2118&lt;=8,"B",IF(F2118&lt;=10,"C","D"))))</f>
        <v/>
      </c>
      <c r="H2118" s="28"/>
      <c r="I2118" s="27"/>
      <c r="J2118" s="26"/>
      <c r="K2118" s="27"/>
      <c r="L2118" s="27"/>
      <c r="M2118" s="27"/>
      <c r="N2118" s="27"/>
      <c r="O2118" s="31" t="str">
        <f aca="false">IF(G2118="","",VLOOKUP(G2118,Setup!$A$14:$C$17,3,0))</f>
        <v/>
      </c>
      <c r="P2118" s="27"/>
      <c r="Q2118" s="33" t="str">
        <f aca="false">IF(OR(P2118="",M2118&lt;&gt;"Paid",O2118=""),"",P2118/O2118)</f>
        <v/>
      </c>
      <c r="R2118" s="34" t="str">
        <f aca="false">IF(Q2118="","",Q2118+N(H2118)*0.000000001)</f>
        <v/>
      </c>
      <c r="S2118" s="32" t="str">
        <f aca="false">IF(R2118="","",SUMPRODUCT((I$5:I$4004=I2118)*ISNUMBER(R$5:R$4004)*(R$5:R$4004&gt;R2118))+1)</f>
        <v/>
      </c>
      <c r="T2118" s="32" t="str">
        <f aca="false">IF(S2118="","",IF(S2118&lt;=Setup!$B$5,"🏆 WINNER",""))</f>
        <v/>
      </c>
      <c r="U2118" s="31" t="str">
        <f aca="false">IF(S2118="","",I2118&amp;"|"&amp;S2118)</f>
        <v/>
      </c>
    </row>
    <row r="2119" customFormat="false" ht="15" hidden="false" customHeight="false" outlineLevel="0" collapsed="false">
      <c r="A2119" s="24" t="n">
        <v>2115</v>
      </c>
      <c r="B2119" s="25" t="str">
        <f aca="false">IF(OR(C2119="",I2119="",G2119=""),"",IFERROR(VLOOKUP(I2119,Setup!$A$9:$B$11,2,0),"???")&amp;"-"&amp;G2119&amp;"-"&amp;TEXT(COUNTIFS(I$5:I2119,I2119,G$5:G2119,G2119),"0000"))</f>
        <v/>
      </c>
      <c r="C2119" s="26"/>
      <c r="D2119" s="26"/>
      <c r="E2119" s="27"/>
      <c r="F2119" s="27"/>
      <c r="G2119" s="24" t="str">
        <f aca="false">IF(F2119="","",IF(F2119&lt;=5,"A",IF(F2119&lt;=8,"B",IF(F2119&lt;=10,"C","D"))))</f>
        <v/>
      </c>
      <c r="H2119" s="28"/>
      <c r="I2119" s="27"/>
      <c r="J2119" s="26"/>
      <c r="K2119" s="27"/>
      <c r="L2119" s="27"/>
      <c r="M2119" s="27"/>
      <c r="N2119" s="27"/>
      <c r="O2119" s="24" t="str">
        <f aca="false">IF(G2119="","",VLOOKUP(G2119,Setup!$A$14:$C$17,3,0))</f>
        <v/>
      </c>
      <c r="P2119" s="27"/>
      <c r="Q2119" s="29" t="str">
        <f aca="false">IF(OR(P2119="",M2119&lt;&gt;"Paid",O2119=""),"",P2119/O2119)</f>
        <v/>
      </c>
      <c r="R2119" s="30" t="str">
        <f aca="false">IF(Q2119="","",Q2119+N(H2119)*0.000000001)</f>
        <v/>
      </c>
      <c r="S2119" s="25" t="str">
        <f aca="false">IF(R2119="","",SUMPRODUCT((I$5:I$4004=I2119)*ISNUMBER(R$5:R$4004)*(R$5:R$4004&gt;R2119))+1)</f>
        <v/>
      </c>
      <c r="T2119" s="25" t="str">
        <f aca="false">IF(S2119="","",IF(S2119&lt;=Setup!$B$5,"🏆 WINNER",""))</f>
        <v/>
      </c>
      <c r="U2119" s="24" t="str">
        <f aca="false">IF(S2119="","",I2119&amp;"|"&amp;S2119)</f>
        <v/>
      </c>
    </row>
    <row r="2120" customFormat="false" ht="15" hidden="false" customHeight="false" outlineLevel="0" collapsed="false">
      <c r="A2120" s="31" t="n">
        <v>2116</v>
      </c>
      <c r="B2120" s="32" t="str">
        <f aca="false">IF(OR(C2120="",I2120="",G2120=""),"",IFERROR(VLOOKUP(I2120,Setup!$A$9:$B$11,2,0),"???")&amp;"-"&amp;G2120&amp;"-"&amp;TEXT(COUNTIFS(I$5:I2120,I2120,G$5:G2120,G2120),"0000"))</f>
        <v/>
      </c>
      <c r="C2120" s="26"/>
      <c r="D2120" s="26"/>
      <c r="E2120" s="27"/>
      <c r="F2120" s="27"/>
      <c r="G2120" s="31" t="str">
        <f aca="false">IF(F2120="","",IF(F2120&lt;=5,"A",IF(F2120&lt;=8,"B",IF(F2120&lt;=10,"C","D"))))</f>
        <v/>
      </c>
      <c r="H2120" s="28"/>
      <c r="I2120" s="27"/>
      <c r="J2120" s="26"/>
      <c r="K2120" s="27"/>
      <c r="L2120" s="27"/>
      <c r="M2120" s="27"/>
      <c r="N2120" s="27"/>
      <c r="O2120" s="31" t="str">
        <f aca="false">IF(G2120="","",VLOOKUP(G2120,Setup!$A$14:$C$17,3,0))</f>
        <v/>
      </c>
      <c r="P2120" s="27"/>
      <c r="Q2120" s="33" t="str">
        <f aca="false">IF(OR(P2120="",M2120&lt;&gt;"Paid",O2120=""),"",P2120/O2120)</f>
        <v/>
      </c>
      <c r="R2120" s="34" t="str">
        <f aca="false">IF(Q2120="","",Q2120+N(H2120)*0.000000001)</f>
        <v/>
      </c>
      <c r="S2120" s="32" t="str">
        <f aca="false">IF(R2120="","",SUMPRODUCT((I$5:I$4004=I2120)*ISNUMBER(R$5:R$4004)*(R$5:R$4004&gt;R2120))+1)</f>
        <v/>
      </c>
      <c r="T2120" s="32" t="str">
        <f aca="false">IF(S2120="","",IF(S2120&lt;=Setup!$B$5,"🏆 WINNER",""))</f>
        <v/>
      </c>
      <c r="U2120" s="31" t="str">
        <f aca="false">IF(S2120="","",I2120&amp;"|"&amp;S2120)</f>
        <v/>
      </c>
    </row>
    <row r="2121" customFormat="false" ht="15" hidden="false" customHeight="false" outlineLevel="0" collapsed="false">
      <c r="A2121" s="24" t="n">
        <v>2117</v>
      </c>
      <c r="B2121" s="25" t="str">
        <f aca="false">IF(OR(C2121="",I2121="",G2121=""),"",IFERROR(VLOOKUP(I2121,Setup!$A$9:$B$11,2,0),"???")&amp;"-"&amp;G2121&amp;"-"&amp;TEXT(COUNTIFS(I$5:I2121,I2121,G$5:G2121,G2121),"0000"))</f>
        <v/>
      </c>
      <c r="C2121" s="26"/>
      <c r="D2121" s="26"/>
      <c r="E2121" s="27"/>
      <c r="F2121" s="27"/>
      <c r="G2121" s="24" t="str">
        <f aca="false">IF(F2121="","",IF(F2121&lt;=5,"A",IF(F2121&lt;=8,"B",IF(F2121&lt;=10,"C","D"))))</f>
        <v/>
      </c>
      <c r="H2121" s="28"/>
      <c r="I2121" s="27"/>
      <c r="J2121" s="26"/>
      <c r="K2121" s="27"/>
      <c r="L2121" s="27"/>
      <c r="M2121" s="27"/>
      <c r="N2121" s="27"/>
      <c r="O2121" s="24" t="str">
        <f aca="false">IF(G2121="","",VLOOKUP(G2121,Setup!$A$14:$C$17,3,0))</f>
        <v/>
      </c>
      <c r="P2121" s="27"/>
      <c r="Q2121" s="29" t="str">
        <f aca="false">IF(OR(P2121="",M2121&lt;&gt;"Paid",O2121=""),"",P2121/O2121)</f>
        <v/>
      </c>
      <c r="R2121" s="30" t="str">
        <f aca="false">IF(Q2121="","",Q2121+N(H2121)*0.000000001)</f>
        <v/>
      </c>
      <c r="S2121" s="25" t="str">
        <f aca="false">IF(R2121="","",SUMPRODUCT((I$5:I$4004=I2121)*ISNUMBER(R$5:R$4004)*(R$5:R$4004&gt;R2121))+1)</f>
        <v/>
      </c>
      <c r="T2121" s="25" t="str">
        <f aca="false">IF(S2121="","",IF(S2121&lt;=Setup!$B$5,"🏆 WINNER",""))</f>
        <v/>
      </c>
      <c r="U2121" s="24" t="str">
        <f aca="false">IF(S2121="","",I2121&amp;"|"&amp;S2121)</f>
        <v/>
      </c>
    </row>
    <row r="2122" customFormat="false" ht="15" hidden="false" customHeight="false" outlineLevel="0" collapsed="false">
      <c r="A2122" s="31" t="n">
        <v>2118</v>
      </c>
      <c r="B2122" s="32" t="str">
        <f aca="false">IF(OR(C2122="",I2122="",G2122=""),"",IFERROR(VLOOKUP(I2122,Setup!$A$9:$B$11,2,0),"???")&amp;"-"&amp;G2122&amp;"-"&amp;TEXT(COUNTIFS(I$5:I2122,I2122,G$5:G2122,G2122),"0000"))</f>
        <v/>
      </c>
      <c r="C2122" s="26"/>
      <c r="D2122" s="26"/>
      <c r="E2122" s="27"/>
      <c r="F2122" s="27"/>
      <c r="G2122" s="31" t="str">
        <f aca="false">IF(F2122="","",IF(F2122&lt;=5,"A",IF(F2122&lt;=8,"B",IF(F2122&lt;=10,"C","D"))))</f>
        <v/>
      </c>
      <c r="H2122" s="28"/>
      <c r="I2122" s="27"/>
      <c r="J2122" s="26"/>
      <c r="K2122" s="27"/>
      <c r="L2122" s="27"/>
      <c r="M2122" s="27"/>
      <c r="N2122" s="27"/>
      <c r="O2122" s="31" t="str">
        <f aca="false">IF(G2122="","",VLOOKUP(G2122,Setup!$A$14:$C$17,3,0))</f>
        <v/>
      </c>
      <c r="P2122" s="27"/>
      <c r="Q2122" s="33" t="str">
        <f aca="false">IF(OR(P2122="",M2122&lt;&gt;"Paid",O2122=""),"",P2122/O2122)</f>
        <v/>
      </c>
      <c r="R2122" s="34" t="str">
        <f aca="false">IF(Q2122="","",Q2122+N(H2122)*0.000000001)</f>
        <v/>
      </c>
      <c r="S2122" s="32" t="str">
        <f aca="false">IF(R2122="","",SUMPRODUCT((I$5:I$4004=I2122)*ISNUMBER(R$5:R$4004)*(R$5:R$4004&gt;R2122))+1)</f>
        <v/>
      </c>
      <c r="T2122" s="32" t="str">
        <f aca="false">IF(S2122="","",IF(S2122&lt;=Setup!$B$5,"🏆 WINNER",""))</f>
        <v/>
      </c>
      <c r="U2122" s="31" t="str">
        <f aca="false">IF(S2122="","",I2122&amp;"|"&amp;S2122)</f>
        <v/>
      </c>
    </row>
    <row r="2123" customFormat="false" ht="15" hidden="false" customHeight="false" outlineLevel="0" collapsed="false">
      <c r="A2123" s="24" t="n">
        <v>2119</v>
      </c>
      <c r="B2123" s="25" t="str">
        <f aca="false">IF(OR(C2123="",I2123="",G2123=""),"",IFERROR(VLOOKUP(I2123,Setup!$A$9:$B$11,2,0),"???")&amp;"-"&amp;G2123&amp;"-"&amp;TEXT(COUNTIFS(I$5:I2123,I2123,G$5:G2123,G2123),"0000"))</f>
        <v/>
      </c>
      <c r="C2123" s="26"/>
      <c r="D2123" s="26"/>
      <c r="E2123" s="27"/>
      <c r="F2123" s="27"/>
      <c r="G2123" s="24" t="str">
        <f aca="false">IF(F2123="","",IF(F2123&lt;=5,"A",IF(F2123&lt;=8,"B",IF(F2123&lt;=10,"C","D"))))</f>
        <v/>
      </c>
      <c r="H2123" s="28"/>
      <c r="I2123" s="27"/>
      <c r="J2123" s="26"/>
      <c r="K2123" s="27"/>
      <c r="L2123" s="27"/>
      <c r="M2123" s="27"/>
      <c r="N2123" s="27"/>
      <c r="O2123" s="24" t="str">
        <f aca="false">IF(G2123="","",VLOOKUP(G2123,Setup!$A$14:$C$17,3,0))</f>
        <v/>
      </c>
      <c r="P2123" s="27"/>
      <c r="Q2123" s="29" t="str">
        <f aca="false">IF(OR(P2123="",M2123&lt;&gt;"Paid",O2123=""),"",P2123/O2123)</f>
        <v/>
      </c>
      <c r="R2123" s="30" t="str">
        <f aca="false">IF(Q2123="","",Q2123+N(H2123)*0.000000001)</f>
        <v/>
      </c>
      <c r="S2123" s="25" t="str">
        <f aca="false">IF(R2123="","",SUMPRODUCT((I$5:I$4004=I2123)*ISNUMBER(R$5:R$4004)*(R$5:R$4004&gt;R2123))+1)</f>
        <v/>
      </c>
      <c r="T2123" s="25" t="str">
        <f aca="false">IF(S2123="","",IF(S2123&lt;=Setup!$B$5,"🏆 WINNER",""))</f>
        <v/>
      </c>
      <c r="U2123" s="24" t="str">
        <f aca="false">IF(S2123="","",I2123&amp;"|"&amp;S2123)</f>
        <v/>
      </c>
    </row>
    <row r="2124" customFormat="false" ht="15" hidden="false" customHeight="false" outlineLevel="0" collapsed="false">
      <c r="A2124" s="31" t="n">
        <v>2120</v>
      </c>
      <c r="B2124" s="32" t="str">
        <f aca="false">IF(OR(C2124="",I2124="",G2124=""),"",IFERROR(VLOOKUP(I2124,Setup!$A$9:$B$11,2,0),"???")&amp;"-"&amp;G2124&amp;"-"&amp;TEXT(COUNTIFS(I$5:I2124,I2124,G$5:G2124,G2124),"0000"))</f>
        <v/>
      </c>
      <c r="C2124" s="26"/>
      <c r="D2124" s="26"/>
      <c r="E2124" s="27"/>
      <c r="F2124" s="27"/>
      <c r="G2124" s="31" t="str">
        <f aca="false">IF(F2124="","",IF(F2124&lt;=5,"A",IF(F2124&lt;=8,"B",IF(F2124&lt;=10,"C","D"))))</f>
        <v/>
      </c>
      <c r="H2124" s="28"/>
      <c r="I2124" s="27"/>
      <c r="J2124" s="26"/>
      <c r="K2124" s="27"/>
      <c r="L2124" s="27"/>
      <c r="M2124" s="27"/>
      <c r="N2124" s="27"/>
      <c r="O2124" s="31" t="str">
        <f aca="false">IF(G2124="","",VLOOKUP(G2124,Setup!$A$14:$C$17,3,0))</f>
        <v/>
      </c>
      <c r="P2124" s="27"/>
      <c r="Q2124" s="33" t="str">
        <f aca="false">IF(OR(P2124="",M2124&lt;&gt;"Paid",O2124=""),"",P2124/O2124)</f>
        <v/>
      </c>
      <c r="R2124" s="34" t="str">
        <f aca="false">IF(Q2124="","",Q2124+N(H2124)*0.000000001)</f>
        <v/>
      </c>
      <c r="S2124" s="32" t="str">
        <f aca="false">IF(R2124="","",SUMPRODUCT((I$5:I$4004=I2124)*ISNUMBER(R$5:R$4004)*(R$5:R$4004&gt;R2124))+1)</f>
        <v/>
      </c>
      <c r="T2124" s="32" t="str">
        <f aca="false">IF(S2124="","",IF(S2124&lt;=Setup!$B$5,"🏆 WINNER",""))</f>
        <v/>
      </c>
      <c r="U2124" s="31" t="str">
        <f aca="false">IF(S2124="","",I2124&amp;"|"&amp;S2124)</f>
        <v/>
      </c>
    </row>
    <row r="2125" customFormat="false" ht="15" hidden="false" customHeight="false" outlineLevel="0" collapsed="false">
      <c r="A2125" s="24" t="n">
        <v>2121</v>
      </c>
      <c r="B2125" s="25" t="str">
        <f aca="false">IF(OR(C2125="",I2125="",G2125=""),"",IFERROR(VLOOKUP(I2125,Setup!$A$9:$B$11,2,0),"???")&amp;"-"&amp;G2125&amp;"-"&amp;TEXT(COUNTIFS(I$5:I2125,I2125,G$5:G2125,G2125),"0000"))</f>
        <v/>
      </c>
      <c r="C2125" s="26"/>
      <c r="D2125" s="26"/>
      <c r="E2125" s="27"/>
      <c r="F2125" s="27"/>
      <c r="G2125" s="24" t="str">
        <f aca="false">IF(F2125="","",IF(F2125&lt;=5,"A",IF(F2125&lt;=8,"B",IF(F2125&lt;=10,"C","D"))))</f>
        <v/>
      </c>
      <c r="H2125" s="28"/>
      <c r="I2125" s="27"/>
      <c r="J2125" s="26"/>
      <c r="K2125" s="27"/>
      <c r="L2125" s="27"/>
      <c r="M2125" s="27"/>
      <c r="N2125" s="27"/>
      <c r="O2125" s="24" t="str">
        <f aca="false">IF(G2125="","",VLOOKUP(G2125,Setup!$A$14:$C$17,3,0))</f>
        <v/>
      </c>
      <c r="P2125" s="27"/>
      <c r="Q2125" s="29" t="str">
        <f aca="false">IF(OR(P2125="",M2125&lt;&gt;"Paid",O2125=""),"",P2125/O2125)</f>
        <v/>
      </c>
      <c r="R2125" s="30" t="str">
        <f aca="false">IF(Q2125="","",Q2125+N(H2125)*0.000000001)</f>
        <v/>
      </c>
      <c r="S2125" s="25" t="str">
        <f aca="false">IF(R2125="","",SUMPRODUCT((I$5:I$4004=I2125)*ISNUMBER(R$5:R$4004)*(R$5:R$4004&gt;R2125))+1)</f>
        <v/>
      </c>
      <c r="T2125" s="25" t="str">
        <f aca="false">IF(S2125="","",IF(S2125&lt;=Setup!$B$5,"🏆 WINNER",""))</f>
        <v/>
      </c>
      <c r="U2125" s="24" t="str">
        <f aca="false">IF(S2125="","",I2125&amp;"|"&amp;S2125)</f>
        <v/>
      </c>
    </row>
    <row r="2126" customFormat="false" ht="15" hidden="false" customHeight="false" outlineLevel="0" collapsed="false">
      <c r="A2126" s="31" t="n">
        <v>2122</v>
      </c>
      <c r="B2126" s="32" t="str">
        <f aca="false">IF(OR(C2126="",I2126="",G2126=""),"",IFERROR(VLOOKUP(I2126,Setup!$A$9:$B$11,2,0),"???")&amp;"-"&amp;G2126&amp;"-"&amp;TEXT(COUNTIFS(I$5:I2126,I2126,G$5:G2126,G2126),"0000"))</f>
        <v/>
      </c>
      <c r="C2126" s="26"/>
      <c r="D2126" s="26"/>
      <c r="E2126" s="27"/>
      <c r="F2126" s="27"/>
      <c r="G2126" s="31" t="str">
        <f aca="false">IF(F2126="","",IF(F2126&lt;=5,"A",IF(F2126&lt;=8,"B",IF(F2126&lt;=10,"C","D"))))</f>
        <v/>
      </c>
      <c r="H2126" s="28"/>
      <c r="I2126" s="27"/>
      <c r="J2126" s="26"/>
      <c r="K2126" s="27"/>
      <c r="L2126" s="27"/>
      <c r="M2126" s="27"/>
      <c r="N2126" s="27"/>
      <c r="O2126" s="31" t="str">
        <f aca="false">IF(G2126="","",VLOOKUP(G2126,Setup!$A$14:$C$17,3,0))</f>
        <v/>
      </c>
      <c r="P2126" s="27"/>
      <c r="Q2126" s="33" t="str">
        <f aca="false">IF(OR(P2126="",M2126&lt;&gt;"Paid",O2126=""),"",P2126/O2126)</f>
        <v/>
      </c>
      <c r="R2126" s="34" t="str">
        <f aca="false">IF(Q2126="","",Q2126+N(H2126)*0.000000001)</f>
        <v/>
      </c>
      <c r="S2126" s="32" t="str">
        <f aca="false">IF(R2126="","",SUMPRODUCT((I$5:I$4004=I2126)*ISNUMBER(R$5:R$4004)*(R$5:R$4004&gt;R2126))+1)</f>
        <v/>
      </c>
      <c r="T2126" s="32" t="str">
        <f aca="false">IF(S2126="","",IF(S2126&lt;=Setup!$B$5,"🏆 WINNER",""))</f>
        <v/>
      </c>
      <c r="U2126" s="31" t="str">
        <f aca="false">IF(S2126="","",I2126&amp;"|"&amp;S2126)</f>
        <v/>
      </c>
    </row>
    <row r="2127" customFormat="false" ht="15" hidden="false" customHeight="false" outlineLevel="0" collapsed="false">
      <c r="A2127" s="24" t="n">
        <v>2123</v>
      </c>
      <c r="B2127" s="25" t="str">
        <f aca="false">IF(OR(C2127="",I2127="",G2127=""),"",IFERROR(VLOOKUP(I2127,Setup!$A$9:$B$11,2,0),"???")&amp;"-"&amp;G2127&amp;"-"&amp;TEXT(COUNTIFS(I$5:I2127,I2127,G$5:G2127,G2127),"0000"))</f>
        <v/>
      </c>
      <c r="C2127" s="26"/>
      <c r="D2127" s="26"/>
      <c r="E2127" s="27"/>
      <c r="F2127" s="27"/>
      <c r="G2127" s="24" t="str">
        <f aca="false">IF(F2127="","",IF(F2127&lt;=5,"A",IF(F2127&lt;=8,"B",IF(F2127&lt;=10,"C","D"))))</f>
        <v/>
      </c>
      <c r="H2127" s="28"/>
      <c r="I2127" s="27"/>
      <c r="J2127" s="26"/>
      <c r="K2127" s="27"/>
      <c r="L2127" s="27"/>
      <c r="M2127" s="27"/>
      <c r="N2127" s="27"/>
      <c r="O2127" s="24" t="str">
        <f aca="false">IF(G2127="","",VLOOKUP(G2127,Setup!$A$14:$C$17,3,0))</f>
        <v/>
      </c>
      <c r="P2127" s="27"/>
      <c r="Q2127" s="29" t="str">
        <f aca="false">IF(OR(P2127="",M2127&lt;&gt;"Paid",O2127=""),"",P2127/O2127)</f>
        <v/>
      </c>
      <c r="R2127" s="30" t="str">
        <f aca="false">IF(Q2127="","",Q2127+N(H2127)*0.000000001)</f>
        <v/>
      </c>
      <c r="S2127" s="25" t="str">
        <f aca="false">IF(R2127="","",SUMPRODUCT((I$5:I$4004=I2127)*ISNUMBER(R$5:R$4004)*(R$5:R$4004&gt;R2127))+1)</f>
        <v/>
      </c>
      <c r="T2127" s="25" t="str">
        <f aca="false">IF(S2127="","",IF(S2127&lt;=Setup!$B$5,"🏆 WINNER",""))</f>
        <v/>
      </c>
      <c r="U2127" s="24" t="str">
        <f aca="false">IF(S2127="","",I2127&amp;"|"&amp;S2127)</f>
        <v/>
      </c>
    </row>
    <row r="2128" customFormat="false" ht="15" hidden="false" customHeight="false" outlineLevel="0" collapsed="false">
      <c r="A2128" s="31" t="n">
        <v>2124</v>
      </c>
      <c r="B2128" s="32" t="str">
        <f aca="false">IF(OR(C2128="",I2128="",G2128=""),"",IFERROR(VLOOKUP(I2128,Setup!$A$9:$B$11,2,0),"???")&amp;"-"&amp;G2128&amp;"-"&amp;TEXT(COUNTIFS(I$5:I2128,I2128,G$5:G2128,G2128),"0000"))</f>
        <v/>
      </c>
      <c r="C2128" s="26"/>
      <c r="D2128" s="26"/>
      <c r="E2128" s="27"/>
      <c r="F2128" s="27"/>
      <c r="G2128" s="31" t="str">
        <f aca="false">IF(F2128="","",IF(F2128&lt;=5,"A",IF(F2128&lt;=8,"B",IF(F2128&lt;=10,"C","D"))))</f>
        <v/>
      </c>
      <c r="H2128" s="28"/>
      <c r="I2128" s="27"/>
      <c r="J2128" s="26"/>
      <c r="K2128" s="27"/>
      <c r="L2128" s="27"/>
      <c r="M2128" s="27"/>
      <c r="N2128" s="27"/>
      <c r="O2128" s="31" t="str">
        <f aca="false">IF(G2128="","",VLOOKUP(G2128,Setup!$A$14:$C$17,3,0))</f>
        <v/>
      </c>
      <c r="P2128" s="27"/>
      <c r="Q2128" s="33" t="str">
        <f aca="false">IF(OR(P2128="",M2128&lt;&gt;"Paid",O2128=""),"",P2128/O2128)</f>
        <v/>
      </c>
      <c r="R2128" s="34" t="str">
        <f aca="false">IF(Q2128="","",Q2128+N(H2128)*0.000000001)</f>
        <v/>
      </c>
      <c r="S2128" s="32" t="str">
        <f aca="false">IF(R2128="","",SUMPRODUCT((I$5:I$4004=I2128)*ISNUMBER(R$5:R$4004)*(R$5:R$4004&gt;R2128))+1)</f>
        <v/>
      </c>
      <c r="T2128" s="32" t="str">
        <f aca="false">IF(S2128="","",IF(S2128&lt;=Setup!$B$5,"🏆 WINNER",""))</f>
        <v/>
      </c>
      <c r="U2128" s="31" t="str">
        <f aca="false">IF(S2128="","",I2128&amp;"|"&amp;S2128)</f>
        <v/>
      </c>
    </row>
    <row r="2129" customFormat="false" ht="15" hidden="false" customHeight="false" outlineLevel="0" collapsed="false">
      <c r="A2129" s="24" t="n">
        <v>2125</v>
      </c>
      <c r="B2129" s="25" t="str">
        <f aca="false">IF(OR(C2129="",I2129="",G2129=""),"",IFERROR(VLOOKUP(I2129,Setup!$A$9:$B$11,2,0),"???")&amp;"-"&amp;G2129&amp;"-"&amp;TEXT(COUNTIFS(I$5:I2129,I2129,G$5:G2129,G2129),"0000"))</f>
        <v/>
      </c>
      <c r="C2129" s="26"/>
      <c r="D2129" s="26"/>
      <c r="E2129" s="27"/>
      <c r="F2129" s="27"/>
      <c r="G2129" s="24" t="str">
        <f aca="false">IF(F2129="","",IF(F2129&lt;=5,"A",IF(F2129&lt;=8,"B",IF(F2129&lt;=10,"C","D"))))</f>
        <v/>
      </c>
      <c r="H2129" s="28"/>
      <c r="I2129" s="27"/>
      <c r="J2129" s="26"/>
      <c r="K2129" s="27"/>
      <c r="L2129" s="27"/>
      <c r="M2129" s="27"/>
      <c r="N2129" s="27"/>
      <c r="O2129" s="24" t="str">
        <f aca="false">IF(G2129="","",VLOOKUP(G2129,Setup!$A$14:$C$17,3,0))</f>
        <v/>
      </c>
      <c r="P2129" s="27"/>
      <c r="Q2129" s="29" t="str">
        <f aca="false">IF(OR(P2129="",M2129&lt;&gt;"Paid",O2129=""),"",P2129/O2129)</f>
        <v/>
      </c>
      <c r="R2129" s="30" t="str">
        <f aca="false">IF(Q2129="","",Q2129+N(H2129)*0.000000001)</f>
        <v/>
      </c>
      <c r="S2129" s="25" t="str">
        <f aca="false">IF(R2129="","",SUMPRODUCT((I$5:I$4004=I2129)*ISNUMBER(R$5:R$4004)*(R$5:R$4004&gt;R2129))+1)</f>
        <v/>
      </c>
      <c r="T2129" s="25" t="str">
        <f aca="false">IF(S2129="","",IF(S2129&lt;=Setup!$B$5,"🏆 WINNER",""))</f>
        <v/>
      </c>
      <c r="U2129" s="24" t="str">
        <f aca="false">IF(S2129="","",I2129&amp;"|"&amp;S2129)</f>
        <v/>
      </c>
    </row>
    <row r="2130" customFormat="false" ht="15" hidden="false" customHeight="false" outlineLevel="0" collapsed="false">
      <c r="A2130" s="31" t="n">
        <v>2126</v>
      </c>
      <c r="B2130" s="32" t="str">
        <f aca="false">IF(OR(C2130="",I2130="",G2130=""),"",IFERROR(VLOOKUP(I2130,Setup!$A$9:$B$11,2,0),"???")&amp;"-"&amp;G2130&amp;"-"&amp;TEXT(COUNTIFS(I$5:I2130,I2130,G$5:G2130,G2130),"0000"))</f>
        <v/>
      </c>
      <c r="C2130" s="26"/>
      <c r="D2130" s="26"/>
      <c r="E2130" s="27"/>
      <c r="F2130" s="27"/>
      <c r="G2130" s="31" t="str">
        <f aca="false">IF(F2130="","",IF(F2130&lt;=5,"A",IF(F2130&lt;=8,"B",IF(F2130&lt;=10,"C","D"))))</f>
        <v/>
      </c>
      <c r="H2130" s="28"/>
      <c r="I2130" s="27"/>
      <c r="J2130" s="26"/>
      <c r="K2130" s="27"/>
      <c r="L2130" s="27"/>
      <c r="M2130" s="27"/>
      <c r="N2130" s="27"/>
      <c r="O2130" s="31" t="str">
        <f aca="false">IF(G2130="","",VLOOKUP(G2130,Setup!$A$14:$C$17,3,0))</f>
        <v/>
      </c>
      <c r="P2130" s="27"/>
      <c r="Q2130" s="33" t="str">
        <f aca="false">IF(OR(P2130="",M2130&lt;&gt;"Paid",O2130=""),"",P2130/O2130)</f>
        <v/>
      </c>
      <c r="R2130" s="34" t="str">
        <f aca="false">IF(Q2130="","",Q2130+N(H2130)*0.000000001)</f>
        <v/>
      </c>
      <c r="S2130" s="32" t="str">
        <f aca="false">IF(R2130="","",SUMPRODUCT((I$5:I$4004=I2130)*ISNUMBER(R$5:R$4004)*(R$5:R$4004&gt;R2130))+1)</f>
        <v/>
      </c>
      <c r="T2130" s="32" t="str">
        <f aca="false">IF(S2130="","",IF(S2130&lt;=Setup!$B$5,"🏆 WINNER",""))</f>
        <v/>
      </c>
      <c r="U2130" s="31" t="str">
        <f aca="false">IF(S2130="","",I2130&amp;"|"&amp;S2130)</f>
        <v/>
      </c>
    </row>
    <row r="2131" customFormat="false" ht="15" hidden="false" customHeight="false" outlineLevel="0" collapsed="false">
      <c r="A2131" s="24" t="n">
        <v>2127</v>
      </c>
      <c r="B2131" s="25" t="str">
        <f aca="false">IF(OR(C2131="",I2131="",G2131=""),"",IFERROR(VLOOKUP(I2131,Setup!$A$9:$B$11,2,0),"???")&amp;"-"&amp;G2131&amp;"-"&amp;TEXT(COUNTIFS(I$5:I2131,I2131,G$5:G2131,G2131),"0000"))</f>
        <v/>
      </c>
      <c r="C2131" s="26"/>
      <c r="D2131" s="26"/>
      <c r="E2131" s="27"/>
      <c r="F2131" s="27"/>
      <c r="G2131" s="24" t="str">
        <f aca="false">IF(F2131="","",IF(F2131&lt;=5,"A",IF(F2131&lt;=8,"B",IF(F2131&lt;=10,"C","D"))))</f>
        <v/>
      </c>
      <c r="H2131" s="28"/>
      <c r="I2131" s="27"/>
      <c r="J2131" s="26"/>
      <c r="K2131" s="27"/>
      <c r="L2131" s="27"/>
      <c r="M2131" s="27"/>
      <c r="N2131" s="27"/>
      <c r="O2131" s="24" t="str">
        <f aca="false">IF(G2131="","",VLOOKUP(G2131,Setup!$A$14:$C$17,3,0))</f>
        <v/>
      </c>
      <c r="P2131" s="27"/>
      <c r="Q2131" s="29" t="str">
        <f aca="false">IF(OR(P2131="",M2131&lt;&gt;"Paid",O2131=""),"",P2131/O2131)</f>
        <v/>
      </c>
      <c r="R2131" s="30" t="str">
        <f aca="false">IF(Q2131="","",Q2131+N(H2131)*0.000000001)</f>
        <v/>
      </c>
      <c r="S2131" s="25" t="str">
        <f aca="false">IF(R2131="","",SUMPRODUCT((I$5:I$4004=I2131)*ISNUMBER(R$5:R$4004)*(R$5:R$4004&gt;R2131))+1)</f>
        <v/>
      </c>
      <c r="T2131" s="25" t="str">
        <f aca="false">IF(S2131="","",IF(S2131&lt;=Setup!$B$5,"🏆 WINNER",""))</f>
        <v/>
      </c>
      <c r="U2131" s="24" t="str">
        <f aca="false">IF(S2131="","",I2131&amp;"|"&amp;S2131)</f>
        <v/>
      </c>
    </row>
    <row r="2132" customFormat="false" ht="15" hidden="false" customHeight="false" outlineLevel="0" collapsed="false">
      <c r="A2132" s="31" t="n">
        <v>2128</v>
      </c>
      <c r="B2132" s="32" t="str">
        <f aca="false">IF(OR(C2132="",I2132="",G2132=""),"",IFERROR(VLOOKUP(I2132,Setup!$A$9:$B$11,2,0),"???")&amp;"-"&amp;G2132&amp;"-"&amp;TEXT(COUNTIFS(I$5:I2132,I2132,G$5:G2132,G2132),"0000"))</f>
        <v/>
      </c>
      <c r="C2132" s="26"/>
      <c r="D2132" s="26"/>
      <c r="E2132" s="27"/>
      <c r="F2132" s="27"/>
      <c r="G2132" s="31" t="str">
        <f aca="false">IF(F2132="","",IF(F2132&lt;=5,"A",IF(F2132&lt;=8,"B",IF(F2132&lt;=10,"C","D"))))</f>
        <v/>
      </c>
      <c r="H2132" s="28"/>
      <c r="I2132" s="27"/>
      <c r="J2132" s="26"/>
      <c r="K2132" s="27"/>
      <c r="L2132" s="27"/>
      <c r="M2132" s="27"/>
      <c r="N2132" s="27"/>
      <c r="O2132" s="31" t="str">
        <f aca="false">IF(G2132="","",VLOOKUP(G2132,Setup!$A$14:$C$17,3,0))</f>
        <v/>
      </c>
      <c r="P2132" s="27"/>
      <c r="Q2132" s="33" t="str">
        <f aca="false">IF(OR(P2132="",M2132&lt;&gt;"Paid",O2132=""),"",P2132/O2132)</f>
        <v/>
      </c>
      <c r="R2132" s="34" t="str">
        <f aca="false">IF(Q2132="","",Q2132+N(H2132)*0.000000001)</f>
        <v/>
      </c>
      <c r="S2132" s="32" t="str">
        <f aca="false">IF(R2132="","",SUMPRODUCT((I$5:I$4004=I2132)*ISNUMBER(R$5:R$4004)*(R$5:R$4004&gt;R2132))+1)</f>
        <v/>
      </c>
      <c r="T2132" s="32" t="str">
        <f aca="false">IF(S2132="","",IF(S2132&lt;=Setup!$B$5,"🏆 WINNER",""))</f>
        <v/>
      </c>
      <c r="U2132" s="31" t="str">
        <f aca="false">IF(S2132="","",I2132&amp;"|"&amp;S2132)</f>
        <v/>
      </c>
    </row>
    <row r="2133" customFormat="false" ht="15" hidden="false" customHeight="false" outlineLevel="0" collapsed="false">
      <c r="A2133" s="24" t="n">
        <v>2129</v>
      </c>
      <c r="B2133" s="25" t="str">
        <f aca="false">IF(OR(C2133="",I2133="",G2133=""),"",IFERROR(VLOOKUP(I2133,Setup!$A$9:$B$11,2,0),"???")&amp;"-"&amp;G2133&amp;"-"&amp;TEXT(COUNTIFS(I$5:I2133,I2133,G$5:G2133,G2133),"0000"))</f>
        <v/>
      </c>
      <c r="C2133" s="26"/>
      <c r="D2133" s="26"/>
      <c r="E2133" s="27"/>
      <c r="F2133" s="27"/>
      <c r="G2133" s="24" t="str">
        <f aca="false">IF(F2133="","",IF(F2133&lt;=5,"A",IF(F2133&lt;=8,"B",IF(F2133&lt;=10,"C","D"))))</f>
        <v/>
      </c>
      <c r="H2133" s="28"/>
      <c r="I2133" s="27"/>
      <c r="J2133" s="26"/>
      <c r="K2133" s="27"/>
      <c r="L2133" s="27"/>
      <c r="M2133" s="27"/>
      <c r="N2133" s="27"/>
      <c r="O2133" s="24" t="str">
        <f aca="false">IF(G2133="","",VLOOKUP(G2133,Setup!$A$14:$C$17,3,0))</f>
        <v/>
      </c>
      <c r="P2133" s="27"/>
      <c r="Q2133" s="29" t="str">
        <f aca="false">IF(OR(P2133="",M2133&lt;&gt;"Paid",O2133=""),"",P2133/O2133)</f>
        <v/>
      </c>
      <c r="R2133" s="30" t="str">
        <f aca="false">IF(Q2133="","",Q2133+N(H2133)*0.000000001)</f>
        <v/>
      </c>
      <c r="S2133" s="25" t="str">
        <f aca="false">IF(R2133="","",SUMPRODUCT((I$5:I$4004=I2133)*ISNUMBER(R$5:R$4004)*(R$5:R$4004&gt;R2133))+1)</f>
        <v/>
      </c>
      <c r="T2133" s="25" t="str">
        <f aca="false">IF(S2133="","",IF(S2133&lt;=Setup!$B$5,"🏆 WINNER",""))</f>
        <v/>
      </c>
      <c r="U2133" s="24" t="str">
        <f aca="false">IF(S2133="","",I2133&amp;"|"&amp;S2133)</f>
        <v/>
      </c>
    </row>
    <row r="2134" customFormat="false" ht="15" hidden="false" customHeight="false" outlineLevel="0" collapsed="false">
      <c r="A2134" s="31" t="n">
        <v>2130</v>
      </c>
      <c r="B2134" s="32" t="str">
        <f aca="false">IF(OR(C2134="",I2134="",G2134=""),"",IFERROR(VLOOKUP(I2134,Setup!$A$9:$B$11,2,0),"???")&amp;"-"&amp;G2134&amp;"-"&amp;TEXT(COUNTIFS(I$5:I2134,I2134,G$5:G2134,G2134),"0000"))</f>
        <v/>
      </c>
      <c r="C2134" s="26"/>
      <c r="D2134" s="26"/>
      <c r="E2134" s="27"/>
      <c r="F2134" s="27"/>
      <c r="G2134" s="31" t="str">
        <f aca="false">IF(F2134="","",IF(F2134&lt;=5,"A",IF(F2134&lt;=8,"B",IF(F2134&lt;=10,"C","D"))))</f>
        <v/>
      </c>
      <c r="H2134" s="28"/>
      <c r="I2134" s="27"/>
      <c r="J2134" s="26"/>
      <c r="K2134" s="27"/>
      <c r="L2134" s="27"/>
      <c r="M2134" s="27"/>
      <c r="N2134" s="27"/>
      <c r="O2134" s="31" t="str">
        <f aca="false">IF(G2134="","",VLOOKUP(G2134,Setup!$A$14:$C$17,3,0))</f>
        <v/>
      </c>
      <c r="P2134" s="27"/>
      <c r="Q2134" s="33" t="str">
        <f aca="false">IF(OR(P2134="",M2134&lt;&gt;"Paid",O2134=""),"",P2134/O2134)</f>
        <v/>
      </c>
      <c r="R2134" s="34" t="str">
        <f aca="false">IF(Q2134="","",Q2134+N(H2134)*0.000000001)</f>
        <v/>
      </c>
      <c r="S2134" s="32" t="str">
        <f aca="false">IF(R2134="","",SUMPRODUCT((I$5:I$4004=I2134)*ISNUMBER(R$5:R$4004)*(R$5:R$4004&gt;R2134))+1)</f>
        <v/>
      </c>
      <c r="T2134" s="32" t="str">
        <f aca="false">IF(S2134="","",IF(S2134&lt;=Setup!$B$5,"🏆 WINNER",""))</f>
        <v/>
      </c>
      <c r="U2134" s="31" t="str">
        <f aca="false">IF(S2134="","",I2134&amp;"|"&amp;S2134)</f>
        <v/>
      </c>
    </row>
    <row r="2135" customFormat="false" ht="15" hidden="false" customHeight="false" outlineLevel="0" collapsed="false">
      <c r="A2135" s="24" t="n">
        <v>2131</v>
      </c>
      <c r="B2135" s="25" t="str">
        <f aca="false">IF(OR(C2135="",I2135="",G2135=""),"",IFERROR(VLOOKUP(I2135,Setup!$A$9:$B$11,2,0),"???")&amp;"-"&amp;G2135&amp;"-"&amp;TEXT(COUNTIFS(I$5:I2135,I2135,G$5:G2135,G2135),"0000"))</f>
        <v/>
      </c>
      <c r="C2135" s="26"/>
      <c r="D2135" s="26"/>
      <c r="E2135" s="27"/>
      <c r="F2135" s="27"/>
      <c r="G2135" s="24" t="str">
        <f aca="false">IF(F2135="","",IF(F2135&lt;=5,"A",IF(F2135&lt;=8,"B",IF(F2135&lt;=10,"C","D"))))</f>
        <v/>
      </c>
      <c r="H2135" s="28"/>
      <c r="I2135" s="27"/>
      <c r="J2135" s="26"/>
      <c r="K2135" s="27"/>
      <c r="L2135" s="27"/>
      <c r="M2135" s="27"/>
      <c r="N2135" s="27"/>
      <c r="O2135" s="24" t="str">
        <f aca="false">IF(G2135="","",VLOOKUP(G2135,Setup!$A$14:$C$17,3,0))</f>
        <v/>
      </c>
      <c r="P2135" s="27"/>
      <c r="Q2135" s="29" t="str">
        <f aca="false">IF(OR(P2135="",M2135&lt;&gt;"Paid",O2135=""),"",P2135/O2135)</f>
        <v/>
      </c>
      <c r="R2135" s="30" t="str">
        <f aca="false">IF(Q2135="","",Q2135+N(H2135)*0.000000001)</f>
        <v/>
      </c>
      <c r="S2135" s="25" t="str">
        <f aca="false">IF(R2135="","",SUMPRODUCT((I$5:I$4004=I2135)*ISNUMBER(R$5:R$4004)*(R$5:R$4004&gt;R2135))+1)</f>
        <v/>
      </c>
      <c r="T2135" s="25" t="str">
        <f aca="false">IF(S2135="","",IF(S2135&lt;=Setup!$B$5,"🏆 WINNER",""))</f>
        <v/>
      </c>
      <c r="U2135" s="24" t="str">
        <f aca="false">IF(S2135="","",I2135&amp;"|"&amp;S2135)</f>
        <v/>
      </c>
    </row>
    <row r="2136" customFormat="false" ht="15" hidden="false" customHeight="false" outlineLevel="0" collapsed="false">
      <c r="A2136" s="31" t="n">
        <v>2132</v>
      </c>
      <c r="B2136" s="32" t="str">
        <f aca="false">IF(OR(C2136="",I2136="",G2136=""),"",IFERROR(VLOOKUP(I2136,Setup!$A$9:$B$11,2,0),"???")&amp;"-"&amp;G2136&amp;"-"&amp;TEXT(COUNTIFS(I$5:I2136,I2136,G$5:G2136,G2136),"0000"))</f>
        <v/>
      </c>
      <c r="C2136" s="26"/>
      <c r="D2136" s="26"/>
      <c r="E2136" s="27"/>
      <c r="F2136" s="27"/>
      <c r="G2136" s="31" t="str">
        <f aca="false">IF(F2136="","",IF(F2136&lt;=5,"A",IF(F2136&lt;=8,"B",IF(F2136&lt;=10,"C","D"))))</f>
        <v/>
      </c>
      <c r="H2136" s="28"/>
      <c r="I2136" s="27"/>
      <c r="J2136" s="26"/>
      <c r="K2136" s="27"/>
      <c r="L2136" s="27"/>
      <c r="M2136" s="27"/>
      <c r="N2136" s="27"/>
      <c r="O2136" s="31" t="str">
        <f aca="false">IF(G2136="","",VLOOKUP(G2136,Setup!$A$14:$C$17,3,0))</f>
        <v/>
      </c>
      <c r="P2136" s="27"/>
      <c r="Q2136" s="33" t="str">
        <f aca="false">IF(OR(P2136="",M2136&lt;&gt;"Paid",O2136=""),"",P2136/O2136)</f>
        <v/>
      </c>
      <c r="R2136" s="34" t="str">
        <f aca="false">IF(Q2136="","",Q2136+N(H2136)*0.000000001)</f>
        <v/>
      </c>
      <c r="S2136" s="32" t="str">
        <f aca="false">IF(R2136="","",SUMPRODUCT((I$5:I$4004=I2136)*ISNUMBER(R$5:R$4004)*(R$5:R$4004&gt;R2136))+1)</f>
        <v/>
      </c>
      <c r="T2136" s="32" t="str">
        <f aca="false">IF(S2136="","",IF(S2136&lt;=Setup!$B$5,"🏆 WINNER",""))</f>
        <v/>
      </c>
      <c r="U2136" s="31" t="str">
        <f aca="false">IF(S2136="","",I2136&amp;"|"&amp;S2136)</f>
        <v/>
      </c>
    </row>
    <row r="2137" customFormat="false" ht="15" hidden="false" customHeight="false" outlineLevel="0" collapsed="false">
      <c r="A2137" s="24" t="n">
        <v>2133</v>
      </c>
      <c r="B2137" s="25" t="str">
        <f aca="false">IF(OR(C2137="",I2137="",G2137=""),"",IFERROR(VLOOKUP(I2137,Setup!$A$9:$B$11,2,0),"???")&amp;"-"&amp;G2137&amp;"-"&amp;TEXT(COUNTIFS(I$5:I2137,I2137,G$5:G2137,G2137),"0000"))</f>
        <v/>
      </c>
      <c r="C2137" s="26"/>
      <c r="D2137" s="26"/>
      <c r="E2137" s="27"/>
      <c r="F2137" s="27"/>
      <c r="G2137" s="24" t="str">
        <f aca="false">IF(F2137="","",IF(F2137&lt;=5,"A",IF(F2137&lt;=8,"B",IF(F2137&lt;=10,"C","D"))))</f>
        <v/>
      </c>
      <c r="H2137" s="28"/>
      <c r="I2137" s="27"/>
      <c r="J2137" s="26"/>
      <c r="K2137" s="27"/>
      <c r="L2137" s="27"/>
      <c r="M2137" s="27"/>
      <c r="N2137" s="27"/>
      <c r="O2137" s="24" t="str">
        <f aca="false">IF(G2137="","",VLOOKUP(G2137,Setup!$A$14:$C$17,3,0))</f>
        <v/>
      </c>
      <c r="P2137" s="27"/>
      <c r="Q2137" s="29" t="str">
        <f aca="false">IF(OR(P2137="",M2137&lt;&gt;"Paid",O2137=""),"",P2137/O2137)</f>
        <v/>
      </c>
      <c r="R2137" s="30" t="str">
        <f aca="false">IF(Q2137="","",Q2137+N(H2137)*0.000000001)</f>
        <v/>
      </c>
      <c r="S2137" s="25" t="str">
        <f aca="false">IF(R2137="","",SUMPRODUCT((I$5:I$4004=I2137)*ISNUMBER(R$5:R$4004)*(R$5:R$4004&gt;R2137))+1)</f>
        <v/>
      </c>
      <c r="T2137" s="25" t="str">
        <f aca="false">IF(S2137="","",IF(S2137&lt;=Setup!$B$5,"🏆 WINNER",""))</f>
        <v/>
      </c>
      <c r="U2137" s="24" t="str">
        <f aca="false">IF(S2137="","",I2137&amp;"|"&amp;S2137)</f>
        <v/>
      </c>
    </row>
    <row r="2138" customFormat="false" ht="15" hidden="false" customHeight="false" outlineLevel="0" collapsed="false">
      <c r="A2138" s="31" t="n">
        <v>2134</v>
      </c>
      <c r="B2138" s="32" t="str">
        <f aca="false">IF(OR(C2138="",I2138="",G2138=""),"",IFERROR(VLOOKUP(I2138,Setup!$A$9:$B$11,2,0),"???")&amp;"-"&amp;G2138&amp;"-"&amp;TEXT(COUNTIFS(I$5:I2138,I2138,G$5:G2138,G2138),"0000"))</f>
        <v/>
      </c>
      <c r="C2138" s="26"/>
      <c r="D2138" s="26"/>
      <c r="E2138" s="27"/>
      <c r="F2138" s="27"/>
      <c r="G2138" s="31" t="str">
        <f aca="false">IF(F2138="","",IF(F2138&lt;=5,"A",IF(F2138&lt;=8,"B",IF(F2138&lt;=10,"C","D"))))</f>
        <v/>
      </c>
      <c r="H2138" s="28"/>
      <c r="I2138" s="27"/>
      <c r="J2138" s="26"/>
      <c r="K2138" s="27"/>
      <c r="L2138" s="27"/>
      <c r="M2138" s="27"/>
      <c r="N2138" s="27"/>
      <c r="O2138" s="31" t="str">
        <f aca="false">IF(G2138="","",VLOOKUP(G2138,Setup!$A$14:$C$17,3,0))</f>
        <v/>
      </c>
      <c r="P2138" s="27"/>
      <c r="Q2138" s="33" t="str">
        <f aca="false">IF(OR(P2138="",M2138&lt;&gt;"Paid",O2138=""),"",P2138/O2138)</f>
        <v/>
      </c>
      <c r="R2138" s="34" t="str">
        <f aca="false">IF(Q2138="","",Q2138+N(H2138)*0.000000001)</f>
        <v/>
      </c>
      <c r="S2138" s="32" t="str">
        <f aca="false">IF(R2138="","",SUMPRODUCT((I$5:I$4004=I2138)*ISNUMBER(R$5:R$4004)*(R$5:R$4004&gt;R2138))+1)</f>
        <v/>
      </c>
      <c r="T2138" s="32" t="str">
        <f aca="false">IF(S2138="","",IF(S2138&lt;=Setup!$B$5,"🏆 WINNER",""))</f>
        <v/>
      </c>
      <c r="U2138" s="31" t="str">
        <f aca="false">IF(S2138="","",I2138&amp;"|"&amp;S2138)</f>
        <v/>
      </c>
    </row>
    <row r="2139" customFormat="false" ht="15" hidden="false" customHeight="false" outlineLevel="0" collapsed="false">
      <c r="A2139" s="24" t="n">
        <v>2135</v>
      </c>
      <c r="B2139" s="25" t="str">
        <f aca="false">IF(OR(C2139="",I2139="",G2139=""),"",IFERROR(VLOOKUP(I2139,Setup!$A$9:$B$11,2,0),"???")&amp;"-"&amp;G2139&amp;"-"&amp;TEXT(COUNTIFS(I$5:I2139,I2139,G$5:G2139,G2139),"0000"))</f>
        <v/>
      </c>
      <c r="C2139" s="26"/>
      <c r="D2139" s="26"/>
      <c r="E2139" s="27"/>
      <c r="F2139" s="27"/>
      <c r="G2139" s="24" t="str">
        <f aca="false">IF(F2139="","",IF(F2139&lt;=5,"A",IF(F2139&lt;=8,"B",IF(F2139&lt;=10,"C","D"))))</f>
        <v/>
      </c>
      <c r="H2139" s="28"/>
      <c r="I2139" s="27"/>
      <c r="J2139" s="26"/>
      <c r="K2139" s="27"/>
      <c r="L2139" s="27"/>
      <c r="M2139" s="27"/>
      <c r="N2139" s="27"/>
      <c r="O2139" s="24" t="str">
        <f aca="false">IF(G2139="","",VLOOKUP(G2139,Setup!$A$14:$C$17,3,0))</f>
        <v/>
      </c>
      <c r="P2139" s="27"/>
      <c r="Q2139" s="29" t="str">
        <f aca="false">IF(OR(P2139="",M2139&lt;&gt;"Paid",O2139=""),"",P2139/O2139)</f>
        <v/>
      </c>
      <c r="R2139" s="30" t="str">
        <f aca="false">IF(Q2139="","",Q2139+N(H2139)*0.000000001)</f>
        <v/>
      </c>
      <c r="S2139" s="25" t="str">
        <f aca="false">IF(R2139="","",SUMPRODUCT((I$5:I$4004=I2139)*ISNUMBER(R$5:R$4004)*(R$5:R$4004&gt;R2139))+1)</f>
        <v/>
      </c>
      <c r="T2139" s="25" t="str">
        <f aca="false">IF(S2139="","",IF(S2139&lt;=Setup!$B$5,"🏆 WINNER",""))</f>
        <v/>
      </c>
      <c r="U2139" s="24" t="str">
        <f aca="false">IF(S2139="","",I2139&amp;"|"&amp;S2139)</f>
        <v/>
      </c>
    </row>
    <row r="2140" customFormat="false" ht="15" hidden="false" customHeight="false" outlineLevel="0" collapsed="false">
      <c r="A2140" s="31" t="n">
        <v>2136</v>
      </c>
      <c r="B2140" s="32" t="str">
        <f aca="false">IF(OR(C2140="",I2140="",G2140=""),"",IFERROR(VLOOKUP(I2140,Setup!$A$9:$B$11,2,0),"???")&amp;"-"&amp;G2140&amp;"-"&amp;TEXT(COUNTIFS(I$5:I2140,I2140,G$5:G2140,G2140),"0000"))</f>
        <v/>
      </c>
      <c r="C2140" s="26"/>
      <c r="D2140" s="26"/>
      <c r="E2140" s="27"/>
      <c r="F2140" s="27"/>
      <c r="G2140" s="31" t="str">
        <f aca="false">IF(F2140="","",IF(F2140&lt;=5,"A",IF(F2140&lt;=8,"B",IF(F2140&lt;=10,"C","D"))))</f>
        <v/>
      </c>
      <c r="H2140" s="28"/>
      <c r="I2140" s="27"/>
      <c r="J2140" s="26"/>
      <c r="K2140" s="27"/>
      <c r="L2140" s="27"/>
      <c r="M2140" s="27"/>
      <c r="N2140" s="27"/>
      <c r="O2140" s="31" t="str">
        <f aca="false">IF(G2140="","",VLOOKUP(G2140,Setup!$A$14:$C$17,3,0))</f>
        <v/>
      </c>
      <c r="P2140" s="27"/>
      <c r="Q2140" s="33" t="str">
        <f aca="false">IF(OR(P2140="",M2140&lt;&gt;"Paid",O2140=""),"",P2140/O2140)</f>
        <v/>
      </c>
      <c r="R2140" s="34" t="str">
        <f aca="false">IF(Q2140="","",Q2140+N(H2140)*0.000000001)</f>
        <v/>
      </c>
      <c r="S2140" s="32" t="str">
        <f aca="false">IF(R2140="","",SUMPRODUCT((I$5:I$4004=I2140)*ISNUMBER(R$5:R$4004)*(R$5:R$4004&gt;R2140))+1)</f>
        <v/>
      </c>
      <c r="T2140" s="32" t="str">
        <f aca="false">IF(S2140="","",IF(S2140&lt;=Setup!$B$5,"🏆 WINNER",""))</f>
        <v/>
      </c>
      <c r="U2140" s="31" t="str">
        <f aca="false">IF(S2140="","",I2140&amp;"|"&amp;S2140)</f>
        <v/>
      </c>
    </row>
    <row r="2141" customFormat="false" ht="15" hidden="false" customHeight="false" outlineLevel="0" collapsed="false">
      <c r="A2141" s="24" t="n">
        <v>2137</v>
      </c>
      <c r="B2141" s="25" t="str">
        <f aca="false">IF(OR(C2141="",I2141="",G2141=""),"",IFERROR(VLOOKUP(I2141,Setup!$A$9:$B$11,2,0),"???")&amp;"-"&amp;G2141&amp;"-"&amp;TEXT(COUNTIFS(I$5:I2141,I2141,G$5:G2141,G2141),"0000"))</f>
        <v/>
      </c>
      <c r="C2141" s="26"/>
      <c r="D2141" s="26"/>
      <c r="E2141" s="27"/>
      <c r="F2141" s="27"/>
      <c r="G2141" s="24" t="str">
        <f aca="false">IF(F2141="","",IF(F2141&lt;=5,"A",IF(F2141&lt;=8,"B",IF(F2141&lt;=10,"C","D"))))</f>
        <v/>
      </c>
      <c r="H2141" s="28"/>
      <c r="I2141" s="27"/>
      <c r="J2141" s="26"/>
      <c r="K2141" s="27"/>
      <c r="L2141" s="27"/>
      <c r="M2141" s="27"/>
      <c r="N2141" s="27"/>
      <c r="O2141" s="24" t="str">
        <f aca="false">IF(G2141="","",VLOOKUP(G2141,Setup!$A$14:$C$17,3,0))</f>
        <v/>
      </c>
      <c r="P2141" s="27"/>
      <c r="Q2141" s="29" t="str">
        <f aca="false">IF(OR(P2141="",M2141&lt;&gt;"Paid",O2141=""),"",P2141/O2141)</f>
        <v/>
      </c>
      <c r="R2141" s="30" t="str">
        <f aca="false">IF(Q2141="","",Q2141+N(H2141)*0.000000001)</f>
        <v/>
      </c>
      <c r="S2141" s="25" t="str">
        <f aca="false">IF(R2141="","",SUMPRODUCT((I$5:I$4004=I2141)*ISNUMBER(R$5:R$4004)*(R$5:R$4004&gt;R2141))+1)</f>
        <v/>
      </c>
      <c r="T2141" s="25" t="str">
        <f aca="false">IF(S2141="","",IF(S2141&lt;=Setup!$B$5,"🏆 WINNER",""))</f>
        <v/>
      </c>
      <c r="U2141" s="24" t="str">
        <f aca="false">IF(S2141="","",I2141&amp;"|"&amp;S2141)</f>
        <v/>
      </c>
    </row>
    <row r="2142" customFormat="false" ht="15" hidden="false" customHeight="false" outlineLevel="0" collapsed="false">
      <c r="A2142" s="31" t="n">
        <v>2138</v>
      </c>
      <c r="B2142" s="32" t="str">
        <f aca="false">IF(OR(C2142="",I2142="",G2142=""),"",IFERROR(VLOOKUP(I2142,Setup!$A$9:$B$11,2,0),"???")&amp;"-"&amp;G2142&amp;"-"&amp;TEXT(COUNTIFS(I$5:I2142,I2142,G$5:G2142,G2142),"0000"))</f>
        <v/>
      </c>
      <c r="C2142" s="26"/>
      <c r="D2142" s="26"/>
      <c r="E2142" s="27"/>
      <c r="F2142" s="27"/>
      <c r="G2142" s="31" t="str">
        <f aca="false">IF(F2142="","",IF(F2142&lt;=5,"A",IF(F2142&lt;=8,"B",IF(F2142&lt;=10,"C","D"))))</f>
        <v/>
      </c>
      <c r="H2142" s="28"/>
      <c r="I2142" s="27"/>
      <c r="J2142" s="26"/>
      <c r="K2142" s="27"/>
      <c r="L2142" s="27"/>
      <c r="M2142" s="27"/>
      <c r="N2142" s="27"/>
      <c r="O2142" s="31" t="str">
        <f aca="false">IF(G2142="","",VLOOKUP(G2142,Setup!$A$14:$C$17,3,0))</f>
        <v/>
      </c>
      <c r="P2142" s="27"/>
      <c r="Q2142" s="33" t="str">
        <f aca="false">IF(OR(P2142="",M2142&lt;&gt;"Paid",O2142=""),"",P2142/O2142)</f>
        <v/>
      </c>
      <c r="R2142" s="34" t="str">
        <f aca="false">IF(Q2142="","",Q2142+N(H2142)*0.000000001)</f>
        <v/>
      </c>
      <c r="S2142" s="32" t="str">
        <f aca="false">IF(R2142="","",SUMPRODUCT((I$5:I$4004=I2142)*ISNUMBER(R$5:R$4004)*(R$5:R$4004&gt;R2142))+1)</f>
        <v/>
      </c>
      <c r="T2142" s="32" t="str">
        <f aca="false">IF(S2142="","",IF(S2142&lt;=Setup!$B$5,"🏆 WINNER",""))</f>
        <v/>
      </c>
      <c r="U2142" s="31" t="str">
        <f aca="false">IF(S2142="","",I2142&amp;"|"&amp;S2142)</f>
        <v/>
      </c>
    </row>
    <row r="2143" customFormat="false" ht="15" hidden="false" customHeight="false" outlineLevel="0" collapsed="false">
      <c r="A2143" s="24" t="n">
        <v>2139</v>
      </c>
      <c r="B2143" s="25" t="str">
        <f aca="false">IF(OR(C2143="",I2143="",G2143=""),"",IFERROR(VLOOKUP(I2143,Setup!$A$9:$B$11,2,0),"???")&amp;"-"&amp;G2143&amp;"-"&amp;TEXT(COUNTIFS(I$5:I2143,I2143,G$5:G2143,G2143),"0000"))</f>
        <v/>
      </c>
      <c r="C2143" s="26"/>
      <c r="D2143" s="26"/>
      <c r="E2143" s="27"/>
      <c r="F2143" s="27"/>
      <c r="G2143" s="24" t="str">
        <f aca="false">IF(F2143="","",IF(F2143&lt;=5,"A",IF(F2143&lt;=8,"B",IF(F2143&lt;=10,"C","D"))))</f>
        <v/>
      </c>
      <c r="H2143" s="28"/>
      <c r="I2143" s="27"/>
      <c r="J2143" s="26"/>
      <c r="K2143" s="27"/>
      <c r="L2143" s="27"/>
      <c r="M2143" s="27"/>
      <c r="N2143" s="27"/>
      <c r="O2143" s="24" t="str">
        <f aca="false">IF(G2143="","",VLOOKUP(G2143,Setup!$A$14:$C$17,3,0))</f>
        <v/>
      </c>
      <c r="P2143" s="27"/>
      <c r="Q2143" s="29" t="str">
        <f aca="false">IF(OR(P2143="",M2143&lt;&gt;"Paid",O2143=""),"",P2143/O2143)</f>
        <v/>
      </c>
      <c r="R2143" s="30" t="str">
        <f aca="false">IF(Q2143="","",Q2143+N(H2143)*0.000000001)</f>
        <v/>
      </c>
      <c r="S2143" s="25" t="str">
        <f aca="false">IF(R2143="","",SUMPRODUCT((I$5:I$4004=I2143)*ISNUMBER(R$5:R$4004)*(R$5:R$4004&gt;R2143))+1)</f>
        <v/>
      </c>
      <c r="T2143" s="25" t="str">
        <f aca="false">IF(S2143="","",IF(S2143&lt;=Setup!$B$5,"🏆 WINNER",""))</f>
        <v/>
      </c>
      <c r="U2143" s="24" t="str">
        <f aca="false">IF(S2143="","",I2143&amp;"|"&amp;S2143)</f>
        <v/>
      </c>
    </row>
    <row r="2144" customFormat="false" ht="15" hidden="false" customHeight="false" outlineLevel="0" collapsed="false">
      <c r="A2144" s="31" t="n">
        <v>2140</v>
      </c>
      <c r="B2144" s="32" t="str">
        <f aca="false">IF(OR(C2144="",I2144="",G2144=""),"",IFERROR(VLOOKUP(I2144,Setup!$A$9:$B$11,2,0),"???")&amp;"-"&amp;G2144&amp;"-"&amp;TEXT(COUNTIFS(I$5:I2144,I2144,G$5:G2144,G2144),"0000"))</f>
        <v/>
      </c>
      <c r="C2144" s="26"/>
      <c r="D2144" s="26"/>
      <c r="E2144" s="27"/>
      <c r="F2144" s="27"/>
      <c r="G2144" s="31" t="str">
        <f aca="false">IF(F2144="","",IF(F2144&lt;=5,"A",IF(F2144&lt;=8,"B",IF(F2144&lt;=10,"C","D"))))</f>
        <v/>
      </c>
      <c r="H2144" s="28"/>
      <c r="I2144" s="27"/>
      <c r="J2144" s="26"/>
      <c r="K2144" s="27"/>
      <c r="L2144" s="27"/>
      <c r="M2144" s="27"/>
      <c r="N2144" s="27"/>
      <c r="O2144" s="31" t="str">
        <f aca="false">IF(G2144="","",VLOOKUP(G2144,Setup!$A$14:$C$17,3,0))</f>
        <v/>
      </c>
      <c r="P2144" s="27"/>
      <c r="Q2144" s="33" t="str">
        <f aca="false">IF(OR(P2144="",M2144&lt;&gt;"Paid",O2144=""),"",P2144/O2144)</f>
        <v/>
      </c>
      <c r="R2144" s="34" t="str">
        <f aca="false">IF(Q2144="","",Q2144+N(H2144)*0.000000001)</f>
        <v/>
      </c>
      <c r="S2144" s="32" t="str">
        <f aca="false">IF(R2144="","",SUMPRODUCT((I$5:I$4004=I2144)*ISNUMBER(R$5:R$4004)*(R$5:R$4004&gt;R2144))+1)</f>
        <v/>
      </c>
      <c r="T2144" s="32" t="str">
        <f aca="false">IF(S2144="","",IF(S2144&lt;=Setup!$B$5,"🏆 WINNER",""))</f>
        <v/>
      </c>
      <c r="U2144" s="31" t="str">
        <f aca="false">IF(S2144="","",I2144&amp;"|"&amp;S2144)</f>
        <v/>
      </c>
    </row>
    <row r="2145" customFormat="false" ht="15" hidden="false" customHeight="false" outlineLevel="0" collapsed="false">
      <c r="A2145" s="24" t="n">
        <v>2141</v>
      </c>
      <c r="B2145" s="25" t="str">
        <f aca="false">IF(OR(C2145="",I2145="",G2145=""),"",IFERROR(VLOOKUP(I2145,Setup!$A$9:$B$11,2,0),"???")&amp;"-"&amp;G2145&amp;"-"&amp;TEXT(COUNTIFS(I$5:I2145,I2145,G$5:G2145,G2145),"0000"))</f>
        <v/>
      </c>
      <c r="C2145" s="26"/>
      <c r="D2145" s="26"/>
      <c r="E2145" s="27"/>
      <c r="F2145" s="27"/>
      <c r="G2145" s="24" t="str">
        <f aca="false">IF(F2145="","",IF(F2145&lt;=5,"A",IF(F2145&lt;=8,"B",IF(F2145&lt;=10,"C","D"))))</f>
        <v/>
      </c>
      <c r="H2145" s="28"/>
      <c r="I2145" s="27"/>
      <c r="J2145" s="26"/>
      <c r="K2145" s="27"/>
      <c r="L2145" s="27"/>
      <c r="M2145" s="27"/>
      <c r="N2145" s="27"/>
      <c r="O2145" s="24" t="str">
        <f aca="false">IF(G2145="","",VLOOKUP(G2145,Setup!$A$14:$C$17,3,0))</f>
        <v/>
      </c>
      <c r="P2145" s="27"/>
      <c r="Q2145" s="29" t="str">
        <f aca="false">IF(OR(P2145="",M2145&lt;&gt;"Paid",O2145=""),"",P2145/O2145)</f>
        <v/>
      </c>
      <c r="R2145" s="30" t="str">
        <f aca="false">IF(Q2145="","",Q2145+N(H2145)*0.000000001)</f>
        <v/>
      </c>
      <c r="S2145" s="25" t="str">
        <f aca="false">IF(R2145="","",SUMPRODUCT((I$5:I$4004=I2145)*ISNUMBER(R$5:R$4004)*(R$5:R$4004&gt;R2145))+1)</f>
        <v/>
      </c>
      <c r="T2145" s="25" t="str">
        <f aca="false">IF(S2145="","",IF(S2145&lt;=Setup!$B$5,"🏆 WINNER",""))</f>
        <v/>
      </c>
      <c r="U2145" s="24" t="str">
        <f aca="false">IF(S2145="","",I2145&amp;"|"&amp;S2145)</f>
        <v/>
      </c>
    </row>
    <row r="2146" customFormat="false" ht="15" hidden="false" customHeight="false" outlineLevel="0" collapsed="false">
      <c r="A2146" s="31" t="n">
        <v>2142</v>
      </c>
      <c r="B2146" s="32" t="str">
        <f aca="false">IF(OR(C2146="",I2146="",G2146=""),"",IFERROR(VLOOKUP(I2146,Setup!$A$9:$B$11,2,0),"???")&amp;"-"&amp;G2146&amp;"-"&amp;TEXT(COUNTIFS(I$5:I2146,I2146,G$5:G2146,G2146),"0000"))</f>
        <v/>
      </c>
      <c r="C2146" s="26"/>
      <c r="D2146" s="26"/>
      <c r="E2146" s="27"/>
      <c r="F2146" s="27"/>
      <c r="G2146" s="31" t="str">
        <f aca="false">IF(F2146="","",IF(F2146&lt;=5,"A",IF(F2146&lt;=8,"B",IF(F2146&lt;=10,"C","D"))))</f>
        <v/>
      </c>
      <c r="H2146" s="28"/>
      <c r="I2146" s="27"/>
      <c r="J2146" s="26"/>
      <c r="K2146" s="27"/>
      <c r="L2146" s="27"/>
      <c r="M2146" s="27"/>
      <c r="N2146" s="27"/>
      <c r="O2146" s="31" t="str">
        <f aca="false">IF(G2146="","",VLOOKUP(G2146,Setup!$A$14:$C$17,3,0))</f>
        <v/>
      </c>
      <c r="P2146" s="27"/>
      <c r="Q2146" s="33" t="str">
        <f aca="false">IF(OR(P2146="",M2146&lt;&gt;"Paid",O2146=""),"",P2146/O2146)</f>
        <v/>
      </c>
      <c r="R2146" s="34" t="str">
        <f aca="false">IF(Q2146="","",Q2146+N(H2146)*0.000000001)</f>
        <v/>
      </c>
      <c r="S2146" s="32" t="str">
        <f aca="false">IF(R2146="","",SUMPRODUCT((I$5:I$4004=I2146)*ISNUMBER(R$5:R$4004)*(R$5:R$4004&gt;R2146))+1)</f>
        <v/>
      </c>
      <c r="T2146" s="32" t="str">
        <f aca="false">IF(S2146="","",IF(S2146&lt;=Setup!$B$5,"🏆 WINNER",""))</f>
        <v/>
      </c>
      <c r="U2146" s="31" t="str">
        <f aca="false">IF(S2146="","",I2146&amp;"|"&amp;S2146)</f>
        <v/>
      </c>
    </row>
    <row r="2147" customFormat="false" ht="15" hidden="false" customHeight="false" outlineLevel="0" collapsed="false">
      <c r="A2147" s="24" t="n">
        <v>2143</v>
      </c>
      <c r="B2147" s="25" t="str">
        <f aca="false">IF(OR(C2147="",I2147="",G2147=""),"",IFERROR(VLOOKUP(I2147,Setup!$A$9:$B$11,2,0),"???")&amp;"-"&amp;G2147&amp;"-"&amp;TEXT(COUNTIFS(I$5:I2147,I2147,G$5:G2147,G2147),"0000"))</f>
        <v/>
      </c>
      <c r="C2147" s="26"/>
      <c r="D2147" s="26"/>
      <c r="E2147" s="27"/>
      <c r="F2147" s="27"/>
      <c r="G2147" s="24" t="str">
        <f aca="false">IF(F2147="","",IF(F2147&lt;=5,"A",IF(F2147&lt;=8,"B",IF(F2147&lt;=10,"C","D"))))</f>
        <v/>
      </c>
      <c r="H2147" s="28"/>
      <c r="I2147" s="27"/>
      <c r="J2147" s="26"/>
      <c r="K2147" s="27"/>
      <c r="L2147" s="27"/>
      <c r="M2147" s="27"/>
      <c r="N2147" s="27"/>
      <c r="O2147" s="24" t="str">
        <f aca="false">IF(G2147="","",VLOOKUP(G2147,Setup!$A$14:$C$17,3,0))</f>
        <v/>
      </c>
      <c r="P2147" s="27"/>
      <c r="Q2147" s="29" t="str">
        <f aca="false">IF(OR(P2147="",M2147&lt;&gt;"Paid",O2147=""),"",P2147/O2147)</f>
        <v/>
      </c>
      <c r="R2147" s="30" t="str">
        <f aca="false">IF(Q2147="","",Q2147+N(H2147)*0.000000001)</f>
        <v/>
      </c>
      <c r="S2147" s="25" t="str">
        <f aca="false">IF(R2147="","",SUMPRODUCT((I$5:I$4004=I2147)*ISNUMBER(R$5:R$4004)*(R$5:R$4004&gt;R2147))+1)</f>
        <v/>
      </c>
      <c r="T2147" s="25" t="str">
        <f aca="false">IF(S2147="","",IF(S2147&lt;=Setup!$B$5,"🏆 WINNER",""))</f>
        <v/>
      </c>
      <c r="U2147" s="24" t="str">
        <f aca="false">IF(S2147="","",I2147&amp;"|"&amp;S2147)</f>
        <v/>
      </c>
    </row>
    <row r="2148" customFormat="false" ht="15" hidden="false" customHeight="false" outlineLevel="0" collapsed="false">
      <c r="A2148" s="31" t="n">
        <v>2144</v>
      </c>
      <c r="B2148" s="32" t="str">
        <f aca="false">IF(OR(C2148="",I2148="",G2148=""),"",IFERROR(VLOOKUP(I2148,Setup!$A$9:$B$11,2,0),"???")&amp;"-"&amp;G2148&amp;"-"&amp;TEXT(COUNTIFS(I$5:I2148,I2148,G$5:G2148,G2148),"0000"))</f>
        <v/>
      </c>
      <c r="C2148" s="26"/>
      <c r="D2148" s="26"/>
      <c r="E2148" s="27"/>
      <c r="F2148" s="27"/>
      <c r="G2148" s="31" t="str">
        <f aca="false">IF(F2148="","",IF(F2148&lt;=5,"A",IF(F2148&lt;=8,"B",IF(F2148&lt;=10,"C","D"))))</f>
        <v/>
      </c>
      <c r="H2148" s="28"/>
      <c r="I2148" s="27"/>
      <c r="J2148" s="26"/>
      <c r="K2148" s="27"/>
      <c r="L2148" s="27"/>
      <c r="M2148" s="27"/>
      <c r="N2148" s="27"/>
      <c r="O2148" s="31" t="str">
        <f aca="false">IF(G2148="","",VLOOKUP(G2148,Setup!$A$14:$C$17,3,0))</f>
        <v/>
      </c>
      <c r="P2148" s="27"/>
      <c r="Q2148" s="33" t="str">
        <f aca="false">IF(OR(P2148="",M2148&lt;&gt;"Paid",O2148=""),"",P2148/O2148)</f>
        <v/>
      </c>
      <c r="R2148" s="34" t="str">
        <f aca="false">IF(Q2148="","",Q2148+N(H2148)*0.000000001)</f>
        <v/>
      </c>
      <c r="S2148" s="32" t="str">
        <f aca="false">IF(R2148="","",SUMPRODUCT((I$5:I$4004=I2148)*ISNUMBER(R$5:R$4004)*(R$5:R$4004&gt;R2148))+1)</f>
        <v/>
      </c>
      <c r="T2148" s="32" t="str">
        <f aca="false">IF(S2148="","",IF(S2148&lt;=Setup!$B$5,"🏆 WINNER",""))</f>
        <v/>
      </c>
      <c r="U2148" s="31" t="str">
        <f aca="false">IF(S2148="","",I2148&amp;"|"&amp;S2148)</f>
        <v/>
      </c>
    </row>
    <row r="2149" customFormat="false" ht="15" hidden="false" customHeight="false" outlineLevel="0" collapsed="false">
      <c r="A2149" s="24" t="n">
        <v>2145</v>
      </c>
      <c r="B2149" s="25" t="str">
        <f aca="false">IF(OR(C2149="",I2149="",G2149=""),"",IFERROR(VLOOKUP(I2149,Setup!$A$9:$B$11,2,0),"???")&amp;"-"&amp;G2149&amp;"-"&amp;TEXT(COUNTIFS(I$5:I2149,I2149,G$5:G2149,G2149),"0000"))</f>
        <v/>
      </c>
      <c r="C2149" s="26"/>
      <c r="D2149" s="26"/>
      <c r="E2149" s="27"/>
      <c r="F2149" s="27"/>
      <c r="G2149" s="24" t="str">
        <f aca="false">IF(F2149="","",IF(F2149&lt;=5,"A",IF(F2149&lt;=8,"B",IF(F2149&lt;=10,"C","D"))))</f>
        <v/>
      </c>
      <c r="H2149" s="28"/>
      <c r="I2149" s="27"/>
      <c r="J2149" s="26"/>
      <c r="K2149" s="27"/>
      <c r="L2149" s="27"/>
      <c r="M2149" s="27"/>
      <c r="N2149" s="27"/>
      <c r="O2149" s="24" t="str">
        <f aca="false">IF(G2149="","",VLOOKUP(G2149,Setup!$A$14:$C$17,3,0))</f>
        <v/>
      </c>
      <c r="P2149" s="27"/>
      <c r="Q2149" s="29" t="str">
        <f aca="false">IF(OR(P2149="",M2149&lt;&gt;"Paid",O2149=""),"",P2149/O2149)</f>
        <v/>
      </c>
      <c r="R2149" s="30" t="str">
        <f aca="false">IF(Q2149="","",Q2149+N(H2149)*0.000000001)</f>
        <v/>
      </c>
      <c r="S2149" s="25" t="str">
        <f aca="false">IF(R2149="","",SUMPRODUCT((I$5:I$4004=I2149)*ISNUMBER(R$5:R$4004)*(R$5:R$4004&gt;R2149))+1)</f>
        <v/>
      </c>
      <c r="T2149" s="25" t="str">
        <f aca="false">IF(S2149="","",IF(S2149&lt;=Setup!$B$5,"🏆 WINNER",""))</f>
        <v/>
      </c>
      <c r="U2149" s="24" t="str">
        <f aca="false">IF(S2149="","",I2149&amp;"|"&amp;S2149)</f>
        <v/>
      </c>
    </row>
    <row r="2150" customFormat="false" ht="15" hidden="false" customHeight="false" outlineLevel="0" collapsed="false">
      <c r="A2150" s="31" t="n">
        <v>2146</v>
      </c>
      <c r="B2150" s="32" t="str">
        <f aca="false">IF(OR(C2150="",I2150="",G2150=""),"",IFERROR(VLOOKUP(I2150,Setup!$A$9:$B$11,2,0),"???")&amp;"-"&amp;G2150&amp;"-"&amp;TEXT(COUNTIFS(I$5:I2150,I2150,G$5:G2150,G2150),"0000"))</f>
        <v/>
      </c>
      <c r="C2150" s="26"/>
      <c r="D2150" s="26"/>
      <c r="E2150" s="27"/>
      <c r="F2150" s="27"/>
      <c r="G2150" s="31" t="str">
        <f aca="false">IF(F2150="","",IF(F2150&lt;=5,"A",IF(F2150&lt;=8,"B",IF(F2150&lt;=10,"C","D"))))</f>
        <v/>
      </c>
      <c r="H2150" s="28"/>
      <c r="I2150" s="27"/>
      <c r="J2150" s="26"/>
      <c r="K2150" s="27"/>
      <c r="L2150" s="27"/>
      <c r="M2150" s="27"/>
      <c r="N2150" s="27"/>
      <c r="O2150" s="31" t="str">
        <f aca="false">IF(G2150="","",VLOOKUP(G2150,Setup!$A$14:$C$17,3,0))</f>
        <v/>
      </c>
      <c r="P2150" s="27"/>
      <c r="Q2150" s="33" t="str">
        <f aca="false">IF(OR(P2150="",M2150&lt;&gt;"Paid",O2150=""),"",P2150/O2150)</f>
        <v/>
      </c>
      <c r="R2150" s="34" t="str">
        <f aca="false">IF(Q2150="","",Q2150+N(H2150)*0.000000001)</f>
        <v/>
      </c>
      <c r="S2150" s="32" t="str">
        <f aca="false">IF(R2150="","",SUMPRODUCT((I$5:I$4004=I2150)*ISNUMBER(R$5:R$4004)*(R$5:R$4004&gt;R2150))+1)</f>
        <v/>
      </c>
      <c r="T2150" s="32" t="str">
        <f aca="false">IF(S2150="","",IF(S2150&lt;=Setup!$B$5,"🏆 WINNER",""))</f>
        <v/>
      </c>
      <c r="U2150" s="31" t="str">
        <f aca="false">IF(S2150="","",I2150&amp;"|"&amp;S2150)</f>
        <v/>
      </c>
    </row>
    <row r="2151" customFormat="false" ht="15" hidden="false" customHeight="false" outlineLevel="0" collapsed="false">
      <c r="A2151" s="24" t="n">
        <v>2147</v>
      </c>
      <c r="B2151" s="25" t="str">
        <f aca="false">IF(OR(C2151="",I2151="",G2151=""),"",IFERROR(VLOOKUP(I2151,Setup!$A$9:$B$11,2,0),"???")&amp;"-"&amp;G2151&amp;"-"&amp;TEXT(COUNTIFS(I$5:I2151,I2151,G$5:G2151,G2151),"0000"))</f>
        <v/>
      </c>
      <c r="C2151" s="26"/>
      <c r="D2151" s="26"/>
      <c r="E2151" s="27"/>
      <c r="F2151" s="27"/>
      <c r="G2151" s="24" t="str">
        <f aca="false">IF(F2151="","",IF(F2151&lt;=5,"A",IF(F2151&lt;=8,"B",IF(F2151&lt;=10,"C","D"))))</f>
        <v/>
      </c>
      <c r="H2151" s="28"/>
      <c r="I2151" s="27"/>
      <c r="J2151" s="26"/>
      <c r="K2151" s="27"/>
      <c r="L2151" s="27"/>
      <c r="M2151" s="27"/>
      <c r="N2151" s="27"/>
      <c r="O2151" s="24" t="str">
        <f aca="false">IF(G2151="","",VLOOKUP(G2151,Setup!$A$14:$C$17,3,0))</f>
        <v/>
      </c>
      <c r="P2151" s="27"/>
      <c r="Q2151" s="29" t="str">
        <f aca="false">IF(OR(P2151="",M2151&lt;&gt;"Paid",O2151=""),"",P2151/O2151)</f>
        <v/>
      </c>
      <c r="R2151" s="30" t="str">
        <f aca="false">IF(Q2151="","",Q2151+N(H2151)*0.000000001)</f>
        <v/>
      </c>
      <c r="S2151" s="25" t="str">
        <f aca="false">IF(R2151="","",SUMPRODUCT((I$5:I$4004=I2151)*ISNUMBER(R$5:R$4004)*(R$5:R$4004&gt;R2151))+1)</f>
        <v/>
      </c>
      <c r="T2151" s="25" t="str">
        <f aca="false">IF(S2151="","",IF(S2151&lt;=Setup!$B$5,"🏆 WINNER",""))</f>
        <v/>
      </c>
      <c r="U2151" s="24" t="str">
        <f aca="false">IF(S2151="","",I2151&amp;"|"&amp;S2151)</f>
        <v/>
      </c>
    </row>
    <row r="2152" customFormat="false" ht="15" hidden="false" customHeight="false" outlineLevel="0" collapsed="false">
      <c r="A2152" s="31" t="n">
        <v>2148</v>
      </c>
      <c r="B2152" s="32" t="str">
        <f aca="false">IF(OR(C2152="",I2152="",G2152=""),"",IFERROR(VLOOKUP(I2152,Setup!$A$9:$B$11,2,0),"???")&amp;"-"&amp;G2152&amp;"-"&amp;TEXT(COUNTIFS(I$5:I2152,I2152,G$5:G2152,G2152),"0000"))</f>
        <v/>
      </c>
      <c r="C2152" s="26"/>
      <c r="D2152" s="26"/>
      <c r="E2152" s="27"/>
      <c r="F2152" s="27"/>
      <c r="G2152" s="31" t="str">
        <f aca="false">IF(F2152="","",IF(F2152&lt;=5,"A",IF(F2152&lt;=8,"B",IF(F2152&lt;=10,"C","D"))))</f>
        <v/>
      </c>
      <c r="H2152" s="28"/>
      <c r="I2152" s="27"/>
      <c r="J2152" s="26"/>
      <c r="K2152" s="27"/>
      <c r="L2152" s="27"/>
      <c r="M2152" s="27"/>
      <c r="N2152" s="27"/>
      <c r="O2152" s="31" t="str">
        <f aca="false">IF(G2152="","",VLOOKUP(G2152,Setup!$A$14:$C$17,3,0))</f>
        <v/>
      </c>
      <c r="P2152" s="27"/>
      <c r="Q2152" s="33" t="str">
        <f aca="false">IF(OR(P2152="",M2152&lt;&gt;"Paid",O2152=""),"",P2152/O2152)</f>
        <v/>
      </c>
      <c r="R2152" s="34" t="str">
        <f aca="false">IF(Q2152="","",Q2152+N(H2152)*0.000000001)</f>
        <v/>
      </c>
      <c r="S2152" s="32" t="str">
        <f aca="false">IF(R2152="","",SUMPRODUCT((I$5:I$4004=I2152)*ISNUMBER(R$5:R$4004)*(R$5:R$4004&gt;R2152))+1)</f>
        <v/>
      </c>
      <c r="T2152" s="32" t="str">
        <f aca="false">IF(S2152="","",IF(S2152&lt;=Setup!$B$5,"🏆 WINNER",""))</f>
        <v/>
      </c>
      <c r="U2152" s="31" t="str">
        <f aca="false">IF(S2152="","",I2152&amp;"|"&amp;S2152)</f>
        <v/>
      </c>
    </row>
    <row r="2153" customFormat="false" ht="15" hidden="false" customHeight="false" outlineLevel="0" collapsed="false">
      <c r="A2153" s="24" t="n">
        <v>2149</v>
      </c>
      <c r="B2153" s="25" t="str">
        <f aca="false">IF(OR(C2153="",I2153="",G2153=""),"",IFERROR(VLOOKUP(I2153,Setup!$A$9:$B$11,2,0),"???")&amp;"-"&amp;G2153&amp;"-"&amp;TEXT(COUNTIFS(I$5:I2153,I2153,G$5:G2153,G2153),"0000"))</f>
        <v/>
      </c>
      <c r="C2153" s="26"/>
      <c r="D2153" s="26"/>
      <c r="E2153" s="27"/>
      <c r="F2153" s="27"/>
      <c r="G2153" s="24" t="str">
        <f aca="false">IF(F2153="","",IF(F2153&lt;=5,"A",IF(F2153&lt;=8,"B",IF(F2153&lt;=10,"C","D"))))</f>
        <v/>
      </c>
      <c r="H2153" s="28"/>
      <c r="I2153" s="27"/>
      <c r="J2153" s="26"/>
      <c r="K2153" s="27"/>
      <c r="L2153" s="27"/>
      <c r="M2153" s="27"/>
      <c r="N2153" s="27"/>
      <c r="O2153" s="24" t="str">
        <f aca="false">IF(G2153="","",VLOOKUP(G2153,Setup!$A$14:$C$17,3,0))</f>
        <v/>
      </c>
      <c r="P2153" s="27"/>
      <c r="Q2153" s="29" t="str">
        <f aca="false">IF(OR(P2153="",M2153&lt;&gt;"Paid",O2153=""),"",P2153/O2153)</f>
        <v/>
      </c>
      <c r="R2153" s="30" t="str">
        <f aca="false">IF(Q2153="","",Q2153+N(H2153)*0.000000001)</f>
        <v/>
      </c>
      <c r="S2153" s="25" t="str">
        <f aca="false">IF(R2153="","",SUMPRODUCT((I$5:I$4004=I2153)*ISNUMBER(R$5:R$4004)*(R$5:R$4004&gt;R2153))+1)</f>
        <v/>
      </c>
      <c r="T2153" s="25" t="str">
        <f aca="false">IF(S2153="","",IF(S2153&lt;=Setup!$B$5,"🏆 WINNER",""))</f>
        <v/>
      </c>
      <c r="U2153" s="24" t="str">
        <f aca="false">IF(S2153="","",I2153&amp;"|"&amp;S2153)</f>
        <v/>
      </c>
    </row>
    <row r="2154" customFormat="false" ht="15" hidden="false" customHeight="false" outlineLevel="0" collapsed="false">
      <c r="A2154" s="31" t="n">
        <v>2150</v>
      </c>
      <c r="B2154" s="32" t="str">
        <f aca="false">IF(OR(C2154="",I2154="",G2154=""),"",IFERROR(VLOOKUP(I2154,Setup!$A$9:$B$11,2,0),"???")&amp;"-"&amp;G2154&amp;"-"&amp;TEXT(COUNTIFS(I$5:I2154,I2154,G$5:G2154,G2154),"0000"))</f>
        <v/>
      </c>
      <c r="C2154" s="26"/>
      <c r="D2154" s="26"/>
      <c r="E2154" s="27"/>
      <c r="F2154" s="27"/>
      <c r="G2154" s="31" t="str">
        <f aca="false">IF(F2154="","",IF(F2154&lt;=5,"A",IF(F2154&lt;=8,"B",IF(F2154&lt;=10,"C","D"))))</f>
        <v/>
      </c>
      <c r="H2154" s="28"/>
      <c r="I2154" s="27"/>
      <c r="J2154" s="26"/>
      <c r="K2154" s="27"/>
      <c r="L2154" s="27"/>
      <c r="M2154" s="27"/>
      <c r="N2154" s="27"/>
      <c r="O2154" s="31" t="str">
        <f aca="false">IF(G2154="","",VLOOKUP(G2154,Setup!$A$14:$C$17,3,0))</f>
        <v/>
      </c>
      <c r="P2154" s="27"/>
      <c r="Q2154" s="33" t="str">
        <f aca="false">IF(OR(P2154="",M2154&lt;&gt;"Paid",O2154=""),"",P2154/O2154)</f>
        <v/>
      </c>
      <c r="R2154" s="34" t="str">
        <f aca="false">IF(Q2154="","",Q2154+N(H2154)*0.000000001)</f>
        <v/>
      </c>
      <c r="S2154" s="32" t="str">
        <f aca="false">IF(R2154="","",SUMPRODUCT((I$5:I$4004=I2154)*ISNUMBER(R$5:R$4004)*(R$5:R$4004&gt;R2154))+1)</f>
        <v/>
      </c>
      <c r="T2154" s="32" t="str">
        <f aca="false">IF(S2154="","",IF(S2154&lt;=Setup!$B$5,"🏆 WINNER",""))</f>
        <v/>
      </c>
      <c r="U2154" s="31" t="str">
        <f aca="false">IF(S2154="","",I2154&amp;"|"&amp;S2154)</f>
        <v/>
      </c>
    </row>
    <row r="2155" customFormat="false" ht="15" hidden="false" customHeight="false" outlineLevel="0" collapsed="false">
      <c r="A2155" s="24" t="n">
        <v>2151</v>
      </c>
      <c r="B2155" s="25" t="str">
        <f aca="false">IF(OR(C2155="",I2155="",G2155=""),"",IFERROR(VLOOKUP(I2155,Setup!$A$9:$B$11,2,0),"???")&amp;"-"&amp;G2155&amp;"-"&amp;TEXT(COUNTIFS(I$5:I2155,I2155,G$5:G2155,G2155),"0000"))</f>
        <v/>
      </c>
      <c r="C2155" s="26"/>
      <c r="D2155" s="26"/>
      <c r="E2155" s="27"/>
      <c r="F2155" s="27"/>
      <c r="G2155" s="24" t="str">
        <f aca="false">IF(F2155="","",IF(F2155&lt;=5,"A",IF(F2155&lt;=8,"B",IF(F2155&lt;=10,"C","D"))))</f>
        <v/>
      </c>
      <c r="H2155" s="28"/>
      <c r="I2155" s="27"/>
      <c r="J2155" s="26"/>
      <c r="K2155" s="27"/>
      <c r="L2155" s="27"/>
      <c r="M2155" s="27"/>
      <c r="N2155" s="27"/>
      <c r="O2155" s="24" t="str">
        <f aca="false">IF(G2155="","",VLOOKUP(G2155,Setup!$A$14:$C$17,3,0))</f>
        <v/>
      </c>
      <c r="P2155" s="27"/>
      <c r="Q2155" s="29" t="str">
        <f aca="false">IF(OR(P2155="",M2155&lt;&gt;"Paid",O2155=""),"",P2155/O2155)</f>
        <v/>
      </c>
      <c r="R2155" s="30" t="str">
        <f aca="false">IF(Q2155="","",Q2155+N(H2155)*0.000000001)</f>
        <v/>
      </c>
      <c r="S2155" s="25" t="str">
        <f aca="false">IF(R2155="","",SUMPRODUCT((I$5:I$4004=I2155)*ISNUMBER(R$5:R$4004)*(R$5:R$4004&gt;R2155))+1)</f>
        <v/>
      </c>
      <c r="T2155" s="25" t="str">
        <f aca="false">IF(S2155="","",IF(S2155&lt;=Setup!$B$5,"🏆 WINNER",""))</f>
        <v/>
      </c>
      <c r="U2155" s="24" t="str">
        <f aca="false">IF(S2155="","",I2155&amp;"|"&amp;S2155)</f>
        <v/>
      </c>
    </row>
    <row r="2156" customFormat="false" ht="15" hidden="false" customHeight="false" outlineLevel="0" collapsed="false">
      <c r="A2156" s="31" t="n">
        <v>2152</v>
      </c>
      <c r="B2156" s="32" t="str">
        <f aca="false">IF(OR(C2156="",I2156="",G2156=""),"",IFERROR(VLOOKUP(I2156,Setup!$A$9:$B$11,2,0),"???")&amp;"-"&amp;G2156&amp;"-"&amp;TEXT(COUNTIFS(I$5:I2156,I2156,G$5:G2156,G2156),"0000"))</f>
        <v/>
      </c>
      <c r="C2156" s="26"/>
      <c r="D2156" s="26"/>
      <c r="E2156" s="27"/>
      <c r="F2156" s="27"/>
      <c r="G2156" s="31" t="str">
        <f aca="false">IF(F2156="","",IF(F2156&lt;=5,"A",IF(F2156&lt;=8,"B",IF(F2156&lt;=10,"C","D"))))</f>
        <v/>
      </c>
      <c r="H2156" s="28"/>
      <c r="I2156" s="27"/>
      <c r="J2156" s="26"/>
      <c r="K2156" s="27"/>
      <c r="L2156" s="27"/>
      <c r="M2156" s="27"/>
      <c r="N2156" s="27"/>
      <c r="O2156" s="31" t="str">
        <f aca="false">IF(G2156="","",VLOOKUP(G2156,Setup!$A$14:$C$17,3,0))</f>
        <v/>
      </c>
      <c r="P2156" s="27"/>
      <c r="Q2156" s="33" t="str">
        <f aca="false">IF(OR(P2156="",M2156&lt;&gt;"Paid",O2156=""),"",P2156/O2156)</f>
        <v/>
      </c>
      <c r="R2156" s="34" t="str">
        <f aca="false">IF(Q2156="","",Q2156+N(H2156)*0.000000001)</f>
        <v/>
      </c>
      <c r="S2156" s="32" t="str">
        <f aca="false">IF(R2156="","",SUMPRODUCT((I$5:I$4004=I2156)*ISNUMBER(R$5:R$4004)*(R$5:R$4004&gt;R2156))+1)</f>
        <v/>
      </c>
      <c r="T2156" s="32" t="str">
        <f aca="false">IF(S2156="","",IF(S2156&lt;=Setup!$B$5,"🏆 WINNER",""))</f>
        <v/>
      </c>
      <c r="U2156" s="31" t="str">
        <f aca="false">IF(S2156="","",I2156&amp;"|"&amp;S2156)</f>
        <v/>
      </c>
    </row>
    <row r="2157" customFormat="false" ht="15" hidden="false" customHeight="false" outlineLevel="0" collapsed="false">
      <c r="A2157" s="24" t="n">
        <v>2153</v>
      </c>
      <c r="B2157" s="25" t="str">
        <f aca="false">IF(OR(C2157="",I2157="",G2157=""),"",IFERROR(VLOOKUP(I2157,Setup!$A$9:$B$11,2,0),"???")&amp;"-"&amp;G2157&amp;"-"&amp;TEXT(COUNTIFS(I$5:I2157,I2157,G$5:G2157,G2157),"0000"))</f>
        <v/>
      </c>
      <c r="C2157" s="26"/>
      <c r="D2157" s="26"/>
      <c r="E2157" s="27"/>
      <c r="F2157" s="27"/>
      <c r="G2157" s="24" t="str">
        <f aca="false">IF(F2157="","",IF(F2157&lt;=5,"A",IF(F2157&lt;=8,"B",IF(F2157&lt;=10,"C","D"))))</f>
        <v/>
      </c>
      <c r="H2157" s="28"/>
      <c r="I2157" s="27"/>
      <c r="J2157" s="26"/>
      <c r="K2157" s="27"/>
      <c r="L2157" s="27"/>
      <c r="M2157" s="27"/>
      <c r="N2157" s="27"/>
      <c r="O2157" s="24" t="str">
        <f aca="false">IF(G2157="","",VLOOKUP(G2157,Setup!$A$14:$C$17,3,0))</f>
        <v/>
      </c>
      <c r="P2157" s="27"/>
      <c r="Q2157" s="29" t="str">
        <f aca="false">IF(OR(P2157="",M2157&lt;&gt;"Paid",O2157=""),"",P2157/O2157)</f>
        <v/>
      </c>
      <c r="R2157" s="30" t="str">
        <f aca="false">IF(Q2157="","",Q2157+N(H2157)*0.000000001)</f>
        <v/>
      </c>
      <c r="S2157" s="25" t="str">
        <f aca="false">IF(R2157="","",SUMPRODUCT((I$5:I$4004=I2157)*ISNUMBER(R$5:R$4004)*(R$5:R$4004&gt;R2157))+1)</f>
        <v/>
      </c>
      <c r="T2157" s="25" t="str">
        <f aca="false">IF(S2157="","",IF(S2157&lt;=Setup!$B$5,"🏆 WINNER",""))</f>
        <v/>
      </c>
      <c r="U2157" s="24" t="str">
        <f aca="false">IF(S2157="","",I2157&amp;"|"&amp;S2157)</f>
        <v/>
      </c>
    </row>
    <row r="2158" customFormat="false" ht="15" hidden="false" customHeight="false" outlineLevel="0" collapsed="false">
      <c r="A2158" s="31" t="n">
        <v>2154</v>
      </c>
      <c r="B2158" s="32" t="str">
        <f aca="false">IF(OR(C2158="",I2158="",G2158=""),"",IFERROR(VLOOKUP(I2158,Setup!$A$9:$B$11,2,0),"???")&amp;"-"&amp;G2158&amp;"-"&amp;TEXT(COUNTIFS(I$5:I2158,I2158,G$5:G2158,G2158),"0000"))</f>
        <v/>
      </c>
      <c r="C2158" s="26"/>
      <c r="D2158" s="26"/>
      <c r="E2158" s="27"/>
      <c r="F2158" s="27"/>
      <c r="G2158" s="31" t="str">
        <f aca="false">IF(F2158="","",IF(F2158&lt;=5,"A",IF(F2158&lt;=8,"B",IF(F2158&lt;=10,"C","D"))))</f>
        <v/>
      </c>
      <c r="H2158" s="28"/>
      <c r="I2158" s="27"/>
      <c r="J2158" s="26"/>
      <c r="K2158" s="27"/>
      <c r="L2158" s="27"/>
      <c r="M2158" s="27"/>
      <c r="N2158" s="27"/>
      <c r="O2158" s="31" t="str">
        <f aca="false">IF(G2158="","",VLOOKUP(G2158,Setup!$A$14:$C$17,3,0))</f>
        <v/>
      </c>
      <c r="P2158" s="27"/>
      <c r="Q2158" s="33" t="str">
        <f aca="false">IF(OR(P2158="",M2158&lt;&gt;"Paid",O2158=""),"",P2158/O2158)</f>
        <v/>
      </c>
      <c r="R2158" s="34" t="str">
        <f aca="false">IF(Q2158="","",Q2158+N(H2158)*0.000000001)</f>
        <v/>
      </c>
      <c r="S2158" s="32" t="str">
        <f aca="false">IF(R2158="","",SUMPRODUCT((I$5:I$4004=I2158)*ISNUMBER(R$5:R$4004)*(R$5:R$4004&gt;R2158))+1)</f>
        <v/>
      </c>
      <c r="T2158" s="32" t="str">
        <f aca="false">IF(S2158="","",IF(S2158&lt;=Setup!$B$5,"🏆 WINNER",""))</f>
        <v/>
      </c>
      <c r="U2158" s="31" t="str">
        <f aca="false">IF(S2158="","",I2158&amp;"|"&amp;S2158)</f>
        <v/>
      </c>
    </row>
    <row r="2159" customFormat="false" ht="15" hidden="false" customHeight="false" outlineLevel="0" collapsed="false">
      <c r="A2159" s="24" t="n">
        <v>2155</v>
      </c>
      <c r="B2159" s="25" t="str">
        <f aca="false">IF(OR(C2159="",I2159="",G2159=""),"",IFERROR(VLOOKUP(I2159,Setup!$A$9:$B$11,2,0),"???")&amp;"-"&amp;G2159&amp;"-"&amp;TEXT(COUNTIFS(I$5:I2159,I2159,G$5:G2159,G2159),"0000"))</f>
        <v/>
      </c>
      <c r="C2159" s="26"/>
      <c r="D2159" s="26"/>
      <c r="E2159" s="27"/>
      <c r="F2159" s="27"/>
      <c r="G2159" s="24" t="str">
        <f aca="false">IF(F2159="","",IF(F2159&lt;=5,"A",IF(F2159&lt;=8,"B",IF(F2159&lt;=10,"C","D"))))</f>
        <v/>
      </c>
      <c r="H2159" s="28"/>
      <c r="I2159" s="27"/>
      <c r="J2159" s="26"/>
      <c r="K2159" s="27"/>
      <c r="L2159" s="27"/>
      <c r="M2159" s="27"/>
      <c r="N2159" s="27"/>
      <c r="O2159" s="24" t="str">
        <f aca="false">IF(G2159="","",VLOOKUP(G2159,Setup!$A$14:$C$17,3,0))</f>
        <v/>
      </c>
      <c r="P2159" s="27"/>
      <c r="Q2159" s="29" t="str">
        <f aca="false">IF(OR(P2159="",M2159&lt;&gt;"Paid",O2159=""),"",P2159/O2159)</f>
        <v/>
      </c>
      <c r="R2159" s="30" t="str">
        <f aca="false">IF(Q2159="","",Q2159+N(H2159)*0.000000001)</f>
        <v/>
      </c>
      <c r="S2159" s="25" t="str">
        <f aca="false">IF(R2159="","",SUMPRODUCT((I$5:I$4004=I2159)*ISNUMBER(R$5:R$4004)*(R$5:R$4004&gt;R2159))+1)</f>
        <v/>
      </c>
      <c r="T2159" s="25" t="str">
        <f aca="false">IF(S2159="","",IF(S2159&lt;=Setup!$B$5,"🏆 WINNER",""))</f>
        <v/>
      </c>
      <c r="U2159" s="24" t="str">
        <f aca="false">IF(S2159="","",I2159&amp;"|"&amp;S2159)</f>
        <v/>
      </c>
    </row>
    <row r="2160" customFormat="false" ht="15" hidden="false" customHeight="false" outlineLevel="0" collapsed="false">
      <c r="A2160" s="31" t="n">
        <v>2156</v>
      </c>
      <c r="B2160" s="32" t="str">
        <f aca="false">IF(OR(C2160="",I2160="",G2160=""),"",IFERROR(VLOOKUP(I2160,Setup!$A$9:$B$11,2,0),"???")&amp;"-"&amp;G2160&amp;"-"&amp;TEXT(COUNTIFS(I$5:I2160,I2160,G$5:G2160,G2160),"0000"))</f>
        <v/>
      </c>
      <c r="C2160" s="26"/>
      <c r="D2160" s="26"/>
      <c r="E2160" s="27"/>
      <c r="F2160" s="27"/>
      <c r="G2160" s="31" t="str">
        <f aca="false">IF(F2160="","",IF(F2160&lt;=5,"A",IF(F2160&lt;=8,"B",IF(F2160&lt;=10,"C","D"))))</f>
        <v/>
      </c>
      <c r="H2160" s="28"/>
      <c r="I2160" s="27"/>
      <c r="J2160" s="26"/>
      <c r="K2160" s="27"/>
      <c r="L2160" s="27"/>
      <c r="M2160" s="27"/>
      <c r="N2160" s="27"/>
      <c r="O2160" s="31" t="str">
        <f aca="false">IF(G2160="","",VLOOKUP(G2160,Setup!$A$14:$C$17,3,0))</f>
        <v/>
      </c>
      <c r="P2160" s="27"/>
      <c r="Q2160" s="33" t="str">
        <f aca="false">IF(OR(P2160="",M2160&lt;&gt;"Paid",O2160=""),"",P2160/O2160)</f>
        <v/>
      </c>
      <c r="R2160" s="34" t="str">
        <f aca="false">IF(Q2160="","",Q2160+N(H2160)*0.000000001)</f>
        <v/>
      </c>
      <c r="S2160" s="32" t="str">
        <f aca="false">IF(R2160="","",SUMPRODUCT((I$5:I$4004=I2160)*ISNUMBER(R$5:R$4004)*(R$5:R$4004&gt;R2160))+1)</f>
        <v/>
      </c>
      <c r="T2160" s="32" t="str">
        <f aca="false">IF(S2160="","",IF(S2160&lt;=Setup!$B$5,"🏆 WINNER",""))</f>
        <v/>
      </c>
      <c r="U2160" s="31" t="str">
        <f aca="false">IF(S2160="","",I2160&amp;"|"&amp;S2160)</f>
        <v/>
      </c>
    </row>
    <row r="2161" customFormat="false" ht="15" hidden="false" customHeight="false" outlineLevel="0" collapsed="false">
      <c r="A2161" s="24" t="n">
        <v>2157</v>
      </c>
      <c r="B2161" s="25" t="str">
        <f aca="false">IF(OR(C2161="",I2161="",G2161=""),"",IFERROR(VLOOKUP(I2161,Setup!$A$9:$B$11,2,0),"???")&amp;"-"&amp;G2161&amp;"-"&amp;TEXT(COUNTIFS(I$5:I2161,I2161,G$5:G2161,G2161),"0000"))</f>
        <v/>
      </c>
      <c r="C2161" s="26"/>
      <c r="D2161" s="26"/>
      <c r="E2161" s="27"/>
      <c r="F2161" s="27"/>
      <c r="G2161" s="24" t="str">
        <f aca="false">IF(F2161="","",IF(F2161&lt;=5,"A",IF(F2161&lt;=8,"B",IF(F2161&lt;=10,"C","D"))))</f>
        <v/>
      </c>
      <c r="H2161" s="28"/>
      <c r="I2161" s="27"/>
      <c r="J2161" s="26"/>
      <c r="K2161" s="27"/>
      <c r="L2161" s="27"/>
      <c r="M2161" s="27"/>
      <c r="N2161" s="27"/>
      <c r="O2161" s="24" t="str">
        <f aca="false">IF(G2161="","",VLOOKUP(G2161,Setup!$A$14:$C$17,3,0))</f>
        <v/>
      </c>
      <c r="P2161" s="27"/>
      <c r="Q2161" s="29" t="str">
        <f aca="false">IF(OR(P2161="",M2161&lt;&gt;"Paid",O2161=""),"",P2161/O2161)</f>
        <v/>
      </c>
      <c r="R2161" s="30" t="str">
        <f aca="false">IF(Q2161="","",Q2161+N(H2161)*0.000000001)</f>
        <v/>
      </c>
      <c r="S2161" s="25" t="str">
        <f aca="false">IF(R2161="","",SUMPRODUCT((I$5:I$4004=I2161)*ISNUMBER(R$5:R$4004)*(R$5:R$4004&gt;R2161))+1)</f>
        <v/>
      </c>
      <c r="T2161" s="25" t="str">
        <f aca="false">IF(S2161="","",IF(S2161&lt;=Setup!$B$5,"🏆 WINNER",""))</f>
        <v/>
      </c>
      <c r="U2161" s="24" t="str">
        <f aca="false">IF(S2161="","",I2161&amp;"|"&amp;S2161)</f>
        <v/>
      </c>
    </row>
    <row r="2162" customFormat="false" ht="15" hidden="false" customHeight="false" outlineLevel="0" collapsed="false">
      <c r="A2162" s="31" t="n">
        <v>2158</v>
      </c>
      <c r="B2162" s="32" t="str">
        <f aca="false">IF(OR(C2162="",I2162="",G2162=""),"",IFERROR(VLOOKUP(I2162,Setup!$A$9:$B$11,2,0),"???")&amp;"-"&amp;G2162&amp;"-"&amp;TEXT(COUNTIFS(I$5:I2162,I2162,G$5:G2162,G2162),"0000"))</f>
        <v/>
      </c>
      <c r="C2162" s="26"/>
      <c r="D2162" s="26"/>
      <c r="E2162" s="27"/>
      <c r="F2162" s="27"/>
      <c r="G2162" s="31" t="str">
        <f aca="false">IF(F2162="","",IF(F2162&lt;=5,"A",IF(F2162&lt;=8,"B",IF(F2162&lt;=10,"C","D"))))</f>
        <v/>
      </c>
      <c r="H2162" s="28"/>
      <c r="I2162" s="27"/>
      <c r="J2162" s="26"/>
      <c r="K2162" s="27"/>
      <c r="L2162" s="27"/>
      <c r="M2162" s="27"/>
      <c r="N2162" s="27"/>
      <c r="O2162" s="31" t="str">
        <f aca="false">IF(G2162="","",VLOOKUP(G2162,Setup!$A$14:$C$17,3,0))</f>
        <v/>
      </c>
      <c r="P2162" s="27"/>
      <c r="Q2162" s="33" t="str">
        <f aca="false">IF(OR(P2162="",M2162&lt;&gt;"Paid",O2162=""),"",P2162/O2162)</f>
        <v/>
      </c>
      <c r="R2162" s="34" t="str">
        <f aca="false">IF(Q2162="","",Q2162+N(H2162)*0.000000001)</f>
        <v/>
      </c>
      <c r="S2162" s="32" t="str">
        <f aca="false">IF(R2162="","",SUMPRODUCT((I$5:I$4004=I2162)*ISNUMBER(R$5:R$4004)*(R$5:R$4004&gt;R2162))+1)</f>
        <v/>
      </c>
      <c r="T2162" s="32" t="str">
        <f aca="false">IF(S2162="","",IF(S2162&lt;=Setup!$B$5,"🏆 WINNER",""))</f>
        <v/>
      </c>
      <c r="U2162" s="31" t="str">
        <f aca="false">IF(S2162="","",I2162&amp;"|"&amp;S2162)</f>
        <v/>
      </c>
    </row>
    <row r="2163" customFormat="false" ht="15" hidden="false" customHeight="false" outlineLevel="0" collapsed="false">
      <c r="A2163" s="24" t="n">
        <v>2159</v>
      </c>
      <c r="B2163" s="25" t="str">
        <f aca="false">IF(OR(C2163="",I2163="",G2163=""),"",IFERROR(VLOOKUP(I2163,Setup!$A$9:$B$11,2,0),"???")&amp;"-"&amp;G2163&amp;"-"&amp;TEXT(COUNTIFS(I$5:I2163,I2163,G$5:G2163,G2163),"0000"))</f>
        <v/>
      </c>
      <c r="C2163" s="26"/>
      <c r="D2163" s="26"/>
      <c r="E2163" s="27"/>
      <c r="F2163" s="27"/>
      <c r="G2163" s="24" t="str">
        <f aca="false">IF(F2163="","",IF(F2163&lt;=5,"A",IF(F2163&lt;=8,"B",IF(F2163&lt;=10,"C","D"))))</f>
        <v/>
      </c>
      <c r="H2163" s="28"/>
      <c r="I2163" s="27"/>
      <c r="J2163" s="26"/>
      <c r="K2163" s="27"/>
      <c r="L2163" s="27"/>
      <c r="M2163" s="27"/>
      <c r="N2163" s="27"/>
      <c r="O2163" s="24" t="str">
        <f aca="false">IF(G2163="","",VLOOKUP(G2163,Setup!$A$14:$C$17,3,0))</f>
        <v/>
      </c>
      <c r="P2163" s="27"/>
      <c r="Q2163" s="29" t="str">
        <f aca="false">IF(OR(P2163="",M2163&lt;&gt;"Paid",O2163=""),"",P2163/O2163)</f>
        <v/>
      </c>
      <c r="R2163" s="30" t="str">
        <f aca="false">IF(Q2163="","",Q2163+N(H2163)*0.000000001)</f>
        <v/>
      </c>
      <c r="S2163" s="25" t="str">
        <f aca="false">IF(R2163="","",SUMPRODUCT((I$5:I$4004=I2163)*ISNUMBER(R$5:R$4004)*(R$5:R$4004&gt;R2163))+1)</f>
        <v/>
      </c>
      <c r="T2163" s="25" t="str">
        <f aca="false">IF(S2163="","",IF(S2163&lt;=Setup!$B$5,"🏆 WINNER",""))</f>
        <v/>
      </c>
      <c r="U2163" s="24" t="str">
        <f aca="false">IF(S2163="","",I2163&amp;"|"&amp;S2163)</f>
        <v/>
      </c>
    </row>
    <row r="2164" customFormat="false" ht="15" hidden="false" customHeight="false" outlineLevel="0" collapsed="false">
      <c r="A2164" s="31" t="n">
        <v>2160</v>
      </c>
      <c r="B2164" s="32" t="str">
        <f aca="false">IF(OR(C2164="",I2164="",G2164=""),"",IFERROR(VLOOKUP(I2164,Setup!$A$9:$B$11,2,0),"???")&amp;"-"&amp;G2164&amp;"-"&amp;TEXT(COUNTIFS(I$5:I2164,I2164,G$5:G2164,G2164),"0000"))</f>
        <v/>
      </c>
      <c r="C2164" s="26"/>
      <c r="D2164" s="26"/>
      <c r="E2164" s="27"/>
      <c r="F2164" s="27"/>
      <c r="G2164" s="31" t="str">
        <f aca="false">IF(F2164="","",IF(F2164&lt;=5,"A",IF(F2164&lt;=8,"B",IF(F2164&lt;=10,"C","D"))))</f>
        <v/>
      </c>
      <c r="H2164" s="28"/>
      <c r="I2164" s="27"/>
      <c r="J2164" s="26"/>
      <c r="K2164" s="27"/>
      <c r="L2164" s="27"/>
      <c r="M2164" s="27"/>
      <c r="N2164" s="27"/>
      <c r="O2164" s="31" t="str">
        <f aca="false">IF(G2164="","",VLOOKUP(G2164,Setup!$A$14:$C$17,3,0))</f>
        <v/>
      </c>
      <c r="P2164" s="27"/>
      <c r="Q2164" s="33" t="str">
        <f aca="false">IF(OR(P2164="",M2164&lt;&gt;"Paid",O2164=""),"",P2164/O2164)</f>
        <v/>
      </c>
      <c r="R2164" s="34" t="str">
        <f aca="false">IF(Q2164="","",Q2164+N(H2164)*0.000000001)</f>
        <v/>
      </c>
      <c r="S2164" s="32" t="str">
        <f aca="false">IF(R2164="","",SUMPRODUCT((I$5:I$4004=I2164)*ISNUMBER(R$5:R$4004)*(R$5:R$4004&gt;R2164))+1)</f>
        <v/>
      </c>
      <c r="T2164" s="32" t="str">
        <f aca="false">IF(S2164="","",IF(S2164&lt;=Setup!$B$5,"🏆 WINNER",""))</f>
        <v/>
      </c>
      <c r="U2164" s="31" t="str">
        <f aca="false">IF(S2164="","",I2164&amp;"|"&amp;S2164)</f>
        <v/>
      </c>
    </row>
    <row r="2165" customFormat="false" ht="15" hidden="false" customHeight="false" outlineLevel="0" collapsed="false">
      <c r="A2165" s="24" t="n">
        <v>2161</v>
      </c>
      <c r="B2165" s="25" t="str">
        <f aca="false">IF(OR(C2165="",I2165="",G2165=""),"",IFERROR(VLOOKUP(I2165,Setup!$A$9:$B$11,2,0),"???")&amp;"-"&amp;G2165&amp;"-"&amp;TEXT(COUNTIFS(I$5:I2165,I2165,G$5:G2165,G2165),"0000"))</f>
        <v/>
      </c>
      <c r="C2165" s="26"/>
      <c r="D2165" s="26"/>
      <c r="E2165" s="27"/>
      <c r="F2165" s="27"/>
      <c r="G2165" s="24" t="str">
        <f aca="false">IF(F2165="","",IF(F2165&lt;=5,"A",IF(F2165&lt;=8,"B",IF(F2165&lt;=10,"C","D"))))</f>
        <v/>
      </c>
      <c r="H2165" s="28"/>
      <c r="I2165" s="27"/>
      <c r="J2165" s="26"/>
      <c r="K2165" s="27"/>
      <c r="L2165" s="27"/>
      <c r="M2165" s="27"/>
      <c r="N2165" s="27"/>
      <c r="O2165" s="24" t="str">
        <f aca="false">IF(G2165="","",VLOOKUP(G2165,Setup!$A$14:$C$17,3,0))</f>
        <v/>
      </c>
      <c r="P2165" s="27"/>
      <c r="Q2165" s="29" t="str">
        <f aca="false">IF(OR(P2165="",M2165&lt;&gt;"Paid",O2165=""),"",P2165/O2165)</f>
        <v/>
      </c>
      <c r="R2165" s="30" t="str">
        <f aca="false">IF(Q2165="","",Q2165+N(H2165)*0.000000001)</f>
        <v/>
      </c>
      <c r="S2165" s="25" t="str">
        <f aca="false">IF(R2165="","",SUMPRODUCT((I$5:I$4004=I2165)*ISNUMBER(R$5:R$4004)*(R$5:R$4004&gt;R2165))+1)</f>
        <v/>
      </c>
      <c r="T2165" s="25" t="str">
        <f aca="false">IF(S2165="","",IF(S2165&lt;=Setup!$B$5,"🏆 WINNER",""))</f>
        <v/>
      </c>
      <c r="U2165" s="24" t="str">
        <f aca="false">IF(S2165="","",I2165&amp;"|"&amp;S2165)</f>
        <v/>
      </c>
    </row>
    <row r="2166" customFormat="false" ht="15" hidden="false" customHeight="false" outlineLevel="0" collapsed="false">
      <c r="A2166" s="31" t="n">
        <v>2162</v>
      </c>
      <c r="B2166" s="32" t="str">
        <f aca="false">IF(OR(C2166="",I2166="",G2166=""),"",IFERROR(VLOOKUP(I2166,Setup!$A$9:$B$11,2,0),"???")&amp;"-"&amp;G2166&amp;"-"&amp;TEXT(COUNTIFS(I$5:I2166,I2166,G$5:G2166,G2166),"0000"))</f>
        <v/>
      </c>
      <c r="C2166" s="26"/>
      <c r="D2166" s="26"/>
      <c r="E2166" s="27"/>
      <c r="F2166" s="27"/>
      <c r="G2166" s="31" t="str">
        <f aca="false">IF(F2166="","",IF(F2166&lt;=5,"A",IF(F2166&lt;=8,"B",IF(F2166&lt;=10,"C","D"))))</f>
        <v/>
      </c>
      <c r="H2166" s="28"/>
      <c r="I2166" s="27"/>
      <c r="J2166" s="26"/>
      <c r="K2166" s="27"/>
      <c r="L2166" s="27"/>
      <c r="M2166" s="27"/>
      <c r="N2166" s="27"/>
      <c r="O2166" s="31" t="str">
        <f aca="false">IF(G2166="","",VLOOKUP(G2166,Setup!$A$14:$C$17,3,0))</f>
        <v/>
      </c>
      <c r="P2166" s="27"/>
      <c r="Q2166" s="33" t="str">
        <f aca="false">IF(OR(P2166="",M2166&lt;&gt;"Paid",O2166=""),"",P2166/O2166)</f>
        <v/>
      </c>
      <c r="R2166" s="34" t="str">
        <f aca="false">IF(Q2166="","",Q2166+N(H2166)*0.000000001)</f>
        <v/>
      </c>
      <c r="S2166" s="32" t="str">
        <f aca="false">IF(R2166="","",SUMPRODUCT((I$5:I$4004=I2166)*ISNUMBER(R$5:R$4004)*(R$5:R$4004&gt;R2166))+1)</f>
        <v/>
      </c>
      <c r="T2166" s="32" t="str">
        <f aca="false">IF(S2166="","",IF(S2166&lt;=Setup!$B$5,"🏆 WINNER",""))</f>
        <v/>
      </c>
      <c r="U2166" s="31" t="str">
        <f aca="false">IF(S2166="","",I2166&amp;"|"&amp;S2166)</f>
        <v/>
      </c>
    </row>
    <row r="2167" customFormat="false" ht="15" hidden="false" customHeight="false" outlineLevel="0" collapsed="false">
      <c r="A2167" s="24" t="n">
        <v>2163</v>
      </c>
      <c r="B2167" s="25" t="str">
        <f aca="false">IF(OR(C2167="",I2167="",G2167=""),"",IFERROR(VLOOKUP(I2167,Setup!$A$9:$B$11,2,0),"???")&amp;"-"&amp;G2167&amp;"-"&amp;TEXT(COUNTIFS(I$5:I2167,I2167,G$5:G2167,G2167),"0000"))</f>
        <v/>
      </c>
      <c r="C2167" s="26"/>
      <c r="D2167" s="26"/>
      <c r="E2167" s="27"/>
      <c r="F2167" s="27"/>
      <c r="G2167" s="24" t="str">
        <f aca="false">IF(F2167="","",IF(F2167&lt;=5,"A",IF(F2167&lt;=8,"B",IF(F2167&lt;=10,"C","D"))))</f>
        <v/>
      </c>
      <c r="H2167" s="28"/>
      <c r="I2167" s="27"/>
      <c r="J2167" s="26"/>
      <c r="K2167" s="27"/>
      <c r="L2167" s="27"/>
      <c r="M2167" s="27"/>
      <c r="N2167" s="27"/>
      <c r="O2167" s="24" t="str">
        <f aca="false">IF(G2167="","",VLOOKUP(G2167,Setup!$A$14:$C$17,3,0))</f>
        <v/>
      </c>
      <c r="P2167" s="27"/>
      <c r="Q2167" s="29" t="str">
        <f aca="false">IF(OR(P2167="",M2167&lt;&gt;"Paid",O2167=""),"",P2167/O2167)</f>
        <v/>
      </c>
      <c r="R2167" s="30" t="str">
        <f aca="false">IF(Q2167="","",Q2167+N(H2167)*0.000000001)</f>
        <v/>
      </c>
      <c r="S2167" s="25" t="str">
        <f aca="false">IF(R2167="","",SUMPRODUCT((I$5:I$4004=I2167)*ISNUMBER(R$5:R$4004)*(R$5:R$4004&gt;R2167))+1)</f>
        <v/>
      </c>
      <c r="T2167" s="25" t="str">
        <f aca="false">IF(S2167="","",IF(S2167&lt;=Setup!$B$5,"🏆 WINNER",""))</f>
        <v/>
      </c>
      <c r="U2167" s="24" t="str">
        <f aca="false">IF(S2167="","",I2167&amp;"|"&amp;S2167)</f>
        <v/>
      </c>
    </row>
    <row r="2168" customFormat="false" ht="15" hidden="false" customHeight="false" outlineLevel="0" collapsed="false">
      <c r="A2168" s="31" t="n">
        <v>2164</v>
      </c>
      <c r="B2168" s="32" t="str">
        <f aca="false">IF(OR(C2168="",I2168="",G2168=""),"",IFERROR(VLOOKUP(I2168,Setup!$A$9:$B$11,2,0),"???")&amp;"-"&amp;G2168&amp;"-"&amp;TEXT(COUNTIFS(I$5:I2168,I2168,G$5:G2168,G2168),"0000"))</f>
        <v/>
      </c>
      <c r="C2168" s="26"/>
      <c r="D2168" s="26"/>
      <c r="E2168" s="27"/>
      <c r="F2168" s="27"/>
      <c r="G2168" s="31" t="str">
        <f aca="false">IF(F2168="","",IF(F2168&lt;=5,"A",IF(F2168&lt;=8,"B",IF(F2168&lt;=10,"C","D"))))</f>
        <v/>
      </c>
      <c r="H2168" s="28"/>
      <c r="I2168" s="27"/>
      <c r="J2168" s="26"/>
      <c r="K2168" s="27"/>
      <c r="L2168" s="27"/>
      <c r="M2168" s="27"/>
      <c r="N2168" s="27"/>
      <c r="O2168" s="31" t="str">
        <f aca="false">IF(G2168="","",VLOOKUP(G2168,Setup!$A$14:$C$17,3,0))</f>
        <v/>
      </c>
      <c r="P2168" s="27"/>
      <c r="Q2168" s="33" t="str">
        <f aca="false">IF(OR(P2168="",M2168&lt;&gt;"Paid",O2168=""),"",P2168/O2168)</f>
        <v/>
      </c>
      <c r="R2168" s="34" t="str">
        <f aca="false">IF(Q2168="","",Q2168+N(H2168)*0.000000001)</f>
        <v/>
      </c>
      <c r="S2168" s="32" t="str">
        <f aca="false">IF(R2168="","",SUMPRODUCT((I$5:I$4004=I2168)*ISNUMBER(R$5:R$4004)*(R$5:R$4004&gt;R2168))+1)</f>
        <v/>
      </c>
      <c r="T2168" s="32" t="str">
        <f aca="false">IF(S2168="","",IF(S2168&lt;=Setup!$B$5,"🏆 WINNER",""))</f>
        <v/>
      </c>
      <c r="U2168" s="31" t="str">
        <f aca="false">IF(S2168="","",I2168&amp;"|"&amp;S2168)</f>
        <v/>
      </c>
    </row>
    <row r="2169" customFormat="false" ht="15" hidden="false" customHeight="false" outlineLevel="0" collapsed="false">
      <c r="A2169" s="24" t="n">
        <v>2165</v>
      </c>
      <c r="B2169" s="25" t="str">
        <f aca="false">IF(OR(C2169="",I2169="",G2169=""),"",IFERROR(VLOOKUP(I2169,Setup!$A$9:$B$11,2,0),"???")&amp;"-"&amp;G2169&amp;"-"&amp;TEXT(COUNTIFS(I$5:I2169,I2169,G$5:G2169,G2169),"0000"))</f>
        <v/>
      </c>
      <c r="C2169" s="26"/>
      <c r="D2169" s="26"/>
      <c r="E2169" s="27"/>
      <c r="F2169" s="27"/>
      <c r="G2169" s="24" t="str">
        <f aca="false">IF(F2169="","",IF(F2169&lt;=5,"A",IF(F2169&lt;=8,"B",IF(F2169&lt;=10,"C","D"))))</f>
        <v/>
      </c>
      <c r="H2169" s="28"/>
      <c r="I2169" s="27"/>
      <c r="J2169" s="26"/>
      <c r="K2169" s="27"/>
      <c r="L2169" s="27"/>
      <c r="M2169" s="27"/>
      <c r="N2169" s="27"/>
      <c r="O2169" s="24" t="str">
        <f aca="false">IF(G2169="","",VLOOKUP(G2169,Setup!$A$14:$C$17,3,0))</f>
        <v/>
      </c>
      <c r="P2169" s="27"/>
      <c r="Q2169" s="29" t="str">
        <f aca="false">IF(OR(P2169="",M2169&lt;&gt;"Paid",O2169=""),"",P2169/O2169)</f>
        <v/>
      </c>
      <c r="R2169" s="30" t="str">
        <f aca="false">IF(Q2169="","",Q2169+N(H2169)*0.000000001)</f>
        <v/>
      </c>
      <c r="S2169" s="25" t="str">
        <f aca="false">IF(R2169="","",SUMPRODUCT((I$5:I$4004=I2169)*ISNUMBER(R$5:R$4004)*(R$5:R$4004&gt;R2169))+1)</f>
        <v/>
      </c>
      <c r="T2169" s="25" t="str">
        <f aca="false">IF(S2169="","",IF(S2169&lt;=Setup!$B$5,"🏆 WINNER",""))</f>
        <v/>
      </c>
      <c r="U2169" s="24" t="str">
        <f aca="false">IF(S2169="","",I2169&amp;"|"&amp;S2169)</f>
        <v/>
      </c>
    </row>
    <row r="2170" customFormat="false" ht="15" hidden="false" customHeight="false" outlineLevel="0" collapsed="false">
      <c r="A2170" s="31" t="n">
        <v>2166</v>
      </c>
      <c r="B2170" s="32" t="str">
        <f aca="false">IF(OR(C2170="",I2170="",G2170=""),"",IFERROR(VLOOKUP(I2170,Setup!$A$9:$B$11,2,0),"???")&amp;"-"&amp;G2170&amp;"-"&amp;TEXT(COUNTIFS(I$5:I2170,I2170,G$5:G2170,G2170),"0000"))</f>
        <v/>
      </c>
      <c r="C2170" s="26"/>
      <c r="D2170" s="26"/>
      <c r="E2170" s="27"/>
      <c r="F2170" s="27"/>
      <c r="G2170" s="31" t="str">
        <f aca="false">IF(F2170="","",IF(F2170&lt;=5,"A",IF(F2170&lt;=8,"B",IF(F2170&lt;=10,"C","D"))))</f>
        <v/>
      </c>
      <c r="H2170" s="28"/>
      <c r="I2170" s="27"/>
      <c r="J2170" s="26"/>
      <c r="K2170" s="27"/>
      <c r="L2170" s="27"/>
      <c r="M2170" s="27"/>
      <c r="N2170" s="27"/>
      <c r="O2170" s="31" t="str">
        <f aca="false">IF(G2170="","",VLOOKUP(G2170,Setup!$A$14:$C$17,3,0))</f>
        <v/>
      </c>
      <c r="P2170" s="27"/>
      <c r="Q2170" s="33" t="str">
        <f aca="false">IF(OR(P2170="",M2170&lt;&gt;"Paid",O2170=""),"",P2170/O2170)</f>
        <v/>
      </c>
      <c r="R2170" s="34" t="str">
        <f aca="false">IF(Q2170="","",Q2170+N(H2170)*0.000000001)</f>
        <v/>
      </c>
      <c r="S2170" s="32" t="str">
        <f aca="false">IF(R2170="","",SUMPRODUCT((I$5:I$4004=I2170)*ISNUMBER(R$5:R$4004)*(R$5:R$4004&gt;R2170))+1)</f>
        <v/>
      </c>
      <c r="T2170" s="32" t="str">
        <f aca="false">IF(S2170="","",IF(S2170&lt;=Setup!$B$5,"🏆 WINNER",""))</f>
        <v/>
      </c>
      <c r="U2170" s="31" t="str">
        <f aca="false">IF(S2170="","",I2170&amp;"|"&amp;S2170)</f>
        <v/>
      </c>
    </row>
    <row r="2171" customFormat="false" ht="15" hidden="false" customHeight="false" outlineLevel="0" collapsed="false">
      <c r="A2171" s="24" t="n">
        <v>2167</v>
      </c>
      <c r="B2171" s="25" t="str">
        <f aca="false">IF(OR(C2171="",I2171="",G2171=""),"",IFERROR(VLOOKUP(I2171,Setup!$A$9:$B$11,2,0),"???")&amp;"-"&amp;G2171&amp;"-"&amp;TEXT(COUNTIFS(I$5:I2171,I2171,G$5:G2171,G2171),"0000"))</f>
        <v/>
      </c>
      <c r="C2171" s="26"/>
      <c r="D2171" s="26"/>
      <c r="E2171" s="27"/>
      <c r="F2171" s="27"/>
      <c r="G2171" s="24" t="str">
        <f aca="false">IF(F2171="","",IF(F2171&lt;=5,"A",IF(F2171&lt;=8,"B",IF(F2171&lt;=10,"C","D"))))</f>
        <v/>
      </c>
      <c r="H2171" s="28"/>
      <c r="I2171" s="27"/>
      <c r="J2171" s="26"/>
      <c r="K2171" s="27"/>
      <c r="L2171" s="27"/>
      <c r="M2171" s="27"/>
      <c r="N2171" s="27"/>
      <c r="O2171" s="24" t="str">
        <f aca="false">IF(G2171="","",VLOOKUP(G2171,Setup!$A$14:$C$17,3,0))</f>
        <v/>
      </c>
      <c r="P2171" s="27"/>
      <c r="Q2171" s="29" t="str">
        <f aca="false">IF(OR(P2171="",M2171&lt;&gt;"Paid",O2171=""),"",P2171/O2171)</f>
        <v/>
      </c>
      <c r="R2171" s="30" t="str">
        <f aca="false">IF(Q2171="","",Q2171+N(H2171)*0.000000001)</f>
        <v/>
      </c>
      <c r="S2171" s="25" t="str">
        <f aca="false">IF(R2171="","",SUMPRODUCT((I$5:I$4004=I2171)*ISNUMBER(R$5:R$4004)*(R$5:R$4004&gt;R2171))+1)</f>
        <v/>
      </c>
      <c r="T2171" s="25" t="str">
        <f aca="false">IF(S2171="","",IF(S2171&lt;=Setup!$B$5,"🏆 WINNER",""))</f>
        <v/>
      </c>
      <c r="U2171" s="24" t="str">
        <f aca="false">IF(S2171="","",I2171&amp;"|"&amp;S2171)</f>
        <v/>
      </c>
    </row>
    <row r="2172" customFormat="false" ht="15" hidden="false" customHeight="false" outlineLevel="0" collapsed="false">
      <c r="A2172" s="31" t="n">
        <v>2168</v>
      </c>
      <c r="B2172" s="32" t="str">
        <f aca="false">IF(OR(C2172="",I2172="",G2172=""),"",IFERROR(VLOOKUP(I2172,Setup!$A$9:$B$11,2,0),"???")&amp;"-"&amp;G2172&amp;"-"&amp;TEXT(COUNTIFS(I$5:I2172,I2172,G$5:G2172,G2172),"0000"))</f>
        <v/>
      </c>
      <c r="C2172" s="26"/>
      <c r="D2172" s="26"/>
      <c r="E2172" s="27"/>
      <c r="F2172" s="27"/>
      <c r="G2172" s="31" t="str">
        <f aca="false">IF(F2172="","",IF(F2172&lt;=5,"A",IF(F2172&lt;=8,"B",IF(F2172&lt;=10,"C","D"))))</f>
        <v/>
      </c>
      <c r="H2172" s="28"/>
      <c r="I2172" s="27"/>
      <c r="J2172" s="26"/>
      <c r="K2172" s="27"/>
      <c r="L2172" s="27"/>
      <c r="M2172" s="27"/>
      <c r="N2172" s="27"/>
      <c r="O2172" s="31" t="str">
        <f aca="false">IF(G2172="","",VLOOKUP(G2172,Setup!$A$14:$C$17,3,0))</f>
        <v/>
      </c>
      <c r="P2172" s="27"/>
      <c r="Q2172" s="33" t="str">
        <f aca="false">IF(OR(P2172="",M2172&lt;&gt;"Paid",O2172=""),"",P2172/O2172)</f>
        <v/>
      </c>
      <c r="R2172" s="34" t="str">
        <f aca="false">IF(Q2172="","",Q2172+N(H2172)*0.000000001)</f>
        <v/>
      </c>
      <c r="S2172" s="32" t="str">
        <f aca="false">IF(R2172="","",SUMPRODUCT((I$5:I$4004=I2172)*ISNUMBER(R$5:R$4004)*(R$5:R$4004&gt;R2172))+1)</f>
        <v/>
      </c>
      <c r="T2172" s="32" t="str">
        <f aca="false">IF(S2172="","",IF(S2172&lt;=Setup!$B$5,"🏆 WINNER",""))</f>
        <v/>
      </c>
      <c r="U2172" s="31" t="str">
        <f aca="false">IF(S2172="","",I2172&amp;"|"&amp;S2172)</f>
        <v/>
      </c>
    </row>
    <row r="2173" customFormat="false" ht="15" hidden="false" customHeight="false" outlineLevel="0" collapsed="false">
      <c r="A2173" s="24" t="n">
        <v>2169</v>
      </c>
      <c r="B2173" s="25" t="str">
        <f aca="false">IF(OR(C2173="",I2173="",G2173=""),"",IFERROR(VLOOKUP(I2173,Setup!$A$9:$B$11,2,0),"???")&amp;"-"&amp;G2173&amp;"-"&amp;TEXT(COUNTIFS(I$5:I2173,I2173,G$5:G2173,G2173),"0000"))</f>
        <v/>
      </c>
      <c r="C2173" s="26"/>
      <c r="D2173" s="26"/>
      <c r="E2173" s="27"/>
      <c r="F2173" s="27"/>
      <c r="G2173" s="24" t="str">
        <f aca="false">IF(F2173="","",IF(F2173&lt;=5,"A",IF(F2173&lt;=8,"B",IF(F2173&lt;=10,"C","D"))))</f>
        <v/>
      </c>
      <c r="H2173" s="28"/>
      <c r="I2173" s="27"/>
      <c r="J2173" s="26"/>
      <c r="K2173" s="27"/>
      <c r="L2173" s="27"/>
      <c r="M2173" s="27"/>
      <c r="N2173" s="27"/>
      <c r="O2173" s="24" t="str">
        <f aca="false">IF(G2173="","",VLOOKUP(G2173,Setup!$A$14:$C$17,3,0))</f>
        <v/>
      </c>
      <c r="P2173" s="27"/>
      <c r="Q2173" s="29" t="str">
        <f aca="false">IF(OR(P2173="",M2173&lt;&gt;"Paid",O2173=""),"",P2173/O2173)</f>
        <v/>
      </c>
      <c r="R2173" s="30" t="str">
        <f aca="false">IF(Q2173="","",Q2173+N(H2173)*0.000000001)</f>
        <v/>
      </c>
      <c r="S2173" s="25" t="str">
        <f aca="false">IF(R2173="","",SUMPRODUCT((I$5:I$4004=I2173)*ISNUMBER(R$5:R$4004)*(R$5:R$4004&gt;R2173))+1)</f>
        <v/>
      </c>
      <c r="T2173" s="25" t="str">
        <f aca="false">IF(S2173="","",IF(S2173&lt;=Setup!$B$5,"🏆 WINNER",""))</f>
        <v/>
      </c>
      <c r="U2173" s="24" t="str">
        <f aca="false">IF(S2173="","",I2173&amp;"|"&amp;S2173)</f>
        <v/>
      </c>
    </row>
    <row r="2174" customFormat="false" ht="15" hidden="false" customHeight="false" outlineLevel="0" collapsed="false">
      <c r="A2174" s="31" t="n">
        <v>2170</v>
      </c>
      <c r="B2174" s="32" t="str">
        <f aca="false">IF(OR(C2174="",I2174="",G2174=""),"",IFERROR(VLOOKUP(I2174,Setup!$A$9:$B$11,2,0),"???")&amp;"-"&amp;G2174&amp;"-"&amp;TEXT(COUNTIFS(I$5:I2174,I2174,G$5:G2174,G2174),"0000"))</f>
        <v/>
      </c>
      <c r="C2174" s="26"/>
      <c r="D2174" s="26"/>
      <c r="E2174" s="27"/>
      <c r="F2174" s="27"/>
      <c r="G2174" s="31" t="str">
        <f aca="false">IF(F2174="","",IF(F2174&lt;=5,"A",IF(F2174&lt;=8,"B",IF(F2174&lt;=10,"C","D"))))</f>
        <v/>
      </c>
      <c r="H2174" s="28"/>
      <c r="I2174" s="27"/>
      <c r="J2174" s="26"/>
      <c r="K2174" s="27"/>
      <c r="L2174" s="27"/>
      <c r="M2174" s="27"/>
      <c r="N2174" s="27"/>
      <c r="O2174" s="31" t="str">
        <f aca="false">IF(G2174="","",VLOOKUP(G2174,Setup!$A$14:$C$17,3,0))</f>
        <v/>
      </c>
      <c r="P2174" s="27"/>
      <c r="Q2174" s="33" t="str">
        <f aca="false">IF(OR(P2174="",M2174&lt;&gt;"Paid",O2174=""),"",P2174/O2174)</f>
        <v/>
      </c>
      <c r="R2174" s="34" t="str">
        <f aca="false">IF(Q2174="","",Q2174+N(H2174)*0.000000001)</f>
        <v/>
      </c>
      <c r="S2174" s="32" t="str">
        <f aca="false">IF(R2174="","",SUMPRODUCT((I$5:I$4004=I2174)*ISNUMBER(R$5:R$4004)*(R$5:R$4004&gt;R2174))+1)</f>
        <v/>
      </c>
      <c r="T2174" s="32" t="str">
        <f aca="false">IF(S2174="","",IF(S2174&lt;=Setup!$B$5,"🏆 WINNER",""))</f>
        <v/>
      </c>
      <c r="U2174" s="31" t="str">
        <f aca="false">IF(S2174="","",I2174&amp;"|"&amp;S2174)</f>
        <v/>
      </c>
    </row>
    <row r="2175" customFormat="false" ht="15" hidden="false" customHeight="false" outlineLevel="0" collapsed="false">
      <c r="A2175" s="24" t="n">
        <v>2171</v>
      </c>
      <c r="B2175" s="25" t="str">
        <f aca="false">IF(OR(C2175="",I2175="",G2175=""),"",IFERROR(VLOOKUP(I2175,Setup!$A$9:$B$11,2,0),"???")&amp;"-"&amp;G2175&amp;"-"&amp;TEXT(COUNTIFS(I$5:I2175,I2175,G$5:G2175,G2175),"0000"))</f>
        <v/>
      </c>
      <c r="C2175" s="26"/>
      <c r="D2175" s="26"/>
      <c r="E2175" s="27"/>
      <c r="F2175" s="27"/>
      <c r="G2175" s="24" t="str">
        <f aca="false">IF(F2175="","",IF(F2175&lt;=5,"A",IF(F2175&lt;=8,"B",IF(F2175&lt;=10,"C","D"))))</f>
        <v/>
      </c>
      <c r="H2175" s="28"/>
      <c r="I2175" s="27"/>
      <c r="J2175" s="26"/>
      <c r="K2175" s="27"/>
      <c r="L2175" s="27"/>
      <c r="M2175" s="27"/>
      <c r="N2175" s="27"/>
      <c r="O2175" s="24" t="str">
        <f aca="false">IF(G2175="","",VLOOKUP(G2175,Setup!$A$14:$C$17,3,0))</f>
        <v/>
      </c>
      <c r="P2175" s="27"/>
      <c r="Q2175" s="29" t="str">
        <f aca="false">IF(OR(P2175="",M2175&lt;&gt;"Paid",O2175=""),"",P2175/O2175)</f>
        <v/>
      </c>
      <c r="R2175" s="30" t="str">
        <f aca="false">IF(Q2175="","",Q2175+N(H2175)*0.000000001)</f>
        <v/>
      </c>
      <c r="S2175" s="25" t="str">
        <f aca="false">IF(R2175="","",SUMPRODUCT((I$5:I$4004=I2175)*ISNUMBER(R$5:R$4004)*(R$5:R$4004&gt;R2175))+1)</f>
        <v/>
      </c>
      <c r="T2175" s="25" t="str">
        <f aca="false">IF(S2175="","",IF(S2175&lt;=Setup!$B$5,"🏆 WINNER",""))</f>
        <v/>
      </c>
      <c r="U2175" s="24" t="str">
        <f aca="false">IF(S2175="","",I2175&amp;"|"&amp;S2175)</f>
        <v/>
      </c>
    </row>
    <row r="2176" customFormat="false" ht="15" hidden="false" customHeight="false" outlineLevel="0" collapsed="false">
      <c r="A2176" s="31" t="n">
        <v>2172</v>
      </c>
      <c r="B2176" s="32" t="str">
        <f aca="false">IF(OR(C2176="",I2176="",G2176=""),"",IFERROR(VLOOKUP(I2176,Setup!$A$9:$B$11,2,0),"???")&amp;"-"&amp;G2176&amp;"-"&amp;TEXT(COUNTIFS(I$5:I2176,I2176,G$5:G2176,G2176),"0000"))</f>
        <v/>
      </c>
      <c r="C2176" s="26"/>
      <c r="D2176" s="26"/>
      <c r="E2176" s="27"/>
      <c r="F2176" s="27"/>
      <c r="G2176" s="31" t="str">
        <f aca="false">IF(F2176="","",IF(F2176&lt;=5,"A",IF(F2176&lt;=8,"B",IF(F2176&lt;=10,"C","D"))))</f>
        <v/>
      </c>
      <c r="H2176" s="28"/>
      <c r="I2176" s="27"/>
      <c r="J2176" s="26"/>
      <c r="K2176" s="27"/>
      <c r="L2176" s="27"/>
      <c r="M2176" s="27"/>
      <c r="N2176" s="27"/>
      <c r="O2176" s="31" t="str">
        <f aca="false">IF(G2176="","",VLOOKUP(G2176,Setup!$A$14:$C$17,3,0))</f>
        <v/>
      </c>
      <c r="P2176" s="27"/>
      <c r="Q2176" s="33" t="str">
        <f aca="false">IF(OR(P2176="",M2176&lt;&gt;"Paid",O2176=""),"",P2176/O2176)</f>
        <v/>
      </c>
      <c r="R2176" s="34" t="str">
        <f aca="false">IF(Q2176="","",Q2176+N(H2176)*0.000000001)</f>
        <v/>
      </c>
      <c r="S2176" s="32" t="str">
        <f aca="false">IF(R2176="","",SUMPRODUCT((I$5:I$4004=I2176)*ISNUMBER(R$5:R$4004)*(R$5:R$4004&gt;R2176))+1)</f>
        <v/>
      </c>
      <c r="T2176" s="32" t="str">
        <f aca="false">IF(S2176="","",IF(S2176&lt;=Setup!$B$5,"🏆 WINNER",""))</f>
        <v/>
      </c>
      <c r="U2176" s="31" t="str">
        <f aca="false">IF(S2176="","",I2176&amp;"|"&amp;S2176)</f>
        <v/>
      </c>
    </row>
    <row r="2177" customFormat="false" ht="15" hidden="false" customHeight="false" outlineLevel="0" collapsed="false">
      <c r="A2177" s="24" t="n">
        <v>2173</v>
      </c>
      <c r="B2177" s="25" t="str">
        <f aca="false">IF(OR(C2177="",I2177="",G2177=""),"",IFERROR(VLOOKUP(I2177,Setup!$A$9:$B$11,2,0),"???")&amp;"-"&amp;G2177&amp;"-"&amp;TEXT(COUNTIFS(I$5:I2177,I2177,G$5:G2177,G2177),"0000"))</f>
        <v/>
      </c>
      <c r="C2177" s="26"/>
      <c r="D2177" s="26"/>
      <c r="E2177" s="27"/>
      <c r="F2177" s="27"/>
      <c r="G2177" s="24" t="str">
        <f aca="false">IF(F2177="","",IF(F2177&lt;=5,"A",IF(F2177&lt;=8,"B",IF(F2177&lt;=10,"C","D"))))</f>
        <v/>
      </c>
      <c r="H2177" s="28"/>
      <c r="I2177" s="27"/>
      <c r="J2177" s="26"/>
      <c r="K2177" s="27"/>
      <c r="L2177" s="27"/>
      <c r="M2177" s="27"/>
      <c r="N2177" s="27"/>
      <c r="O2177" s="24" t="str">
        <f aca="false">IF(G2177="","",VLOOKUP(G2177,Setup!$A$14:$C$17,3,0))</f>
        <v/>
      </c>
      <c r="P2177" s="27"/>
      <c r="Q2177" s="29" t="str">
        <f aca="false">IF(OR(P2177="",M2177&lt;&gt;"Paid",O2177=""),"",P2177/O2177)</f>
        <v/>
      </c>
      <c r="R2177" s="30" t="str">
        <f aca="false">IF(Q2177="","",Q2177+N(H2177)*0.000000001)</f>
        <v/>
      </c>
      <c r="S2177" s="25" t="str">
        <f aca="false">IF(R2177="","",SUMPRODUCT((I$5:I$4004=I2177)*ISNUMBER(R$5:R$4004)*(R$5:R$4004&gt;R2177))+1)</f>
        <v/>
      </c>
      <c r="T2177" s="25" t="str">
        <f aca="false">IF(S2177="","",IF(S2177&lt;=Setup!$B$5,"🏆 WINNER",""))</f>
        <v/>
      </c>
      <c r="U2177" s="24" t="str">
        <f aca="false">IF(S2177="","",I2177&amp;"|"&amp;S2177)</f>
        <v/>
      </c>
    </row>
    <row r="2178" customFormat="false" ht="15" hidden="false" customHeight="false" outlineLevel="0" collapsed="false">
      <c r="A2178" s="31" t="n">
        <v>2174</v>
      </c>
      <c r="B2178" s="32" t="str">
        <f aca="false">IF(OR(C2178="",I2178="",G2178=""),"",IFERROR(VLOOKUP(I2178,Setup!$A$9:$B$11,2,0),"???")&amp;"-"&amp;G2178&amp;"-"&amp;TEXT(COUNTIFS(I$5:I2178,I2178,G$5:G2178,G2178),"0000"))</f>
        <v/>
      </c>
      <c r="C2178" s="26"/>
      <c r="D2178" s="26"/>
      <c r="E2178" s="27"/>
      <c r="F2178" s="27"/>
      <c r="G2178" s="31" t="str">
        <f aca="false">IF(F2178="","",IF(F2178&lt;=5,"A",IF(F2178&lt;=8,"B",IF(F2178&lt;=10,"C","D"))))</f>
        <v/>
      </c>
      <c r="H2178" s="28"/>
      <c r="I2178" s="27"/>
      <c r="J2178" s="26"/>
      <c r="K2178" s="27"/>
      <c r="L2178" s="27"/>
      <c r="M2178" s="27"/>
      <c r="N2178" s="27"/>
      <c r="O2178" s="31" t="str">
        <f aca="false">IF(G2178="","",VLOOKUP(G2178,Setup!$A$14:$C$17,3,0))</f>
        <v/>
      </c>
      <c r="P2178" s="27"/>
      <c r="Q2178" s="33" t="str">
        <f aca="false">IF(OR(P2178="",M2178&lt;&gt;"Paid",O2178=""),"",P2178/O2178)</f>
        <v/>
      </c>
      <c r="R2178" s="34" t="str">
        <f aca="false">IF(Q2178="","",Q2178+N(H2178)*0.000000001)</f>
        <v/>
      </c>
      <c r="S2178" s="32" t="str">
        <f aca="false">IF(R2178="","",SUMPRODUCT((I$5:I$4004=I2178)*ISNUMBER(R$5:R$4004)*(R$5:R$4004&gt;R2178))+1)</f>
        <v/>
      </c>
      <c r="T2178" s="32" t="str">
        <f aca="false">IF(S2178="","",IF(S2178&lt;=Setup!$B$5,"🏆 WINNER",""))</f>
        <v/>
      </c>
      <c r="U2178" s="31" t="str">
        <f aca="false">IF(S2178="","",I2178&amp;"|"&amp;S2178)</f>
        <v/>
      </c>
    </row>
    <row r="2179" customFormat="false" ht="15" hidden="false" customHeight="false" outlineLevel="0" collapsed="false">
      <c r="A2179" s="24" t="n">
        <v>2175</v>
      </c>
      <c r="B2179" s="25" t="str">
        <f aca="false">IF(OR(C2179="",I2179="",G2179=""),"",IFERROR(VLOOKUP(I2179,Setup!$A$9:$B$11,2,0),"???")&amp;"-"&amp;G2179&amp;"-"&amp;TEXT(COUNTIFS(I$5:I2179,I2179,G$5:G2179,G2179),"0000"))</f>
        <v/>
      </c>
      <c r="C2179" s="26"/>
      <c r="D2179" s="26"/>
      <c r="E2179" s="27"/>
      <c r="F2179" s="27"/>
      <c r="G2179" s="24" t="str">
        <f aca="false">IF(F2179="","",IF(F2179&lt;=5,"A",IF(F2179&lt;=8,"B",IF(F2179&lt;=10,"C","D"))))</f>
        <v/>
      </c>
      <c r="H2179" s="28"/>
      <c r="I2179" s="27"/>
      <c r="J2179" s="26"/>
      <c r="K2179" s="27"/>
      <c r="L2179" s="27"/>
      <c r="M2179" s="27"/>
      <c r="N2179" s="27"/>
      <c r="O2179" s="24" t="str">
        <f aca="false">IF(G2179="","",VLOOKUP(G2179,Setup!$A$14:$C$17,3,0))</f>
        <v/>
      </c>
      <c r="P2179" s="27"/>
      <c r="Q2179" s="29" t="str">
        <f aca="false">IF(OR(P2179="",M2179&lt;&gt;"Paid",O2179=""),"",P2179/O2179)</f>
        <v/>
      </c>
      <c r="R2179" s="30" t="str">
        <f aca="false">IF(Q2179="","",Q2179+N(H2179)*0.000000001)</f>
        <v/>
      </c>
      <c r="S2179" s="25" t="str">
        <f aca="false">IF(R2179="","",SUMPRODUCT((I$5:I$4004=I2179)*ISNUMBER(R$5:R$4004)*(R$5:R$4004&gt;R2179))+1)</f>
        <v/>
      </c>
      <c r="T2179" s="25" t="str">
        <f aca="false">IF(S2179="","",IF(S2179&lt;=Setup!$B$5,"🏆 WINNER",""))</f>
        <v/>
      </c>
      <c r="U2179" s="24" t="str">
        <f aca="false">IF(S2179="","",I2179&amp;"|"&amp;S2179)</f>
        <v/>
      </c>
    </row>
    <row r="2180" customFormat="false" ht="15" hidden="false" customHeight="false" outlineLevel="0" collapsed="false">
      <c r="A2180" s="31" t="n">
        <v>2176</v>
      </c>
      <c r="B2180" s="32" t="str">
        <f aca="false">IF(OR(C2180="",I2180="",G2180=""),"",IFERROR(VLOOKUP(I2180,Setup!$A$9:$B$11,2,0),"???")&amp;"-"&amp;G2180&amp;"-"&amp;TEXT(COUNTIFS(I$5:I2180,I2180,G$5:G2180,G2180),"0000"))</f>
        <v/>
      </c>
      <c r="C2180" s="26"/>
      <c r="D2180" s="26"/>
      <c r="E2180" s="27"/>
      <c r="F2180" s="27"/>
      <c r="G2180" s="31" t="str">
        <f aca="false">IF(F2180="","",IF(F2180&lt;=5,"A",IF(F2180&lt;=8,"B",IF(F2180&lt;=10,"C","D"))))</f>
        <v/>
      </c>
      <c r="H2180" s="28"/>
      <c r="I2180" s="27"/>
      <c r="J2180" s="26"/>
      <c r="K2180" s="27"/>
      <c r="L2180" s="27"/>
      <c r="M2180" s="27"/>
      <c r="N2180" s="27"/>
      <c r="O2180" s="31" t="str">
        <f aca="false">IF(G2180="","",VLOOKUP(G2180,Setup!$A$14:$C$17,3,0))</f>
        <v/>
      </c>
      <c r="P2180" s="27"/>
      <c r="Q2180" s="33" t="str">
        <f aca="false">IF(OR(P2180="",M2180&lt;&gt;"Paid",O2180=""),"",P2180/O2180)</f>
        <v/>
      </c>
      <c r="R2180" s="34" t="str">
        <f aca="false">IF(Q2180="","",Q2180+N(H2180)*0.000000001)</f>
        <v/>
      </c>
      <c r="S2180" s="32" t="str">
        <f aca="false">IF(R2180="","",SUMPRODUCT((I$5:I$4004=I2180)*ISNUMBER(R$5:R$4004)*(R$5:R$4004&gt;R2180))+1)</f>
        <v/>
      </c>
      <c r="T2180" s="32" t="str">
        <f aca="false">IF(S2180="","",IF(S2180&lt;=Setup!$B$5,"🏆 WINNER",""))</f>
        <v/>
      </c>
      <c r="U2180" s="31" t="str">
        <f aca="false">IF(S2180="","",I2180&amp;"|"&amp;S2180)</f>
        <v/>
      </c>
    </row>
    <row r="2181" customFormat="false" ht="15" hidden="false" customHeight="false" outlineLevel="0" collapsed="false">
      <c r="A2181" s="24" t="n">
        <v>2177</v>
      </c>
      <c r="B2181" s="25" t="str">
        <f aca="false">IF(OR(C2181="",I2181="",G2181=""),"",IFERROR(VLOOKUP(I2181,Setup!$A$9:$B$11,2,0),"???")&amp;"-"&amp;G2181&amp;"-"&amp;TEXT(COUNTIFS(I$5:I2181,I2181,G$5:G2181,G2181),"0000"))</f>
        <v/>
      </c>
      <c r="C2181" s="26"/>
      <c r="D2181" s="26"/>
      <c r="E2181" s="27"/>
      <c r="F2181" s="27"/>
      <c r="G2181" s="24" t="str">
        <f aca="false">IF(F2181="","",IF(F2181&lt;=5,"A",IF(F2181&lt;=8,"B",IF(F2181&lt;=10,"C","D"))))</f>
        <v/>
      </c>
      <c r="H2181" s="28"/>
      <c r="I2181" s="27"/>
      <c r="J2181" s="26"/>
      <c r="K2181" s="27"/>
      <c r="L2181" s="27"/>
      <c r="M2181" s="27"/>
      <c r="N2181" s="27"/>
      <c r="O2181" s="24" t="str">
        <f aca="false">IF(G2181="","",VLOOKUP(G2181,Setup!$A$14:$C$17,3,0))</f>
        <v/>
      </c>
      <c r="P2181" s="27"/>
      <c r="Q2181" s="29" t="str">
        <f aca="false">IF(OR(P2181="",M2181&lt;&gt;"Paid",O2181=""),"",P2181/O2181)</f>
        <v/>
      </c>
      <c r="R2181" s="30" t="str">
        <f aca="false">IF(Q2181="","",Q2181+N(H2181)*0.000000001)</f>
        <v/>
      </c>
      <c r="S2181" s="25" t="str">
        <f aca="false">IF(R2181="","",SUMPRODUCT((I$5:I$4004=I2181)*ISNUMBER(R$5:R$4004)*(R$5:R$4004&gt;R2181))+1)</f>
        <v/>
      </c>
      <c r="T2181" s="25" t="str">
        <f aca="false">IF(S2181="","",IF(S2181&lt;=Setup!$B$5,"🏆 WINNER",""))</f>
        <v/>
      </c>
      <c r="U2181" s="24" t="str">
        <f aca="false">IF(S2181="","",I2181&amp;"|"&amp;S2181)</f>
        <v/>
      </c>
    </row>
    <row r="2182" customFormat="false" ht="15" hidden="false" customHeight="false" outlineLevel="0" collapsed="false">
      <c r="A2182" s="31" t="n">
        <v>2178</v>
      </c>
      <c r="B2182" s="32" t="str">
        <f aca="false">IF(OR(C2182="",I2182="",G2182=""),"",IFERROR(VLOOKUP(I2182,Setup!$A$9:$B$11,2,0),"???")&amp;"-"&amp;G2182&amp;"-"&amp;TEXT(COUNTIFS(I$5:I2182,I2182,G$5:G2182,G2182),"0000"))</f>
        <v/>
      </c>
      <c r="C2182" s="26"/>
      <c r="D2182" s="26"/>
      <c r="E2182" s="27"/>
      <c r="F2182" s="27"/>
      <c r="G2182" s="31" t="str">
        <f aca="false">IF(F2182="","",IF(F2182&lt;=5,"A",IF(F2182&lt;=8,"B",IF(F2182&lt;=10,"C","D"))))</f>
        <v/>
      </c>
      <c r="H2182" s="28"/>
      <c r="I2182" s="27"/>
      <c r="J2182" s="26"/>
      <c r="K2182" s="27"/>
      <c r="L2182" s="27"/>
      <c r="M2182" s="27"/>
      <c r="N2182" s="27"/>
      <c r="O2182" s="31" t="str">
        <f aca="false">IF(G2182="","",VLOOKUP(G2182,Setup!$A$14:$C$17,3,0))</f>
        <v/>
      </c>
      <c r="P2182" s="27"/>
      <c r="Q2182" s="33" t="str">
        <f aca="false">IF(OR(P2182="",M2182&lt;&gt;"Paid",O2182=""),"",P2182/O2182)</f>
        <v/>
      </c>
      <c r="R2182" s="34" t="str">
        <f aca="false">IF(Q2182="","",Q2182+N(H2182)*0.000000001)</f>
        <v/>
      </c>
      <c r="S2182" s="32" t="str">
        <f aca="false">IF(R2182="","",SUMPRODUCT((I$5:I$4004=I2182)*ISNUMBER(R$5:R$4004)*(R$5:R$4004&gt;R2182))+1)</f>
        <v/>
      </c>
      <c r="T2182" s="32" t="str">
        <f aca="false">IF(S2182="","",IF(S2182&lt;=Setup!$B$5,"🏆 WINNER",""))</f>
        <v/>
      </c>
      <c r="U2182" s="31" t="str">
        <f aca="false">IF(S2182="","",I2182&amp;"|"&amp;S2182)</f>
        <v/>
      </c>
    </row>
    <row r="2183" customFormat="false" ht="15" hidden="false" customHeight="false" outlineLevel="0" collapsed="false">
      <c r="A2183" s="24" t="n">
        <v>2179</v>
      </c>
      <c r="B2183" s="25" t="str">
        <f aca="false">IF(OR(C2183="",I2183="",G2183=""),"",IFERROR(VLOOKUP(I2183,Setup!$A$9:$B$11,2,0),"???")&amp;"-"&amp;G2183&amp;"-"&amp;TEXT(COUNTIFS(I$5:I2183,I2183,G$5:G2183,G2183),"0000"))</f>
        <v/>
      </c>
      <c r="C2183" s="26"/>
      <c r="D2183" s="26"/>
      <c r="E2183" s="27"/>
      <c r="F2183" s="27"/>
      <c r="G2183" s="24" t="str">
        <f aca="false">IF(F2183="","",IF(F2183&lt;=5,"A",IF(F2183&lt;=8,"B",IF(F2183&lt;=10,"C","D"))))</f>
        <v/>
      </c>
      <c r="H2183" s="28"/>
      <c r="I2183" s="27"/>
      <c r="J2183" s="26"/>
      <c r="K2183" s="27"/>
      <c r="L2183" s="27"/>
      <c r="M2183" s="27"/>
      <c r="N2183" s="27"/>
      <c r="O2183" s="24" t="str">
        <f aca="false">IF(G2183="","",VLOOKUP(G2183,Setup!$A$14:$C$17,3,0))</f>
        <v/>
      </c>
      <c r="P2183" s="27"/>
      <c r="Q2183" s="29" t="str">
        <f aca="false">IF(OR(P2183="",M2183&lt;&gt;"Paid",O2183=""),"",P2183/O2183)</f>
        <v/>
      </c>
      <c r="R2183" s="30" t="str">
        <f aca="false">IF(Q2183="","",Q2183+N(H2183)*0.000000001)</f>
        <v/>
      </c>
      <c r="S2183" s="25" t="str">
        <f aca="false">IF(R2183="","",SUMPRODUCT((I$5:I$4004=I2183)*ISNUMBER(R$5:R$4004)*(R$5:R$4004&gt;R2183))+1)</f>
        <v/>
      </c>
      <c r="T2183" s="25" t="str">
        <f aca="false">IF(S2183="","",IF(S2183&lt;=Setup!$B$5,"🏆 WINNER",""))</f>
        <v/>
      </c>
      <c r="U2183" s="24" t="str">
        <f aca="false">IF(S2183="","",I2183&amp;"|"&amp;S2183)</f>
        <v/>
      </c>
    </row>
    <row r="2184" customFormat="false" ht="15" hidden="false" customHeight="false" outlineLevel="0" collapsed="false">
      <c r="A2184" s="31" t="n">
        <v>2180</v>
      </c>
      <c r="B2184" s="32" t="str">
        <f aca="false">IF(OR(C2184="",I2184="",G2184=""),"",IFERROR(VLOOKUP(I2184,Setup!$A$9:$B$11,2,0),"???")&amp;"-"&amp;G2184&amp;"-"&amp;TEXT(COUNTIFS(I$5:I2184,I2184,G$5:G2184,G2184),"0000"))</f>
        <v/>
      </c>
      <c r="C2184" s="26"/>
      <c r="D2184" s="26"/>
      <c r="E2184" s="27"/>
      <c r="F2184" s="27"/>
      <c r="G2184" s="31" t="str">
        <f aca="false">IF(F2184="","",IF(F2184&lt;=5,"A",IF(F2184&lt;=8,"B",IF(F2184&lt;=10,"C","D"))))</f>
        <v/>
      </c>
      <c r="H2184" s="28"/>
      <c r="I2184" s="27"/>
      <c r="J2184" s="26"/>
      <c r="K2184" s="27"/>
      <c r="L2184" s="27"/>
      <c r="M2184" s="27"/>
      <c r="N2184" s="27"/>
      <c r="O2184" s="31" t="str">
        <f aca="false">IF(G2184="","",VLOOKUP(G2184,Setup!$A$14:$C$17,3,0))</f>
        <v/>
      </c>
      <c r="P2184" s="27"/>
      <c r="Q2184" s="33" t="str">
        <f aca="false">IF(OR(P2184="",M2184&lt;&gt;"Paid",O2184=""),"",P2184/O2184)</f>
        <v/>
      </c>
      <c r="R2184" s="34" t="str">
        <f aca="false">IF(Q2184="","",Q2184+N(H2184)*0.000000001)</f>
        <v/>
      </c>
      <c r="S2184" s="32" t="str">
        <f aca="false">IF(R2184="","",SUMPRODUCT((I$5:I$4004=I2184)*ISNUMBER(R$5:R$4004)*(R$5:R$4004&gt;R2184))+1)</f>
        <v/>
      </c>
      <c r="T2184" s="32" t="str">
        <f aca="false">IF(S2184="","",IF(S2184&lt;=Setup!$B$5,"🏆 WINNER",""))</f>
        <v/>
      </c>
      <c r="U2184" s="31" t="str">
        <f aca="false">IF(S2184="","",I2184&amp;"|"&amp;S2184)</f>
        <v/>
      </c>
    </row>
    <row r="2185" customFormat="false" ht="15" hidden="false" customHeight="false" outlineLevel="0" collapsed="false">
      <c r="A2185" s="24" t="n">
        <v>2181</v>
      </c>
      <c r="B2185" s="25" t="str">
        <f aca="false">IF(OR(C2185="",I2185="",G2185=""),"",IFERROR(VLOOKUP(I2185,Setup!$A$9:$B$11,2,0),"???")&amp;"-"&amp;G2185&amp;"-"&amp;TEXT(COUNTIFS(I$5:I2185,I2185,G$5:G2185,G2185),"0000"))</f>
        <v/>
      </c>
      <c r="C2185" s="26"/>
      <c r="D2185" s="26"/>
      <c r="E2185" s="27"/>
      <c r="F2185" s="27"/>
      <c r="G2185" s="24" t="str">
        <f aca="false">IF(F2185="","",IF(F2185&lt;=5,"A",IF(F2185&lt;=8,"B",IF(F2185&lt;=10,"C","D"))))</f>
        <v/>
      </c>
      <c r="H2185" s="28"/>
      <c r="I2185" s="27"/>
      <c r="J2185" s="26"/>
      <c r="K2185" s="27"/>
      <c r="L2185" s="27"/>
      <c r="M2185" s="27"/>
      <c r="N2185" s="27"/>
      <c r="O2185" s="24" t="str">
        <f aca="false">IF(G2185="","",VLOOKUP(G2185,Setup!$A$14:$C$17,3,0))</f>
        <v/>
      </c>
      <c r="P2185" s="27"/>
      <c r="Q2185" s="29" t="str">
        <f aca="false">IF(OR(P2185="",M2185&lt;&gt;"Paid",O2185=""),"",P2185/O2185)</f>
        <v/>
      </c>
      <c r="R2185" s="30" t="str">
        <f aca="false">IF(Q2185="","",Q2185+N(H2185)*0.000000001)</f>
        <v/>
      </c>
      <c r="S2185" s="25" t="str">
        <f aca="false">IF(R2185="","",SUMPRODUCT((I$5:I$4004=I2185)*ISNUMBER(R$5:R$4004)*(R$5:R$4004&gt;R2185))+1)</f>
        <v/>
      </c>
      <c r="T2185" s="25" t="str">
        <f aca="false">IF(S2185="","",IF(S2185&lt;=Setup!$B$5,"🏆 WINNER",""))</f>
        <v/>
      </c>
      <c r="U2185" s="24" t="str">
        <f aca="false">IF(S2185="","",I2185&amp;"|"&amp;S2185)</f>
        <v/>
      </c>
    </row>
    <row r="2186" customFormat="false" ht="15" hidden="false" customHeight="false" outlineLevel="0" collapsed="false">
      <c r="A2186" s="31" t="n">
        <v>2182</v>
      </c>
      <c r="B2186" s="32" t="str">
        <f aca="false">IF(OR(C2186="",I2186="",G2186=""),"",IFERROR(VLOOKUP(I2186,Setup!$A$9:$B$11,2,0),"???")&amp;"-"&amp;G2186&amp;"-"&amp;TEXT(COUNTIFS(I$5:I2186,I2186,G$5:G2186,G2186),"0000"))</f>
        <v/>
      </c>
      <c r="C2186" s="26"/>
      <c r="D2186" s="26"/>
      <c r="E2186" s="27"/>
      <c r="F2186" s="27"/>
      <c r="G2186" s="31" t="str">
        <f aca="false">IF(F2186="","",IF(F2186&lt;=5,"A",IF(F2186&lt;=8,"B",IF(F2186&lt;=10,"C","D"))))</f>
        <v/>
      </c>
      <c r="H2186" s="28"/>
      <c r="I2186" s="27"/>
      <c r="J2186" s="26"/>
      <c r="K2186" s="27"/>
      <c r="L2186" s="27"/>
      <c r="M2186" s="27"/>
      <c r="N2186" s="27"/>
      <c r="O2186" s="31" t="str">
        <f aca="false">IF(G2186="","",VLOOKUP(G2186,Setup!$A$14:$C$17,3,0))</f>
        <v/>
      </c>
      <c r="P2186" s="27"/>
      <c r="Q2186" s="33" t="str">
        <f aca="false">IF(OR(P2186="",M2186&lt;&gt;"Paid",O2186=""),"",P2186/O2186)</f>
        <v/>
      </c>
      <c r="R2186" s="34" t="str">
        <f aca="false">IF(Q2186="","",Q2186+N(H2186)*0.000000001)</f>
        <v/>
      </c>
      <c r="S2186" s="32" t="str">
        <f aca="false">IF(R2186="","",SUMPRODUCT((I$5:I$4004=I2186)*ISNUMBER(R$5:R$4004)*(R$5:R$4004&gt;R2186))+1)</f>
        <v/>
      </c>
      <c r="T2186" s="32" t="str">
        <f aca="false">IF(S2186="","",IF(S2186&lt;=Setup!$B$5,"🏆 WINNER",""))</f>
        <v/>
      </c>
      <c r="U2186" s="31" t="str">
        <f aca="false">IF(S2186="","",I2186&amp;"|"&amp;S2186)</f>
        <v/>
      </c>
    </row>
    <row r="2187" customFormat="false" ht="15" hidden="false" customHeight="false" outlineLevel="0" collapsed="false">
      <c r="A2187" s="24" t="n">
        <v>2183</v>
      </c>
      <c r="B2187" s="25" t="str">
        <f aca="false">IF(OR(C2187="",I2187="",G2187=""),"",IFERROR(VLOOKUP(I2187,Setup!$A$9:$B$11,2,0),"???")&amp;"-"&amp;G2187&amp;"-"&amp;TEXT(COUNTIFS(I$5:I2187,I2187,G$5:G2187,G2187),"0000"))</f>
        <v/>
      </c>
      <c r="C2187" s="26"/>
      <c r="D2187" s="26"/>
      <c r="E2187" s="27"/>
      <c r="F2187" s="27"/>
      <c r="G2187" s="24" t="str">
        <f aca="false">IF(F2187="","",IF(F2187&lt;=5,"A",IF(F2187&lt;=8,"B",IF(F2187&lt;=10,"C","D"))))</f>
        <v/>
      </c>
      <c r="H2187" s="28"/>
      <c r="I2187" s="27"/>
      <c r="J2187" s="26"/>
      <c r="K2187" s="27"/>
      <c r="L2187" s="27"/>
      <c r="M2187" s="27"/>
      <c r="N2187" s="27"/>
      <c r="O2187" s="24" t="str">
        <f aca="false">IF(G2187="","",VLOOKUP(G2187,Setup!$A$14:$C$17,3,0))</f>
        <v/>
      </c>
      <c r="P2187" s="27"/>
      <c r="Q2187" s="29" t="str">
        <f aca="false">IF(OR(P2187="",M2187&lt;&gt;"Paid",O2187=""),"",P2187/O2187)</f>
        <v/>
      </c>
      <c r="R2187" s="30" t="str">
        <f aca="false">IF(Q2187="","",Q2187+N(H2187)*0.000000001)</f>
        <v/>
      </c>
      <c r="S2187" s="25" t="str">
        <f aca="false">IF(R2187="","",SUMPRODUCT((I$5:I$4004=I2187)*ISNUMBER(R$5:R$4004)*(R$5:R$4004&gt;R2187))+1)</f>
        <v/>
      </c>
      <c r="T2187" s="25" t="str">
        <f aca="false">IF(S2187="","",IF(S2187&lt;=Setup!$B$5,"🏆 WINNER",""))</f>
        <v/>
      </c>
      <c r="U2187" s="24" t="str">
        <f aca="false">IF(S2187="","",I2187&amp;"|"&amp;S2187)</f>
        <v/>
      </c>
    </row>
    <row r="2188" customFormat="false" ht="15" hidden="false" customHeight="false" outlineLevel="0" collapsed="false">
      <c r="A2188" s="31" t="n">
        <v>2184</v>
      </c>
      <c r="B2188" s="32" t="str">
        <f aca="false">IF(OR(C2188="",I2188="",G2188=""),"",IFERROR(VLOOKUP(I2188,Setup!$A$9:$B$11,2,0),"???")&amp;"-"&amp;G2188&amp;"-"&amp;TEXT(COUNTIFS(I$5:I2188,I2188,G$5:G2188,G2188),"0000"))</f>
        <v/>
      </c>
      <c r="C2188" s="26"/>
      <c r="D2188" s="26"/>
      <c r="E2188" s="27"/>
      <c r="F2188" s="27"/>
      <c r="G2188" s="31" t="str">
        <f aca="false">IF(F2188="","",IF(F2188&lt;=5,"A",IF(F2188&lt;=8,"B",IF(F2188&lt;=10,"C","D"))))</f>
        <v/>
      </c>
      <c r="H2188" s="28"/>
      <c r="I2188" s="27"/>
      <c r="J2188" s="26"/>
      <c r="K2188" s="27"/>
      <c r="L2188" s="27"/>
      <c r="M2188" s="27"/>
      <c r="N2188" s="27"/>
      <c r="O2188" s="31" t="str">
        <f aca="false">IF(G2188="","",VLOOKUP(G2188,Setup!$A$14:$C$17,3,0))</f>
        <v/>
      </c>
      <c r="P2188" s="27"/>
      <c r="Q2188" s="33" t="str">
        <f aca="false">IF(OR(P2188="",M2188&lt;&gt;"Paid",O2188=""),"",P2188/O2188)</f>
        <v/>
      </c>
      <c r="R2188" s="34" t="str">
        <f aca="false">IF(Q2188="","",Q2188+N(H2188)*0.000000001)</f>
        <v/>
      </c>
      <c r="S2188" s="32" t="str">
        <f aca="false">IF(R2188="","",SUMPRODUCT((I$5:I$4004=I2188)*ISNUMBER(R$5:R$4004)*(R$5:R$4004&gt;R2188))+1)</f>
        <v/>
      </c>
      <c r="T2188" s="32" t="str">
        <f aca="false">IF(S2188="","",IF(S2188&lt;=Setup!$B$5,"🏆 WINNER",""))</f>
        <v/>
      </c>
      <c r="U2188" s="31" t="str">
        <f aca="false">IF(S2188="","",I2188&amp;"|"&amp;S2188)</f>
        <v/>
      </c>
    </row>
    <row r="2189" customFormat="false" ht="15" hidden="false" customHeight="false" outlineLevel="0" collapsed="false">
      <c r="A2189" s="24" t="n">
        <v>2185</v>
      </c>
      <c r="B2189" s="25" t="str">
        <f aca="false">IF(OR(C2189="",I2189="",G2189=""),"",IFERROR(VLOOKUP(I2189,Setup!$A$9:$B$11,2,0),"???")&amp;"-"&amp;G2189&amp;"-"&amp;TEXT(COUNTIFS(I$5:I2189,I2189,G$5:G2189,G2189),"0000"))</f>
        <v/>
      </c>
      <c r="C2189" s="26"/>
      <c r="D2189" s="26"/>
      <c r="E2189" s="27"/>
      <c r="F2189" s="27"/>
      <c r="G2189" s="24" t="str">
        <f aca="false">IF(F2189="","",IF(F2189&lt;=5,"A",IF(F2189&lt;=8,"B",IF(F2189&lt;=10,"C","D"))))</f>
        <v/>
      </c>
      <c r="H2189" s="28"/>
      <c r="I2189" s="27"/>
      <c r="J2189" s="26"/>
      <c r="K2189" s="27"/>
      <c r="L2189" s="27"/>
      <c r="M2189" s="27"/>
      <c r="N2189" s="27"/>
      <c r="O2189" s="24" t="str">
        <f aca="false">IF(G2189="","",VLOOKUP(G2189,Setup!$A$14:$C$17,3,0))</f>
        <v/>
      </c>
      <c r="P2189" s="27"/>
      <c r="Q2189" s="29" t="str">
        <f aca="false">IF(OR(P2189="",M2189&lt;&gt;"Paid",O2189=""),"",P2189/O2189)</f>
        <v/>
      </c>
      <c r="R2189" s="30" t="str">
        <f aca="false">IF(Q2189="","",Q2189+N(H2189)*0.000000001)</f>
        <v/>
      </c>
      <c r="S2189" s="25" t="str">
        <f aca="false">IF(R2189="","",SUMPRODUCT((I$5:I$4004=I2189)*ISNUMBER(R$5:R$4004)*(R$5:R$4004&gt;R2189))+1)</f>
        <v/>
      </c>
      <c r="T2189" s="25" t="str">
        <f aca="false">IF(S2189="","",IF(S2189&lt;=Setup!$B$5,"🏆 WINNER",""))</f>
        <v/>
      </c>
      <c r="U2189" s="24" t="str">
        <f aca="false">IF(S2189="","",I2189&amp;"|"&amp;S2189)</f>
        <v/>
      </c>
    </row>
    <row r="2190" customFormat="false" ht="15" hidden="false" customHeight="false" outlineLevel="0" collapsed="false">
      <c r="A2190" s="31" t="n">
        <v>2186</v>
      </c>
      <c r="B2190" s="32" t="str">
        <f aca="false">IF(OR(C2190="",I2190="",G2190=""),"",IFERROR(VLOOKUP(I2190,Setup!$A$9:$B$11,2,0),"???")&amp;"-"&amp;G2190&amp;"-"&amp;TEXT(COUNTIFS(I$5:I2190,I2190,G$5:G2190,G2190),"0000"))</f>
        <v/>
      </c>
      <c r="C2190" s="26"/>
      <c r="D2190" s="26"/>
      <c r="E2190" s="27"/>
      <c r="F2190" s="27"/>
      <c r="G2190" s="31" t="str">
        <f aca="false">IF(F2190="","",IF(F2190&lt;=5,"A",IF(F2190&lt;=8,"B",IF(F2190&lt;=10,"C","D"))))</f>
        <v/>
      </c>
      <c r="H2190" s="28"/>
      <c r="I2190" s="27"/>
      <c r="J2190" s="26"/>
      <c r="K2190" s="27"/>
      <c r="L2190" s="27"/>
      <c r="M2190" s="27"/>
      <c r="N2190" s="27"/>
      <c r="O2190" s="31" t="str">
        <f aca="false">IF(G2190="","",VLOOKUP(G2190,Setup!$A$14:$C$17,3,0))</f>
        <v/>
      </c>
      <c r="P2190" s="27"/>
      <c r="Q2190" s="33" t="str">
        <f aca="false">IF(OR(P2190="",M2190&lt;&gt;"Paid",O2190=""),"",P2190/O2190)</f>
        <v/>
      </c>
      <c r="R2190" s="34" t="str">
        <f aca="false">IF(Q2190="","",Q2190+N(H2190)*0.000000001)</f>
        <v/>
      </c>
      <c r="S2190" s="32" t="str">
        <f aca="false">IF(R2190="","",SUMPRODUCT((I$5:I$4004=I2190)*ISNUMBER(R$5:R$4004)*(R$5:R$4004&gt;R2190))+1)</f>
        <v/>
      </c>
      <c r="T2190" s="32" t="str">
        <f aca="false">IF(S2190="","",IF(S2190&lt;=Setup!$B$5,"🏆 WINNER",""))</f>
        <v/>
      </c>
      <c r="U2190" s="31" t="str">
        <f aca="false">IF(S2190="","",I2190&amp;"|"&amp;S2190)</f>
        <v/>
      </c>
    </row>
    <row r="2191" customFormat="false" ht="15" hidden="false" customHeight="false" outlineLevel="0" collapsed="false">
      <c r="A2191" s="24" t="n">
        <v>2187</v>
      </c>
      <c r="B2191" s="25" t="str">
        <f aca="false">IF(OR(C2191="",I2191="",G2191=""),"",IFERROR(VLOOKUP(I2191,Setup!$A$9:$B$11,2,0),"???")&amp;"-"&amp;G2191&amp;"-"&amp;TEXT(COUNTIFS(I$5:I2191,I2191,G$5:G2191,G2191),"0000"))</f>
        <v/>
      </c>
      <c r="C2191" s="26"/>
      <c r="D2191" s="26"/>
      <c r="E2191" s="27"/>
      <c r="F2191" s="27"/>
      <c r="G2191" s="24" t="str">
        <f aca="false">IF(F2191="","",IF(F2191&lt;=5,"A",IF(F2191&lt;=8,"B",IF(F2191&lt;=10,"C","D"))))</f>
        <v/>
      </c>
      <c r="H2191" s="28"/>
      <c r="I2191" s="27"/>
      <c r="J2191" s="26"/>
      <c r="K2191" s="27"/>
      <c r="L2191" s="27"/>
      <c r="M2191" s="27"/>
      <c r="N2191" s="27"/>
      <c r="O2191" s="24" t="str">
        <f aca="false">IF(G2191="","",VLOOKUP(G2191,Setup!$A$14:$C$17,3,0))</f>
        <v/>
      </c>
      <c r="P2191" s="27"/>
      <c r="Q2191" s="29" t="str">
        <f aca="false">IF(OR(P2191="",M2191&lt;&gt;"Paid",O2191=""),"",P2191/O2191)</f>
        <v/>
      </c>
      <c r="R2191" s="30" t="str">
        <f aca="false">IF(Q2191="","",Q2191+N(H2191)*0.000000001)</f>
        <v/>
      </c>
      <c r="S2191" s="25" t="str">
        <f aca="false">IF(R2191="","",SUMPRODUCT((I$5:I$4004=I2191)*ISNUMBER(R$5:R$4004)*(R$5:R$4004&gt;R2191))+1)</f>
        <v/>
      </c>
      <c r="T2191" s="25" t="str">
        <f aca="false">IF(S2191="","",IF(S2191&lt;=Setup!$B$5,"🏆 WINNER",""))</f>
        <v/>
      </c>
      <c r="U2191" s="24" t="str">
        <f aca="false">IF(S2191="","",I2191&amp;"|"&amp;S2191)</f>
        <v/>
      </c>
    </row>
    <row r="2192" customFormat="false" ht="15" hidden="false" customHeight="false" outlineLevel="0" collapsed="false">
      <c r="A2192" s="31" t="n">
        <v>2188</v>
      </c>
      <c r="B2192" s="32" t="str">
        <f aca="false">IF(OR(C2192="",I2192="",G2192=""),"",IFERROR(VLOOKUP(I2192,Setup!$A$9:$B$11,2,0),"???")&amp;"-"&amp;G2192&amp;"-"&amp;TEXT(COUNTIFS(I$5:I2192,I2192,G$5:G2192,G2192),"0000"))</f>
        <v/>
      </c>
      <c r="C2192" s="26"/>
      <c r="D2192" s="26"/>
      <c r="E2192" s="27"/>
      <c r="F2192" s="27"/>
      <c r="G2192" s="31" t="str">
        <f aca="false">IF(F2192="","",IF(F2192&lt;=5,"A",IF(F2192&lt;=8,"B",IF(F2192&lt;=10,"C","D"))))</f>
        <v/>
      </c>
      <c r="H2192" s="28"/>
      <c r="I2192" s="27"/>
      <c r="J2192" s="26"/>
      <c r="K2192" s="27"/>
      <c r="L2192" s="27"/>
      <c r="M2192" s="27"/>
      <c r="N2192" s="27"/>
      <c r="O2192" s="31" t="str">
        <f aca="false">IF(G2192="","",VLOOKUP(G2192,Setup!$A$14:$C$17,3,0))</f>
        <v/>
      </c>
      <c r="P2192" s="27"/>
      <c r="Q2192" s="33" t="str">
        <f aca="false">IF(OR(P2192="",M2192&lt;&gt;"Paid",O2192=""),"",P2192/O2192)</f>
        <v/>
      </c>
      <c r="R2192" s="34" t="str">
        <f aca="false">IF(Q2192="","",Q2192+N(H2192)*0.000000001)</f>
        <v/>
      </c>
      <c r="S2192" s="32" t="str">
        <f aca="false">IF(R2192="","",SUMPRODUCT((I$5:I$4004=I2192)*ISNUMBER(R$5:R$4004)*(R$5:R$4004&gt;R2192))+1)</f>
        <v/>
      </c>
      <c r="T2192" s="32" t="str">
        <f aca="false">IF(S2192="","",IF(S2192&lt;=Setup!$B$5,"🏆 WINNER",""))</f>
        <v/>
      </c>
      <c r="U2192" s="31" t="str">
        <f aca="false">IF(S2192="","",I2192&amp;"|"&amp;S2192)</f>
        <v/>
      </c>
    </row>
    <row r="2193" customFormat="false" ht="15" hidden="false" customHeight="false" outlineLevel="0" collapsed="false">
      <c r="A2193" s="24" t="n">
        <v>2189</v>
      </c>
      <c r="B2193" s="25" t="str">
        <f aca="false">IF(OR(C2193="",I2193="",G2193=""),"",IFERROR(VLOOKUP(I2193,Setup!$A$9:$B$11,2,0),"???")&amp;"-"&amp;G2193&amp;"-"&amp;TEXT(COUNTIFS(I$5:I2193,I2193,G$5:G2193,G2193),"0000"))</f>
        <v/>
      </c>
      <c r="C2193" s="26"/>
      <c r="D2193" s="26"/>
      <c r="E2193" s="27"/>
      <c r="F2193" s="27"/>
      <c r="G2193" s="24" t="str">
        <f aca="false">IF(F2193="","",IF(F2193&lt;=5,"A",IF(F2193&lt;=8,"B",IF(F2193&lt;=10,"C","D"))))</f>
        <v/>
      </c>
      <c r="H2193" s="28"/>
      <c r="I2193" s="27"/>
      <c r="J2193" s="26"/>
      <c r="K2193" s="27"/>
      <c r="L2193" s="27"/>
      <c r="M2193" s="27"/>
      <c r="N2193" s="27"/>
      <c r="O2193" s="24" t="str">
        <f aca="false">IF(G2193="","",VLOOKUP(G2193,Setup!$A$14:$C$17,3,0))</f>
        <v/>
      </c>
      <c r="P2193" s="27"/>
      <c r="Q2193" s="29" t="str">
        <f aca="false">IF(OR(P2193="",M2193&lt;&gt;"Paid",O2193=""),"",P2193/O2193)</f>
        <v/>
      </c>
      <c r="R2193" s="30" t="str">
        <f aca="false">IF(Q2193="","",Q2193+N(H2193)*0.000000001)</f>
        <v/>
      </c>
      <c r="S2193" s="25" t="str">
        <f aca="false">IF(R2193="","",SUMPRODUCT((I$5:I$4004=I2193)*ISNUMBER(R$5:R$4004)*(R$5:R$4004&gt;R2193))+1)</f>
        <v/>
      </c>
      <c r="T2193" s="25" t="str">
        <f aca="false">IF(S2193="","",IF(S2193&lt;=Setup!$B$5,"🏆 WINNER",""))</f>
        <v/>
      </c>
      <c r="U2193" s="24" t="str">
        <f aca="false">IF(S2193="","",I2193&amp;"|"&amp;S2193)</f>
        <v/>
      </c>
    </row>
    <row r="2194" customFormat="false" ht="15" hidden="false" customHeight="false" outlineLevel="0" collapsed="false">
      <c r="A2194" s="31" t="n">
        <v>2190</v>
      </c>
      <c r="B2194" s="32" t="str">
        <f aca="false">IF(OR(C2194="",I2194="",G2194=""),"",IFERROR(VLOOKUP(I2194,Setup!$A$9:$B$11,2,0),"???")&amp;"-"&amp;G2194&amp;"-"&amp;TEXT(COUNTIFS(I$5:I2194,I2194,G$5:G2194,G2194),"0000"))</f>
        <v/>
      </c>
      <c r="C2194" s="26"/>
      <c r="D2194" s="26"/>
      <c r="E2194" s="27"/>
      <c r="F2194" s="27"/>
      <c r="G2194" s="31" t="str">
        <f aca="false">IF(F2194="","",IF(F2194&lt;=5,"A",IF(F2194&lt;=8,"B",IF(F2194&lt;=10,"C","D"))))</f>
        <v/>
      </c>
      <c r="H2194" s="28"/>
      <c r="I2194" s="27"/>
      <c r="J2194" s="26"/>
      <c r="K2194" s="27"/>
      <c r="L2194" s="27"/>
      <c r="M2194" s="27"/>
      <c r="N2194" s="27"/>
      <c r="O2194" s="31" t="str">
        <f aca="false">IF(G2194="","",VLOOKUP(G2194,Setup!$A$14:$C$17,3,0))</f>
        <v/>
      </c>
      <c r="P2194" s="27"/>
      <c r="Q2194" s="33" t="str">
        <f aca="false">IF(OR(P2194="",M2194&lt;&gt;"Paid",O2194=""),"",P2194/O2194)</f>
        <v/>
      </c>
      <c r="R2194" s="34" t="str">
        <f aca="false">IF(Q2194="","",Q2194+N(H2194)*0.000000001)</f>
        <v/>
      </c>
      <c r="S2194" s="32" t="str">
        <f aca="false">IF(R2194="","",SUMPRODUCT((I$5:I$4004=I2194)*ISNUMBER(R$5:R$4004)*(R$5:R$4004&gt;R2194))+1)</f>
        <v/>
      </c>
      <c r="T2194" s="32" t="str">
        <f aca="false">IF(S2194="","",IF(S2194&lt;=Setup!$B$5,"🏆 WINNER",""))</f>
        <v/>
      </c>
      <c r="U2194" s="31" t="str">
        <f aca="false">IF(S2194="","",I2194&amp;"|"&amp;S2194)</f>
        <v/>
      </c>
    </row>
    <row r="2195" customFormat="false" ht="15" hidden="false" customHeight="false" outlineLevel="0" collapsed="false">
      <c r="A2195" s="24" t="n">
        <v>2191</v>
      </c>
      <c r="B2195" s="25" t="str">
        <f aca="false">IF(OR(C2195="",I2195="",G2195=""),"",IFERROR(VLOOKUP(I2195,Setup!$A$9:$B$11,2,0),"???")&amp;"-"&amp;G2195&amp;"-"&amp;TEXT(COUNTIFS(I$5:I2195,I2195,G$5:G2195,G2195),"0000"))</f>
        <v/>
      </c>
      <c r="C2195" s="26"/>
      <c r="D2195" s="26"/>
      <c r="E2195" s="27"/>
      <c r="F2195" s="27"/>
      <c r="G2195" s="24" t="str">
        <f aca="false">IF(F2195="","",IF(F2195&lt;=5,"A",IF(F2195&lt;=8,"B",IF(F2195&lt;=10,"C","D"))))</f>
        <v/>
      </c>
      <c r="H2195" s="28"/>
      <c r="I2195" s="27"/>
      <c r="J2195" s="26"/>
      <c r="K2195" s="27"/>
      <c r="L2195" s="27"/>
      <c r="M2195" s="27"/>
      <c r="N2195" s="27"/>
      <c r="O2195" s="24" t="str">
        <f aca="false">IF(G2195="","",VLOOKUP(G2195,Setup!$A$14:$C$17,3,0))</f>
        <v/>
      </c>
      <c r="P2195" s="27"/>
      <c r="Q2195" s="29" t="str">
        <f aca="false">IF(OR(P2195="",M2195&lt;&gt;"Paid",O2195=""),"",P2195/O2195)</f>
        <v/>
      </c>
      <c r="R2195" s="30" t="str">
        <f aca="false">IF(Q2195="","",Q2195+N(H2195)*0.000000001)</f>
        <v/>
      </c>
      <c r="S2195" s="25" t="str">
        <f aca="false">IF(R2195="","",SUMPRODUCT((I$5:I$4004=I2195)*ISNUMBER(R$5:R$4004)*(R$5:R$4004&gt;R2195))+1)</f>
        <v/>
      </c>
      <c r="T2195" s="25" t="str">
        <f aca="false">IF(S2195="","",IF(S2195&lt;=Setup!$B$5,"🏆 WINNER",""))</f>
        <v/>
      </c>
      <c r="U2195" s="24" t="str">
        <f aca="false">IF(S2195="","",I2195&amp;"|"&amp;S2195)</f>
        <v/>
      </c>
    </row>
    <row r="2196" customFormat="false" ht="15" hidden="false" customHeight="false" outlineLevel="0" collapsed="false">
      <c r="A2196" s="31" t="n">
        <v>2192</v>
      </c>
      <c r="B2196" s="32" t="str">
        <f aca="false">IF(OR(C2196="",I2196="",G2196=""),"",IFERROR(VLOOKUP(I2196,Setup!$A$9:$B$11,2,0),"???")&amp;"-"&amp;G2196&amp;"-"&amp;TEXT(COUNTIFS(I$5:I2196,I2196,G$5:G2196,G2196),"0000"))</f>
        <v/>
      </c>
      <c r="C2196" s="26"/>
      <c r="D2196" s="26"/>
      <c r="E2196" s="27"/>
      <c r="F2196" s="27"/>
      <c r="G2196" s="31" t="str">
        <f aca="false">IF(F2196="","",IF(F2196&lt;=5,"A",IF(F2196&lt;=8,"B",IF(F2196&lt;=10,"C","D"))))</f>
        <v/>
      </c>
      <c r="H2196" s="28"/>
      <c r="I2196" s="27"/>
      <c r="J2196" s="26"/>
      <c r="K2196" s="27"/>
      <c r="L2196" s="27"/>
      <c r="M2196" s="27"/>
      <c r="N2196" s="27"/>
      <c r="O2196" s="31" t="str">
        <f aca="false">IF(G2196="","",VLOOKUP(G2196,Setup!$A$14:$C$17,3,0))</f>
        <v/>
      </c>
      <c r="P2196" s="27"/>
      <c r="Q2196" s="33" t="str">
        <f aca="false">IF(OR(P2196="",M2196&lt;&gt;"Paid",O2196=""),"",P2196/O2196)</f>
        <v/>
      </c>
      <c r="R2196" s="34" t="str">
        <f aca="false">IF(Q2196="","",Q2196+N(H2196)*0.000000001)</f>
        <v/>
      </c>
      <c r="S2196" s="32" t="str">
        <f aca="false">IF(R2196="","",SUMPRODUCT((I$5:I$4004=I2196)*ISNUMBER(R$5:R$4004)*(R$5:R$4004&gt;R2196))+1)</f>
        <v/>
      </c>
      <c r="T2196" s="32" t="str">
        <f aca="false">IF(S2196="","",IF(S2196&lt;=Setup!$B$5,"🏆 WINNER",""))</f>
        <v/>
      </c>
      <c r="U2196" s="31" t="str">
        <f aca="false">IF(S2196="","",I2196&amp;"|"&amp;S2196)</f>
        <v/>
      </c>
    </row>
    <row r="2197" customFormat="false" ht="15" hidden="false" customHeight="false" outlineLevel="0" collapsed="false">
      <c r="A2197" s="24" t="n">
        <v>2193</v>
      </c>
      <c r="B2197" s="25" t="str">
        <f aca="false">IF(OR(C2197="",I2197="",G2197=""),"",IFERROR(VLOOKUP(I2197,Setup!$A$9:$B$11,2,0),"???")&amp;"-"&amp;G2197&amp;"-"&amp;TEXT(COUNTIFS(I$5:I2197,I2197,G$5:G2197,G2197),"0000"))</f>
        <v/>
      </c>
      <c r="C2197" s="26"/>
      <c r="D2197" s="26"/>
      <c r="E2197" s="27"/>
      <c r="F2197" s="27"/>
      <c r="G2197" s="24" t="str">
        <f aca="false">IF(F2197="","",IF(F2197&lt;=5,"A",IF(F2197&lt;=8,"B",IF(F2197&lt;=10,"C","D"))))</f>
        <v/>
      </c>
      <c r="H2197" s="28"/>
      <c r="I2197" s="27"/>
      <c r="J2197" s="26"/>
      <c r="K2197" s="27"/>
      <c r="L2197" s="27"/>
      <c r="M2197" s="27"/>
      <c r="N2197" s="27"/>
      <c r="O2197" s="24" t="str">
        <f aca="false">IF(G2197="","",VLOOKUP(G2197,Setup!$A$14:$C$17,3,0))</f>
        <v/>
      </c>
      <c r="P2197" s="27"/>
      <c r="Q2197" s="29" t="str">
        <f aca="false">IF(OR(P2197="",M2197&lt;&gt;"Paid",O2197=""),"",P2197/O2197)</f>
        <v/>
      </c>
      <c r="R2197" s="30" t="str">
        <f aca="false">IF(Q2197="","",Q2197+N(H2197)*0.000000001)</f>
        <v/>
      </c>
      <c r="S2197" s="25" t="str">
        <f aca="false">IF(R2197="","",SUMPRODUCT((I$5:I$4004=I2197)*ISNUMBER(R$5:R$4004)*(R$5:R$4004&gt;R2197))+1)</f>
        <v/>
      </c>
      <c r="T2197" s="25" t="str">
        <f aca="false">IF(S2197="","",IF(S2197&lt;=Setup!$B$5,"🏆 WINNER",""))</f>
        <v/>
      </c>
      <c r="U2197" s="24" t="str">
        <f aca="false">IF(S2197="","",I2197&amp;"|"&amp;S2197)</f>
        <v/>
      </c>
    </row>
    <row r="2198" customFormat="false" ht="15" hidden="false" customHeight="false" outlineLevel="0" collapsed="false">
      <c r="A2198" s="31" t="n">
        <v>2194</v>
      </c>
      <c r="B2198" s="32" t="str">
        <f aca="false">IF(OR(C2198="",I2198="",G2198=""),"",IFERROR(VLOOKUP(I2198,Setup!$A$9:$B$11,2,0),"???")&amp;"-"&amp;G2198&amp;"-"&amp;TEXT(COUNTIFS(I$5:I2198,I2198,G$5:G2198,G2198),"0000"))</f>
        <v/>
      </c>
      <c r="C2198" s="26"/>
      <c r="D2198" s="26"/>
      <c r="E2198" s="27"/>
      <c r="F2198" s="27"/>
      <c r="G2198" s="31" t="str">
        <f aca="false">IF(F2198="","",IF(F2198&lt;=5,"A",IF(F2198&lt;=8,"B",IF(F2198&lt;=10,"C","D"))))</f>
        <v/>
      </c>
      <c r="H2198" s="28"/>
      <c r="I2198" s="27"/>
      <c r="J2198" s="26"/>
      <c r="K2198" s="27"/>
      <c r="L2198" s="27"/>
      <c r="M2198" s="27"/>
      <c r="N2198" s="27"/>
      <c r="O2198" s="31" t="str">
        <f aca="false">IF(G2198="","",VLOOKUP(G2198,Setup!$A$14:$C$17,3,0))</f>
        <v/>
      </c>
      <c r="P2198" s="27"/>
      <c r="Q2198" s="33" t="str">
        <f aca="false">IF(OR(P2198="",M2198&lt;&gt;"Paid",O2198=""),"",P2198/O2198)</f>
        <v/>
      </c>
      <c r="R2198" s="34" t="str">
        <f aca="false">IF(Q2198="","",Q2198+N(H2198)*0.000000001)</f>
        <v/>
      </c>
      <c r="S2198" s="32" t="str">
        <f aca="false">IF(R2198="","",SUMPRODUCT((I$5:I$4004=I2198)*ISNUMBER(R$5:R$4004)*(R$5:R$4004&gt;R2198))+1)</f>
        <v/>
      </c>
      <c r="T2198" s="32" t="str">
        <f aca="false">IF(S2198="","",IF(S2198&lt;=Setup!$B$5,"🏆 WINNER",""))</f>
        <v/>
      </c>
      <c r="U2198" s="31" t="str">
        <f aca="false">IF(S2198="","",I2198&amp;"|"&amp;S2198)</f>
        <v/>
      </c>
    </row>
    <row r="2199" customFormat="false" ht="15" hidden="false" customHeight="false" outlineLevel="0" collapsed="false">
      <c r="A2199" s="24" t="n">
        <v>2195</v>
      </c>
      <c r="B2199" s="25" t="str">
        <f aca="false">IF(OR(C2199="",I2199="",G2199=""),"",IFERROR(VLOOKUP(I2199,Setup!$A$9:$B$11,2,0),"???")&amp;"-"&amp;G2199&amp;"-"&amp;TEXT(COUNTIFS(I$5:I2199,I2199,G$5:G2199,G2199),"0000"))</f>
        <v/>
      </c>
      <c r="C2199" s="26"/>
      <c r="D2199" s="26"/>
      <c r="E2199" s="27"/>
      <c r="F2199" s="27"/>
      <c r="G2199" s="24" t="str">
        <f aca="false">IF(F2199="","",IF(F2199&lt;=5,"A",IF(F2199&lt;=8,"B",IF(F2199&lt;=10,"C","D"))))</f>
        <v/>
      </c>
      <c r="H2199" s="28"/>
      <c r="I2199" s="27"/>
      <c r="J2199" s="26"/>
      <c r="K2199" s="27"/>
      <c r="L2199" s="27"/>
      <c r="M2199" s="27"/>
      <c r="N2199" s="27"/>
      <c r="O2199" s="24" t="str">
        <f aca="false">IF(G2199="","",VLOOKUP(G2199,Setup!$A$14:$C$17,3,0))</f>
        <v/>
      </c>
      <c r="P2199" s="27"/>
      <c r="Q2199" s="29" t="str">
        <f aca="false">IF(OR(P2199="",M2199&lt;&gt;"Paid",O2199=""),"",P2199/O2199)</f>
        <v/>
      </c>
      <c r="R2199" s="30" t="str">
        <f aca="false">IF(Q2199="","",Q2199+N(H2199)*0.000000001)</f>
        <v/>
      </c>
      <c r="S2199" s="25" t="str">
        <f aca="false">IF(R2199="","",SUMPRODUCT((I$5:I$4004=I2199)*ISNUMBER(R$5:R$4004)*(R$5:R$4004&gt;R2199))+1)</f>
        <v/>
      </c>
      <c r="T2199" s="25" t="str">
        <f aca="false">IF(S2199="","",IF(S2199&lt;=Setup!$B$5,"🏆 WINNER",""))</f>
        <v/>
      </c>
      <c r="U2199" s="24" t="str">
        <f aca="false">IF(S2199="","",I2199&amp;"|"&amp;S2199)</f>
        <v/>
      </c>
    </row>
    <row r="2200" customFormat="false" ht="15" hidden="false" customHeight="false" outlineLevel="0" collapsed="false">
      <c r="A2200" s="31" t="n">
        <v>2196</v>
      </c>
      <c r="B2200" s="32" t="str">
        <f aca="false">IF(OR(C2200="",I2200="",G2200=""),"",IFERROR(VLOOKUP(I2200,Setup!$A$9:$B$11,2,0),"???")&amp;"-"&amp;G2200&amp;"-"&amp;TEXT(COUNTIFS(I$5:I2200,I2200,G$5:G2200,G2200),"0000"))</f>
        <v/>
      </c>
      <c r="C2200" s="26"/>
      <c r="D2200" s="26"/>
      <c r="E2200" s="27"/>
      <c r="F2200" s="27"/>
      <c r="G2200" s="31" t="str">
        <f aca="false">IF(F2200="","",IF(F2200&lt;=5,"A",IF(F2200&lt;=8,"B",IF(F2200&lt;=10,"C","D"))))</f>
        <v/>
      </c>
      <c r="H2200" s="28"/>
      <c r="I2200" s="27"/>
      <c r="J2200" s="26"/>
      <c r="K2200" s="27"/>
      <c r="L2200" s="27"/>
      <c r="M2200" s="27"/>
      <c r="N2200" s="27"/>
      <c r="O2200" s="31" t="str">
        <f aca="false">IF(G2200="","",VLOOKUP(G2200,Setup!$A$14:$C$17,3,0))</f>
        <v/>
      </c>
      <c r="P2200" s="27"/>
      <c r="Q2200" s="33" t="str">
        <f aca="false">IF(OR(P2200="",M2200&lt;&gt;"Paid",O2200=""),"",P2200/O2200)</f>
        <v/>
      </c>
      <c r="R2200" s="34" t="str">
        <f aca="false">IF(Q2200="","",Q2200+N(H2200)*0.000000001)</f>
        <v/>
      </c>
      <c r="S2200" s="32" t="str">
        <f aca="false">IF(R2200="","",SUMPRODUCT((I$5:I$4004=I2200)*ISNUMBER(R$5:R$4004)*(R$5:R$4004&gt;R2200))+1)</f>
        <v/>
      </c>
      <c r="T2200" s="32" t="str">
        <f aca="false">IF(S2200="","",IF(S2200&lt;=Setup!$B$5,"🏆 WINNER",""))</f>
        <v/>
      </c>
      <c r="U2200" s="31" t="str">
        <f aca="false">IF(S2200="","",I2200&amp;"|"&amp;S2200)</f>
        <v/>
      </c>
    </row>
    <row r="2201" customFormat="false" ht="15" hidden="false" customHeight="false" outlineLevel="0" collapsed="false">
      <c r="A2201" s="24" t="n">
        <v>2197</v>
      </c>
      <c r="B2201" s="25" t="str">
        <f aca="false">IF(OR(C2201="",I2201="",G2201=""),"",IFERROR(VLOOKUP(I2201,Setup!$A$9:$B$11,2,0),"???")&amp;"-"&amp;G2201&amp;"-"&amp;TEXT(COUNTIFS(I$5:I2201,I2201,G$5:G2201,G2201),"0000"))</f>
        <v/>
      </c>
      <c r="C2201" s="26"/>
      <c r="D2201" s="26"/>
      <c r="E2201" s="27"/>
      <c r="F2201" s="27"/>
      <c r="G2201" s="24" t="str">
        <f aca="false">IF(F2201="","",IF(F2201&lt;=5,"A",IF(F2201&lt;=8,"B",IF(F2201&lt;=10,"C","D"))))</f>
        <v/>
      </c>
      <c r="H2201" s="28"/>
      <c r="I2201" s="27"/>
      <c r="J2201" s="26"/>
      <c r="K2201" s="27"/>
      <c r="L2201" s="27"/>
      <c r="M2201" s="27"/>
      <c r="N2201" s="27"/>
      <c r="O2201" s="24" t="str">
        <f aca="false">IF(G2201="","",VLOOKUP(G2201,Setup!$A$14:$C$17,3,0))</f>
        <v/>
      </c>
      <c r="P2201" s="27"/>
      <c r="Q2201" s="29" t="str">
        <f aca="false">IF(OR(P2201="",M2201&lt;&gt;"Paid",O2201=""),"",P2201/O2201)</f>
        <v/>
      </c>
      <c r="R2201" s="30" t="str">
        <f aca="false">IF(Q2201="","",Q2201+N(H2201)*0.000000001)</f>
        <v/>
      </c>
      <c r="S2201" s="25" t="str">
        <f aca="false">IF(R2201="","",SUMPRODUCT((I$5:I$4004=I2201)*ISNUMBER(R$5:R$4004)*(R$5:R$4004&gt;R2201))+1)</f>
        <v/>
      </c>
      <c r="T2201" s="25" t="str">
        <f aca="false">IF(S2201="","",IF(S2201&lt;=Setup!$B$5,"🏆 WINNER",""))</f>
        <v/>
      </c>
      <c r="U2201" s="24" t="str">
        <f aca="false">IF(S2201="","",I2201&amp;"|"&amp;S2201)</f>
        <v/>
      </c>
    </row>
    <row r="2202" customFormat="false" ht="15" hidden="false" customHeight="false" outlineLevel="0" collapsed="false">
      <c r="A2202" s="31" t="n">
        <v>2198</v>
      </c>
      <c r="B2202" s="32" t="str">
        <f aca="false">IF(OR(C2202="",I2202="",G2202=""),"",IFERROR(VLOOKUP(I2202,Setup!$A$9:$B$11,2,0),"???")&amp;"-"&amp;G2202&amp;"-"&amp;TEXT(COUNTIFS(I$5:I2202,I2202,G$5:G2202,G2202),"0000"))</f>
        <v/>
      </c>
      <c r="C2202" s="26"/>
      <c r="D2202" s="26"/>
      <c r="E2202" s="27"/>
      <c r="F2202" s="27"/>
      <c r="G2202" s="31" t="str">
        <f aca="false">IF(F2202="","",IF(F2202&lt;=5,"A",IF(F2202&lt;=8,"B",IF(F2202&lt;=10,"C","D"))))</f>
        <v/>
      </c>
      <c r="H2202" s="28"/>
      <c r="I2202" s="27"/>
      <c r="J2202" s="26"/>
      <c r="K2202" s="27"/>
      <c r="L2202" s="27"/>
      <c r="M2202" s="27"/>
      <c r="N2202" s="27"/>
      <c r="O2202" s="31" t="str">
        <f aca="false">IF(G2202="","",VLOOKUP(G2202,Setup!$A$14:$C$17,3,0))</f>
        <v/>
      </c>
      <c r="P2202" s="27"/>
      <c r="Q2202" s="33" t="str">
        <f aca="false">IF(OR(P2202="",M2202&lt;&gt;"Paid",O2202=""),"",P2202/O2202)</f>
        <v/>
      </c>
      <c r="R2202" s="34" t="str">
        <f aca="false">IF(Q2202="","",Q2202+N(H2202)*0.000000001)</f>
        <v/>
      </c>
      <c r="S2202" s="32" t="str">
        <f aca="false">IF(R2202="","",SUMPRODUCT((I$5:I$4004=I2202)*ISNUMBER(R$5:R$4004)*(R$5:R$4004&gt;R2202))+1)</f>
        <v/>
      </c>
      <c r="T2202" s="32" t="str">
        <f aca="false">IF(S2202="","",IF(S2202&lt;=Setup!$B$5,"🏆 WINNER",""))</f>
        <v/>
      </c>
      <c r="U2202" s="31" t="str">
        <f aca="false">IF(S2202="","",I2202&amp;"|"&amp;S2202)</f>
        <v/>
      </c>
    </row>
    <row r="2203" customFormat="false" ht="15" hidden="false" customHeight="false" outlineLevel="0" collapsed="false">
      <c r="A2203" s="24" t="n">
        <v>2199</v>
      </c>
      <c r="B2203" s="25" t="str">
        <f aca="false">IF(OR(C2203="",I2203="",G2203=""),"",IFERROR(VLOOKUP(I2203,Setup!$A$9:$B$11,2,0),"???")&amp;"-"&amp;G2203&amp;"-"&amp;TEXT(COUNTIFS(I$5:I2203,I2203,G$5:G2203,G2203),"0000"))</f>
        <v/>
      </c>
      <c r="C2203" s="26"/>
      <c r="D2203" s="26"/>
      <c r="E2203" s="27"/>
      <c r="F2203" s="27"/>
      <c r="G2203" s="24" t="str">
        <f aca="false">IF(F2203="","",IF(F2203&lt;=5,"A",IF(F2203&lt;=8,"B",IF(F2203&lt;=10,"C","D"))))</f>
        <v/>
      </c>
      <c r="H2203" s="28"/>
      <c r="I2203" s="27"/>
      <c r="J2203" s="26"/>
      <c r="K2203" s="27"/>
      <c r="L2203" s="27"/>
      <c r="M2203" s="27"/>
      <c r="N2203" s="27"/>
      <c r="O2203" s="24" t="str">
        <f aca="false">IF(G2203="","",VLOOKUP(G2203,Setup!$A$14:$C$17,3,0))</f>
        <v/>
      </c>
      <c r="P2203" s="27"/>
      <c r="Q2203" s="29" t="str">
        <f aca="false">IF(OR(P2203="",M2203&lt;&gt;"Paid",O2203=""),"",P2203/O2203)</f>
        <v/>
      </c>
      <c r="R2203" s="30" t="str">
        <f aca="false">IF(Q2203="","",Q2203+N(H2203)*0.000000001)</f>
        <v/>
      </c>
      <c r="S2203" s="25" t="str">
        <f aca="false">IF(R2203="","",SUMPRODUCT((I$5:I$4004=I2203)*ISNUMBER(R$5:R$4004)*(R$5:R$4004&gt;R2203))+1)</f>
        <v/>
      </c>
      <c r="T2203" s="25" t="str">
        <f aca="false">IF(S2203="","",IF(S2203&lt;=Setup!$B$5,"🏆 WINNER",""))</f>
        <v/>
      </c>
      <c r="U2203" s="24" t="str">
        <f aca="false">IF(S2203="","",I2203&amp;"|"&amp;S2203)</f>
        <v/>
      </c>
    </row>
    <row r="2204" customFormat="false" ht="15" hidden="false" customHeight="false" outlineLevel="0" collapsed="false">
      <c r="A2204" s="31" t="n">
        <v>2200</v>
      </c>
      <c r="B2204" s="32" t="str">
        <f aca="false">IF(OR(C2204="",I2204="",G2204=""),"",IFERROR(VLOOKUP(I2204,Setup!$A$9:$B$11,2,0),"???")&amp;"-"&amp;G2204&amp;"-"&amp;TEXT(COUNTIFS(I$5:I2204,I2204,G$5:G2204,G2204),"0000"))</f>
        <v/>
      </c>
      <c r="C2204" s="26"/>
      <c r="D2204" s="26"/>
      <c r="E2204" s="27"/>
      <c r="F2204" s="27"/>
      <c r="G2204" s="31" t="str">
        <f aca="false">IF(F2204="","",IF(F2204&lt;=5,"A",IF(F2204&lt;=8,"B",IF(F2204&lt;=10,"C","D"))))</f>
        <v/>
      </c>
      <c r="H2204" s="28"/>
      <c r="I2204" s="27"/>
      <c r="J2204" s="26"/>
      <c r="K2204" s="27"/>
      <c r="L2204" s="27"/>
      <c r="M2204" s="27"/>
      <c r="N2204" s="27"/>
      <c r="O2204" s="31" t="str">
        <f aca="false">IF(G2204="","",VLOOKUP(G2204,Setup!$A$14:$C$17,3,0))</f>
        <v/>
      </c>
      <c r="P2204" s="27"/>
      <c r="Q2204" s="33" t="str">
        <f aca="false">IF(OR(P2204="",M2204&lt;&gt;"Paid",O2204=""),"",P2204/O2204)</f>
        <v/>
      </c>
      <c r="R2204" s="34" t="str">
        <f aca="false">IF(Q2204="","",Q2204+N(H2204)*0.000000001)</f>
        <v/>
      </c>
      <c r="S2204" s="32" t="str">
        <f aca="false">IF(R2204="","",SUMPRODUCT((I$5:I$4004=I2204)*ISNUMBER(R$5:R$4004)*(R$5:R$4004&gt;R2204))+1)</f>
        <v/>
      </c>
      <c r="T2204" s="32" t="str">
        <f aca="false">IF(S2204="","",IF(S2204&lt;=Setup!$B$5,"🏆 WINNER",""))</f>
        <v/>
      </c>
      <c r="U2204" s="31" t="str">
        <f aca="false">IF(S2204="","",I2204&amp;"|"&amp;S2204)</f>
        <v/>
      </c>
    </row>
    <row r="2205" customFormat="false" ht="15" hidden="false" customHeight="false" outlineLevel="0" collapsed="false">
      <c r="A2205" s="24" t="n">
        <v>2201</v>
      </c>
      <c r="B2205" s="25" t="str">
        <f aca="false">IF(OR(C2205="",I2205="",G2205=""),"",IFERROR(VLOOKUP(I2205,Setup!$A$9:$B$11,2,0),"???")&amp;"-"&amp;G2205&amp;"-"&amp;TEXT(COUNTIFS(I$5:I2205,I2205,G$5:G2205,G2205),"0000"))</f>
        <v/>
      </c>
      <c r="C2205" s="26"/>
      <c r="D2205" s="26"/>
      <c r="E2205" s="27"/>
      <c r="F2205" s="27"/>
      <c r="G2205" s="24" t="str">
        <f aca="false">IF(F2205="","",IF(F2205&lt;=5,"A",IF(F2205&lt;=8,"B",IF(F2205&lt;=10,"C","D"))))</f>
        <v/>
      </c>
      <c r="H2205" s="28"/>
      <c r="I2205" s="27"/>
      <c r="J2205" s="26"/>
      <c r="K2205" s="27"/>
      <c r="L2205" s="27"/>
      <c r="M2205" s="27"/>
      <c r="N2205" s="27"/>
      <c r="O2205" s="24" t="str">
        <f aca="false">IF(G2205="","",VLOOKUP(G2205,Setup!$A$14:$C$17,3,0))</f>
        <v/>
      </c>
      <c r="P2205" s="27"/>
      <c r="Q2205" s="29" t="str">
        <f aca="false">IF(OR(P2205="",M2205&lt;&gt;"Paid",O2205=""),"",P2205/O2205)</f>
        <v/>
      </c>
      <c r="R2205" s="30" t="str">
        <f aca="false">IF(Q2205="","",Q2205+N(H2205)*0.000000001)</f>
        <v/>
      </c>
      <c r="S2205" s="25" t="str">
        <f aca="false">IF(R2205="","",SUMPRODUCT((I$5:I$4004=I2205)*ISNUMBER(R$5:R$4004)*(R$5:R$4004&gt;R2205))+1)</f>
        <v/>
      </c>
      <c r="T2205" s="25" t="str">
        <f aca="false">IF(S2205="","",IF(S2205&lt;=Setup!$B$5,"🏆 WINNER",""))</f>
        <v/>
      </c>
      <c r="U2205" s="24" t="str">
        <f aca="false">IF(S2205="","",I2205&amp;"|"&amp;S2205)</f>
        <v/>
      </c>
    </row>
    <row r="2206" customFormat="false" ht="15" hidden="false" customHeight="false" outlineLevel="0" collapsed="false">
      <c r="A2206" s="31" t="n">
        <v>2202</v>
      </c>
      <c r="B2206" s="32" t="str">
        <f aca="false">IF(OR(C2206="",I2206="",G2206=""),"",IFERROR(VLOOKUP(I2206,Setup!$A$9:$B$11,2,0),"???")&amp;"-"&amp;G2206&amp;"-"&amp;TEXT(COUNTIFS(I$5:I2206,I2206,G$5:G2206,G2206),"0000"))</f>
        <v/>
      </c>
      <c r="C2206" s="26"/>
      <c r="D2206" s="26"/>
      <c r="E2206" s="27"/>
      <c r="F2206" s="27"/>
      <c r="G2206" s="31" t="str">
        <f aca="false">IF(F2206="","",IF(F2206&lt;=5,"A",IF(F2206&lt;=8,"B",IF(F2206&lt;=10,"C","D"))))</f>
        <v/>
      </c>
      <c r="H2206" s="28"/>
      <c r="I2206" s="27"/>
      <c r="J2206" s="26"/>
      <c r="K2206" s="27"/>
      <c r="L2206" s="27"/>
      <c r="M2206" s="27"/>
      <c r="N2206" s="27"/>
      <c r="O2206" s="31" t="str">
        <f aca="false">IF(G2206="","",VLOOKUP(G2206,Setup!$A$14:$C$17,3,0))</f>
        <v/>
      </c>
      <c r="P2206" s="27"/>
      <c r="Q2206" s="33" t="str">
        <f aca="false">IF(OR(P2206="",M2206&lt;&gt;"Paid",O2206=""),"",P2206/O2206)</f>
        <v/>
      </c>
      <c r="R2206" s="34" t="str">
        <f aca="false">IF(Q2206="","",Q2206+N(H2206)*0.000000001)</f>
        <v/>
      </c>
      <c r="S2206" s="32" t="str">
        <f aca="false">IF(R2206="","",SUMPRODUCT((I$5:I$4004=I2206)*ISNUMBER(R$5:R$4004)*(R$5:R$4004&gt;R2206))+1)</f>
        <v/>
      </c>
      <c r="T2206" s="32" t="str">
        <f aca="false">IF(S2206="","",IF(S2206&lt;=Setup!$B$5,"🏆 WINNER",""))</f>
        <v/>
      </c>
      <c r="U2206" s="31" t="str">
        <f aca="false">IF(S2206="","",I2206&amp;"|"&amp;S2206)</f>
        <v/>
      </c>
    </row>
    <row r="2207" customFormat="false" ht="15" hidden="false" customHeight="false" outlineLevel="0" collapsed="false">
      <c r="A2207" s="24" t="n">
        <v>2203</v>
      </c>
      <c r="B2207" s="25" t="str">
        <f aca="false">IF(OR(C2207="",I2207="",G2207=""),"",IFERROR(VLOOKUP(I2207,Setup!$A$9:$B$11,2,0),"???")&amp;"-"&amp;G2207&amp;"-"&amp;TEXT(COUNTIFS(I$5:I2207,I2207,G$5:G2207,G2207),"0000"))</f>
        <v/>
      </c>
      <c r="C2207" s="26"/>
      <c r="D2207" s="26"/>
      <c r="E2207" s="27"/>
      <c r="F2207" s="27"/>
      <c r="G2207" s="24" t="str">
        <f aca="false">IF(F2207="","",IF(F2207&lt;=5,"A",IF(F2207&lt;=8,"B",IF(F2207&lt;=10,"C","D"))))</f>
        <v/>
      </c>
      <c r="H2207" s="28"/>
      <c r="I2207" s="27"/>
      <c r="J2207" s="26"/>
      <c r="K2207" s="27"/>
      <c r="L2207" s="27"/>
      <c r="M2207" s="27"/>
      <c r="N2207" s="27"/>
      <c r="O2207" s="24" t="str">
        <f aca="false">IF(G2207="","",VLOOKUP(G2207,Setup!$A$14:$C$17,3,0))</f>
        <v/>
      </c>
      <c r="P2207" s="27"/>
      <c r="Q2207" s="29" t="str">
        <f aca="false">IF(OR(P2207="",M2207&lt;&gt;"Paid",O2207=""),"",P2207/O2207)</f>
        <v/>
      </c>
      <c r="R2207" s="30" t="str">
        <f aca="false">IF(Q2207="","",Q2207+N(H2207)*0.000000001)</f>
        <v/>
      </c>
      <c r="S2207" s="25" t="str">
        <f aca="false">IF(R2207="","",SUMPRODUCT((I$5:I$4004=I2207)*ISNUMBER(R$5:R$4004)*(R$5:R$4004&gt;R2207))+1)</f>
        <v/>
      </c>
      <c r="T2207" s="25" t="str">
        <f aca="false">IF(S2207="","",IF(S2207&lt;=Setup!$B$5,"🏆 WINNER",""))</f>
        <v/>
      </c>
      <c r="U2207" s="24" t="str">
        <f aca="false">IF(S2207="","",I2207&amp;"|"&amp;S2207)</f>
        <v/>
      </c>
    </row>
    <row r="2208" customFormat="false" ht="15" hidden="false" customHeight="false" outlineLevel="0" collapsed="false">
      <c r="A2208" s="31" t="n">
        <v>2204</v>
      </c>
      <c r="B2208" s="32" t="str">
        <f aca="false">IF(OR(C2208="",I2208="",G2208=""),"",IFERROR(VLOOKUP(I2208,Setup!$A$9:$B$11,2,0),"???")&amp;"-"&amp;G2208&amp;"-"&amp;TEXT(COUNTIFS(I$5:I2208,I2208,G$5:G2208,G2208),"0000"))</f>
        <v/>
      </c>
      <c r="C2208" s="26"/>
      <c r="D2208" s="26"/>
      <c r="E2208" s="27"/>
      <c r="F2208" s="27"/>
      <c r="G2208" s="31" t="str">
        <f aca="false">IF(F2208="","",IF(F2208&lt;=5,"A",IF(F2208&lt;=8,"B",IF(F2208&lt;=10,"C","D"))))</f>
        <v/>
      </c>
      <c r="H2208" s="28"/>
      <c r="I2208" s="27"/>
      <c r="J2208" s="26"/>
      <c r="K2208" s="27"/>
      <c r="L2208" s="27"/>
      <c r="M2208" s="27"/>
      <c r="N2208" s="27"/>
      <c r="O2208" s="31" t="str">
        <f aca="false">IF(G2208="","",VLOOKUP(G2208,Setup!$A$14:$C$17,3,0))</f>
        <v/>
      </c>
      <c r="P2208" s="27"/>
      <c r="Q2208" s="33" t="str">
        <f aca="false">IF(OR(P2208="",M2208&lt;&gt;"Paid",O2208=""),"",P2208/O2208)</f>
        <v/>
      </c>
      <c r="R2208" s="34" t="str">
        <f aca="false">IF(Q2208="","",Q2208+N(H2208)*0.000000001)</f>
        <v/>
      </c>
      <c r="S2208" s="32" t="str">
        <f aca="false">IF(R2208="","",SUMPRODUCT((I$5:I$4004=I2208)*ISNUMBER(R$5:R$4004)*(R$5:R$4004&gt;R2208))+1)</f>
        <v/>
      </c>
      <c r="T2208" s="32" t="str">
        <f aca="false">IF(S2208="","",IF(S2208&lt;=Setup!$B$5,"🏆 WINNER",""))</f>
        <v/>
      </c>
      <c r="U2208" s="31" t="str">
        <f aca="false">IF(S2208="","",I2208&amp;"|"&amp;S2208)</f>
        <v/>
      </c>
    </row>
    <row r="2209" customFormat="false" ht="15" hidden="false" customHeight="false" outlineLevel="0" collapsed="false">
      <c r="A2209" s="24" t="n">
        <v>2205</v>
      </c>
      <c r="B2209" s="25" t="str">
        <f aca="false">IF(OR(C2209="",I2209="",G2209=""),"",IFERROR(VLOOKUP(I2209,Setup!$A$9:$B$11,2,0),"???")&amp;"-"&amp;G2209&amp;"-"&amp;TEXT(COUNTIFS(I$5:I2209,I2209,G$5:G2209,G2209),"0000"))</f>
        <v/>
      </c>
      <c r="C2209" s="26"/>
      <c r="D2209" s="26"/>
      <c r="E2209" s="27"/>
      <c r="F2209" s="27"/>
      <c r="G2209" s="24" t="str">
        <f aca="false">IF(F2209="","",IF(F2209&lt;=5,"A",IF(F2209&lt;=8,"B",IF(F2209&lt;=10,"C","D"))))</f>
        <v/>
      </c>
      <c r="H2209" s="28"/>
      <c r="I2209" s="27"/>
      <c r="J2209" s="26"/>
      <c r="K2209" s="27"/>
      <c r="L2209" s="27"/>
      <c r="M2209" s="27"/>
      <c r="N2209" s="27"/>
      <c r="O2209" s="24" t="str">
        <f aca="false">IF(G2209="","",VLOOKUP(G2209,Setup!$A$14:$C$17,3,0))</f>
        <v/>
      </c>
      <c r="P2209" s="27"/>
      <c r="Q2209" s="29" t="str">
        <f aca="false">IF(OR(P2209="",M2209&lt;&gt;"Paid",O2209=""),"",P2209/O2209)</f>
        <v/>
      </c>
      <c r="R2209" s="30" t="str">
        <f aca="false">IF(Q2209="","",Q2209+N(H2209)*0.000000001)</f>
        <v/>
      </c>
      <c r="S2209" s="25" t="str">
        <f aca="false">IF(R2209="","",SUMPRODUCT((I$5:I$4004=I2209)*ISNUMBER(R$5:R$4004)*(R$5:R$4004&gt;R2209))+1)</f>
        <v/>
      </c>
      <c r="T2209" s="25" t="str">
        <f aca="false">IF(S2209="","",IF(S2209&lt;=Setup!$B$5,"🏆 WINNER",""))</f>
        <v/>
      </c>
      <c r="U2209" s="24" t="str">
        <f aca="false">IF(S2209="","",I2209&amp;"|"&amp;S2209)</f>
        <v/>
      </c>
    </row>
    <row r="2210" customFormat="false" ht="15" hidden="false" customHeight="false" outlineLevel="0" collapsed="false">
      <c r="A2210" s="31" t="n">
        <v>2206</v>
      </c>
      <c r="B2210" s="32" t="str">
        <f aca="false">IF(OR(C2210="",I2210="",G2210=""),"",IFERROR(VLOOKUP(I2210,Setup!$A$9:$B$11,2,0),"???")&amp;"-"&amp;G2210&amp;"-"&amp;TEXT(COUNTIFS(I$5:I2210,I2210,G$5:G2210,G2210),"0000"))</f>
        <v/>
      </c>
      <c r="C2210" s="26"/>
      <c r="D2210" s="26"/>
      <c r="E2210" s="27"/>
      <c r="F2210" s="27"/>
      <c r="G2210" s="31" t="str">
        <f aca="false">IF(F2210="","",IF(F2210&lt;=5,"A",IF(F2210&lt;=8,"B",IF(F2210&lt;=10,"C","D"))))</f>
        <v/>
      </c>
      <c r="H2210" s="28"/>
      <c r="I2210" s="27"/>
      <c r="J2210" s="26"/>
      <c r="K2210" s="27"/>
      <c r="L2210" s="27"/>
      <c r="M2210" s="27"/>
      <c r="N2210" s="27"/>
      <c r="O2210" s="31" t="str">
        <f aca="false">IF(G2210="","",VLOOKUP(G2210,Setup!$A$14:$C$17,3,0))</f>
        <v/>
      </c>
      <c r="P2210" s="27"/>
      <c r="Q2210" s="33" t="str">
        <f aca="false">IF(OR(P2210="",M2210&lt;&gt;"Paid",O2210=""),"",P2210/O2210)</f>
        <v/>
      </c>
      <c r="R2210" s="34" t="str">
        <f aca="false">IF(Q2210="","",Q2210+N(H2210)*0.000000001)</f>
        <v/>
      </c>
      <c r="S2210" s="32" t="str">
        <f aca="false">IF(R2210="","",SUMPRODUCT((I$5:I$4004=I2210)*ISNUMBER(R$5:R$4004)*(R$5:R$4004&gt;R2210))+1)</f>
        <v/>
      </c>
      <c r="T2210" s="32" t="str">
        <f aca="false">IF(S2210="","",IF(S2210&lt;=Setup!$B$5,"🏆 WINNER",""))</f>
        <v/>
      </c>
      <c r="U2210" s="31" t="str">
        <f aca="false">IF(S2210="","",I2210&amp;"|"&amp;S2210)</f>
        <v/>
      </c>
    </row>
    <row r="2211" customFormat="false" ht="15" hidden="false" customHeight="false" outlineLevel="0" collapsed="false">
      <c r="A2211" s="24" t="n">
        <v>2207</v>
      </c>
      <c r="B2211" s="25" t="str">
        <f aca="false">IF(OR(C2211="",I2211="",G2211=""),"",IFERROR(VLOOKUP(I2211,Setup!$A$9:$B$11,2,0),"???")&amp;"-"&amp;G2211&amp;"-"&amp;TEXT(COUNTIFS(I$5:I2211,I2211,G$5:G2211,G2211),"0000"))</f>
        <v/>
      </c>
      <c r="C2211" s="26"/>
      <c r="D2211" s="26"/>
      <c r="E2211" s="27"/>
      <c r="F2211" s="27"/>
      <c r="G2211" s="24" t="str">
        <f aca="false">IF(F2211="","",IF(F2211&lt;=5,"A",IF(F2211&lt;=8,"B",IF(F2211&lt;=10,"C","D"))))</f>
        <v/>
      </c>
      <c r="H2211" s="28"/>
      <c r="I2211" s="27"/>
      <c r="J2211" s="26"/>
      <c r="K2211" s="27"/>
      <c r="L2211" s="27"/>
      <c r="M2211" s="27"/>
      <c r="N2211" s="27"/>
      <c r="O2211" s="24" t="str">
        <f aca="false">IF(G2211="","",VLOOKUP(G2211,Setup!$A$14:$C$17,3,0))</f>
        <v/>
      </c>
      <c r="P2211" s="27"/>
      <c r="Q2211" s="29" t="str">
        <f aca="false">IF(OR(P2211="",M2211&lt;&gt;"Paid",O2211=""),"",P2211/O2211)</f>
        <v/>
      </c>
      <c r="R2211" s="30" t="str">
        <f aca="false">IF(Q2211="","",Q2211+N(H2211)*0.000000001)</f>
        <v/>
      </c>
      <c r="S2211" s="25" t="str">
        <f aca="false">IF(R2211="","",SUMPRODUCT((I$5:I$4004=I2211)*ISNUMBER(R$5:R$4004)*(R$5:R$4004&gt;R2211))+1)</f>
        <v/>
      </c>
      <c r="T2211" s="25" t="str">
        <f aca="false">IF(S2211="","",IF(S2211&lt;=Setup!$B$5,"🏆 WINNER",""))</f>
        <v/>
      </c>
      <c r="U2211" s="24" t="str">
        <f aca="false">IF(S2211="","",I2211&amp;"|"&amp;S2211)</f>
        <v/>
      </c>
    </row>
    <row r="2212" customFormat="false" ht="15" hidden="false" customHeight="false" outlineLevel="0" collapsed="false">
      <c r="A2212" s="31" t="n">
        <v>2208</v>
      </c>
      <c r="B2212" s="32" t="str">
        <f aca="false">IF(OR(C2212="",I2212="",G2212=""),"",IFERROR(VLOOKUP(I2212,Setup!$A$9:$B$11,2,0),"???")&amp;"-"&amp;G2212&amp;"-"&amp;TEXT(COUNTIFS(I$5:I2212,I2212,G$5:G2212,G2212),"0000"))</f>
        <v/>
      </c>
      <c r="C2212" s="26"/>
      <c r="D2212" s="26"/>
      <c r="E2212" s="27"/>
      <c r="F2212" s="27"/>
      <c r="G2212" s="31" t="str">
        <f aca="false">IF(F2212="","",IF(F2212&lt;=5,"A",IF(F2212&lt;=8,"B",IF(F2212&lt;=10,"C","D"))))</f>
        <v/>
      </c>
      <c r="H2212" s="28"/>
      <c r="I2212" s="27"/>
      <c r="J2212" s="26"/>
      <c r="K2212" s="27"/>
      <c r="L2212" s="27"/>
      <c r="M2212" s="27"/>
      <c r="N2212" s="27"/>
      <c r="O2212" s="31" t="str">
        <f aca="false">IF(G2212="","",VLOOKUP(G2212,Setup!$A$14:$C$17,3,0))</f>
        <v/>
      </c>
      <c r="P2212" s="27"/>
      <c r="Q2212" s="33" t="str">
        <f aca="false">IF(OR(P2212="",M2212&lt;&gt;"Paid",O2212=""),"",P2212/O2212)</f>
        <v/>
      </c>
      <c r="R2212" s="34" t="str">
        <f aca="false">IF(Q2212="","",Q2212+N(H2212)*0.000000001)</f>
        <v/>
      </c>
      <c r="S2212" s="32" t="str">
        <f aca="false">IF(R2212="","",SUMPRODUCT((I$5:I$4004=I2212)*ISNUMBER(R$5:R$4004)*(R$5:R$4004&gt;R2212))+1)</f>
        <v/>
      </c>
      <c r="T2212" s="32" t="str">
        <f aca="false">IF(S2212="","",IF(S2212&lt;=Setup!$B$5,"🏆 WINNER",""))</f>
        <v/>
      </c>
      <c r="U2212" s="31" t="str">
        <f aca="false">IF(S2212="","",I2212&amp;"|"&amp;S2212)</f>
        <v/>
      </c>
    </row>
    <row r="2213" customFormat="false" ht="15" hidden="false" customHeight="false" outlineLevel="0" collapsed="false">
      <c r="A2213" s="24" t="n">
        <v>2209</v>
      </c>
      <c r="B2213" s="25" t="str">
        <f aca="false">IF(OR(C2213="",I2213="",G2213=""),"",IFERROR(VLOOKUP(I2213,Setup!$A$9:$B$11,2,0),"???")&amp;"-"&amp;G2213&amp;"-"&amp;TEXT(COUNTIFS(I$5:I2213,I2213,G$5:G2213,G2213),"0000"))</f>
        <v/>
      </c>
      <c r="C2213" s="26"/>
      <c r="D2213" s="26"/>
      <c r="E2213" s="27"/>
      <c r="F2213" s="27"/>
      <c r="G2213" s="24" t="str">
        <f aca="false">IF(F2213="","",IF(F2213&lt;=5,"A",IF(F2213&lt;=8,"B",IF(F2213&lt;=10,"C","D"))))</f>
        <v/>
      </c>
      <c r="H2213" s="28"/>
      <c r="I2213" s="27"/>
      <c r="J2213" s="26"/>
      <c r="K2213" s="27"/>
      <c r="L2213" s="27"/>
      <c r="M2213" s="27"/>
      <c r="N2213" s="27"/>
      <c r="O2213" s="24" t="str">
        <f aca="false">IF(G2213="","",VLOOKUP(G2213,Setup!$A$14:$C$17,3,0))</f>
        <v/>
      </c>
      <c r="P2213" s="27"/>
      <c r="Q2213" s="29" t="str">
        <f aca="false">IF(OR(P2213="",M2213&lt;&gt;"Paid",O2213=""),"",P2213/O2213)</f>
        <v/>
      </c>
      <c r="R2213" s="30" t="str">
        <f aca="false">IF(Q2213="","",Q2213+N(H2213)*0.000000001)</f>
        <v/>
      </c>
      <c r="S2213" s="25" t="str">
        <f aca="false">IF(R2213="","",SUMPRODUCT((I$5:I$4004=I2213)*ISNUMBER(R$5:R$4004)*(R$5:R$4004&gt;R2213))+1)</f>
        <v/>
      </c>
      <c r="T2213" s="25" t="str">
        <f aca="false">IF(S2213="","",IF(S2213&lt;=Setup!$B$5,"🏆 WINNER",""))</f>
        <v/>
      </c>
      <c r="U2213" s="24" t="str">
        <f aca="false">IF(S2213="","",I2213&amp;"|"&amp;S2213)</f>
        <v/>
      </c>
    </row>
    <row r="2214" customFormat="false" ht="15" hidden="false" customHeight="false" outlineLevel="0" collapsed="false">
      <c r="A2214" s="31" t="n">
        <v>2210</v>
      </c>
      <c r="B2214" s="32" t="str">
        <f aca="false">IF(OR(C2214="",I2214="",G2214=""),"",IFERROR(VLOOKUP(I2214,Setup!$A$9:$B$11,2,0),"???")&amp;"-"&amp;G2214&amp;"-"&amp;TEXT(COUNTIFS(I$5:I2214,I2214,G$5:G2214,G2214),"0000"))</f>
        <v/>
      </c>
      <c r="C2214" s="26"/>
      <c r="D2214" s="26"/>
      <c r="E2214" s="27"/>
      <c r="F2214" s="27"/>
      <c r="G2214" s="31" t="str">
        <f aca="false">IF(F2214="","",IF(F2214&lt;=5,"A",IF(F2214&lt;=8,"B",IF(F2214&lt;=10,"C","D"))))</f>
        <v/>
      </c>
      <c r="H2214" s="28"/>
      <c r="I2214" s="27"/>
      <c r="J2214" s="26"/>
      <c r="K2214" s="27"/>
      <c r="L2214" s="27"/>
      <c r="M2214" s="27"/>
      <c r="N2214" s="27"/>
      <c r="O2214" s="31" t="str">
        <f aca="false">IF(G2214="","",VLOOKUP(G2214,Setup!$A$14:$C$17,3,0))</f>
        <v/>
      </c>
      <c r="P2214" s="27"/>
      <c r="Q2214" s="33" t="str">
        <f aca="false">IF(OR(P2214="",M2214&lt;&gt;"Paid",O2214=""),"",P2214/O2214)</f>
        <v/>
      </c>
      <c r="R2214" s="34" t="str">
        <f aca="false">IF(Q2214="","",Q2214+N(H2214)*0.000000001)</f>
        <v/>
      </c>
      <c r="S2214" s="32" t="str">
        <f aca="false">IF(R2214="","",SUMPRODUCT((I$5:I$4004=I2214)*ISNUMBER(R$5:R$4004)*(R$5:R$4004&gt;R2214))+1)</f>
        <v/>
      </c>
      <c r="T2214" s="32" t="str">
        <f aca="false">IF(S2214="","",IF(S2214&lt;=Setup!$B$5,"🏆 WINNER",""))</f>
        <v/>
      </c>
      <c r="U2214" s="31" t="str">
        <f aca="false">IF(S2214="","",I2214&amp;"|"&amp;S2214)</f>
        <v/>
      </c>
    </row>
    <row r="2215" customFormat="false" ht="15" hidden="false" customHeight="false" outlineLevel="0" collapsed="false">
      <c r="A2215" s="24" t="n">
        <v>2211</v>
      </c>
      <c r="B2215" s="25" t="str">
        <f aca="false">IF(OR(C2215="",I2215="",G2215=""),"",IFERROR(VLOOKUP(I2215,Setup!$A$9:$B$11,2,0),"???")&amp;"-"&amp;G2215&amp;"-"&amp;TEXT(COUNTIFS(I$5:I2215,I2215,G$5:G2215,G2215),"0000"))</f>
        <v/>
      </c>
      <c r="C2215" s="26"/>
      <c r="D2215" s="26"/>
      <c r="E2215" s="27"/>
      <c r="F2215" s="27"/>
      <c r="G2215" s="24" t="str">
        <f aca="false">IF(F2215="","",IF(F2215&lt;=5,"A",IF(F2215&lt;=8,"B",IF(F2215&lt;=10,"C","D"))))</f>
        <v/>
      </c>
      <c r="H2215" s="28"/>
      <c r="I2215" s="27"/>
      <c r="J2215" s="26"/>
      <c r="K2215" s="27"/>
      <c r="L2215" s="27"/>
      <c r="M2215" s="27"/>
      <c r="N2215" s="27"/>
      <c r="O2215" s="24" t="str">
        <f aca="false">IF(G2215="","",VLOOKUP(G2215,Setup!$A$14:$C$17,3,0))</f>
        <v/>
      </c>
      <c r="P2215" s="27"/>
      <c r="Q2215" s="29" t="str">
        <f aca="false">IF(OR(P2215="",M2215&lt;&gt;"Paid",O2215=""),"",P2215/O2215)</f>
        <v/>
      </c>
      <c r="R2215" s="30" t="str">
        <f aca="false">IF(Q2215="","",Q2215+N(H2215)*0.000000001)</f>
        <v/>
      </c>
      <c r="S2215" s="25" t="str">
        <f aca="false">IF(R2215="","",SUMPRODUCT((I$5:I$4004=I2215)*ISNUMBER(R$5:R$4004)*(R$5:R$4004&gt;R2215))+1)</f>
        <v/>
      </c>
      <c r="T2215" s="25" t="str">
        <f aca="false">IF(S2215="","",IF(S2215&lt;=Setup!$B$5,"🏆 WINNER",""))</f>
        <v/>
      </c>
      <c r="U2215" s="24" t="str">
        <f aca="false">IF(S2215="","",I2215&amp;"|"&amp;S2215)</f>
        <v/>
      </c>
    </row>
    <row r="2216" customFormat="false" ht="15" hidden="false" customHeight="false" outlineLevel="0" collapsed="false">
      <c r="A2216" s="31" t="n">
        <v>2212</v>
      </c>
      <c r="B2216" s="32" t="str">
        <f aca="false">IF(OR(C2216="",I2216="",G2216=""),"",IFERROR(VLOOKUP(I2216,Setup!$A$9:$B$11,2,0),"???")&amp;"-"&amp;G2216&amp;"-"&amp;TEXT(COUNTIFS(I$5:I2216,I2216,G$5:G2216,G2216),"0000"))</f>
        <v/>
      </c>
      <c r="C2216" s="26"/>
      <c r="D2216" s="26"/>
      <c r="E2216" s="27"/>
      <c r="F2216" s="27"/>
      <c r="G2216" s="31" t="str">
        <f aca="false">IF(F2216="","",IF(F2216&lt;=5,"A",IF(F2216&lt;=8,"B",IF(F2216&lt;=10,"C","D"))))</f>
        <v/>
      </c>
      <c r="H2216" s="28"/>
      <c r="I2216" s="27"/>
      <c r="J2216" s="26"/>
      <c r="K2216" s="27"/>
      <c r="L2216" s="27"/>
      <c r="M2216" s="27"/>
      <c r="N2216" s="27"/>
      <c r="O2216" s="31" t="str">
        <f aca="false">IF(G2216="","",VLOOKUP(G2216,Setup!$A$14:$C$17,3,0))</f>
        <v/>
      </c>
      <c r="P2216" s="27"/>
      <c r="Q2216" s="33" t="str">
        <f aca="false">IF(OR(P2216="",M2216&lt;&gt;"Paid",O2216=""),"",P2216/O2216)</f>
        <v/>
      </c>
      <c r="R2216" s="34" t="str">
        <f aca="false">IF(Q2216="","",Q2216+N(H2216)*0.000000001)</f>
        <v/>
      </c>
      <c r="S2216" s="32" t="str">
        <f aca="false">IF(R2216="","",SUMPRODUCT((I$5:I$4004=I2216)*ISNUMBER(R$5:R$4004)*(R$5:R$4004&gt;R2216))+1)</f>
        <v/>
      </c>
      <c r="T2216" s="32" t="str">
        <f aca="false">IF(S2216="","",IF(S2216&lt;=Setup!$B$5,"🏆 WINNER",""))</f>
        <v/>
      </c>
      <c r="U2216" s="31" t="str">
        <f aca="false">IF(S2216="","",I2216&amp;"|"&amp;S2216)</f>
        <v/>
      </c>
    </row>
    <row r="2217" customFormat="false" ht="15" hidden="false" customHeight="false" outlineLevel="0" collapsed="false">
      <c r="A2217" s="24" t="n">
        <v>2213</v>
      </c>
      <c r="B2217" s="25" t="str">
        <f aca="false">IF(OR(C2217="",I2217="",G2217=""),"",IFERROR(VLOOKUP(I2217,Setup!$A$9:$B$11,2,0),"???")&amp;"-"&amp;G2217&amp;"-"&amp;TEXT(COUNTIFS(I$5:I2217,I2217,G$5:G2217,G2217),"0000"))</f>
        <v/>
      </c>
      <c r="C2217" s="26"/>
      <c r="D2217" s="26"/>
      <c r="E2217" s="27"/>
      <c r="F2217" s="27"/>
      <c r="G2217" s="24" t="str">
        <f aca="false">IF(F2217="","",IF(F2217&lt;=5,"A",IF(F2217&lt;=8,"B",IF(F2217&lt;=10,"C","D"))))</f>
        <v/>
      </c>
      <c r="H2217" s="28"/>
      <c r="I2217" s="27"/>
      <c r="J2217" s="26"/>
      <c r="K2217" s="27"/>
      <c r="L2217" s="27"/>
      <c r="M2217" s="27"/>
      <c r="N2217" s="27"/>
      <c r="O2217" s="24" t="str">
        <f aca="false">IF(G2217="","",VLOOKUP(G2217,Setup!$A$14:$C$17,3,0))</f>
        <v/>
      </c>
      <c r="P2217" s="27"/>
      <c r="Q2217" s="29" t="str">
        <f aca="false">IF(OR(P2217="",M2217&lt;&gt;"Paid",O2217=""),"",P2217/O2217)</f>
        <v/>
      </c>
      <c r="R2217" s="30" t="str">
        <f aca="false">IF(Q2217="","",Q2217+N(H2217)*0.000000001)</f>
        <v/>
      </c>
      <c r="S2217" s="25" t="str">
        <f aca="false">IF(R2217="","",SUMPRODUCT((I$5:I$4004=I2217)*ISNUMBER(R$5:R$4004)*(R$5:R$4004&gt;R2217))+1)</f>
        <v/>
      </c>
      <c r="T2217" s="25" t="str">
        <f aca="false">IF(S2217="","",IF(S2217&lt;=Setup!$B$5,"🏆 WINNER",""))</f>
        <v/>
      </c>
      <c r="U2217" s="24" t="str">
        <f aca="false">IF(S2217="","",I2217&amp;"|"&amp;S2217)</f>
        <v/>
      </c>
    </row>
    <row r="2218" customFormat="false" ht="15" hidden="false" customHeight="false" outlineLevel="0" collapsed="false">
      <c r="A2218" s="31" t="n">
        <v>2214</v>
      </c>
      <c r="B2218" s="32" t="str">
        <f aca="false">IF(OR(C2218="",I2218="",G2218=""),"",IFERROR(VLOOKUP(I2218,Setup!$A$9:$B$11,2,0),"???")&amp;"-"&amp;G2218&amp;"-"&amp;TEXT(COUNTIFS(I$5:I2218,I2218,G$5:G2218,G2218),"0000"))</f>
        <v/>
      </c>
      <c r="C2218" s="26"/>
      <c r="D2218" s="26"/>
      <c r="E2218" s="27"/>
      <c r="F2218" s="27"/>
      <c r="G2218" s="31" t="str">
        <f aca="false">IF(F2218="","",IF(F2218&lt;=5,"A",IF(F2218&lt;=8,"B",IF(F2218&lt;=10,"C","D"))))</f>
        <v/>
      </c>
      <c r="H2218" s="28"/>
      <c r="I2218" s="27"/>
      <c r="J2218" s="26"/>
      <c r="K2218" s="27"/>
      <c r="L2218" s="27"/>
      <c r="M2218" s="27"/>
      <c r="N2218" s="27"/>
      <c r="O2218" s="31" t="str">
        <f aca="false">IF(G2218="","",VLOOKUP(G2218,Setup!$A$14:$C$17,3,0))</f>
        <v/>
      </c>
      <c r="P2218" s="27"/>
      <c r="Q2218" s="33" t="str">
        <f aca="false">IF(OR(P2218="",M2218&lt;&gt;"Paid",O2218=""),"",P2218/O2218)</f>
        <v/>
      </c>
      <c r="R2218" s="34" t="str">
        <f aca="false">IF(Q2218="","",Q2218+N(H2218)*0.000000001)</f>
        <v/>
      </c>
      <c r="S2218" s="32" t="str">
        <f aca="false">IF(R2218="","",SUMPRODUCT((I$5:I$4004=I2218)*ISNUMBER(R$5:R$4004)*(R$5:R$4004&gt;R2218))+1)</f>
        <v/>
      </c>
      <c r="T2218" s="32" t="str">
        <f aca="false">IF(S2218="","",IF(S2218&lt;=Setup!$B$5,"🏆 WINNER",""))</f>
        <v/>
      </c>
      <c r="U2218" s="31" t="str">
        <f aca="false">IF(S2218="","",I2218&amp;"|"&amp;S2218)</f>
        <v/>
      </c>
    </row>
    <row r="2219" customFormat="false" ht="15" hidden="false" customHeight="false" outlineLevel="0" collapsed="false">
      <c r="A2219" s="24" t="n">
        <v>2215</v>
      </c>
      <c r="B2219" s="25" t="str">
        <f aca="false">IF(OR(C2219="",I2219="",G2219=""),"",IFERROR(VLOOKUP(I2219,Setup!$A$9:$B$11,2,0),"???")&amp;"-"&amp;G2219&amp;"-"&amp;TEXT(COUNTIFS(I$5:I2219,I2219,G$5:G2219,G2219),"0000"))</f>
        <v/>
      </c>
      <c r="C2219" s="26"/>
      <c r="D2219" s="26"/>
      <c r="E2219" s="27"/>
      <c r="F2219" s="27"/>
      <c r="G2219" s="24" t="str">
        <f aca="false">IF(F2219="","",IF(F2219&lt;=5,"A",IF(F2219&lt;=8,"B",IF(F2219&lt;=10,"C","D"))))</f>
        <v/>
      </c>
      <c r="H2219" s="28"/>
      <c r="I2219" s="27"/>
      <c r="J2219" s="26"/>
      <c r="K2219" s="27"/>
      <c r="L2219" s="27"/>
      <c r="M2219" s="27"/>
      <c r="N2219" s="27"/>
      <c r="O2219" s="24" t="str">
        <f aca="false">IF(G2219="","",VLOOKUP(G2219,Setup!$A$14:$C$17,3,0))</f>
        <v/>
      </c>
      <c r="P2219" s="27"/>
      <c r="Q2219" s="29" t="str">
        <f aca="false">IF(OR(P2219="",M2219&lt;&gt;"Paid",O2219=""),"",P2219/O2219)</f>
        <v/>
      </c>
      <c r="R2219" s="30" t="str">
        <f aca="false">IF(Q2219="","",Q2219+N(H2219)*0.000000001)</f>
        <v/>
      </c>
      <c r="S2219" s="25" t="str">
        <f aca="false">IF(R2219="","",SUMPRODUCT((I$5:I$4004=I2219)*ISNUMBER(R$5:R$4004)*(R$5:R$4004&gt;R2219))+1)</f>
        <v/>
      </c>
      <c r="T2219" s="25" t="str">
        <f aca="false">IF(S2219="","",IF(S2219&lt;=Setup!$B$5,"🏆 WINNER",""))</f>
        <v/>
      </c>
      <c r="U2219" s="24" t="str">
        <f aca="false">IF(S2219="","",I2219&amp;"|"&amp;S2219)</f>
        <v/>
      </c>
    </row>
    <row r="2220" customFormat="false" ht="15" hidden="false" customHeight="false" outlineLevel="0" collapsed="false">
      <c r="A2220" s="31" t="n">
        <v>2216</v>
      </c>
      <c r="B2220" s="32" t="str">
        <f aca="false">IF(OR(C2220="",I2220="",G2220=""),"",IFERROR(VLOOKUP(I2220,Setup!$A$9:$B$11,2,0),"???")&amp;"-"&amp;G2220&amp;"-"&amp;TEXT(COUNTIFS(I$5:I2220,I2220,G$5:G2220,G2220),"0000"))</f>
        <v/>
      </c>
      <c r="C2220" s="26"/>
      <c r="D2220" s="26"/>
      <c r="E2220" s="27"/>
      <c r="F2220" s="27"/>
      <c r="G2220" s="31" t="str">
        <f aca="false">IF(F2220="","",IF(F2220&lt;=5,"A",IF(F2220&lt;=8,"B",IF(F2220&lt;=10,"C","D"))))</f>
        <v/>
      </c>
      <c r="H2220" s="28"/>
      <c r="I2220" s="27"/>
      <c r="J2220" s="26"/>
      <c r="K2220" s="27"/>
      <c r="L2220" s="27"/>
      <c r="M2220" s="27"/>
      <c r="N2220" s="27"/>
      <c r="O2220" s="31" t="str">
        <f aca="false">IF(G2220="","",VLOOKUP(G2220,Setup!$A$14:$C$17,3,0))</f>
        <v/>
      </c>
      <c r="P2220" s="27"/>
      <c r="Q2220" s="33" t="str">
        <f aca="false">IF(OR(P2220="",M2220&lt;&gt;"Paid",O2220=""),"",P2220/O2220)</f>
        <v/>
      </c>
      <c r="R2220" s="34" t="str">
        <f aca="false">IF(Q2220="","",Q2220+N(H2220)*0.000000001)</f>
        <v/>
      </c>
      <c r="S2220" s="32" t="str">
        <f aca="false">IF(R2220="","",SUMPRODUCT((I$5:I$4004=I2220)*ISNUMBER(R$5:R$4004)*(R$5:R$4004&gt;R2220))+1)</f>
        <v/>
      </c>
      <c r="T2220" s="32" t="str">
        <f aca="false">IF(S2220="","",IF(S2220&lt;=Setup!$B$5,"🏆 WINNER",""))</f>
        <v/>
      </c>
      <c r="U2220" s="31" t="str">
        <f aca="false">IF(S2220="","",I2220&amp;"|"&amp;S2220)</f>
        <v/>
      </c>
    </row>
    <row r="2221" customFormat="false" ht="15" hidden="false" customHeight="false" outlineLevel="0" collapsed="false">
      <c r="A2221" s="24" t="n">
        <v>2217</v>
      </c>
      <c r="B2221" s="25" t="str">
        <f aca="false">IF(OR(C2221="",I2221="",G2221=""),"",IFERROR(VLOOKUP(I2221,Setup!$A$9:$B$11,2,0),"???")&amp;"-"&amp;G2221&amp;"-"&amp;TEXT(COUNTIFS(I$5:I2221,I2221,G$5:G2221,G2221),"0000"))</f>
        <v/>
      </c>
      <c r="C2221" s="26"/>
      <c r="D2221" s="26"/>
      <c r="E2221" s="27"/>
      <c r="F2221" s="27"/>
      <c r="G2221" s="24" t="str">
        <f aca="false">IF(F2221="","",IF(F2221&lt;=5,"A",IF(F2221&lt;=8,"B",IF(F2221&lt;=10,"C","D"))))</f>
        <v/>
      </c>
      <c r="H2221" s="28"/>
      <c r="I2221" s="27"/>
      <c r="J2221" s="26"/>
      <c r="K2221" s="27"/>
      <c r="L2221" s="27"/>
      <c r="M2221" s="27"/>
      <c r="N2221" s="27"/>
      <c r="O2221" s="24" t="str">
        <f aca="false">IF(G2221="","",VLOOKUP(G2221,Setup!$A$14:$C$17,3,0))</f>
        <v/>
      </c>
      <c r="P2221" s="27"/>
      <c r="Q2221" s="29" t="str">
        <f aca="false">IF(OR(P2221="",M2221&lt;&gt;"Paid",O2221=""),"",P2221/O2221)</f>
        <v/>
      </c>
      <c r="R2221" s="30" t="str">
        <f aca="false">IF(Q2221="","",Q2221+N(H2221)*0.000000001)</f>
        <v/>
      </c>
      <c r="S2221" s="25" t="str">
        <f aca="false">IF(R2221="","",SUMPRODUCT((I$5:I$4004=I2221)*ISNUMBER(R$5:R$4004)*(R$5:R$4004&gt;R2221))+1)</f>
        <v/>
      </c>
      <c r="T2221" s="25" t="str">
        <f aca="false">IF(S2221="","",IF(S2221&lt;=Setup!$B$5,"🏆 WINNER",""))</f>
        <v/>
      </c>
      <c r="U2221" s="24" t="str">
        <f aca="false">IF(S2221="","",I2221&amp;"|"&amp;S2221)</f>
        <v/>
      </c>
    </row>
    <row r="2222" customFormat="false" ht="15" hidden="false" customHeight="false" outlineLevel="0" collapsed="false">
      <c r="A2222" s="31" t="n">
        <v>2218</v>
      </c>
      <c r="B2222" s="32" t="str">
        <f aca="false">IF(OR(C2222="",I2222="",G2222=""),"",IFERROR(VLOOKUP(I2222,Setup!$A$9:$B$11,2,0),"???")&amp;"-"&amp;G2222&amp;"-"&amp;TEXT(COUNTIFS(I$5:I2222,I2222,G$5:G2222,G2222),"0000"))</f>
        <v/>
      </c>
      <c r="C2222" s="26"/>
      <c r="D2222" s="26"/>
      <c r="E2222" s="27"/>
      <c r="F2222" s="27"/>
      <c r="G2222" s="31" t="str">
        <f aca="false">IF(F2222="","",IF(F2222&lt;=5,"A",IF(F2222&lt;=8,"B",IF(F2222&lt;=10,"C","D"))))</f>
        <v/>
      </c>
      <c r="H2222" s="28"/>
      <c r="I2222" s="27"/>
      <c r="J2222" s="26"/>
      <c r="K2222" s="27"/>
      <c r="L2222" s="27"/>
      <c r="M2222" s="27"/>
      <c r="N2222" s="27"/>
      <c r="O2222" s="31" t="str">
        <f aca="false">IF(G2222="","",VLOOKUP(G2222,Setup!$A$14:$C$17,3,0))</f>
        <v/>
      </c>
      <c r="P2222" s="27"/>
      <c r="Q2222" s="33" t="str">
        <f aca="false">IF(OR(P2222="",M2222&lt;&gt;"Paid",O2222=""),"",P2222/O2222)</f>
        <v/>
      </c>
      <c r="R2222" s="34" t="str">
        <f aca="false">IF(Q2222="","",Q2222+N(H2222)*0.000000001)</f>
        <v/>
      </c>
      <c r="S2222" s="32" t="str">
        <f aca="false">IF(R2222="","",SUMPRODUCT((I$5:I$4004=I2222)*ISNUMBER(R$5:R$4004)*(R$5:R$4004&gt;R2222))+1)</f>
        <v/>
      </c>
      <c r="T2222" s="32" t="str">
        <f aca="false">IF(S2222="","",IF(S2222&lt;=Setup!$B$5,"🏆 WINNER",""))</f>
        <v/>
      </c>
      <c r="U2222" s="31" t="str">
        <f aca="false">IF(S2222="","",I2222&amp;"|"&amp;S2222)</f>
        <v/>
      </c>
    </row>
    <row r="2223" customFormat="false" ht="15" hidden="false" customHeight="false" outlineLevel="0" collapsed="false">
      <c r="A2223" s="24" t="n">
        <v>2219</v>
      </c>
      <c r="B2223" s="25" t="str">
        <f aca="false">IF(OR(C2223="",I2223="",G2223=""),"",IFERROR(VLOOKUP(I2223,Setup!$A$9:$B$11,2,0),"???")&amp;"-"&amp;G2223&amp;"-"&amp;TEXT(COUNTIFS(I$5:I2223,I2223,G$5:G2223,G2223),"0000"))</f>
        <v/>
      </c>
      <c r="C2223" s="26"/>
      <c r="D2223" s="26"/>
      <c r="E2223" s="27"/>
      <c r="F2223" s="27"/>
      <c r="G2223" s="24" t="str">
        <f aca="false">IF(F2223="","",IF(F2223&lt;=5,"A",IF(F2223&lt;=8,"B",IF(F2223&lt;=10,"C","D"))))</f>
        <v/>
      </c>
      <c r="H2223" s="28"/>
      <c r="I2223" s="27"/>
      <c r="J2223" s="26"/>
      <c r="K2223" s="27"/>
      <c r="L2223" s="27"/>
      <c r="M2223" s="27"/>
      <c r="N2223" s="27"/>
      <c r="O2223" s="24" t="str">
        <f aca="false">IF(G2223="","",VLOOKUP(G2223,Setup!$A$14:$C$17,3,0))</f>
        <v/>
      </c>
      <c r="P2223" s="27"/>
      <c r="Q2223" s="29" t="str">
        <f aca="false">IF(OR(P2223="",M2223&lt;&gt;"Paid",O2223=""),"",P2223/O2223)</f>
        <v/>
      </c>
      <c r="R2223" s="30" t="str">
        <f aca="false">IF(Q2223="","",Q2223+N(H2223)*0.000000001)</f>
        <v/>
      </c>
      <c r="S2223" s="25" t="str">
        <f aca="false">IF(R2223="","",SUMPRODUCT((I$5:I$4004=I2223)*ISNUMBER(R$5:R$4004)*(R$5:R$4004&gt;R2223))+1)</f>
        <v/>
      </c>
      <c r="T2223" s="25" t="str">
        <f aca="false">IF(S2223="","",IF(S2223&lt;=Setup!$B$5,"🏆 WINNER",""))</f>
        <v/>
      </c>
      <c r="U2223" s="24" t="str">
        <f aca="false">IF(S2223="","",I2223&amp;"|"&amp;S2223)</f>
        <v/>
      </c>
    </row>
    <row r="2224" customFormat="false" ht="15" hidden="false" customHeight="false" outlineLevel="0" collapsed="false">
      <c r="A2224" s="31" t="n">
        <v>2220</v>
      </c>
      <c r="B2224" s="32" t="str">
        <f aca="false">IF(OR(C2224="",I2224="",G2224=""),"",IFERROR(VLOOKUP(I2224,Setup!$A$9:$B$11,2,0),"???")&amp;"-"&amp;G2224&amp;"-"&amp;TEXT(COUNTIFS(I$5:I2224,I2224,G$5:G2224,G2224),"0000"))</f>
        <v/>
      </c>
      <c r="C2224" s="26"/>
      <c r="D2224" s="26"/>
      <c r="E2224" s="27"/>
      <c r="F2224" s="27"/>
      <c r="G2224" s="31" t="str">
        <f aca="false">IF(F2224="","",IF(F2224&lt;=5,"A",IF(F2224&lt;=8,"B",IF(F2224&lt;=10,"C","D"))))</f>
        <v/>
      </c>
      <c r="H2224" s="28"/>
      <c r="I2224" s="27"/>
      <c r="J2224" s="26"/>
      <c r="K2224" s="27"/>
      <c r="L2224" s="27"/>
      <c r="M2224" s="27"/>
      <c r="N2224" s="27"/>
      <c r="O2224" s="31" t="str">
        <f aca="false">IF(G2224="","",VLOOKUP(G2224,Setup!$A$14:$C$17,3,0))</f>
        <v/>
      </c>
      <c r="P2224" s="27"/>
      <c r="Q2224" s="33" t="str">
        <f aca="false">IF(OR(P2224="",M2224&lt;&gt;"Paid",O2224=""),"",P2224/O2224)</f>
        <v/>
      </c>
      <c r="R2224" s="34" t="str">
        <f aca="false">IF(Q2224="","",Q2224+N(H2224)*0.000000001)</f>
        <v/>
      </c>
      <c r="S2224" s="32" t="str">
        <f aca="false">IF(R2224="","",SUMPRODUCT((I$5:I$4004=I2224)*ISNUMBER(R$5:R$4004)*(R$5:R$4004&gt;R2224))+1)</f>
        <v/>
      </c>
      <c r="T2224" s="32" t="str">
        <f aca="false">IF(S2224="","",IF(S2224&lt;=Setup!$B$5,"🏆 WINNER",""))</f>
        <v/>
      </c>
      <c r="U2224" s="31" t="str">
        <f aca="false">IF(S2224="","",I2224&amp;"|"&amp;S2224)</f>
        <v/>
      </c>
    </row>
    <row r="2225" customFormat="false" ht="15" hidden="false" customHeight="false" outlineLevel="0" collapsed="false">
      <c r="A2225" s="24" t="n">
        <v>2221</v>
      </c>
      <c r="B2225" s="25" t="str">
        <f aca="false">IF(OR(C2225="",I2225="",G2225=""),"",IFERROR(VLOOKUP(I2225,Setup!$A$9:$B$11,2,0),"???")&amp;"-"&amp;G2225&amp;"-"&amp;TEXT(COUNTIFS(I$5:I2225,I2225,G$5:G2225,G2225),"0000"))</f>
        <v/>
      </c>
      <c r="C2225" s="26"/>
      <c r="D2225" s="26"/>
      <c r="E2225" s="27"/>
      <c r="F2225" s="27"/>
      <c r="G2225" s="24" t="str">
        <f aca="false">IF(F2225="","",IF(F2225&lt;=5,"A",IF(F2225&lt;=8,"B",IF(F2225&lt;=10,"C","D"))))</f>
        <v/>
      </c>
      <c r="H2225" s="28"/>
      <c r="I2225" s="27"/>
      <c r="J2225" s="26"/>
      <c r="K2225" s="27"/>
      <c r="L2225" s="27"/>
      <c r="M2225" s="27"/>
      <c r="N2225" s="27"/>
      <c r="O2225" s="24" t="str">
        <f aca="false">IF(G2225="","",VLOOKUP(G2225,Setup!$A$14:$C$17,3,0))</f>
        <v/>
      </c>
      <c r="P2225" s="27"/>
      <c r="Q2225" s="29" t="str">
        <f aca="false">IF(OR(P2225="",M2225&lt;&gt;"Paid",O2225=""),"",P2225/O2225)</f>
        <v/>
      </c>
      <c r="R2225" s="30" t="str">
        <f aca="false">IF(Q2225="","",Q2225+N(H2225)*0.000000001)</f>
        <v/>
      </c>
      <c r="S2225" s="25" t="str">
        <f aca="false">IF(R2225="","",SUMPRODUCT((I$5:I$4004=I2225)*ISNUMBER(R$5:R$4004)*(R$5:R$4004&gt;R2225))+1)</f>
        <v/>
      </c>
      <c r="T2225" s="25" t="str">
        <f aca="false">IF(S2225="","",IF(S2225&lt;=Setup!$B$5,"🏆 WINNER",""))</f>
        <v/>
      </c>
      <c r="U2225" s="24" t="str">
        <f aca="false">IF(S2225="","",I2225&amp;"|"&amp;S2225)</f>
        <v/>
      </c>
    </row>
    <row r="2226" customFormat="false" ht="15" hidden="false" customHeight="false" outlineLevel="0" collapsed="false">
      <c r="A2226" s="31" t="n">
        <v>2222</v>
      </c>
      <c r="B2226" s="32" t="str">
        <f aca="false">IF(OR(C2226="",I2226="",G2226=""),"",IFERROR(VLOOKUP(I2226,Setup!$A$9:$B$11,2,0),"???")&amp;"-"&amp;G2226&amp;"-"&amp;TEXT(COUNTIFS(I$5:I2226,I2226,G$5:G2226,G2226),"0000"))</f>
        <v/>
      </c>
      <c r="C2226" s="26"/>
      <c r="D2226" s="26"/>
      <c r="E2226" s="27"/>
      <c r="F2226" s="27"/>
      <c r="G2226" s="31" t="str">
        <f aca="false">IF(F2226="","",IF(F2226&lt;=5,"A",IF(F2226&lt;=8,"B",IF(F2226&lt;=10,"C","D"))))</f>
        <v/>
      </c>
      <c r="H2226" s="28"/>
      <c r="I2226" s="27"/>
      <c r="J2226" s="26"/>
      <c r="K2226" s="27"/>
      <c r="L2226" s="27"/>
      <c r="M2226" s="27"/>
      <c r="N2226" s="27"/>
      <c r="O2226" s="31" t="str">
        <f aca="false">IF(G2226="","",VLOOKUP(G2226,Setup!$A$14:$C$17,3,0))</f>
        <v/>
      </c>
      <c r="P2226" s="27"/>
      <c r="Q2226" s="33" t="str">
        <f aca="false">IF(OR(P2226="",M2226&lt;&gt;"Paid",O2226=""),"",P2226/O2226)</f>
        <v/>
      </c>
      <c r="R2226" s="34" t="str">
        <f aca="false">IF(Q2226="","",Q2226+N(H2226)*0.000000001)</f>
        <v/>
      </c>
      <c r="S2226" s="32" t="str">
        <f aca="false">IF(R2226="","",SUMPRODUCT((I$5:I$4004=I2226)*ISNUMBER(R$5:R$4004)*(R$5:R$4004&gt;R2226))+1)</f>
        <v/>
      </c>
      <c r="T2226" s="32" t="str">
        <f aca="false">IF(S2226="","",IF(S2226&lt;=Setup!$B$5,"🏆 WINNER",""))</f>
        <v/>
      </c>
      <c r="U2226" s="31" t="str">
        <f aca="false">IF(S2226="","",I2226&amp;"|"&amp;S2226)</f>
        <v/>
      </c>
    </row>
    <row r="2227" customFormat="false" ht="15" hidden="false" customHeight="false" outlineLevel="0" collapsed="false">
      <c r="A2227" s="24" t="n">
        <v>2223</v>
      </c>
      <c r="B2227" s="25" t="str">
        <f aca="false">IF(OR(C2227="",I2227="",G2227=""),"",IFERROR(VLOOKUP(I2227,Setup!$A$9:$B$11,2,0),"???")&amp;"-"&amp;G2227&amp;"-"&amp;TEXT(COUNTIFS(I$5:I2227,I2227,G$5:G2227,G2227),"0000"))</f>
        <v/>
      </c>
      <c r="C2227" s="26"/>
      <c r="D2227" s="26"/>
      <c r="E2227" s="27"/>
      <c r="F2227" s="27"/>
      <c r="G2227" s="24" t="str">
        <f aca="false">IF(F2227="","",IF(F2227&lt;=5,"A",IF(F2227&lt;=8,"B",IF(F2227&lt;=10,"C","D"))))</f>
        <v/>
      </c>
      <c r="H2227" s="28"/>
      <c r="I2227" s="27"/>
      <c r="J2227" s="26"/>
      <c r="K2227" s="27"/>
      <c r="L2227" s="27"/>
      <c r="M2227" s="27"/>
      <c r="N2227" s="27"/>
      <c r="O2227" s="24" t="str">
        <f aca="false">IF(G2227="","",VLOOKUP(G2227,Setup!$A$14:$C$17,3,0))</f>
        <v/>
      </c>
      <c r="P2227" s="27"/>
      <c r="Q2227" s="29" t="str">
        <f aca="false">IF(OR(P2227="",M2227&lt;&gt;"Paid",O2227=""),"",P2227/O2227)</f>
        <v/>
      </c>
      <c r="R2227" s="30" t="str">
        <f aca="false">IF(Q2227="","",Q2227+N(H2227)*0.000000001)</f>
        <v/>
      </c>
      <c r="S2227" s="25" t="str">
        <f aca="false">IF(R2227="","",SUMPRODUCT((I$5:I$4004=I2227)*ISNUMBER(R$5:R$4004)*(R$5:R$4004&gt;R2227))+1)</f>
        <v/>
      </c>
      <c r="T2227" s="25" t="str">
        <f aca="false">IF(S2227="","",IF(S2227&lt;=Setup!$B$5,"🏆 WINNER",""))</f>
        <v/>
      </c>
      <c r="U2227" s="24" t="str">
        <f aca="false">IF(S2227="","",I2227&amp;"|"&amp;S2227)</f>
        <v/>
      </c>
    </row>
    <row r="2228" customFormat="false" ht="15" hidden="false" customHeight="false" outlineLevel="0" collapsed="false">
      <c r="A2228" s="31" t="n">
        <v>2224</v>
      </c>
      <c r="B2228" s="32" t="str">
        <f aca="false">IF(OR(C2228="",I2228="",G2228=""),"",IFERROR(VLOOKUP(I2228,Setup!$A$9:$B$11,2,0),"???")&amp;"-"&amp;G2228&amp;"-"&amp;TEXT(COUNTIFS(I$5:I2228,I2228,G$5:G2228,G2228),"0000"))</f>
        <v/>
      </c>
      <c r="C2228" s="26"/>
      <c r="D2228" s="26"/>
      <c r="E2228" s="27"/>
      <c r="F2228" s="27"/>
      <c r="G2228" s="31" t="str">
        <f aca="false">IF(F2228="","",IF(F2228&lt;=5,"A",IF(F2228&lt;=8,"B",IF(F2228&lt;=10,"C","D"))))</f>
        <v/>
      </c>
      <c r="H2228" s="28"/>
      <c r="I2228" s="27"/>
      <c r="J2228" s="26"/>
      <c r="K2228" s="27"/>
      <c r="L2228" s="27"/>
      <c r="M2228" s="27"/>
      <c r="N2228" s="27"/>
      <c r="O2228" s="31" t="str">
        <f aca="false">IF(G2228="","",VLOOKUP(G2228,Setup!$A$14:$C$17,3,0))</f>
        <v/>
      </c>
      <c r="P2228" s="27"/>
      <c r="Q2228" s="33" t="str">
        <f aca="false">IF(OR(P2228="",M2228&lt;&gt;"Paid",O2228=""),"",P2228/O2228)</f>
        <v/>
      </c>
      <c r="R2228" s="34" t="str">
        <f aca="false">IF(Q2228="","",Q2228+N(H2228)*0.000000001)</f>
        <v/>
      </c>
      <c r="S2228" s="32" t="str">
        <f aca="false">IF(R2228="","",SUMPRODUCT((I$5:I$4004=I2228)*ISNUMBER(R$5:R$4004)*(R$5:R$4004&gt;R2228))+1)</f>
        <v/>
      </c>
      <c r="T2228" s="32" t="str">
        <f aca="false">IF(S2228="","",IF(S2228&lt;=Setup!$B$5,"🏆 WINNER",""))</f>
        <v/>
      </c>
      <c r="U2228" s="31" t="str">
        <f aca="false">IF(S2228="","",I2228&amp;"|"&amp;S2228)</f>
        <v/>
      </c>
    </row>
    <row r="2229" customFormat="false" ht="15" hidden="false" customHeight="false" outlineLevel="0" collapsed="false">
      <c r="A2229" s="24" t="n">
        <v>2225</v>
      </c>
      <c r="B2229" s="25" t="str">
        <f aca="false">IF(OR(C2229="",I2229="",G2229=""),"",IFERROR(VLOOKUP(I2229,Setup!$A$9:$B$11,2,0),"???")&amp;"-"&amp;G2229&amp;"-"&amp;TEXT(COUNTIFS(I$5:I2229,I2229,G$5:G2229,G2229),"0000"))</f>
        <v/>
      </c>
      <c r="C2229" s="26"/>
      <c r="D2229" s="26"/>
      <c r="E2229" s="27"/>
      <c r="F2229" s="27"/>
      <c r="G2229" s="24" t="str">
        <f aca="false">IF(F2229="","",IF(F2229&lt;=5,"A",IF(F2229&lt;=8,"B",IF(F2229&lt;=10,"C","D"))))</f>
        <v/>
      </c>
      <c r="H2229" s="28"/>
      <c r="I2229" s="27"/>
      <c r="J2229" s="26"/>
      <c r="K2229" s="27"/>
      <c r="L2229" s="27"/>
      <c r="M2229" s="27"/>
      <c r="N2229" s="27"/>
      <c r="O2229" s="24" t="str">
        <f aca="false">IF(G2229="","",VLOOKUP(G2229,Setup!$A$14:$C$17,3,0))</f>
        <v/>
      </c>
      <c r="P2229" s="27"/>
      <c r="Q2229" s="29" t="str">
        <f aca="false">IF(OR(P2229="",M2229&lt;&gt;"Paid",O2229=""),"",P2229/O2229)</f>
        <v/>
      </c>
      <c r="R2229" s="30" t="str">
        <f aca="false">IF(Q2229="","",Q2229+N(H2229)*0.000000001)</f>
        <v/>
      </c>
      <c r="S2229" s="25" t="str">
        <f aca="false">IF(R2229="","",SUMPRODUCT((I$5:I$4004=I2229)*ISNUMBER(R$5:R$4004)*(R$5:R$4004&gt;R2229))+1)</f>
        <v/>
      </c>
      <c r="T2229" s="25" t="str">
        <f aca="false">IF(S2229="","",IF(S2229&lt;=Setup!$B$5,"🏆 WINNER",""))</f>
        <v/>
      </c>
      <c r="U2229" s="24" t="str">
        <f aca="false">IF(S2229="","",I2229&amp;"|"&amp;S2229)</f>
        <v/>
      </c>
    </row>
    <row r="2230" customFormat="false" ht="15" hidden="false" customHeight="false" outlineLevel="0" collapsed="false">
      <c r="A2230" s="31" t="n">
        <v>2226</v>
      </c>
      <c r="B2230" s="32" t="str">
        <f aca="false">IF(OR(C2230="",I2230="",G2230=""),"",IFERROR(VLOOKUP(I2230,Setup!$A$9:$B$11,2,0),"???")&amp;"-"&amp;G2230&amp;"-"&amp;TEXT(COUNTIFS(I$5:I2230,I2230,G$5:G2230,G2230),"0000"))</f>
        <v/>
      </c>
      <c r="C2230" s="26"/>
      <c r="D2230" s="26"/>
      <c r="E2230" s="27"/>
      <c r="F2230" s="27"/>
      <c r="G2230" s="31" t="str">
        <f aca="false">IF(F2230="","",IF(F2230&lt;=5,"A",IF(F2230&lt;=8,"B",IF(F2230&lt;=10,"C","D"))))</f>
        <v/>
      </c>
      <c r="H2230" s="28"/>
      <c r="I2230" s="27"/>
      <c r="J2230" s="26"/>
      <c r="K2230" s="27"/>
      <c r="L2230" s="27"/>
      <c r="M2230" s="27"/>
      <c r="N2230" s="27"/>
      <c r="O2230" s="31" t="str">
        <f aca="false">IF(G2230="","",VLOOKUP(G2230,Setup!$A$14:$C$17,3,0))</f>
        <v/>
      </c>
      <c r="P2230" s="27"/>
      <c r="Q2230" s="33" t="str">
        <f aca="false">IF(OR(P2230="",M2230&lt;&gt;"Paid",O2230=""),"",P2230/O2230)</f>
        <v/>
      </c>
      <c r="R2230" s="34" t="str">
        <f aca="false">IF(Q2230="","",Q2230+N(H2230)*0.000000001)</f>
        <v/>
      </c>
      <c r="S2230" s="32" t="str">
        <f aca="false">IF(R2230="","",SUMPRODUCT((I$5:I$4004=I2230)*ISNUMBER(R$5:R$4004)*(R$5:R$4004&gt;R2230))+1)</f>
        <v/>
      </c>
      <c r="T2230" s="32" t="str">
        <f aca="false">IF(S2230="","",IF(S2230&lt;=Setup!$B$5,"🏆 WINNER",""))</f>
        <v/>
      </c>
      <c r="U2230" s="31" t="str">
        <f aca="false">IF(S2230="","",I2230&amp;"|"&amp;S2230)</f>
        <v/>
      </c>
    </row>
    <row r="2231" customFormat="false" ht="15" hidden="false" customHeight="false" outlineLevel="0" collapsed="false">
      <c r="A2231" s="24" t="n">
        <v>2227</v>
      </c>
      <c r="B2231" s="25" t="str">
        <f aca="false">IF(OR(C2231="",I2231="",G2231=""),"",IFERROR(VLOOKUP(I2231,Setup!$A$9:$B$11,2,0),"???")&amp;"-"&amp;G2231&amp;"-"&amp;TEXT(COUNTIFS(I$5:I2231,I2231,G$5:G2231,G2231),"0000"))</f>
        <v/>
      </c>
      <c r="C2231" s="26"/>
      <c r="D2231" s="26"/>
      <c r="E2231" s="27"/>
      <c r="F2231" s="27"/>
      <c r="G2231" s="24" t="str">
        <f aca="false">IF(F2231="","",IF(F2231&lt;=5,"A",IF(F2231&lt;=8,"B",IF(F2231&lt;=10,"C","D"))))</f>
        <v/>
      </c>
      <c r="H2231" s="28"/>
      <c r="I2231" s="27"/>
      <c r="J2231" s="26"/>
      <c r="K2231" s="27"/>
      <c r="L2231" s="27"/>
      <c r="M2231" s="27"/>
      <c r="N2231" s="27"/>
      <c r="O2231" s="24" t="str">
        <f aca="false">IF(G2231="","",VLOOKUP(G2231,Setup!$A$14:$C$17,3,0))</f>
        <v/>
      </c>
      <c r="P2231" s="27"/>
      <c r="Q2231" s="29" t="str">
        <f aca="false">IF(OR(P2231="",M2231&lt;&gt;"Paid",O2231=""),"",P2231/O2231)</f>
        <v/>
      </c>
      <c r="R2231" s="30" t="str">
        <f aca="false">IF(Q2231="","",Q2231+N(H2231)*0.000000001)</f>
        <v/>
      </c>
      <c r="S2231" s="25" t="str">
        <f aca="false">IF(R2231="","",SUMPRODUCT((I$5:I$4004=I2231)*ISNUMBER(R$5:R$4004)*(R$5:R$4004&gt;R2231))+1)</f>
        <v/>
      </c>
      <c r="T2231" s="25" t="str">
        <f aca="false">IF(S2231="","",IF(S2231&lt;=Setup!$B$5,"🏆 WINNER",""))</f>
        <v/>
      </c>
      <c r="U2231" s="24" t="str">
        <f aca="false">IF(S2231="","",I2231&amp;"|"&amp;S2231)</f>
        <v/>
      </c>
    </row>
    <row r="2232" customFormat="false" ht="15" hidden="false" customHeight="false" outlineLevel="0" collapsed="false">
      <c r="A2232" s="31" t="n">
        <v>2228</v>
      </c>
      <c r="B2232" s="32" t="str">
        <f aca="false">IF(OR(C2232="",I2232="",G2232=""),"",IFERROR(VLOOKUP(I2232,Setup!$A$9:$B$11,2,0),"???")&amp;"-"&amp;G2232&amp;"-"&amp;TEXT(COUNTIFS(I$5:I2232,I2232,G$5:G2232,G2232),"0000"))</f>
        <v/>
      </c>
      <c r="C2232" s="26"/>
      <c r="D2232" s="26"/>
      <c r="E2232" s="27"/>
      <c r="F2232" s="27"/>
      <c r="G2232" s="31" t="str">
        <f aca="false">IF(F2232="","",IF(F2232&lt;=5,"A",IF(F2232&lt;=8,"B",IF(F2232&lt;=10,"C","D"))))</f>
        <v/>
      </c>
      <c r="H2232" s="28"/>
      <c r="I2232" s="27"/>
      <c r="J2232" s="26"/>
      <c r="K2232" s="27"/>
      <c r="L2232" s="27"/>
      <c r="M2232" s="27"/>
      <c r="N2232" s="27"/>
      <c r="O2232" s="31" t="str">
        <f aca="false">IF(G2232="","",VLOOKUP(G2232,Setup!$A$14:$C$17,3,0))</f>
        <v/>
      </c>
      <c r="P2232" s="27"/>
      <c r="Q2232" s="33" t="str">
        <f aca="false">IF(OR(P2232="",M2232&lt;&gt;"Paid",O2232=""),"",P2232/O2232)</f>
        <v/>
      </c>
      <c r="R2232" s="34" t="str">
        <f aca="false">IF(Q2232="","",Q2232+N(H2232)*0.000000001)</f>
        <v/>
      </c>
      <c r="S2232" s="32" t="str">
        <f aca="false">IF(R2232="","",SUMPRODUCT((I$5:I$4004=I2232)*ISNUMBER(R$5:R$4004)*(R$5:R$4004&gt;R2232))+1)</f>
        <v/>
      </c>
      <c r="T2232" s="32" t="str">
        <f aca="false">IF(S2232="","",IF(S2232&lt;=Setup!$B$5,"🏆 WINNER",""))</f>
        <v/>
      </c>
      <c r="U2232" s="31" t="str">
        <f aca="false">IF(S2232="","",I2232&amp;"|"&amp;S2232)</f>
        <v/>
      </c>
    </row>
    <row r="2233" customFormat="false" ht="15" hidden="false" customHeight="false" outlineLevel="0" collapsed="false">
      <c r="A2233" s="24" t="n">
        <v>2229</v>
      </c>
      <c r="B2233" s="25" t="str">
        <f aca="false">IF(OR(C2233="",I2233="",G2233=""),"",IFERROR(VLOOKUP(I2233,Setup!$A$9:$B$11,2,0),"???")&amp;"-"&amp;G2233&amp;"-"&amp;TEXT(COUNTIFS(I$5:I2233,I2233,G$5:G2233,G2233),"0000"))</f>
        <v/>
      </c>
      <c r="C2233" s="26"/>
      <c r="D2233" s="26"/>
      <c r="E2233" s="27"/>
      <c r="F2233" s="27"/>
      <c r="G2233" s="24" t="str">
        <f aca="false">IF(F2233="","",IF(F2233&lt;=5,"A",IF(F2233&lt;=8,"B",IF(F2233&lt;=10,"C","D"))))</f>
        <v/>
      </c>
      <c r="H2233" s="28"/>
      <c r="I2233" s="27"/>
      <c r="J2233" s="26"/>
      <c r="K2233" s="27"/>
      <c r="L2233" s="27"/>
      <c r="M2233" s="27"/>
      <c r="N2233" s="27"/>
      <c r="O2233" s="24" t="str">
        <f aca="false">IF(G2233="","",VLOOKUP(G2233,Setup!$A$14:$C$17,3,0))</f>
        <v/>
      </c>
      <c r="P2233" s="27"/>
      <c r="Q2233" s="29" t="str">
        <f aca="false">IF(OR(P2233="",M2233&lt;&gt;"Paid",O2233=""),"",P2233/O2233)</f>
        <v/>
      </c>
      <c r="R2233" s="30" t="str">
        <f aca="false">IF(Q2233="","",Q2233+N(H2233)*0.000000001)</f>
        <v/>
      </c>
      <c r="S2233" s="25" t="str">
        <f aca="false">IF(R2233="","",SUMPRODUCT((I$5:I$4004=I2233)*ISNUMBER(R$5:R$4004)*(R$5:R$4004&gt;R2233))+1)</f>
        <v/>
      </c>
      <c r="T2233" s="25" t="str">
        <f aca="false">IF(S2233="","",IF(S2233&lt;=Setup!$B$5,"🏆 WINNER",""))</f>
        <v/>
      </c>
      <c r="U2233" s="24" t="str">
        <f aca="false">IF(S2233="","",I2233&amp;"|"&amp;S2233)</f>
        <v/>
      </c>
    </row>
    <row r="2234" customFormat="false" ht="15" hidden="false" customHeight="false" outlineLevel="0" collapsed="false">
      <c r="A2234" s="31" t="n">
        <v>2230</v>
      </c>
      <c r="B2234" s="32" t="str">
        <f aca="false">IF(OR(C2234="",I2234="",G2234=""),"",IFERROR(VLOOKUP(I2234,Setup!$A$9:$B$11,2,0),"???")&amp;"-"&amp;G2234&amp;"-"&amp;TEXT(COUNTIFS(I$5:I2234,I2234,G$5:G2234,G2234),"0000"))</f>
        <v/>
      </c>
      <c r="C2234" s="26"/>
      <c r="D2234" s="26"/>
      <c r="E2234" s="27"/>
      <c r="F2234" s="27"/>
      <c r="G2234" s="31" t="str">
        <f aca="false">IF(F2234="","",IF(F2234&lt;=5,"A",IF(F2234&lt;=8,"B",IF(F2234&lt;=10,"C","D"))))</f>
        <v/>
      </c>
      <c r="H2234" s="28"/>
      <c r="I2234" s="27"/>
      <c r="J2234" s="26"/>
      <c r="K2234" s="27"/>
      <c r="L2234" s="27"/>
      <c r="M2234" s="27"/>
      <c r="N2234" s="27"/>
      <c r="O2234" s="31" t="str">
        <f aca="false">IF(G2234="","",VLOOKUP(G2234,Setup!$A$14:$C$17,3,0))</f>
        <v/>
      </c>
      <c r="P2234" s="27"/>
      <c r="Q2234" s="33" t="str">
        <f aca="false">IF(OR(P2234="",M2234&lt;&gt;"Paid",O2234=""),"",P2234/O2234)</f>
        <v/>
      </c>
      <c r="R2234" s="34" t="str">
        <f aca="false">IF(Q2234="","",Q2234+N(H2234)*0.000000001)</f>
        <v/>
      </c>
      <c r="S2234" s="32" t="str">
        <f aca="false">IF(R2234="","",SUMPRODUCT((I$5:I$4004=I2234)*ISNUMBER(R$5:R$4004)*(R$5:R$4004&gt;R2234))+1)</f>
        <v/>
      </c>
      <c r="T2234" s="32" t="str">
        <f aca="false">IF(S2234="","",IF(S2234&lt;=Setup!$B$5,"🏆 WINNER",""))</f>
        <v/>
      </c>
      <c r="U2234" s="31" t="str">
        <f aca="false">IF(S2234="","",I2234&amp;"|"&amp;S2234)</f>
        <v/>
      </c>
    </row>
    <row r="2235" customFormat="false" ht="15" hidden="false" customHeight="false" outlineLevel="0" collapsed="false">
      <c r="A2235" s="24" t="n">
        <v>2231</v>
      </c>
      <c r="B2235" s="25" t="str">
        <f aca="false">IF(OR(C2235="",I2235="",G2235=""),"",IFERROR(VLOOKUP(I2235,Setup!$A$9:$B$11,2,0),"???")&amp;"-"&amp;G2235&amp;"-"&amp;TEXT(COUNTIFS(I$5:I2235,I2235,G$5:G2235,G2235),"0000"))</f>
        <v/>
      </c>
      <c r="C2235" s="26"/>
      <c r="D2235" s="26"/>
      <c r="E2235" s="27"/>
      <c r="F2235" s="27"/>
      <c r="G2235" s="24" t="str">
        <f aca="false">IF(F2235="","",IF(F2235&lt;=5,"A",IF(F2235&lt;=8,"B",IF(F2235&lt;=10,"C","D"))))</f>
        <v/>
      </c>
      <c r="H2235" s="28"/>
      <c r="I2235" s="27"/>
      <c r="J2235" s="26"/>
      <c r="K2235" s="27"/>
      <c r="L2235" s="27"/>
      <c r="M2235" s="27"/>
      <c r="N2235" s="27"/>
      <c r="O2235" s="24" t="str">
        <f aca="false">IF(G2235="","",VLOOKUP(G2235,Setup!$A$14:$C$17,3,0))</f>
        <v/>
      </c>
      <c r="P2235" s="27"/>
      <c r="Q2235" s="29" t="str">
        <f aca="false">IF(OR(P2235="",M2235&lt;&gt;"Paid",O2235=""),"",P2235/O2235)</f>
        <v/>
      </c>
      <c r="R2235" s="30" t="str">
        <f aca="false">IF(Q2235="","",Q2235+N(H2235)*0.000000001)</f>
        <v/>
      </c>
      <c r="S2235" s="25" t="str">
        <f aca="false">IF(R2235="","",SUMPRODUCT((I$5:I$4004=I2235)*ISNUMBER(R$5:R$4004)*(R$5:R$4004&gt;R2235))+1)</f>
        <v/>
      </c>
      <c r="T2235" s="25" t="str">
        <f aca="false">IF(S2235="","",IF(S2235&lt;=Setup!$B$5,"🏆 WINNER",""))</f>
        <v/>
      </c>
      <c r="U2235" s="24" t="str">
        <f aca="false">IF(S2235="","",I2235&amp;"|"&amp;S2235)</f>
        <v/>
      </c>
    </row>
    <row r="2236" customFormat="false" ht="15" hidden="false" customHeight="false" outlineLevel="0" collapsed="false">
      <c r="A2236" s="31" t="n">
        <v>2232</v>
      </c>
      <c r="B2236" s="32" t="str">
        <f aca="false">IF(OR(C2236="",I2236="",G2236=""),"",IFERROR(VLOOKUP(I2236,Setup!$A$9:$B$11,2,0),"???")&amp;"-"&amp;G2236&amp;"-"&amp;TEXT(COUNTIFS(I$5:I2236,I2236,G$5:G2236,G2236),"0000"))</f>
        <v/>
      </c>
      <c r="C2236" s="26"/>
      <c r="D2236" s="26"/>
      <c r="E2236" s="27"/>
      <c r="F2236" s="27"/>
      <c r="G2236" s="31" t="str">
        <f aca="false">IF(F2236="","",IF(F2236&lt;=5,"A",IF(F2236&lt;=8,"B",IF(F2236&lt;=10,"C","D"))))</f>
        <v/>
      </c>
      <c r="H2236" s="28"/>
      <c r="I2236" s="27"/>
      <c r="J2236" s="26"/>
      <c r="K2236" s="27"/>
      <c r="L2236" s="27"/>
      <c r="M2236" s="27"/>
      <c r="N2236" s="27"/>
      <c r="O2236" s="31" t="str">
        <f aca="false">IF(G2236="","",VLOOKUP(G2236,Setup!$A$14:$C$17,3,0))</f>
        <v/>
      </c>
      <c r="P2236" s="27"/>
      <c r="Q2236" s="33" t="str">
        <f aca="false">IF(OR(P2236="",M2236&lt;&gt;"Paid",O2236=""),"",P2236/O2236)</f>
        <v/>
      </c>
      <c r="R2236" s="34" t="str">
        <f aca="false">IF(Q2236="","",Q2236+N(H2236)*0.000000001)</f>
        <v/>
      </c>
      <c r="S2236" s="32" t="str">
        <f aca="false">IF(R2236="","",SUMPRODUCT((I$5:I$4004=I2236)*ISNUMBER(R$5:R$4004)*(R$5:R$4004&gt;R2236))+1)</f>
        <v/>
      </c>
      <c r="T2236" s="32" t="str">
        <f aca="false">IF(S2236="","",IF(S2236&lt;=Setup!$B$5,"🏆 WINNER",""))</f>
        <v/>
      </c>
      <c r="U2236" s="31" t="str">
        <f aca="false">IF(S2236="","",I2236&amp;"|"&amp;S2236)</f>
        <v/>
      </c>
    </row>
    <row r="2237" customFormat="false" ht="15" hidden="false" customHeight="false" outlineLevel="0" collapsed="false">
      <c r="A2237" s="24" t="n">
        <v>2233</v>
      </c>
      <c r="B2237" s="25" t="str">
        <f aca="false">IF(OR(C2237="",I2237="",G2237=""),"",IFERROR(VLOOKUP(I2237,Setup!$A$9:$B$11,2,0),"???")&amp;"-"&amp;G2237&amp;"-"&amp;TEXT(COUNTIFS(I$5:I2237,I2237,G$5:G2237,G2237),"0000"))</f>
        <v/>
      </c>
      <c r="C2237" s="26"/>
      <c r="D2237" s="26"/>
      <c r="E2237" s="27"/>
      <c r="F2237" s="27"/>
      <c r="G2237" s="24" t="str">
        <f aca="false">IF(F2237="","",IF(F2237&lt;=5,"A",IF(F2237&lt;=8,"B",IF(F2237&lt;=10,"C","D"))))</f>
        <v/>
      </c>
      <c r="H2237" s="28"/>
      <c r="I2237" s="27"/>
      <c r="J2237" s="26"/>
      <c r="K2237" s="27"/>
      <c r="L2237" s="27"/>
      <c r="M2237" s="27"/>
      <c r="N2237" s="27"/>
      <c r="O2237" s="24" t="str">
        <f aca="false">IF(G2237="","",VLOOKUP(G2237,Setup!$A$14:$C$17,3,0))</f>
        <v/>
      </c>
      <c r="P2237" s="27"/>
      <c r="Q2237" s="29" t="str">
        <f aca="false">IF(OR(P2237="",M2237&lt;&gt;"Paid",O2237=""),"",P2237/O2237)</f>
        <v/>
      </c>
      <c r="R2237" s="30" t="str">
        <f aca="false">IF(Q2237="","",Q2237+N(H2237)*0.000000001)</f>
        <v/>
      </c>
      <c r="S2237" s="25" t="str">
        <f aca="false">IF(R2237="","",SUMPRODUCT((I$5:I$4004=I2237)*ISNUMBER(R$5:R$4004)*(R$5:R$4004&gt;R2237))+1)</f>
        <v/>
      </c>
      <c r="T2237" s="25" t="str">
        <f aca="false">IF(S2237="","",IF(S2237&lt;=Setup!$B$5,"🏆 WINNER",""))</f>
        <v/>
      </c>
      <c r="U2237" s="24" t="str">
        <f aca="false">IF(S2237="","",I2237&amp;"|"&amp;S2237)</f>
        <v/>
      </c>
    </row>
    <row r="2238" customFormat="false" ht="15" hidden="false" customHeight="false" outlineLevel="0" collapsed="false">
      <c r="A2238" s="31" t="n">
        <v>2234</v>
      </c>
      <c r="B2238" s="32" t="str">
        <f aca="false">IF(OR(C2238="",I2238="",G2238=""),"",IFERROR(VLOOKUP(I2238,Setup!$A$9:$B$11,2,0),"???")&amp;"-"&amp;G2238&amp;"-"&amp;TEXT(COUNTIFS(I$5:I2238,I2238,G$5:G2238,G2238),"0000"))</f>
        <v/>
      </c>
      <c r="C2238" s="26"/>
      <c r="D2238" s="26"/>
      <c r="E2238" s="27"/>
      <c r="F2238" s="27"/>
      <c r="G2238" s="31" t="str">
        <f aca="false">IF(F2238="","",IF(F2238&lt;=5,"A",IF(F2238&lt;=8,"B",IF(F2238&lt;=10,"C","D"))))</f>
        <v/>
      </c>
      <c r="H2238" s="28"/>
      <c r="I2238" s="27"/>
      <c r="J2238" s="26"/>
      <c r="K2238" s="27"/>
      <c r="L2238" s="27"/>
      <c r="M2238" s="27"/>
      <c r="N2238" s="27"/>
      <c r="O2238" s="31" t="str">
        <f aca="false">IF(G2238="","",VLOOKUP(G2238,Setup!$A$14:$C$17,3,0))</f>
        <v/>
      </c>
      <c r="P2238" s="27"/>
      <c r="Q2238" s="33" t="str">
        <f aca="false">IF(OR(P2238="",M2238&lt;&gt;"Paid",O2238=""),"",P2238/O2238)</f>
        <v/>
      </c>
      <c r="R2238" s="34" t="str">
        <f aca="false">IF(Q2238="","",Q2238+N(H2238)*0.000000001)</f>
        <v/>
      </c>
      <c r="S2238" s="32" t="str">
        <f aca="false">IF(R2238="","",SUMPRODUCT((I$5:I$4004=I2238)*ISNUMBER(R$5:R$4004)*(R$5:R$4004&gt;R2238))+1)</f>
        <v/>
      </c>
      <c r="T2238" s="32" t="str">
        <f aca="false">IF(S2238="","",IF(S2238&lt;=Setup!$B$5,"🏆 WINNER",""))</f>
        <v/>
      </c>
      <c r="U2238" s="31" t="str">
        <f aca="false">IF(S2238="","",I2238&amp;"|"&amp;S2238)</f>
        <v/>
      </c>
    </row>
    <row r="2239" customFormat="false" ht="15" hidden="false" customHeight="false" outlineLevel="0" collapsed="false">
      <c r="A2239" s="24" t="n">
        <v>2235</v>
      </c>
      <c r="B2239" s="25" t="str">
        <f aca="false">IF(OR(C2239="",I2239="",G2239=""),"",IFERROR(VLOOKUP(I2239,Setup!$A$9:$B$11,2,0),"???")&amp;"-"&amp;G2239&amp;"-"&amp;TEXT(COUNTIFS(I$5:I2239,I2239,G$5:G2239,G2239),"0000"))</f>
        <v/>
      </c>
      <c r="C2239" s="26"/>
      <c r="D2239" s="26"/>
      <c r="E2239" s="27"/>
      <c r="F2239" s="27"/>
      <c r="G2239" s="24" t="str">
        <f aca="false">IF(F2239="","",IF(F2239&lt;=5,"A",IF(F2239&lt;=8,"B",IF(F2239&lt;=10,"C","D"))))</f>
        <v/>
      </c>
      <c r="H2239" s="28"/>
      <c r="I2239" s="27"/>
      <c r="J2239" s="26"/>
      <c r="K2239" s="27"/>
      <c r="L2239" s="27"/>
      <c r="M2239" s="27"/>
      <c r="N2239" s="27"/>
      <c r="O2239" s="24" t="str">
        <f aca="false">IF(G2239="","",VLOOKUP(G2239,Setup!$A$14:$C$17,3,0))</f>
        <v/>
      </c>
      <c r="P2239" s="27"/>
      <c r="Q2239" s="29" t="str">
        <f aca="false">IF(OR(P2239="",M2239&lt;&gt;"Paid",O2239=""),"",P2239/O2239)</f>
        <v/>
      </c>
      <c r="R2239" s="30" t="str">
        <f aca="false">IF(Q2239="","",Q2239+N(H2239)*0.000000001)</f>
        <v/>
      </c>
      <c r="S2239" s="25" t="str">
        <f aca="false">IF(R2239="","",SUMPRODUCT((I$5:I$4004=I2239)*ISNUMBER(R$5:R$4004)*(R$5:R$4004&gt;R2239))+1)</f>
        <v/>
      </c>
      <c r="T2239" s="25" t="str">
        <f aca="false">IF(S2239="","",IF(S2239&lt;=Setup!$B$5,"🏆 WINNER",""))</f>
        <v/>
      </c>
      <c r="U2239" s="24" t="str">
        <f aca="false">IF(S2239="","",I2239&amp;"|"&amp;S2239)</f>
        <v/>
      </c>
    </row>
    <row r="2240" customFormat="false" ht="15" hidden="false" customHeight="false" outlineLevel="0" collapsed="false">
      <c r="A2240" s="31" t="n">
        <v>2236</v>
      </c>
      <c r="B2240" s="32" t="str">
        <f aca="false">IF(OR(C2240="",I2240="",G2240=""),"",IFERROR(VLOOKUP(I2240,Setup!$A$9:$B$11,2,0),"???")&amp;"-"&amp;G2240&amp;"-"&amp;TEXT(COUNTIFS(I$5:I2240,I2240,G$5:G2240,G2240),"0000"))</f>
        <v/>
      </c>
      <c r="C2240" s="26"/>
      <c r="D2240" s="26"/>
      <c r="E2240" s="27"/>
      <c r="F2240" s="27"/>
      <c r="G2240" s="31" t="str">
        <f aca="false">IF(F2240="","",IF(F2240&lt;=5,"A",IF(F2240&lt;=8,"B",IF(F2240&lt;=10,"C","D"))))</f>
        <v/>
      </c>
      <c r="H2240" s="28"/>
      <c r="I2240" s="27"/>
      <c r="J2240" s="26"/>
      <c r="K2240" s="27"/>
      <c r="L2240" s="27"/>
      <c r="M2240" s="27"/>
      <c r="N2240" s="27"/>
      <c r="O2240" s="31" t="str">
        <f aca="false">IF(G2240="","",VLOOKUP(G2240,Setup!$A$14:$C$17,3,0))</f>
        <v/>
      </c>
      <c r="P2240" s="27"/>
      <c r="Q2240" s="33" t="str">
        <f aca="false">IF(OR(P2240="",M2240&lt;&gt;"Paid",O2240=""),"",P2240/O2240)</f>
        <v/>
      </c>
      <c r="R2240" s="34" t="str">
        <f aca="false">IF(Q2240="","",Q2240+N(H2240)*0.000000001)</f>
        <v/>
      </c>
      <c r="S2240" s="32" t="str">
        <f aca="false">IF(R2240="","",SUMPRODUCT((I$5:I$4004=I2240)*ISNUMBER(R$5:R$4004)*(R$5:R$4004&gt;R2240))+1)</f>
        <v/>
      </c>
      <c r="T2240" s="32" t="str">
        <f aca="false">IF(S2240="","",IF(S2240&lt;=Setup!$B$5,"🏆 WINNER",""))</f>
        <v/>
      </c>
      <c r="U2240" s="31" t="str">
        <f aca="false">IF(S2240="","",I2240&amp;"|"&amp;S2240)</f>
        <v/>
      </c>
    </row>
    <row r="2241" customFormat="false" ht="15" hidden="false" customHeight="false" outlineLevel="0" collapsed="false">
      <c r="A2241" s="24" t="n">
        <v>2237</v>
      </c>
      <c r="B2241" s="25" t="str">
        <f aca="false">IF(OR(C2241="",I2241="",G2241=""),"",IFERROR(VLOOKUP(I2241,Setup!$A$9:$B$11,2,0),"???")&amp;"-"&amp;G2241&amp;"-"&amp;TEXT(COUNTIFS(I$5:I2241,I2241,G$5:G2241,G2241),"0000"))</f>
        <v/>
      </c>
      <c r="C2241" s="26"/>
      <c r="D2241" s="26"/>
      <c r="E2241" s="27"/>
      <c r="F2241" s="27"/>
      <c r="G2241" s="24" t="str">
        <f aca="false">IF(F2241="","",IF(F2241&lt;=5,"A",IF(F2241&lt;=8,"B",IF(F2241&lt;=10,"C","D"))))</f>
        <v/>
      </c>
      <c r="H2241" s="28"/>
      <c r="I2241" s="27"/>
      <c r="J2241" s="26"/>
      <c r="K2241" s="27"/>
      <c r="L2241" s="27"/>
      <c r="M2241" s="27"/>
      <c r="N2241" s="27"/>
      <c r="O2241" s="24" t="str">
        <f aca="false">IF(G2241="","",VLOOKUP(G2241,Setup!$A$14:$C$17,3,0))</f>
        <v/>
      </c>
      <c r="P2241" s="27"/>
      <c r="Q2241" s="29" t="str">
        <f aca="false">IF(OR(P2241="",M2241&lt;&gt;"Paid",O2241=""),"",P2241/O2241)</f>
        <v/>
      </c>
      <c r="R2241" s="30" t="str">
        <f aca="false">IF(Q2241="","",Q2241+N(H2241)*0.000000001)</f>
        <v/>
      </c>
      <c r="S2241" s="25" t="str">
        <f aca="false">IF(R2241="","",SUMPRODUCT((I$5:I$4004=I2241)*ISNUMBER(R$5:R$4004)*(R$5:R$4004&gt;R2241))+1)</f>
        <v/>
      </c>
      <c r="T2241" s="25" t="str">
        <f aca="false">IF(S2241="","",IF(S2241&lt;=Setup!$B$5,"🏆 WINNER",""))</f>
        <v/>
      </c>
      <c r="U2241" s="24" t="str">
        <f aca="false">IF(S2241="","",I2241&amp;"|"&amp;S2241)</f>
        <v/>
      </c>
    </row>
    <row r="2242" customFormat="false" ht="15" hidden="false" customHeight="false" outlineLevel="0" collapsed="false">
      <c r="A2242" s="31" t="n">
        <v>2238</v>
      </c>
      <c r="B2242" s="32" t="str">
        <f aca="false">IF(OR(C2242="",I2242="",G2242=""),"",IFERROR(VLOOKUP(I2242,Setup!$A$9:$B$11,2,0),"???")&amp;"-"&amp;G2242&amp;"-"&amp;TEXT(COUNTIFS(I$5:I2242,I2242,G$5:G2242,G2242),"0000"))</f>
        <v/>
      </c>
      <c r="C2242" s="26"/>
      <c r="D2242" s="26"/>
      <c r="E2242" s="27"/>
      <c r="F2242" s="27"/>
      <c r="G2242" s="31" t="str">
        <f aca="false">IF(F2242="","",IF(F2242&lt;=5,"A",IF(F2242&lt;=8,"B",IF(F2242&lt;=10,"C","D"))))</f>
        <v/>
      </c>
      <c r="H2242" s="28"/>
      <c r="I2242" s="27"/>
      <c r="J2242" s="26"/>
      <c r="K2242" s="27"/>
      <c r="L2242" s="27"/>
      <c r="M2242" s="27"/>
      <c r="N2242" s="27"/>
      <c r="O2242" s="31" t="str">
        <f aca="false">IF(G2242="","",VLOOKUP(G2242,Setup!$A$14:$C$17,3,0))</f>
        <v/>
      </c>
      <c r="P2242" s="27"/>
      <c r="Q2242" s="33" t="str">
        <f aca="false">IF(OR(P2242="",M2242&lt;&gt;"Paid",O2242=""),"",P2242/O2242)</f>
        <v/>
      </c>
      <c r="R2242" s="34" t="str">
        <f aca="false">IF(Q2242="","",Q2242+N(H2242)*0.000000001)</f>
        <v/>
      </c>
      <c r="S2242" s="32" t="str">
        <f aca="false">IF(R2242="","",SUMPRODUCT((I$5:I$4004=I2242)*ISNUMBER(R$5:R$4004)*(R$5:R$4004&gt;R2242))+1)</f>
        <v/>
      </c>
      <c r="T2242" s="32" t="str">
        <f aca="false">IF(S2242="","",IF(S2242&lt;=Setup!$B$5,"🏆 WINNER",""))</f>
        <v/>
      </c>
      <c r="U2242" s="31" t="str">
        <f aca="false">IF(S2242="","",I2242&amp;"|"&amp;S2242)</f>
        <v/>
      </c>
    </row>
    <row r="2243" customFormat="false" ht="15" hidden="false" customHeight="false" outlineLevel="0" collapsed="false">
      <c r="A2243" s="24" t="n">
        <v>2239</v>
      </c>
      <c r="B2243" s="25" t="str">
        <f aca="false">IF(OR(C2243="",I2243="",G2243=""),"",IFERROR(VLOOKUP(I2243,Setup!$A$9:$B$11,2,0),"???")&amp;"-"&amp;G2243&amp;"-"&amp;TEXT(COUNTIFS(I$5:I2243,I2243,G$5:G2243,G2243),"0000"))</f>
        <v/>
      </c>
      <c r="C2243" s="26"/>
      <c r="D2243" s="26"/>
      <c r="E2243" s="27"/>
      <c r="F2243" s="27"/>
      <c r="G2243" s="24" t="str">
        <f aca="false">IF(F2243="","",IF(F2243&lt;=5,"A",IF(F2243&lt;=8,"B",IF(F2243&lt;=10,"C","D"))))</f>
        <v/>
      </c>
      <c r="H2243" s="28"/>
      <c r="I2243" s="27"/>
      <c r="J2243" s="26"/>
      <c r="K2243" s="27"/>
      <c r="L2243" s="27"/>
      <c r="M2243" s="27"/>
      <c r="N2243" s="27"/>
      <c r="O2243" s="24" t="str">
        <f aca="false">IF(G2243="","",VLOOKUP(G2243,Setup!$A$14:$C$17,3,0))</f>
        <v/>
      </c>
      <c r="P2243" s="27"/>
      <c r="Q2243" s="29" t="str">
        <f aca="false">IF(OR(P2243="",M2243&lt;&gt;"Paid",O2243=""),"",P2243/O2243)</f>
        <v/>
      </c>
      <c r="R2243" s="30" t="str">
        <f aca="false">IF(Q2243="","",Q2243+N(H2243)*0.000000001)</f>
        <v/>
      </c>
      <c r="S2243" s="25" t="str">
        <f aca="false">IF(R2243="","",SUMPRODUCT((I$5:I$4004=I2243)*ISNUMBER(R$5:R$4004)*(R$5:R$4004&gt;R2243))+1)</f>
        <v/>
      </c>
      <c r="T2243" s="25" t="str">
        <f aca="false">IF(S2243="","",IF(S2243&lt;=Setup!$B$5,"🏆 WINNER",""))</f>
        <v/>
      </c>
      <c r="U2243" s="24" t="str">
        <f aca="false">IF(S2243="","",I2243&amp;"|"&amp;S2243)</f>
        <v/>
      </c>
    </row>
    <row r="2244" customFormat="false" ht="15" hidden="false" customHeight="false" outlineLevel="0" collapsed="false">
      <c r="A2244" s="31" t="n">
        <v>2240</v>
      </c>
      <c r="B2244" s="32" t="str">
        <f aca="false">IF(OR(C2244="",I2244="",G2244=""),"",IFERROR(VLOOKUP(I2244,Setup!$A$9:$B$11,2,0),"???")&amp;"-"&amp;G2244&amp;"-"&amp;TEXT(COUNTIFS(I$5:I2244,I2244,G$5:G2244,G2244),"0000"))</f>
        <v/>
      </c>
      <c r="C2244" s="26"/>
      <c r="D2244" s="26"/>
      <c r="E2244" s="27"/>
      <c r="F2244" s="27"/>
      <c r="G2244" s="31" t="str">
        <f aca="false">IF(F2244="","",IF(F2244&lt;=5,"A",IF(F2244&lt;=8,"B",IF(F2244&lt;=10,"C","D"))))</f>
        <v/>
      </c>
      <c r="H2244" s="28"/>
      <c r="I2244" s="27"/>
      <c r="J2244" s="26"/>
      <c r="K2244" s="27"/>
      <c r="L2244" s="27"/>
      <c r="M2244" s="27"/>
      <c r="N2244" s="27"/>
      <c r="O2244" s="31" t="str">
        <f aca="false">IF(G2244="","",VLOOKUP(G2244,Setup!$A$14:$C$17,3,0))</f>
        <v/>
      </c>
      <c r="P2244" s="27"/>
      <c r="Q2244" s="33" t="str">
        <f aca="false">IF(OR(P2244="",M2244&lt;&gt;"Paid",O2244=""),"",P2244/O2244)</f>
        <v/>
      </c>
      <c r="R2244" s="34" t="str">
        <f aca="false">IF(Q2244="","",Q2244+N(H2244)*0.000000001)</f>
        <v/>
      </c>
      <c r="S2244" s="32" t="str">
        <f aca="false">IF(R2244="","",SUMPRODUCT((I$5:I$4004=I2244)*ISNUMBER(R$5:R$4004)*(R$5:R$4004&gt;R2244))+1)</f>
        <v/>
      </c>
      <c r="T2244" s="32" t="str">
        <f aca="false">IF(S2244="","",IF(S2244&lt;=Setup!$B$5,"🏆 WINNER",""))</f>
        <v/>
      </c>
      <c r="U2244" s="31" t="str">
        <f aca="false">IF(S2244="","",I2244&amp;"|"&amp;S2244)</f>
        <v/>
      </c>
    </row>
    <row r="2245" customFormat="false" ht="15" hidden="false" customHeight="false" outlineLevel="0" collapsed="false">
      <c r="A2245" s="24" t="n">
        <v>2241</v>
      </c>
      <c r="B2245" s="25" t="str">
        <f aca="false">IF(OR(C2245="",I2245="",G2245=""),"",IFERROR(VLOOKUP(I2245,Setup!$A$9:$B$11,2,0),"???")&amp;"-"&amp;G2245&amp;"-"&amp;TEXT(COUNTIFS(I$5:I2245,I2245,G$5:G2245,G2245),"0000"))</f>
        <v/>
      </c>
      <c r="C2245" s="26"/>
      <c r="D2245" s="26"/>
      <c r="E2245" s="27"/>
      <c r="F2245" s="27"/>
      <c r="G2245" s="24" t="str">
        <f aca="false">IF(F2245="","",IF(F2245&lt;=5,"A",IF(F2245&lt;=8,"B",IF(F2245&lt;=10,"C","D"))))</f>
        <v/>
      </c>
      <c r="H2245" s="28"/>
      <c r="I2245" s="27"/>
      <c r="J2245" s="26"/>
      <c r="K2245" s="27"/>
      <c r="L2245" s="27"/>
      <c r="M2245" s="27"/>
      <c r="N2245" s="27"/>
      <c r="O2245" s="24" t="str">
        <f aca="false">IF(G2245="","",VLOOKUP(G2245,Setup!$A$14:$C$17,3,0))</f>
        <v/>
      </c>
      <c r="P2245" s="27"/>
      <c r="Q2245" s="29" t="str">
        <f aca="false">IF(OR(P2245="",M2245&lt;&gt;"Paid",O2245=""),"",P2245/O2245)</f>
        <v/>
      </c>
      <c r="R2245" s="30" t="str">
        <f aca="false">IF(Q2245="","",Q2245+N(H2245)*0.000000001)</f>
        <v/>
      </c>
      <c r="S2245" s="25" t="str">
        <f aca="false">IF(R2245="","",SUMPRODUCT((I$5:I$4004=I2245)*ISNUMBER(R$5:R$4004)*(R$5:R$4004&gt;R2245))+1)</f>
        <v/>
      </c>
      <c r="T2245" s="25" t="str">
        <f aca="false">IF(S2245="","",IF(S2245&lt;=Setup!$B$5,"🏆 WINNER",""))</f>
        <v/>
      </c>
      <c r="U2245" s="24" t="str">
        <f aca="false">IF(S2245="","",I2245&amp;"|"&amp;S2245)</f>
        <v/>
      </c>
    </row>
    <row r="2246" customFormat="false" ht="15" hidden="false" customHeight="false" outlineLevel="0" collapsed="false">
      <c r="A2246" s="31" t="n">
        <v>2242</v>
      </c>
      <c r="B2246" s="32" t="str">
        <f aca="false">IF(OR(C2246="",I2246="",G2246=""),"",IFERROR(VLOOKUP(I2246,Setup!$A$9:$B$11,2,0),"???")&amp;"-"&amp;G2246&amp;"-"&amp;TEXT(COUNTIFS(I$5:I2246,I2246,G$5:G2246,G2246),"0000"))</f>
        <v/>
      </c>
      <c r="C2246" s="26"/>
      <c r="D2246" s="26"/>
      <c r="E2246" s="27"/>
      <c r="F2246" s="27"/>
      <c r="G2246" s="31" t="str">
        <f aca="false">IF(F2246="","",IF(F2246&lt;=5,"A",IF(F2246&lt;=8,"B",IF(F2246&lt;=10,"C","D"))))</f>
        <v/>
      </c>
      <c r="H2246" s="28"/>
      <c r="I2246" s="27"/>
      <c r="J2246" s="26"/>
      <c r="K2246" s="27"/>
      <c r="L2246" s="27"/>
      <c r="M2246" s="27"/>
      <c r="N2246" s="27"/>
      <c r="O2246" s="31" t="str">
        <f aca="false">IF(G2246="","",VLOOKUP(G2246,Setup!$A$14:$C$17,3,0))</f>
        <v/>
      </c>
      <c r="P2246" s="27"/>
      <c r="Q2246" s="33" t="str">
        <f aca="false">IF(OR(P2246="",M2246&lt;&gt;"Paid",O2246=""),"",P2246/O2246)</f>
        <v/>
      </c>
      <c r="R2246" s="34" t="str">
        <f aca="false">IF(Q2246="","",Q2246+N(H2246)*0.000000001)</f>
        <v/>
      </c>
      <c r="S2246" s="32" t="str">
        <f aca="false">IF(R2246="","",SUMPRODUCT((I$5:I$4004=I2246)*ISNUMBER(R$5:R$4004)*(R$5:R$4004&gt;R2246))+1)</f>
        <v/>
      </c>
      <c r="T2246" s="32" t="str">
        <f aca="false">IF(S2246="","",IF(S2246&lt;=Setup!$B$5,"🏆 WINNER",""))</f>
        <v/>
      </c>
      <c r="U2246" s="31" t="str">
        <f aca="false">IF(S2246="","",I2246&amp;"|"&amp;S2246)</f>
        <v/>
      </c>
    </row>
    <row r="2247" customFormat="false" ht="15" hidden="false" customHeight="false" outlineLevel="0" collapsed="false">
      <c r="A2247" s="24" t="n">
        <v>2243</v>
      </c>
      <c r="B2247" s="25" t="str">
        <f aca="false">IF(OR(C2247="",I2247="",G2247=""),"",IFERROR(VLOOKUP(I2247,Setup!$A$9:$B$11,2,0),"???")&amp;"-"&amp;G2247&amp;"-"&amp;TEXT(COUNTIFS(I$5:I2247,I2247,G$5:G2247,G2247),"0000"))</f>
        <v/>
      </c>
      <c r="C2247" s="26"/>
      <c r="D2247" s="26"/>
      <c r="E2247" s="27"/>
      <c r="F2247" s="27"/>
      <c r="G2247" s="24" t="str">
        <f aca="false">IF(F2247="","",IF(F2247&lt;=5,"A",IF(F2247&lt;=8,"B",IF(F2247&lt;=10,"C","D"))))</f>
        <v/>
      </c>
      <c r="H2247" s="28"/>
      <c r="I2247" s="27"/>
      <c r="J2247" s="26"/>
      <c r="K2247" s="27"/>
      <c r="L2247" s="27"/>
      <c r="M2247" s="27"/>
      <c r="N2247" s="27"/>
      <c r="O2247" s="24" t="str">
        <f aca="false">IF(G2247="","",VLOOKUP(G2247,Setup!$A$14:$C$17,3,0))</f>
        <v/>
      </c>
      <c r="P2247" s="27"/>
      <c r="Q2247" s="29" t="str">
        <f aca="false">IF(OR(P2247="",M2247&lt;&gt;"Paid",O2247=""),"",P2247/O2247)</f>
        <v/>
      </c>
      <c r="R2247" s="30" t="str">
        <f aca="false">IF(Q2247="","",Q2247+N(H2247)*0.000000001)</f>
        <v/>
      </c>
      <c r="S2247" s="25" t="str">
        <f aca="false">IF(R2247="","",SUMPRODUCT((I$5:I$4004=I2247)*ISNUMBER(R$5:R$4004)*(R$5:R$4004&gt;R2247))+1)</f>
        <v/>
      </c>
      <c r="T2247" s="25" t="str">
        <f aca="false">IF(S2247="","",IF(S2247&lt;=Setup!$B$5,"🏆 WINNER",""))</f>
        <v/>
      </c>
      <c r="U2247" s="24" t="str">
        <f aca="false">IF(S2247="","",I2247&amp;"|"&amp;S2247)</f>
        <v/>
      </c>
    </row>
    <row r="2248" customFormat="false" ht="15" hidden="false" customHeight="false" outlineLevel="0" collapsed="false">
      <c r="A2248" s="31" t="n">
        <v>2244</v>
      </c>
      <c r="B2248" s="32" t="str">
        <f aca="false">IF(OR(C2248="",I2248="",G2248=""),"",IFERROR(VLOOKUP(I2248,Setup!$A$9:$B$11,2,0),"???")&amp;"-"&amp;G2248&amp;"-"&amp;TEXT(COUNTIFS(I$5:I2248,I2248,G$5:G2248,G2248),"0000"))</f>
        <v/>
      </c>
      <c r="C2248" s="26"/>
      <c r="D2248" s="26"/>
      <c r="E2248" s="27"/>
      <c r="F2248" s="27"/>
      <c r="G2248" s="31" t="str">
        <f aca="false">IF(F2248="","",IF(F2248&lt;=5,"A",IF(F2248&lt;=8,"B",IF(F2248&lt;=10,"C","D"))))</f>
        <v/>
      </c>
      <c r="H2248" s="28"/>
      <c r="I2248" s="27"/>
      <c r="J2248" s="26"/>
      <c r="K2248" s="27"/>
      <c r="L2248" s="27"/>
      <c r="M2248" s="27"/>
      <c r="N2248" s="27"/>
      <c r="O2248" s="31" t="str">
        <f aca="false">IF(G2248="","",VLOOKUP(G2248,Setup!$A$14:$C$17,3,0))</f>
        <v/>
      </c>
      <c r="P2248" s="27"/>
      <c r="Q2248" s="33" t="str">
        <f aca="false">IF(OR(P2248="",M2248&lt;&gt;"Paid",O2248=""),"",P2248/O2248)</f>
        <v/>
      </c>
      <c r="R2248" s="34" t="str">
        <f aca="false">IF(Q2248="","",Q2248+N(H2248)*0.000000001)</f>
        <v/>
      </c>
      <c r="S2248" s="32" t="str">
        <f aca="false">IF(R2248="","",SUMPRODUCT((I$5:I$4004=I2248)*ISNUMBER(R$5:R$4004)*(R$5:R$4004&gt;R2248))+1)</f>
        <v/>
      </c>
      <c r="T2248" s="32" t="str">
        <f aca="false">IF(S2248="","",IF(S2248&lt;=Setup!$B$5,"🏆 WINNER",""))</f>
        <v/>
      </c>
      <c r="U2248" s="31" t="str">
        <f aca="false">IF(S2248="","",I2248&amp;"|"&amp;S2248)</f>
        <v/>
      </c>
    </row>
    <row r="2249" customFormat="false" ht="15" hidden="false" customHeight="false" outlineLevel="0" collapsed="false">
      <c r="A2249" s="24" t="n">
        <v>2245</v>
      </c>
      <c r="B2249" s="25" t="str">
        <f aca="false">IF(OR(C2249="",I2249="",G2249=""),"",IFERROR(VLOOKUP(I2249,Setup!$A$9:$B$11,2,0),"???")&amp;"-"&amp;G2249&amp;"-"&amp;TEXT(COUNTIFS(I$5:I2249,I2249,G$5:G2249,G2249),"0000"))</f>
        <v/>
      </c>
      <c r="C2249" s="26"/>
      <c r="D2249" s="26"/>
      <c r="E2249" s="27"/>
      <c r="F2249" s="27"/>
      <c r="G2249" s="24" t="str">
        <f aca="false">IF(F2249="","",IF(F2249&lt;=5,"A",IF(F2249&lt;=8,"B",IF(F2249&lt;=10,"C","D"))))</f>
        <v/>
      </c>
      <c r="H2249" s="28"/>
      <c r="I2249" s="27"/>
      <c r="J2249" s="26"/>
      <c r="K2249" s="27"/>
      <c r="L2249" s="27"/>
      <c r="M2249" s="27"/>
      <c r="N2249" s="27"/>
      <c r="O2249" s="24" t="str">
        <f aca="false">IF(G2249="","",VLOOKUP(G2249,Setup!$A$14:$C$17,3,0))</f>
        <v/>
      </c>
      <c r="P2249" s="27"/>
      <c r="Q2249" s="29" t="str">
        <f aca="false">IF(OR(P2249="",M2249&lt;&gt;"Paid",O2249=""),"",P2249/O2249)</f>
        <v/>
      </c>
      <c r="R2249" s="30" t="str">
        <f aca="false">IF(Q2249="","",Q2249+N(H2249)*0.000000001)</f>
        <v/>
      </c>
      <c r="S2249" s="25" t="str">
        <f aca="false">IF(R2249="","",SUMPRODUCT((I$5:I$4004=I2249)*ISNUMBER(R$5:R$4004)*(R$5:R$4004&gt;R2249))+1)</f>
        <v/>
      </c>
      <c r="T2249" s="25" t="str">
        <f aca="false">IF(S2249="","",IF(S2249&lt;=Setup!$B$5,"🏆 WINNER",""))</f>
        <v/>
      </c>
      <c r="U2249" s="24" t="str">
        <f aca="false">IF(S2249="","",I2249&amp;"|"&amp;S2249)</f>
        <v/>
      </c>
    </row>
    <row r="2250" customFormat="false" ht="15" hidden="false" customHeight="false" outlineLevel="0" collapsed="false">
      <c r="A2250" s="31" t="n">
        <v>2246</v>
      </c>
      <c r="B2250" s="32" t="str">
        <f aca="false">IF(OR(C2250="",I2250="",G2250=""),"",IFERROR(VLOOKUP(I2250,Setup!$A$9:$B$11,2,0),"???")&amp;"-"&amp;G2250&amp;"-"&amp;TEXT(COUNTIFS(I$5:I2250,I2250,G$5:G2250,G2250),"0000"))</f>
        <v/>
      </c>
      <c r="C2250" s="26"/>
      <c r="D2250" s="26"/>
      <c r="E2250" s="27"/>
      <c r="F2250" s="27"/>
      <c r="G2250" s="31" t="str">
        <f aca="false">IF(F2250="","",IF(F2250&lt;=5,"A",IF(F2250&lt;=8,"B",IF(F2250&lt;=10,"C","D"))))</f>
        <v/>
      </c>
      <c r="H2250" s="28"/>
      <c r="I2250" s="27"/>
      <c r="J2250" s="26"/>
      <c r="K2250" s="27"/>
      <c r="L2250" s="27"/>
      <c r="M2250" s="27"/>
      <c r="N2250" s="27"/>
      <c r="O2250" s="31" t="str">
        <f aca="false">IF(G2250="","",VLOOKUP(G2250,Setup!$A$14:$C$17,3,0))</f>
        <v/>
      </c>
      <c r="P2250" s="27"/>
      <c r="Q2250" s="33" t="str">
        <f aca="false">IF(OR(P2250="",M2250&lt;&gt;"Paid",O2250=""),"",P2250/O2250)</f>
        <v/>
      </c>
      <c r="R2250" s="34" t="str">
        <f aca="false">IF(Q2250="","",Q2250+N(H2250)*0.000000001)</f>
        <v/>
      </c>
      <c r="S2250" s="32" t="str">
        <f aca="false">IF(R2250="","",SUMPRODUCT((I$5:I$4004=I2250)*ISNUMBER(R$5:R$4004)*(R$5:R$4004&gt;R2250))+1)</f>
        <v/>
      </c>
      <c r="T2250" s="32" t="str">
        <f aca="false">IF(S2250="","",IF(S2250&lt;=Setup!$B$5,"🏆 WINNER",""))</f>
        <v/>
      </c>
      <c r="U2250" s="31" t="str">
        <f aca="false">IF(S2250="","",I2250&amp;"|"&amp;S2250)</f>
        <v/>
      </c>
    </row>
    <row r="2251" customFormat="false" ht="15" hidden="false" customHeight="false" outlineLevel="0" collapsed="false">
      <c r="A2251" s="24" t="n">
        <v>2247</v>
      </c>
      <c r="B2251" s="25" t="str">
        <f aca="false">IF(OR(C2251="",I2251="",G2251=""),"",IFERROR(VLOOKUP(I2251,Setup!$A$9:$B$11,2,0),"???")&amp;"-"&amp;G2251&amp;"-"&amp;TEXT(COUNTIFS(I$5:I2251,I2251,G$5:G2251,G2251),"0000"))</f>
        <v/>
      </c>
      <c r="C2251" s="26"/>
      <c r="D2251" s="26"/>
      <c r="E2251" s="27"/>
      <c r="F2251" s="27"/>
      <c r="G2251" s="24" t="str">
        <f aca="false">IF(F2251="","",IF(F2251&lt;=5,"A",IF(F2251&lt;=8,"B",IF(F2251&lt;=10,"C","D"))))</f>
        <v/>
      </c>
      <c r="H2251" s="28"/>
      <c r="I2251" s="27"/>
      <c r="J2251" s="26"/>
      <c r="K2251" s="27"/>
      <c r="L2251" s="27"/>
      <c r="M2251" s="27"/>
      <c r="N2251" s="27"/>
      <c r="O2251" s="24" t="str">
        <f aca="false">IF(G2251="","",VLOOKUP(G2251,Setup!$A$14:$C$17,3,0))</f>
        <v/>
      </c>
      <c r="P2251" s="27"/>
      <c r="Q2251" s="29" t="str">
        <f aca="false">IF(OR(P2251="",M2251&lt;&gt;"Paid",O2251=""),"",P2251/O2251)</f>
        <v/>
      </c>
      <c r="R2251" s="30" t="str">
        <f aca="false">IF(Q2251="","",Q2251+N(H2251)*0.000000001)</f>
        <v/>
      </c>
      <c r="S2251" s="25" t="str">
        <f aca="false">IF(R2251="","",SUMPRODUCT((I$5:I$4004=I2251)*ISNUMBER(R$5:R$4004)*(R$5:R$4004&gt;R2251))+1)</f>
        <v/>
      </c>
      <c r="T2251" s="25" t="str">
        <f aca="false">IF(S2251="","",IF(S2251&lt;=Setup!$B$5,"🏆 WINNER",""))</f>
        <v/>
      </c>
      <c r="U2251" s="24" t="str">
        <f aca="false">IF(S2251="","",I2251&amp;"|"&amp;S2251)</f>
        <v/>
      </c>
    </row>
    <row r="2252" customFormat="false" ht="15" hidden="false" customHeight="false" outlineLevel="0" collapsed="false">
      <c r="A2252" s="31" t="n">
        <v>2248</v>
      </c>
      <c r="B2252" s="32" t="str">
        <f aca="false">IF(OR(C2252="",I2252="",G2252=""),"",IFERROR(VLOOKUP(I2252,Setup!$A$9:$B$11,2,0),"???")&amp;"-"&amp;G2252&amp;"-"&amp;TEXT(COUNTIFS(I$5:I2252,I2252,G$5:G2252,G2252),"0000"))</f>
        <v/>
      </c>
      <c r="C2252" s="26"/>
      <c r="D2252" s="26"/>
      <c r="E2252" s="27"/>
      <c r="F2252" s="27"/>
      <c r="G2252" s="31" t="str">
        <f aca="false">IF(F2252="","",IF(F2252&lt;=5,"A",IF(F2252&lt;=8,"B",IF(F2252&lt;=10,"C","D"))))</f>
        <v/>
      </c>
      <c r="H2252" s="28"/>
      <c r="I2252" s="27"/>
      <c r="J2252" s="26"/>
      <c r="K2252" s="27"/>
      <c r="L2252" s="27"/>
      <c r="M2252" s="27"/>
      <c r="N2252" s="27"/>
      <c r="O2252" s="31" t="str">
        <f aca="false">IF(G2252="","",VLOOKUP(G2252,Setup!$A$14:$C$17,3,0))</f>
        <v/>
      </c>
      <c r="P2252" s="27"/>
      <c r="Q2252" s="33" t="str">
        <f aca="false">IF(OR(P2252="",M2252&lt;&gt;"Paid",O2252=""),"",P2252/O2252)</f>
        <v/>
      </c>
      <c r="R2252" s="34" t="str">
        <f aca="false">IF(Q2252="","",Q2252+N(H2252)*0.000000001)</f>
        <v/>
      </c>
      <c r="S2252" s="32" t="str">
        <f aca="false">IF(R2252="","",SUMPRODUCT((I$5:I$4004=I2252)*ISNUMBER(R$5:R$4004)*(R$5:R$4004&gt;R2252))+1)</f>
        <v/>
      </c>
      <c r="T2252" s="32" t="str">
        <f aca="false">IF(S2252="","",IF(S2252&lt;=Setup!$B$5,"🏆 WINNER",""))</f>
        <v/>
      </c>
      <c r="U2252" s="31" t="str">
        <f aca="false">IF(S2252="","",I2252&amp;"|"&amp;S2252)</f>
        <v/>
      </c>
    </row>
    <row r="2253" customFormat="false" ht="15" hidden="false" customHeight="false" outlineLevel="0" collapsed="false">
      <c r="A2253" s="24" t="n">
        <v>2249</v>
      </c>
      <c r="B2253" s="25" t="str">
        <f aca="false">IF(OR(C2253="",I2253="",G2253=""),"",IFERROR(VLOOKUP(I2253,Setup!$A$9:$B$11,2,0),"???")&amp;"-"&amp;G2253&amp;"-"&amp;TEXT(COUNTIFS(I$5:I2253,I2253,G$5:G2253,G2253),"0000"))</f>
        <v/>
      </c>
      <c r="C2253" s="26"/>
      <c r="D2253" s="26"/>
      <c r="E2253" s="27"/>
      <c r="F2253" s="27"/>
      <c r="G2253" s="24" t="str">
        <f aca="false">IF(F2253="","",IF(F2253&lt;=5,"A",IF(F2253&lt;=8,"B",IF(F2253&lt;=10,"C","D"))))</f>
        <v/>
      </c>
      <c r="H2253" s="28"/>
      <c r="I2253" s="27"/>
      <c r="J2253" s="26"/>
      <c r="K2253" s="27"/>
      <c r="L2253" s="27"/>
      <c r="M2253" s="27"/>
      <c r="N2253" s="27"/>
      <c r="O2253" s="24" t="str">
        <f aca="false">IF(G2253="","",VLOOKUP(G2253,Setup!$A$14:$C$17,3,0))</f>
        <v/>
      </c>
      <c r="P2253" s="27"/>
      <c r="Q2253" s="29" t="str">
        <f aca="false">IF(OR(P2253="",M2253&lt;&gt;"Paid",O2253=""),"",P2253/O2253)</f>
        <v/>
      </c>
      <c r="R2253" s="30" t="str">
        <f aca="false">IF(Q2253="","",Q2253+N(H2253)*0.000000001)</f>
        <v/>
      </c>
      <c r="S2253" s="25" t="str">
        <f aca="false">IF(R2253="","",SUMPRODUCT((I$5:I$4004=I2253)*ISNUMBER(R$5:R$4004)*(R$5:R$4004&gt;R2253))+1)</f>
        <v/>
      </c>
      <c r="T2253" s="25" t="str">
        <f aca="false">IF(S2253="","",IF(S2253&lt;=Setup!$B$5,"🏆 WINNER",""))</f>
        <v/>
      </c>
      <c r="U2253" s="24" t="str">
        <f aca="false">IF(S2253="","",I2253&amp;"|"&amp;S2253)</f>
        <v/>
      </c>
    </row>
    <row r="2254" customFormat="false" ht="15" hidden="false" customHeight="false" outlineLevel="0" collapsed="false">
      <c r="A2254" s="31" t="n">
        <v>2250</v>
      </c>
      <c r="B2254" s="32" t="str">
        <f aca="false">IF(OR(C2254="",I2254="",G2254=""),"",IFERROR(VLOOKUP(I2254,Setup!$A$9:$B$11,2,0),"???")&amp;"-"&amp;G2254&amp;"-"&amp;TEXT(COUNTIFS(I$5:I2254,I2254,G$5:G2254,G2254),"0000"))</f>
        <v/>
      </c>
      <c r="C2254" s="26"/>
      <c r="D2254" s="26"/>
      <c r="E2254" s="27"/>
      <c r="F2254" s="27"/>
      <c r="G2254" s="31" t="str">
        <f aca="false">IF(F2254="","",IF(F2254&lt;=5,"A",IF(F2254&lt;=8,"B",IF(F2254&lt;=10,"C","D"))))</f>
        <v/>
      </c>
      <c r="H2254" s="28"/>
      <c r="I2254" s="27"/>
      <c r="J2254" s="26"/>
      <c r="K2254" s="27"/>
      <c r="L2254" s="27"/>
      <c r="M2254" s="27"/>
      <c r="N2254" s="27"/>
      <c r="O2254" s="31" t="str">
        <f aca="false">IF(G2254="","",VLOOKUP(G2254,Setup!$A$14:$C$17,3,0))</f>
        <v/>
      </c>
      <c r="P2254" s="27"/>
      <c r="Q2254" s="33" t="str">
        <f aca="false">IF(OR(P2254="",M2254&lt;&gt;"Paid",O2254=""),"",P2254/O2254)</f>
        <v/>
      </c>
      <c r="R2254" s="34" t="str">
        <f aca="false">IF(Q2254="","",Q2254+N(H2254)*0.000000001)</f>
        <v/>
      </c>
      <c r="S2254" s="32" t="str">
        <f aca="false">IF(R2254="","",SUMPRODUCT((I$5:I$4004=I2254)*ISNUMBER(R$5:R$4004)*(R$5:R$4004&gt;R2254))+1)</f>
        <v/>
      </c>
      <c r="T2254" s="32" t="str">
        <f aca="false">IF(S2254="","",IF(S2254&lt;=Setup!$B$5,"🏆 WINNER",""))</f>
        <v/>
      </c>
      <c r="U2254" s="31" t="str">
        <f aca="false">IF(S2254="","",I2254&amp;"|"&amp;S2254)</f>
        <v/>
      </c>
    </row>
    <row r="2255" customFormat="false" ht="15" hidden="false" customHeight="false" outlineLevel="0" collapsed="false">
      <c r="A2255" s="24" t="n">
        <v>2251</v>
      </c>
      <c r="B2255" s="25" t="str">
        <f aca="false">IF(OR(C2255="",I2255="",G2255=""),"",IFERROR(VLOOKUP(I2255,Setup!$A$9:$B$11,2,0),"???")&amp;"-"&amp;G2255&amp;"-"&amp;TEXT(COUNTIFS(I$5:I2255,I2255,G$5:G2255,G2255),"0000"))</f>
        <v/>
      </c>
      <c r="C2255" s="26"/>
      <c r="D2255" s="26"/>
      <c r="E2255" s="27"/>
      <c r="F2255" s="27"/>
      <c r="G2255" s="24" t="str">
        <f aca="false">IF(F2255="","",IF(F2255&lt;=5,"A",IF(F2255&lt;=8,"B",IF(F2255&lt;=10,"C","D"))))</f>
        <v/>
      </c>
      <c r="H2255" s="28"/>
      <c r="I2255" s="27"/>
      <c r="J2255" s="26"/>
      <c r="K2255" s="27"/>
      <c r="L2255" s="27"/>
      <c r="M2255" s="27"/>
      <c r="N2255" s="27"/>
      <c r="O2255" s="24" t="str">
        <f aca="false">IF(G2255="","",VLOOKUP(G2255,Setup!$A$14:$C$17,3,0))</f>
        <v/>
      </c>
      <c r="P2255" s="27"/>
      <c r="Q2255" s="29" t="str">
        <f aca="false">IF(OR(P2255="",M2255&lt;&gt;"Paid",O2255=""),"",P2255/O2255)</f>
        <v/>
      </c>
      <c r="R2255" s="30" t="str">
        <f aca="false">IF(Q2255="","",Q2255+N(H2255)*0.000000001)</f>
        <v/>
      </c>
      <c r="S2255" s="25" t="str">
        <f aca="false">IF(R2255="","",SUMPRODUCT((I$5:I$4004=I2255)*ISNUMBER(R$5:R$4004)*(R$5:R$4004&gt;R2255))+1)</f>
        <v/>
      </c>
      <c r="T2255" s="25" t="str">
        <f aca="false">IF(S2255="","",IF(S2255&lt;=Setup!$B$5,"🏆 WINNER",""))</f>
        <v/>
      </c>
      <c r="U2255" s="24" t="str">
        <f aca="false">IF(S2255="","",I2255&amp;"|"&amp;S2255)</f>
        <v/>
      </c>
    </row>
    <row r="2256" customFormat="false" ht="15" hidden="false" customHeight="false" outlineLevel="0" collapsed="false">
      <c r="A2256" s="31" t="n">
        <v>2252</v>
      </c>
      <c r="B2256" s="32" t="str">
        <f aca="false">IF(OR(C2256="",I2256="",G2256=""),"",IFERROR(VLOOKUP(I2256,Setup!$A$9:$B$11,2,0),"???")&amp;"-"&amp;G2256&amp;"-"&amp;TEXT(COUNTIFS(I$5:I2256,I2256,G$5:G2256,G2256),"0000"))</f>
        <v/>
      </c>
      <c r="C2256" s="26"/>
      <c r="D2256" s="26"/>
      <c r="E2256" s="27"/>
      <c r="F2256" s="27"/>
      <c r="G2256" s="31" t="str">
        <f aca="false">IF(F2256="","",IF(F2256&lt;=5,"A",IF(F2256&lt;=8,"B",IF(F2256&lt;=10,"C","D"))))</f>
        <v/>
      </c>
      <c r="H2256" s="28"/>
      <c r="I2256" s="27"/>
      <c r="J2256" s="26"/>
      <c r="K2256" s="27"/>
      <c r="L2256" s="27"/>
      <c r="M2256" s="27"/>
      <c r="N2256" s="27"/>
      <c r="O2256" s="31" t="str">
        <f aca="false">IF(G2256="","",VLOOKUP(G2256,Setup!$A$14:$C$17,3,0))</f>
        <v/>
      </c>
      <c r="P2256" s="27"/>
      <c r="Q2256" s="33" t="str">
        <f aca="false">IF(OR(P2256="",M2256&lt;&gt;"Paid",O2256=""),"",P2256/O2256)</f>
        <v/>
      </c>
      <c r="R2256" s="34" t="str">
        <f aca="false">IF(Q2256="","",Q2256+N(H2256)*0.000000001)</f>
        <v/>
      </c>
      <c r="S2256" s="32" t="str">
        <f aca="false">IF(R2256="","",SUMPRODUCT((I$5:I$4004=I2256)*ISNUMBER(R$5:R$4004)*(R$5:R$4004&gt;R2256))+1)</f>
        <v/>
      </c>
      <c r="T2256" s="32" t="str">
        <f aca="false">IF(S2256="","",IF(S2256&lt;=Setup!$B$5,"🏆 WINNER",""))</f>
        <v/>
      </c>
      <c r="U2256" s="31" t="str">
        <f aca="false">IF(S2256="","",I2256&amp;"|"&amp;S2256)</f>
        <v/>
      </c>
    </row>
    <row r="2257" customFormat="false" ht="15" hidden="false" customHeight="false" outlineLevel="0" collapsed="false">
      <c r="A2257" s="24" t="n">
        <v>2253</v>
      </c>
      <c r="B2257" s="25" t="str">
        <f aca="false">IF(OR(C2257="",I2257="",G2257=""),"",IFERROR(VLOOKUP(I2257,Setup!$A$9:$B$11,2,0),"???")&amp;"-"&amp;G2257&amp;"-"&amp;TEXT(COUNTIFS(I$5:I2257,I2257,G$5:G2257,G2257),"0000"))</f>
        <v/>
      </c>
      <c r="C2257" s="26"/>
      <c r="D2257" s="26"/>
      <c r="E2257" s="27"/>
      <c r="F2257" s="27"/>
      <c r="G2257" s="24" t="str">
        <f aca="false">IF(F2257="","",IF(F2257&lt;=5,"A",IF(F2257&lt;=8,"B",IF(F2257&lt;=10,"C","D"))))</f>
        <v/>
      </c>
      <c r="H2257" s="28"/>
      <c r="I2257" s="27"/>
      <c r="J2257" s="26"/>
      <c r="K2257" s="27"/>
      <c r="L2257" s="27"/>
      <c r="M2257" s="27"/>
      <c r="N2257" s="27"/>
      <c r="O2257" s="24" t="str">
        <f aca="false">IF(G2257="","",VLOOKUP(G2257,Setup!$A$14:$C$17,3,0))</f>
        <v/>
      </c>
      <c r="P2257" s="27"/>
      <c r="Q2257" s="29" t="str">
        <f aca="false">IF(OR(P2257="",M2257&lt;&gt;"Paid",O2257=""),"",P2257/O2257)</f>
        <v/>
      </c>
      <c r="R2257" s="30" t="str">
        <f aca="false">IF(Q2257="","",Q2257+N(H2257)*0.000000001)</f>
        <v/>
      </c>
      <c r="S2257" s="25" t="str">
        <f aca="false">IF(R2257="","",SUMPRODUCT((I$5:I$4004=I2257)*ISNUMBER(R$5:R$4004)*(R$5:R$4004&gt;R2257))+1)</f>
        <v/>
      </c>
      <c r="T2257" s="25" t="str">
        <f aca="false">IF(S2257="","",IF(S2257&lt;=Setup!$B$5,"🏆 WINNER",""))</f>
        <v/>
      </c>
      <c r="U2257" s="24" t="str">
        <f aca="false">IF(S2257="","",I2257&amp;"|"&amp;S2257)</f>
        <v/>
      </c>
    </row>
    <row r="2258" customFormat="false" ht="15" hidden="false" customHeight="false" outlineLevel="0" collapsed="false">
      <c r="A2258" s="31" t="n">
        <v>2254</v>
      </c>
      <c r="B2258" s="32" t="str">
        <f aca="false">IF(OR(C2258="",I2258="",G2258=""),"",IFERROR(VLOOKUP(I2258,Setup!$A$9:$B$11,2,0),"???")&amp;"-"&amp;G2258&amp;"-"&amp;TEXT(COUNTIFS(I$5:I2258,I2258,G$5:G2258,G2258),"0000"))</f>
        <v/>
      </c>
      <c r="C2258" s="26"/>
      <c r="D2258" s="26"/>
      <c r="E2258" s="27"/>
      <c r="F2258" s="27"/>
      <c r="G2258" s="31" t="str">
        <f aca="false">IF(F2258="","",IF(F2258&lt;=5,"A",IF(F2258&lt;=8,"B",IF(F2258&lt;=10,"C","D"))))</f>
        <v/>
      </c>
      <c r="H2258" s="28"/>
      <c r="I2258" s="27"/>
      <c r="J2258" s="26"/>
      <c r="K2258" s="27"/>
      <c r="L2258" s="27"/>
      <c r="M2258" s="27"/>
      <c r="N2258" s="27"/>
      <c r="O2258" s="31" t="str">
        <f aca="false">IF(G2258="","",VLOOKUP(G2258,Setup!$A$14:$C$17,3,0))</f>
        <v/>
      </c>
      <c r="P2258" s="27"/>
      <c r="Q2258" s="33" t="str">
        <f aca="false">IF(OR(P2258="",M2258&lt;&gt;"Paid",O2258=""),"",P2258/O2258)</f>
        <v/>
      </c>
      <c r="R2258" s="34" t="str">
        <f aca="false">IF(Q2258="","",Q2258+N(H2258)*0.000000001)</f>
        <v/>
      </c>
      <c r="S2258" s="32" t="str">
        <f aca="false">IF(R2258="","",SUMPRODUCT((I$5:I$4004=I2258)*ISNUMBER(R$5:R$4004)*(R$5:R$4004&gt;R2258))+1)</f>
        <v/>
      </c>
      <c r="T2258" s="32" t="str">
        <f aca="false">IF(S2258="","",IF(S2258&lt;=Setup!$B$5,"🏆 WINNER",""))</f>
        <v/>
      </c>
      <c r="U2258" s="31" t="str">
        <f aca="false">IF(S2258="","",I2258&amp;"|"&amp;S2258)</f>
        <v/>
      </c>
    </row>
    <row r="2259" customFormat="false" ht="15" hidden="false" customHeight="false" outlineLevel="0" collapsed="false">
      <c r="A2259" s="24" t="n">
        <v>2255</v>
      </c>
      <c r="B2259" s="25" t="str">
        <f aca="false">IF(OR(C2259="",I2259="",G2259=""),"",IFERROR(VLOOKUP(I2259,Setup!$A$9:$B$11,2,0),"???")&amp;"-"&amp;G2259&amp;"-"&amp;TEXT(COUNTIFS(I$5:I2259,I2259,G$5:G2259,G2259),"0000"))</f>
        <v/>
      </c>
      <c r="C2259" s="26"/>
      <c r="D2259" s="26"/>
      <c r="E2259" s="27"/>
      <c r="F2259" s="27"/>
      <c r="G2259" s="24" t="str">
        <f aca="false">IF(F2259="","",IF(F2259&lt;=5,"A",IF(F2259&lt;=8,"B",IF(F2259&lt;=10,"C","D"))))</f>
        <v/>
      </c>
      <c r="H2259" s="28"/>
      <c r="I2259" s="27"/>
      <c r="J2259" s="26"/>
      <c r="K2259" s="27"/>
      <c r="L2259" s="27"/>
      <c r="M2259" s="27"/>
      <c r="N2259" s="27"/>
      <c r="O2259" s="24" t="str">
        <f aca="false">IF(G2259="","",VLOOKUP(G2259,Setup!$A$14:$C$17,3,0))</f>
        <v/>
      </c>
      <c r="P2259" s="27"/>
      <c r="Q2259" s="29" t="str">
        <f aca="false">IF(OR(P2259="",M2259&lt;&gt;"Paid",O2259=""),"",P2259/O2259)</f>
        <v/>
      </c>
      <c r="R2259" s="30" t="str">
        <f aca="false">IF(Q2259="","",Q2259+N(H2259)*0.000000001)</f>
        <v/>
      </c>
      <c r="S2259" s="25" t="str">
        <f aca="false">IF(R2259="","",SUMPRODUCT((I$5:I$4004=I2259)*ISNUMBER(R$5:R$4004)*(R$5:R$4004&gt;R2259))+1)</f>
        <v/>
      </c>
      <c r="T2259" s="25" t="str">
        <f aca="false">IF(S2259="","",IF(S2259&lt;=Setup!$B$5,"🏆 WINNER",""))</f>
        <v/>
      </c>
      <c r="U2259" s="24" t="str">
        <f aca="false">IF(S2259="","",I2259&amp;"|"&amp;S2259)</f>
        <v/>
      </c>
    </row>
    <row r="2260" customFormat="false" ht="15" hidden="false" customHeight="false" outlineLevel="0" collapsed="false">
      <c r="A2260" s="31" t="n">
        <v>2256</v>
      </c>
      <c r="B2260" s="32" t="str">
        <f aca="false">IF(OR(C2260="",I2260="",G2260=""),"",IFERROR(VLOOKUP(I2260,Setup!$A$9:$B$11,2,0),"???")&amp;"-"&amp;G2260&amp;"-"&amp;TEXT(COUNTIFS(I$5:I2260,I2260,G$5:G2260,G2260),"0000"))</f>
        <v/>
      </c>
      <c r="C2260" s="26"/>
      <c r="D2260" s="26"/>
      <c r="E2260" s="27"/>
      <c r="F2260" s="27"/>
      <c r="G2260" s="31" t="str">
        <f aca="false">IF(F2260="","",IF(F2260&lt;=5,"A",IF(F2260&lt;=8,"B",IF(F2260&lt;=10,"C","D"))))</f>
        <v/>
      </c>
      <c r="H2260" s="28"/>
      <c r="I2260" s="27"/>
      <c r="J2260" s="26"/>
      <c r="K2260" s="27"/>
      <c r="L2260" s="27"/>
      <c r="M2260" s="27"/>
      <c r="N2260" s="27"/>
      <c r="O2260" s="31" t="str">
        <f aca="false">IF(G2260="","",VLOOKUP(G2260,Setup!$A$14:$C$17,3,0))</f>
        <v/>
      </c>
      <c r="P2260" s="27"/>
      <c r="Q2260" s="33" t="str">
        <f aca="false">IF(OR(P2260="",M2260&lt;&gt;"Paid",O2260=""),"",P2260/O2260)</f>
        <v/>
      </c>
      <c r="R2260" s="34" t="str">
        <f aca="false">IF(Q2260="","",Q2260+N(H2260)*0.000000001)</f>
        <v/>
      </c>
      <c r="S2260" s="32" t="str">
        <f aca="false">IF(R2260="","",SUMPRODUCT((I$5:I$4004=I2260)*ISNUMBER(R$5:R$4004)*(R$5:R$4004&gt;R2260))+1)</f>
        <v/>
      </c>
      <c r="T2260" s="32" t="str">
        <f aca="false">IF(S2260="","",IF(S2260&lt;=Setup!$B$5,"🏆 WINNER",""))</f>
        <v/>
      </c>
      <c r="U2260" s="31" t="str">
        <f aca="false">IF(S2260="","",I2260&amp;"|"&amp;S2260)</f>
        <v/>
      </c>
    </row>
    <row r="2261" customFormat="false" ht="15" hidden="false" customHeight="false" outlineLevel="0" collapsed="false">
      <c r="A2261" s="24" t="n">
        <v>2257</v>
      </c>
      <c r="B2261" s="25" t="str">
        <f aca="false">IF(OR(C2261="",I2261="",G2261=""),"",IFERROR(VLOOKUP(I2261,Setup!$A$9:$B$11,2,0),"???")&amp;"-"&amp;G2261&amp;"-"&amp;TEXT(COUNTIFS(I$5:I2261,I2261,G$5:G2261,G2261),"0000"))</f>
        <v/>
      </c>
      <c r="C2261" s="26"/>
      <c r="D2261" s="26"/>
      <c r="E2261" s="27"/>
      <c r="F2261" s="27"/>
      <c r="G2261" s="24" t="str">
        <f aca="false">IF(F2261="","",IF(F2261&lt;=5,"A",IF(F2261&lt;=8,"B",IF(F2261&lt;=10,"C","D"))))</f>
        <v/>
      </c>
      <c r="H2261" s="28"/>
      <c r="I2261" s="27"/>
      <c r="J2261" s="26"/>
      <c r="K2261" s="27"/>
      <c r="L2261" s="27"/>
      <c r="M2261" s="27"/>
      <c r="N2261" s="27"/>
      <c r="O2261" s="24" t="str">
        <f aca="false">IF(G2261="","",VLOOKUP(G2261,Setup!$A$14:$C$17,3,0))</f>
        <v/>
      </c>
      <c r="P2261" s="27"/>
      <c r="Q2261" s="29" t="str">
        <f aca="false">IF(OR(P2261="",M2261&lt;&gt;"Paid",O2261=""),"",P2261/O2261)</f>
        <v/>
      </c>
      <c r="R2261" s="30" t="str">
        <f aca="false">IF(Q2261="","",Q2261+N(H2261)*0.000000001)</f>
        <v/>
      </c>
      <c r="S2261" s="25" t="str">
        <f aca="false">IF(R2261="","",SUMPRODUCT((I$5:I$4004=I2261)*ISNUMBER(R$5:R$4004)*(R$5:R$4004&gt;R2261))+1)</f>
        <v/>
      </c>
      <c r="T2261" s="25" t="str">
        <f aca="false">IF(S2261="","",IF(S2261&lt;=Setup!$B$5,"🏆 WINNER",""))</f>
        <v/>
      </c>
      <c r="U2261" s="24" t="str">
        <f aca="false">IF(S2261="","",I2261&amp;"|"&amp;S2261)</f>
        <v/>
      </c>
    </row>
    <row r="2262" customFormat="false" ht="15" hidden="false" customHeight="false" outlineLevel="0" collapsed="false">
      <c r="A2262" s="31" t="n">
        <v>2258</v>
      </c>
      <c r="B2262" s="32" t="str">
        <f aca="false">IF(OR(C2262="",I2262="",G2262=""),"",IFERROR(VLOOKUP(I2262,Setup!$A$9:$B$11,2,0),"???")&amp;"-"&amp;G2262&amp;"-"&amp;TEXT(COUNTIFS(I$5:I2262,I2262,G$5:G2262,G2262),"0000"))</f>
        <v/>
      </c>
      <c r="C2262" s="26"/>
      <c r="D2262" s="26"/>
      <c r="E2262" s="27"/>
      <c r="F2262" s="27"/>
      <c r="G2262" s="31" t="str">
        <f aca="false">IF(F2262="","",IF(F2262&lt;=5,"A",IF(F2262&lt;=8,"B",IF(F2262&lt;=10,"C","D"))))</f>
        <v/>
      </c>
      <c r="H2262" s="28"/>
      <c r="I2262" s="27"/>
      <c r="J2262" s="26"/>
      <c r="K2262" s="27"/>
      <c r="L2262" s="27"/>
      <c r="M2262" s="27"/>
      <c r="N2262" s="27"/>
      <c r="O2262" s="31" t="str">
        <f aca="false">IF(G2262="","",VLOOKUP(G2262,Setup!$A$14:$C$17,3,0))</f>
        <v/>
      </c>
      <c r="P2262" s="27"/>
      <c r="Q2262" s="33" t="str">
        <f aca="false">IF(OR(P2262="",M2262&lt;&gt;"Paid",O2262=""),"",P2262/O2262)</f>
        <v/>
      </c>
      <c r="R2262" s="34" t="str">
        <f aca="false">IF(Q2262="","",Q2262+N(H2262)*0.000000001)</f>
        <v/>
      </c>
      <c r="S2262" s="32" t="str">
        <f aca="false">IF(R2262="","",SUMPRODUCT((I$5:I$4004=I2262)*ISNUMBER(R$5:R$4004)*(R$5:R$4004&gt;R2262))+1)</f>
        <v/>
      </c>
      <c r="T2262" s="32" t="str">
        <f aca="false">IF(S2262="","",IF(S2262&lt;=Setup!$B$5,"🏆 WINNER",""))</f>
        <v/>
      </c>
      <c r="U2262" s="31" t="str">
        <f aca="false">IF(S2262="","",I2262&amp;"|"&amp;S2262)</f>
        <v/>
      </c>
    </row>
    <row r="2263" customFormat="false" ht="15" hidden="false" customHeight="false" outlineLevel="0" collapsed="false">
      <c r="A2263" s="24" t="n">
        <v>2259</v>
      </c>
      <c r="B2263" s="25" t="str">
        <f aca="false">IF(OR(C2263="",I2263="",G2263=""),"",IFERROR(VLOOKUP(I2263,Setup!$A$9:$B$11,2,0),"???")&amp;"-"&amp;G2263&amp;"-"&amp;TEXT(COUNTIFS(I$5:I2263,I2263,G$5:G2263,G2263),"0000"))</f>
        <v/>
      </c>
      <c r="C2263" s="26"/>
      <c r="D2263" s="26"/>
      <c r="E2263" s="27"/>
      <c r="F2263" s="27"/>
      <c r="G2263" s="24" t="str">
        <f aca="false">IF(F2263="","",IF(F2263&lt;=5,"A",IF(F2263&lt;=8,"B",IF(F2263&lt;=10,"C","D"))))</f>
        <v/>
      </c>
      <c r="H2263" s="28"/>
      <c r="I2263" s="27"/>
      <c r="J2263" s="26"/>
      <c r="K2263" s="27"/>
      <c r="L2263" s="27"/>
      <c r="M2263" s="27"/>
      <c r="N2263" s="27"/>
      <c r="O2263" s="24" t="str">
        <f aca="false">IF(G2263="","",VLOOKUP(G2263,Setup!$A$14:$C$17,3,0))</f>
        <v/>
      </c>
      <c r="P2263" s="27"/>
      <c r="Q2263" s="29" t="str">
        <f aca="false">IF(OR(P2263="",M2263&lt;&gt;"Paid",O2263=""),"",P2263/O2263)</f>
        <v/>
      </c>
      <c r="R2263" s="30" t="str">
        <f aca="false">IF(Q2263="","",Q2263+N(H2263)*0.000000001)</f>
        <v/>
      </c>
      <c r="S2263" s="25" t="str">
        <f aca="false">IF(R2263="","",SUMPRODUCT((I$5:I$4004=I2263)*ISNUMBER(R$5:R$4004)*(R$5:R$4004&gt;R2263))+1)</f>
        <v/>
      </c>
      <c r="T2263" s="25" t="str">
        <f aca="false">IF(S2263="","",IF(S2263&lt;=Setup!$B$5,"🏆 WINNER",""))</f>
        <v/>
      </c>
      <c r="U2263" s="24" t="str">
        <f aca="false">IF(S2263="","",I2263&amp;"|"&amp;S2263)</f>
        <v/>
      </c>
    </row>
    <row r="2264" customFormat="false" ht="15" hidden="false" customHeight="false" outlineLevel="0" collapsed="false">
      <c r="A2264" s="31" t="n">
        <v>2260</v>
      </c>
      <c r="B2264" s="32" t="str">
        <f aca="false">IF(OR(C2264="",I2264="",G2264=""),"",IFERROR(VLOOKUP(I2264,Setup!$A$9:$B$11,2,0),"???")&amp;"-"&amp;G2264&amp;"-"&amp;TEXT(COUNTIFS(I$5:I2264,I2264,G$5:G2264,G2264),"0000"))</f>
        <v/>
      </c>
      <c r="C2264" s="26"/>
      <c r="D2264" s="26"/>
      <c r="E2264" s="27"/>
      <c r="F2264" s="27"/>
      <c r="G2264" s="31" t="str">
        <f aca="false">IF(F2264="","",IF(F2264&lt;=5,"A",IF(F2264&lt;=8,"B",IF(F2264&lt;=10,"C","D"))))</f>
        <v/>
      </c>
      <c r="H2264" s="28"/>
      <c r="I2264" s="27"/>
      <c r="J2264" s="26"/>
      <c r="K2264" s="27"/>
      <c r="L2264" s="27"/>
      <c r="M2264" s="27"/>
      <c r="N2264" s="27"/>
      <c r="O2264" s="31" t="str">
        <f aca="false">IF(G2264="","",VLOOKUP(G2264,Setup!$A$14:$C$17,3,0))</f>
        <v/>
      </c>
      <c r="P2264" s="27"/>
      <c r="Q2264" s="33" t="str">
        <f aca="false">IF(OR(P2264="",M2264&lt;&gt;"Paid",O2264=""),"",P2264/O2264)</f>
        <v/>
      </c>
      <c r="R2264" s="34" t="str">
        <f aca="false">IF(Q2264="","",Q2264+N(H2264)*0.000000001)</f>
        <v/>
      </c>
      <c r="S2264" s="32" t="str">
        <f aca="false">IF(R2264="","",SUMPRODUCT((I$5:I$4004=I2264)*ISNUMBER(R$5:R$4004)*(R$5:R$4004&gt;R2264))+1)</f>
        <v/>
      </c>
      <c r="T2264" s="32" t="str">
        <f aca="false">IF(S2264="","",IF(S2264&lt;=Setup!$B$5,"🏆 WINNER",""))</f>
        <v/>
      </c>
      <c r="U2264" s="31" t="str">
        <f aca="false">IF(S2264="","",I2264&amp;"|"&amp;S2264)</f>
        <v/>
      </c>
    </row>
    <row r="2265" customFormat="false" ht="15" hidden="false" customHeight="false" outlineLevel="0" collapsed="false">
      <c r="A2265" s="24" t="n">
        <v>2261</v>
      </c>
      <c r="B2265" s="25" t="str">
        <f aca="false">IF(OR(C2265="",I2265="",G2265=""),"",IFERROR(VLOOKUP(I2265,Setup!$A$9:$B$11,2,0),"???")&amp;"-"&amp;G2265&amp;"-"&amp;TEXT(COUNTIFS(I$5:I2265,I2265,G$5:G2265,G2265),"0000"))</f>
        <v/>
      </c>
      <c r="C2265" s="26"/>
      <c r="D2265" s="26"/>
      <c r="E2265" s="27"/>
      <c r="F2265" s="27"/>
      <c r="G2265" s="24" t="str">
        <f aca="false">IF(F2265="","",IF(F2265&lt;=5,"A",IF(F2265&lt;=8,"B",IF(F2265&lt;=10,"C","D"))))</f>
        <v/>
      </c>
      <c r="H2265" s="28"/>
      <c r="I2265" s="27"/>
      <c r="J2265" s="26"/>
      <c r="K2265" s="27"/>
      <c r="L2265" s="27"/>
      <c r="M2265" s="27"/>
      <c r="N2265" s="27"/>
      <c r="O2265" s="24" t="str">
        <f aca="false">IF(G2265="","",VLOOKUP(G2265,Setup!$A$14:$C$17,3,0))</f>
        <v/>
      </c>
      <c r="P2265" s="27"/>
      <c r="Q2265" s="29" t="str">
        <f aca="false">IF(OR(P2265="",M2265&lt;&gt;"Paid",O2265=""),"",P2265/O2265)</f>
        <v/>
      </c>
      <c r="R2265" s="30" t="str">
        <f aca="false">IF(Q2265="","",Q2265+N(H2265)*0.000000001)</f>
        <v/>
      </c>
      <c r="S2265" s="25" t="str">
        <f aca="false">IF(R2265="","",SUMPRODUCT((I$5:I$4004=I2265)*ISNUMBER(R$5:R$4004)*(R$5:R$4004&gt;R2265))+1)</f>
        <v/>
      </c>
      <c r="T2265" s="25" t="str">
        <f aca="false">IF(S2265="","",IF(S2265&lt;=Setup!$B$5,"🏆 WINNER",""))</f>
        <v/>
      </c>
      <c r="U2265" s="24" t="str">
        <f aca="false">IF(S2265="","",I2265&amp;"|"&amp;S2265)</f>
        <v/>
      </c>
    </row>
    <row r="2266" customFormat="false" ht="15" hidden="false" customHeight="false" outlineLevel="0" collapsed="false">
      <c r="A2266" s="31" t="n">
        <v>2262</v>
      </c>
      <c r="B2266" s="32" t="str">
        <f aca="false">IF(OR(C2266="",I2266="",G2266=""),"",IFERROR(VLOOKUP(I2266,Setup!$A$9:$B$11,2,0),"???")&amp;"-"&amp;G2266&amp;"-"&amp;TEXT(COUNTIFS(I$5:I2266,I2266,G$5:G2266,G2266),"0000"))</f>
        <v/>
      </c>
      <c r="C2266" s="26"/>
      <c r="D2266" s="26"/>
      <c r="E2266" s="27"/>
      <c r="F2266" s="27"/>
      <c r="G2266" s="31" t="str">
        <f aca="false">IF(F2266="","",IF(F2266&lt;=5,"A",IF(F2266&lt;=8,"B",IF(F2266&lt;=10,"C","D"))))</f>
        <v/>
      </c>
      <c r="H2266" s="28"/>
      <c r="I2266" s="27"/>
      <c r="J2266" s="26"/>
      <c r="K2266" s="27"/>
      <c r="L2266" s="27"/>
      <c r="M2266" s="27"/>
      <c r="N2266" s="27"/>
      <c r="O2266" s="31" t="str">
        <f aca="false">IF(G2266="","",VLOOKUP(G2266,Setup!$A$14:$C$17,3,0))</f>
        <v/>
      </c>
      <c r="P2266" s="27"/>
      <c r="Q2266" s="33" t="str">
        <f aca="false">IF(OR(P2266="",M2266&lt;&gt;"Paid",O2266=""),"",P2266/O2266)</f>
        <v/>
      </c>
      <c r="R2266" s="34" t="str">
        <f aca="false">IF(Q2266="","",Q2266+N(H2266)*0.000000001)</f>
        <v/>
      </c>
      <c r="S2266" s="32" t="str">
        <f aca="false">IF(R2266="","",SUMPRODUCT((I$5:I$4004=I2266)*ISNUMBER(R$5:R$4004)*(R$5:R$4004&gt;R2266))+1)</f>
        <v/>
      </c>
      <c r="T2266" s="32" t="str">
        <f aca="false">IF(S2266="","",IF(S2266&lt;=Setup!$B$5,"🏆 WINNER",""))</f>
        <v/>
      </c>
      <c r="U2266" s="31" t="str">
        <f aca="false">IF(S2266="","",I2266&amp;"|"&amp;S2266)</f>
        <v/>
      </c>
    </row>
    <row r="2267" customFormat="false" ht="15" hidden="false" customHeight="false" outlineLevel="0" collapsed="false">
      <c r="A2267" s="24" t="n">
        <v>2263</v>
      </c>
      <c r="B2267" s="25" t="str">
        <f aca="false">IF(OR(C2267="",I2267="",G2267=""),"",IFERROR(VLOOKUP(I2267,Setup!$A$9:$B$11,2,0),"???")&amp;"-"&amp;G2267&amp;"-"&amp;TEXT(COUNTIFS(I$5:I2267,I2267,G$5:G2267,G2267),"0000"))</f>
        <v/>
      </c>
      <c r="C2267" s="26"/>
      <c r="D2267" s="26"/>
      <c r="E2267" s="27"/>
      <c r="F2267" s="27"/>
      <c r="G2267" s="24" t="str">
        <f aca="false">IF(F2267="","",IF(F2267&lt;=5,"A",IF(F2267&lt;=8,"B",IF(F2267&lt;=10,"C","D"))))</f>
        <v/>
      </c>
      <c r="H2267" s="28"/>
      <c r="I2267" s="27"/>
      <c r="J2267" s="26"/>
      <c r="K2267" s="27"/>
      <c r="L2267" s="27"/>
      <c r="M2267" s="27"/>
      <c r="N2267" s="27"/>
      <c r="O2267" s="24" t="str">
        <f aca="false">IF(G2267="","",VLOOKUP(G2267,Setup!$A$14:$C$17,3,0))</f>
        <v/>
      </c>
      <c r="P2267" s="27"/>
      <c r="Q2267" s="29" t="str">
        <f aca="false">IF(OR(P2267="",M2267&lt;&gt;"Paid",O2267=""),"",P2267/O2267)</f>
        <v/>
      </c>
      <c r="R2267" s="30" t="str">
        <f aca="false">IF(Q2267="","",Q2267+N(H2267)*0.000000001)</f>
        <v/>
      </c>
      <c r="S2267" s="25" t="str">
        <f aca="false">IF(R2267="","",SUMPRODUCT((I$5:I$4004=I2267)*ISNUMBER(R$5:R$4004)*(R$5:R$4004&gt;R2267))+1)</f>
        <v/>
      </c>
      <c r="T2267" s="25" t="str">
        <f aca="false">IF(S2267="","",IF(S2267&lt;=Setup!$B$5,"🏆 WINNER",""))</f>
        <v/>
      </c>
      <c r="U2267" s="24" t="str">
        <f aca="false">IF(S2267="","",I2267&amp;"|"&amp;S2267)</f>
        <v/>
      </c>
    </row>
    <row r="2268" customFormat="false" ht="15" hidden="false" customHeight="false" outlineLevel="0" collapsed="false">
      <c r="A2268" s="31" t="n">
        <v>2264</v>
      </c>
      <c r="B2268" s="32" t="str">
        <f aca="false">IF(OR(C2268="",I2268="",G2268=""),"",IFERROR(VLOOKUP(I2268,Setup!$A$9:$B$11,2,0),"???")&amp;"-"&amp;G2268&amp;"-"&amp;TEXT(COUNTIFS(I$5:I2268,I2268,G$5:G2268,G2268),"0000"))</f>
        <v/>
      </c>
      <c r="C2268" s="26"/>
      <c r="D2268" s="26"/>
      <c r="E2268" s="27"/>
      <c r="F2268" s="27"/>
      <c r="G2268" s="31" t="str">
        <f aca="false">IF(F2268="","",IF(F2268&lt;=5,"A",IF(F2268&lt;=8,"B",IF(F2268&lt;=10,"C","D"))))</f>
        <v/>
      </c>
      <c r="H2268" s="28"/>
      <c r="I2268" s="27"/>
      <c r="J2268" s="26"/>
      <c r="K2268" s="27"/>
      <c r="L2268" s="27"/>
      <c r="M2268" s="27"/>
      <c r="N2268" s="27"/>
      <c r="O2268" s="31" t="str">
        <f aca="false">IF(G2268="","",VLOOKUP(G2268,Setup!$A$14:$C$17,3,0))</f>
        <v/>
      </c>
      <c r="P2268" s="27"/>
      <c r="Q2268" s="33" t="str">
        <f aca="false">IF(OR(P2268="",M2268&lt;&gt;"Paid",O2268=""),"",P2268/O2268)</f>
        <v/>
      </c>
      <c r="R2268" s="34" t="str">
        <f aca="false">IF(Q2268="","",Q2268+N(H2268)*0.000000001)</f>
        <v/>
      </c>
      <c r="S2268" s="32" t="str">
        <f aca="false">IF(R2268="","",SUMPRODUCT((I$5:I$4004=I2268)*ISNUMBER(R$5:R$4004)*(R$5:R$4004&gt;R2268))+1)</f>
        <v/>
      </c>
      <c r="T2268" s="32" t="str">
        <f aca="false">IF(S2268="","",IF(S2268&lt;=Setup!$B$5,"🏆 WINNER",""))</f>
        <v/>
      </c>
      <c r="U2268" s="31" t="str">
        <f aca="false">IF(S2268="","",I2268&amp;"|"&amp;S2268)</f>
        <v/>
      </c>
    </row>
    <row r="2269" customFormat="false" ht="15" hidden="false" customHeight="false" outlineLevel="0" collapsed="false">
      <c r="A2269" s="24" t="n">
        <v>2265</v>
      </c>
      <c r="B2269" s="25" t="str">
        <f aca="false">IF(OR(C2269="",I2269="",G2269=""),"",IFERROR(VLOOKUP(I2269,Setup!$A$9:$B$11,2,0),"???")&amp;"-"&amp;G2269&amp;"-"&amp;TEXT(COUNTIFS(I$5:I2269,I2269,G$5:G2269,G2269),"0000"))</f>
        <v/>
      </c>
      <c r="C2269" s="26"/>
      <c r="D2269" s="26"/>
      <c r="E2269" s="27"/>
      <c r="F2269" s="27"/>
      <c r="G2269" s="24" t="str">
        <f aca="false">IF(F2269="","",IF(F2269&lt;=5,"A",IF(F2269&lt;=8,"B",IF(F2269&lt;=10,"C","D"))))</f>
        <v/>
      </c>
      <c r="H2269" s="28"/>
      <c r="I2269" s="27"/>
      <c r="J2269" s="26"/>
      <c r="K2269" s="27"/>
      <c r="L2269" s="27"/>
      <c r="M2269" s="27"/>
      <c r="N2269" s="27"/>
      <c r="O2269" s="24" t="str">
        <f aca="false">IF(G2269="","",VLOOKUP(G2269,Setup!$A$14:$C$17,3,0))</f>
        <v/>
      </c>
      <c r="P2269" s="27"/>
      <c r="Q2269" s="29" t="str">
        <f aca="false">IF(OR(P2269="",M2269&lt;&gt;"Paid",O2269=""),"",P2269/O2269)</f>
        <v/>
      </c>
      <c r="R2269" s="30" t="str">
        <f aca="false">IF(Q2269="","",Q2269+N(H2269)*0.000000001)</f>
        <v/>
      </c>
      <c r="S2269" s="25" t="str">
        <f aca="false">IF(R2269="","",SUMPRODUCT((I$5:I$4004=I2269)*ISNUMBER(R$5:R$4004)*(R$5:R$4004&gt;R2269))+1)</f>
        <v/>
      </c>
      <c r="T2269" s="25" t="str">
        <f aca="false">IF(S2269="","",IF(S2269&lt;=Setup!$B$5,"🏆 WINNER",""))</f>
        <v/>
      </c>
      <c r="U2269" s="24" t="str">
        <f aca="false">IF(S2269="","",I2269&amp;"|"&amp;S2269)</f>
        <v/>
      </c>
    </row>
    <row r="2270" customFormat="false" ht="15" hidden="false" customHeight="false" outlineLevel="0" collapsed="false">
      <c r="A2270" s="31" t="n">
        <v>2266</v>
      </c>
      <c r="B2270" s="32" t="str">
        <f aca="false">IF(OR(C2270="",I2270="",G2270=""),"",IFERROR(VLOOKUP(I2270,Setup!$A$9:$B$11,2,0),"???")&amp;"-"&amp;G2270&amp;"-"&amp;TEXT(COUNTIFS(I$5:I2270,I2270,G$5:G2270,G2270),"0000"))</f>
        <v/>
      </c>
      <c r="C2270" s="26"/>
      <c r="D2270" s="26"/>
      <c r="E2270" s="27"/>
      <c r="F2270" s="27"/>
      <c r="G2270" s="31" t="str">
        <f aca="false">IF(F2270="","",IF(F2270&lt;=5,"A",IF(F2270&lt;=8,"B",IF(F2270&lt;=10,"C","D"))))</f>
        <v/>
      </c>
      <c r="H2270" s="28"/>
      <c r="I2270" s="27"/>
      <c r="J2270" s="26"/>
      <c r="K2270" s="27"/>
      <c r="L2270" s="27"/>
      <c r="M2270" s="27"/>
      <c r="N2270" s="27"/>
      <c r="O2270" s="31" t="str">
        <f aca="false">IF(G2270="","",VLOOKUP(G2270,Setup!$A$14:$C$17,3,0))</f>
        <v/>
      </c>
      <c r="P2270" s="27"/>
      <c r="Q2270" s="33" t="str">
        <f aca="false">IF(OR(P2270="",M2270&lt;&gt;"Paid",O2270=""),"",P2270/O2270)</f>
        <v/>
      </c>
      <c r="R2270" s="34" t="str">
        <f aca="false">IF(Q2270="","",Q2270+N(H2270)*0.000000001)</f>
        <v/>
      </c>
      <c r="S2270" s="32" t="str">
        <f aca="false">IF(R2270="","",SUMPRODUCT((I$5:I$4004=I2270)*ISNUMBER(R$5:R$4004)*(R$5:R$4004&gt;R2270))+1)</f>
        <v/>
      </c>
      <c r="T2270" s="32" t="str">
        <f aca="false">IF(S2270="","",IF(S2270&lt;=Setup!$B$5,"🏆 WINNER",""))</f>
        <v/>
      </c>
      <c r="U2270" s="31" t="str">
        <f aca="false">IF(S2270="","",I2270&amp;"|"&amp;S2270)</f>
        <v/>
      </c>
    </row>
    <row r="2271" customFormat="false" ht="15" hidden="false" customHeight="false" outlineLevel="0" collapsed="false">
      <c r="A2271" s="24" t="n">
        <v>2267</v>
      </c>
      <c r="B2271" s="25" t="str">
        <f aca="false">IF(OR(C2271="",I2271="",G2271=""),"",IFERROR(VLOOKUP(I2271,Setup!$A$9:$B$11,2,0),"???")&amp;"-"&amp;G2271&amp;"-"&amp;TEXT(COUNTIFS(I$5:I2271,I2271,G$5:G2271,G2271),"0000"))</f>
        <v/>
      </c>
      <c r="C2271" s="26"/>
      <c r="D2271" s="26"/>
      <c r="E2271" s="27"/>
      <c r="F2271" s="27"/>
      <c r="G2271" s="24" t="str">
        <f aca="false">IF(F2271="","",IF(F2271&lt;=5,"A",IF(F2271&lt;=8,"B",IF(F2271&lt;=10,"C","D"))))</f>
        <v/>
      </c>
      <c r="H2271" s="28"/>
      <c r="I2271" s="27"/>
      <c r="J2271" s="26"/>
      <c r="K2271" s="27"/>
      <c r="L2271" s="27"/>
      <c r="M2271" s="27"/>
      <c r="N2271" s="27"/>
      <c r="O2271" s="24" t="str">
        <f aca="false">IF(G2271="","",VLOOKUP(G2271,Setup!$A$14:$C$17,3,0))</f>
        <v/>
      </c>
      <c r="P2271" s="27"/>
      <c r="Q2271" s="29" t="str">
        <f aca="false">IF(OR(P2271="",M2271&lt;&gt;"Paid",O2271=""),"",P2271/O2271)</f>
        <v/>
      </c>
      <c r="R2271" s="30" t="str">
        <f aca="false">IF(Q2271="","",Q2271+N(H2271)*0.000000001)</f>
        <v/>
      </c>
      <c r="S2271" s="25" t="str">
        <f aca="false">IF(R2271="","",SUMPRODUCT((I$5:I$4004=I2271)*ISNUMBER(R$5:R$4004)*(R$5:R$4004&gt;R2271))+1)</f>
        <v/>
      </c>
      <c r="T2271" s="25" t="str">
        <f aca="false">IF(S2271="","",IF(S2271&lt;=Setup!$B$5,"🏆 WINNER",""))</f>
        <v/>
      </c>
      <c r="U2271" s="24" t="str">
        <f aca="false">IF(S2271="","",I2271&amp;"|"&amp;S2271)</f>
        <v/>
      </c>
    </row>
    <row r="2272" customFormat="false" ht="15" hidden="false" customHeight="false" outlineLevel="0" collapsed="false">
      <c r="A2272" s="31" t="n">
        <v>2268</v>
      </c>
      <c r="B2272" s="32" t="str">
        <f aca="false">IF(OR(C2272="",I2272="",G2272=""),"",IFERROR(VLOOKUP(I2272,Setup!$A$9:$B$11,2,0),"???")&amp;"-"&amp;G2272&amp;"-"&amp;TEXT(COUNTIFS(I$5:I2272,I2272,G$5:G2272,G2272),"0000"))</f>
        <v/>
      </c>
      <c r="C2272" s="26"/>
      <c r="D2272" s="26"/>
      <c r="E2272" s="27"/>
      <c r="F2272" s="27"/>
      <c r="G2272" s="31" t="str">
        <f aca="false">IF(F2272="","",IF(F2272&lt;=5,"A",IF(F2272&lt;=8,"B",IF(F2272&lt;=10,"C","D"))))</f>
        <v/>
      </c>
      <c r="H2272" s="28"/>
      <c r="I2272" s="27"/>
      <c r="J2272" s="26"/>
      <c r="K2272" s="27"/>
      <c r="L2272" s="27"/>
      <c r="M2272" s="27"/>
      <c r="N2272" s="27"/>
      <c r="O2272" s="31" t="str">
        <f aca="false">IF(G2272="","",VLOOKUP(G2272,Setup!$A$14:$C$17,3,0))</f>
        <v/>
      </c>
      <c r="P2272" s="27"/>
      <c r="Q2272" s="33" t="str">
        <f aca="false">IF(OR(P2272="",M2272&lt;&gt;"Paid",O2272=""),"",P2272/O2272)</f>
        <v/>
      </c>
      <c r="R2272" s="34" t="str">
        <f aca="false">IF(Q2272="","",Q2272+N(H2272)*0.000000001)</f>
        <v/>
      </c>
      <c r="S2272" s="32" t="str">
        <f aca="false">IF(R2272="","",SUMPRODUCT((I$5:I$4004=I2272)*ISNUMBER(R$5:R$4004)*(R$5:R$4004&gt;R2272))+1)</f>
        <v/>
      </c>
      <c r="T2272" s="32" t="str">
        <f aca="false">IF(S2272="","",IF(S2272&lt;=Setup!$B$5,"🏆 WINNER",""))</f>
        <v/>
      </c>
      <c r="U2272" s="31" t="str">
        <f aca="false">IF(S2272="","",I2272&amp;"|"&amp;S2272)</f>
        <v/>
      </c>
    </row>
    <row r="2273" customFormat="false" ht="15" hidden="false" customHeight="false" outlineLevel="0" collapsed="false">
      <c r="A2273" s="24" t="n">
        <v>2269</v>
      </c>
      <c r="B2273" s="25" t="str">
        <f aca="false">IF(OR(C2273="",I2273="",G2273=""),"",IFERROR(VLOOKUP(I2273,Setup!$A$9:$B$11,2,0),"???")&amp;"-"&amp;G2273&amp;"-"&amp;TEXT(COUNTIFS(I$5:I2273,I2273,G$5:G2273,G2273),"0000"))</f>
        <v/>
      </c>
      <c r="C2273" s="26"/>
      <c r="D2273" s="26"/>
      <c r="E2273" s="27"/>
      <c r="F2273" s="27"/>
      <c r="G2273" s="24" t="str">
        <f aca="false">IF(F2273="","",IF(F2273&lt;=5,"A",IF(F2273&lt;=8,"B",IF(F2273&lt;=10,"C","D"))))</f>
        <v/>
      </c>
      <c r="H2273" s="28"/>
      <c r="I2273" s="27"/>
      <c r="J2273" s="26"/>
      <c r="K2273" s="27"/>
      <c r="L2273" s="27"/>
      <c r="M2273" s="27"/>
      <c r="N2273" s="27"/>
      <c r="O2273" s="24" t="str">
        <f aca="false">IF(G2273="","",VLOOKUP(G2273,Setup!$A$14:$C$17,3,0))</f>
        <v/>
      </c>
      <c r="P2273" s="27"/>
      <c r="Q2273" s="29" t="str">
        <f aca="false">IF(OR(P2273="",M2273&lt;&gt;"Paid",O2273=""),"",P2273/O2273)</f>
        <v/>
      </c>
      <c r="R2273" s="30" t="str">
        <f aca="false">IF(Q2273="","",Q2273+N(H2273)*0.000000001)</f>
        <v/>
      </c>
      <c r="S2273" s="25" t="str">
        <f aca="false">IF(R2273="","",SUMPRODUCT((I$5:I$4004=I2273)*ISNUMBER(R$5:R$4004)*(R$5:R$4004&gt;R2273))+1)</f>
        <v/>
      </c>
      <c r="T2273" s="25" t="str">
        <f aca="false">IF(S2273="","",IF(S2273&lt;=Setup!$B$5,"🏆 WINNER",""))</f>
        <v/>
      </c>
      <c r="U2273" s="24" t="str">
        <f aca="false">IF(S2273="","",I2273&amp;"|"&amp;S2273)</f>
        <v/>
      </c>
    </row>
    <row r="2274" customFormat="false" ht="15" hidden="false" customHeight="false" outlineLevel="0" collapsed="false">
      <c r="A2274" s="31" t="n">
        <v>2270</v>
      </c>
      <c r="B2274" s="32" t="str">
        <f aca="false">IF(OR(C2274="",I2274="",G2274=""),"",IFERROR(VLOOKUP(I2274,Setup!$A$9:$B$11,2,0),"???")&amp;"-"&amp;G2274&amp;"-"&amp;TEXT(COUNTIFS(I$5:I2274,I2274,G$5:G2274,G2274),"0000"))</f>
        <v/>
      </c>
      <c r="C2274" s="26"/>
      <c r="D2274" s="26"/>
      <c r="E2274" s="27"/>
      <c r="F2274" s="27"/>
      <c r="G2274" s="31" t="str">
        <f aca="false">IF(F2274="","",IF(F2274&lt;=5,"A",IF(F2274&lt;=8,"B",IF(F2274&lt;=10,"C","D"))))</f>
        <v/>
      </c>
      <c r="H2274" s="28"/>
      <c r="I2274" s="27"/>
      <c r="J2274" s="26"/>
      <c r="K2274" s="27"/>
      <c r="L2274" s="27"/>
      <c r="M2274" s="27"/>
      <c r="N2274" s="27"/>
      <c r="O2274" s="31" t="str">
        <f aca="false">IF(G2274="","",VLOOKUP(G2274,Setup!$A$14:$C$17,3,0))</f>
        <v/>
      </c>
      <c r="P2274" s="27"/>
      <c r="Q2274" s="33" t="str">
        <f aca="false">IF(OR(P2274="",M2274&lt;&gt;"Paid",O2274=""),"",P2274/O2274)</f>
        <v/>
      </c>
      <c r="R2274" s="34" t="str">
        <f aca="false">IF(Q2274="","",Q2274+N(H2274)*0.000000001)</f>
        <v/>
      </c>
      <c r="S2274" s="32" t="str">
        <f aca="false">IF(R2274="","",SUMPRODUCT((I$5:I$4004=I2274)*ISNUMBER(R$5:R$4004)*(R$5:R$4004&gt;R2274))+1)</f>
        <v/>
      </c>
      <c r="T2274" s="32" t="str">
        <f aca="false">IF(S2274="","",IF(S2274&lt;=Setup!$B$5,"🏆 WINNER",""))</f>
        <v/>
      </c>
      <c r="U2274" s="31" t="str">
        <f aca="false">IF(S2274="","",I2274&amp;"|"&amp;S2274)</f>
        <v/>
      </c>
    </row>
    <row r="2275" customFormat="false" ht="15" hidden="false" customHeight="false" outlineLevel="0" collapsed="false">
      <c r="A2275" s="24" t="n">
        <v>2271</v>
      </c>
      <c r="B2275" s="25" t="str">
        <f aca="false">IF(OR(C2275="",I2275="",G2275=""),"",IFERROR(VLOOKUP(I2275,Setup!$A$9:$B$11,2,0),"???")&amp;"-"&amp;G2275&amp;"-"&amp;TEXT(COUNTIFS(I$5:I2275,I2275,G$5:G2275,G2275),"0000"))</f>
        <v/>
      </c>
      <c r="C2275" s="26"/>
      <c r="D2275" s="26"/>
      <c r="E2275" s="27"/>
      <c r="F2275" s="27"/>
      <c r="G2275" s="24" t="str">
        <f aca="false">IF(F2275="","",IF(F2275&lt;=5,"A",IF(F2275&lt;=8,"B",IF(F2275&lt;=10,"C","D"))))</f>
        <v/>
      </c>
      <c r="H2275" s="28"/>
      <c r="I2275" s="27"/>
      <c r="J2275" s="26"/>
      <c r="K2275" s="27"/>
      <c r="L2275" s="27"/>
      <c r="M2275" s="27"/>
      <c r="N2275" s="27"/>
      <c r="O2275" s="24" t="str">
        <f aca="false">IF(G2275="","",VLOOKUP(G2275,Setup!$A$14:$C$17,3,0))</f>
        <v/>
      </c>
      <c r="P2275" s="27"/>
      <c r="Q2275" s="29" t="str">
        <f aca="false">IF(OR(P2275="",M2275&lt;&gt;"Paid",O2275=""),"",P2275/O2275)</f>
        <v/>
      </c>
      <c r="R2275" s="30" t="str">
        <f aca="false">IF(Q2275="","",Q2275+N(H2275)*0.000000001)</f>
        <v/>
      </c>
      <c r="S2275" s="25" t="str">
        <f aca="false">IF(R2275="","",SUMPRODUCT((I$5:I$4004=I2275)*ISNUMBER(R$5:R$4004)*(R$5:R$4004&gt;R2275))+1)</f>
        <v/>
      </c>
      <c r="T2275" s="25" t="str">
        <f aca="false">IF(S2275="","",IF(S2275&lt;=Setup!$B$5,"🏆 WINNER",""))</f>
        <v/>
      </c>
      <c r="U2275" s="24" t="str">
        <f aca="false">IF(S2275="","",I2275&amp;"|"&amp;S2275)</f>
        <v/>
      </c>
    </row>
    <row r="2276" customFormat="false" ht="15" hidden="false" customHeight="false" outlineLevel="0" collapsed="false">
      <c r="A2276" s="31" t="n">
        <v>2272</v>
      </c>
      <c r="B2276" s="32" t="str">
        <f aca="false">IF(OR(C2276="",I2276="",G2276=""),"",IFERROR(VLOOKUP(I2276,Setup!$A$9:$B$11,2,0),"???")&amp;"-"&amp;G2276&amp;"-"&amp;TEXT(COUNTIFS(I$5:I2276,I2276,G$5:G2276,G2276),"0000"))</f>
        <v/>
      </c>
      <c r="C2276" s="26"/>
      <c r="D2276" s="26"/>
      <c r="E2276" s="27"/>
      <c r="F2276" s="27"/>
      <c r="G2276" s="31" t="str">
        <f aca="false">IF(F2276="","",IF(F2276&lt;=5,"A",IF(F2276&lt;=8,"B",IF(F2276&lt;=10,"C","D"))))</f>
        <v/>
      </c>
      <c r="H2276" s="28"/>
      <c r="I2276" s="27"/>
      <c r="J2276" s="26"/>
      <c r="K2276" s="27"/>
      <c r="L2276" s="27"/>
      <c r="M2276" s="27"/>
      <c r="N2276" s="27"/>
      <c r="O2276" s="31" t="str">
        <f aca="false">IF(G2276="","",VLOOKUP(G2276,Setup!$A$14:$C$17,3,0))</f>
        <v/>
      </c>
      <c r="P2276" s="27"/>
      <c r="Q2276" s="33" t="str">
        <f aca="false">IF(OR(P2276="",M2276&lt;&gt;"Paid",O2276=""),"",P2276/O2276)</f>
        <v/>
      </c>
      <c r="R2276" s="34" t="str">
        <f aca="false">IF(Q2276="","",Q2276+N(H2276)*0.000000001)</f>
        <v/>
      </c>
      <c r="S2276" s="32" t="str">
        <f aca="false">IF(R2276="","",SUMPRODUCT((I$5:I$4004=I2276)*ISNUMBER(R$5:R$4004)*(R$5:R$4004&gt;R2276))+1)</f>
        <v/>
      </c>
      <c r="T2276" s="32" t="str">
        <f aca="false">IF(S2276="","",IF(S2276&lt;=Setup!$B$5,"🏆 WINNER",""))</f>
        <v/>
      </c>
      <c r="U2276" s="31" t="str">
        <f aca="false">IF(S2276="","",I2276&amp;"|"&amp;S2276)</f>
        <v/>
      </c>
    </row>
    <row r="2277" customFormat="false" ht="15" hidden="false" customHeight="false" outlineLevel="0" collapsed="false">
      <c r="A2277" s="24" t="n">
        <v>2273</v>
      </c>
      <c r="B2277" s="25" t="str">
        <f aca="false">IF(OR(C2277="",I2277="",G2277=""),"",IFERROR(VLOOKUP(I2277,Setup!$A$9:$B$11,2,0),"???")&amp;"-"&amp;G2277&amp;"-"&amp;TEXT(COUNTIFS(I$5:I2277,I2277,G$5:G2277,G2277),"0000"))</f>
        <v/>
      </c>
      <c r="C2277" s="26"/>
      <c r="D2277" s="26"/>
      <c r="E2277" s="27"/>
      <c r="F2277" s="27"/>
      <c r="G2277" s="24" t="str">
        <f aca="false">IF(F2277="","",IF(F2277&lt;=5,"A",IF(F2277&lt;=8,"B",IF(F2277&lt;=10,"C","D"))))</f>
        <v/>
      </c>
      <c r="H2277" s="28"/>
      <c r="I2277" s="27"/>
      <c r="J2277" s="26"/>
      <c r="K2277" s="27"/>
      <c r="L2277" s="27"/>
      <c r="M2277" s="27"/>
      <c r="N2277" s="27"/>
      <c r="O2277" s="24" t="str">
        <f aca="false">IF(G2277="","",VLOOKUP(G2277,Setup!$A$14:$C$17,3,0))</f>
        <v/>
      </c>
      <c r="P2277" s="27"/>
      <c r="Q2277" s="29" t="str">
        <f aca="false">IF(OR(P2277="",M2277&lt;&gt;"Paid",O2277=""),"",P2277/O2277)</f>
        <v/>
      </c>
      <c r="R2277" s="30" t="str">
        <f aca="false">IF(Q2277="","",Q2277+N(H2277)*0.000000001)</f>
        <v/>
      </c>
      <c r="S2277" s="25" t="str">
        <f aca="false">IF(R2277="","",SUMPRODUCT((I$5:I$4004=I2277)*ISNUMBER(R$5:R$4004)*(R$5:R$4004&gt;R2277))+1)</f>
        <v/>
      </c>
      <c r="T2277" s="25" t="str">
        <f aca="false">IF(S2277="","",IF(S2277&lt;=Setup!$B$5,"🏆 WINNER",""))</f>
        <v/>
      </c>
      <c r="U2277" s="24" t="str">
        <f aca="false">IF(S2277="","",I2277&amp;"|"&amp;S2277)</f>
        <v/>
      </c>
    </row>
    <row r="2278" customFormat="false" ht="15" hidden="false" customHeight="false" outlineLevel="0" collapsed="false">
      <c r="A2278" s="31" t="n">
        <v>2274</v>
      </c>
      <c r="B2278" s="32" t="str">
        <f aca="false">IF(OR(C2278="",I2278="",G2278=""),"",IFERROR(VLOOKUP(I2278,Setup!$A$9:$B$11,2,0),"???")&amp;"-"&amp;G2278&amp;"-"&amp;TEXT(COUNTIFS(I$5:I2278,I2278,G$5:G2278,G2278),"0000"))</f>
        <v/>
      </c>
      <c r="C2278" s="26"/>
      <c r="D2278" s="26"/>
      <c r="E2278" s="27"/>
      <c r="F2278" s="27"/>
      <c r="G2278" s="31" t="str">
        <f aca="false">IF(F2278="","",IF(F2278&lt;=5,"A",IF(F2278&lt;=8,"B",IF(F2278&lt;=10,"C","D"))))</f>
        <v/>
      </c>
      <c r="H2278" s="28"/>
      <c r="I2278" s="27"/>
      <c r="J2278" s="26"/>
      <c r="K2278" s="27"/>
      <c r="L2278" s="27"/>
      <c r="M2278" s="27"/>
      <c r="N2278" s="27"/>
      <c r="O2278" s="31" t="str">
        <f aca="false">IF(G2278="","",VLOOKUP(G2278,Setup!$A$14:$C$17,3,0))</f>
        <v/>
      </c>
      <c r="P2278" s="27"/>
      <c r="Q2278" s="33" t="str">
        <f aca="false">IF(OR(P2278="",M2278&lt;&gt;"Paid",O2278=""),"",P2278/O2278)</f>
        <v/>
      </c>
      <c r="R2278" s="34" t="str">
        <f aca="false">IF(Q2278="","",Q2278+N(H2278)*0.000000001)</f>
        <v/>
      </c>
      <c r="S2278" s="32" t="str">
        <f aca="false">IF(R2278="","",SUMPRODUCT((I$5:I$4004=I2278)*ISNUMBER(R$5:R$4004)*(R$5:R$4004&gt;R2278))+1)</f>
        <v/>
      </c>
      <c r="T2278" s="32" t="str">
        <f aca="false">IF(S2278="","",IF(S2278&lt;=Setup!$B$5,"🏆 WINNER",""))</f>
        <v/>
      </c>
      <c r="U2278" s="31" t="str">
        <f aca="false">IF(S2278="","",I2278&amp;"|"&amp;S2278)</f>
        <v/>
      </c>
    </row>
    <row r="2279" customFormat="false" ht="15" hidden="false" customHeight="false" outlineLevel="0" collapsed="false">
      <c r="A2279" s="24" t="n">
        <v>2275</v>
      </c>
      <c r="B2279" s="25" t="str">
        <f aca="false">IF(OR(C2279="",I2279="",G2279=""),"",IFERROR(VLOOKUP(I2279,Setup!$A$9:$B$11,2,0),"???")&amp;"-"&amp;G2279&amp;"-"&amp;TEXT(COUNTIFS(I$5:I2279,I2279,G$5:G2279,G2279),"0000"))</f>
        <v/>
      </c>
      <c r="C2279" s="26"/>
      <c r="D2279" s="26"/>
      <c r="E2279" s="27"/>
      <c r="F2279" s="27"/>
      <c r="G2279" s="24" t="str">
        <f aca="false">IF(F2279="","",IF(F2279&lt;=5,"A",IF(F2279&lt;=8,"B",IF(F2279&lt;=10,"C","D"))))</f>
        <v/>
      </c>
      <c r="H2279" s="28"/>
      <c r="I2279" s="27"/>
      <c r="J2279" s="26"/>
      <c r="K2279" s="27"/>
      <c r="L2279" s="27"/>
      <c r="M2279" s="27"/>
      <c r="N2279" s="27"/>
      <c r="O2279" s="24" t="str">
        <f aca="false">IF(G2279="","",VLOOKUP(G2279,Setup!$A$14:$C$17,3,0))</f>
        <v/>
      </c>
      <c r="P2279" s="27"/>
      <c r="Q2279" s="29" t="str">
        <f aca="false">IF(OR(P2279="",M2279&lt;&gt;"Paid",O2279=""),"",P2279/O2279)</f>
        <v/>
      </c>
      <c r="R2279" s="30" t="str">
        <f aca="false">IF(Q2279="","",Q2279+N(H2279)*0.000000001)</f>
        <v/>
      </c>
      <c r="S2279" s="25" t="str">
        <f aca="false">IF(R2279="","",SUMPRODUCT((I$5:I$4004=I2279)*ISNUMBER(R$5:R$4004)*(R$5:R$4004&gt;R2279))+1)</f>
        <v/>
      </c>
      <c r="T2279" s="25" t="str">
        <f aca="false">IF(S2279="","",IF(S2279&lt;=Setup!$B$5,"🏆 WINNER",""))</f>
        <v/>
      </c>
      <c r="U2279" s="24" t="str">
        <f aca="false">IF(S2279="","",I2279&amp;"|"&amp;S2279)</f>
        <v/>
      </c>
    </row>
    <row r="2280" customFormat="false" ht="15" hidden="false" customHeight="false" outlineLevel="0" collapsed="false">
      <c r="A2280" s="31" t="n">
        <v>2276</v>
      </c>
      <c r="B2280" s="32" t="str">
        <f aca="false">IF(OR(C2280="",I2280="",G2280=""),"",IFERROR(VLOOKUP(I2280,Setup!$A$9:$B$11,2,0),"???")&amp;"-"&amp;G2280&amp;"-"&amp;TEXT(COUNTIFS(I$5:I2280,I2280,G$5:G2280,G2280),"0000"))</f>
        <v/>
      </c>
      <c r="C2280" s="26"/>
      <c r="D2280" s="26"/>
      <c r="E2280" s="27"/>
      <c r="F2280" s="27"/>
      <c r="G2280" s="31" t="str">
        <f aca="false">IF(F2280="","",IF(F2280&lt;=5,"A",IF(F2280&lt;=8,"B",IF(F2280&lt;=10,"C","D"))))</f>
        <v/>
      </c>
      <c r="H2280" s="28"/>
      <c r="I2280" s="27"/>
      <c r="J2280" s="26"/>
      <c r="K2280" s="27"/>
      <c r="L2280" s="27"/>
      <c r="M2280" s="27"/>
      <c r="N2280" s="27"/>
      <c r="O2280" s="31" t="str">
        <f aca="false">IF(G2280="","",VLOOKUP(G2280,Setup!$A$14:$C$17,3,0))</f>
        <v/>
      </c>
      <c r="P2280" s="27"/>
      <c r="Q2280" s="33" t="str">
        <f aca="false">IF(OR(P2280="",M2280&lt;&gt;"Paid",O2280=""),"",P2280/O2280)</f>
        <v/>
      </c>
      <c r="R2280" s="34" t="str">
        <f aca="false">IF(Q2280="","",Q2280+N(H2280)*0.000000001)</f>
        <v/>
      </c>
      <c r="S2280" s="32" t="str">
        <f aca="false">IF(R2280="","",SUMPRODUCT((I$5:I$4004=I2280)*ISNUMBER(R$5:R$4004)*(R$5:R$4004&gt;R2280))+1)</f>
        <v/>
      </c>
      <c r="T2280" s="32" t="str">
        <f aca="false">IF(S2280="","",IF(S2280&lt;=Setup!$B$5,"🏆 WINNER",""))</f>
        <v/>
      </c>
      <c r="U2280" s="31" t="str">
        <f aca="false">IF(S2280="","",I2280&amp;"|"&amp;S2280)</f>
        <v/>
      </c>
    </row>
    <row r="2281" customFormat="false" ht="15" hidden="false" customHeight="false" outlineLevel="0" collapsed="false">
      <c r="A2281" s="24" t="n">
        <v>2277</v>
      </c>
      <c r="B2281" s="25" t="str">
        <f aca="false">IF(OR(C2281="",I2281="",G2281=""),"",IFERROR(VLOOKUP(I2281,Setup!$A$9:$B$11,2,0),"???")&amp;"-"&amp;G2281&amp;"-"&amp;TEXT(COUNTIFS(I$5:I2281,I2281,G$5:G2281,G2281),"0000"))</f>
        <v/>
      </c>
      <c r="C2281" s="26"/>
      <c r="D2281" s="26"/>
      <c r="E2281" s="27"/>
      <c r="F2281" s="27"/>
      <c r="G2281" s="24" t="str">
        <f aca="false">IF(F2281="","",IF(F2281&lt;=5,"A",IF(F2281&lt;=8,"B",IF(F2281&lt;=10,"C","D"))))</f>
        <v/>
      </c>
      <c r="H2281" s="28"/>
      <c r="I2281" s="27"/>
      <c r="J2281" s="26"/>
      <c r="K2281" s="27"/>
      <c r="L2281" s="27"/>
      <c r="M2281" s="27"/>
      <c r="N2281" s="27"/>
      <c r="O2281" s="24" t="str">
        <f aca="false">IF(G2281="","",VLOOKUP(G2281,Setup!$A$14:$C$17,3,0))</f>
        <v/>
      </c>
      <c r="P2281" s="27"/>
      <c r="Q2281" s="29" t="str">
        <f aca="false">IF(OR(P2281="",M2281&lt;&gt;"Paid",O2281=""),"",P2281/O2281)</f>
        <v/>
      </c>
      <c r="R2281" s="30" t="str">
        <f aca="false">IF(Q2281="","",Q2281+N(H2281)*0.000000001)</f>
        <v/>
      </c>
      <c r="S2281" s="25" t="str">
        <f aca="false">IF(R2281="","",SUMPRODUCT((I$5:I$4004=I2281)*ISNUMBER(R$5:R$4004)*(R$5:R$4004&gt;R2281))+1)</f>
        <v/>
      </c>
      <c r="T2281" s="25" t="str">
        <f aca="false">IF(S2281="","",IF(S2281&lt;=Setup!$B$5,"🏆 WINNER",""))</f>
        <v/>
      </c>
      <c r="U2281" s="24" t="str">
        <f aca="false">IF(S2281="","",I2281&amp;"|"&amp;S2281)</f>
        <v/>
      </c>
    </row>
    <row r="2282" customFormat="false" ht="15" hidden="false" customHeight="false" outlineLevel="0" collapsed="false">
      <c r="A2282" s="31" t="n">
        <v>2278</v>
      </c>
      <c r="B2282" s="32" t="str">
        <f aca="false">IF(OR(C2282="",I2282="",G2282=""),"",IFERROR(VLOOKUP(I2282,Setup!$A$9:$B$11,2,0),"???")&amp;"-"&amp;G2282&amp;"-"&amp;TEXT(COUNTIFS(I$5:I2282,I2282,G$5:G2282,G2282),"0000"))</f>
        <v/>
      </c>
      <c r="C2282" s="26"/>
      <c r="D2282" s="26"/>
      <c r="E2282" s="27"/>
      <c r="F2282" s="27"/>
      <c r="G2282" s="31" t="str">
        <f aca="false">IF(F2282="","",IF(F2282&lt;=5,"A",IF(F2282&lt;=8,"B",IF(F2282&lt;=10,"C","D"))))</f>
        <v/>
      </c>
      <c r="H2282" s="28"/>
      <c r="I2282" s="27"/>
      <c r="J2282" s="26"/>
      <c r="K2282" s="27"/>
      <c r="L2282" s="27"/>
      <c r="M2282" s="27"/>
      <c r="N2282" s="27"/>
      <c r="O2282" s="31" t="str">
        <f aca="false">IF(G2282="","",VLOOKUP(G2282,Setup!$A$14:$C$17,3,0))</f>
        <v/>
      </c>
      <c r="P2282" s="27"/>
      <c r="Q2282" s="33" t="str">
        <f aca="false">IF(OR(P2282="",M2282&lt;&gt;"Paid",O2282=""),"",P2282/O2282)</f>
        <v/>
      </c>
      <c r="R2282" s="34" t="str">
        <f aca="false">IF(Q2282="","",Q2282+N(H2282)*0.000000001)</f>
        <v/>
      </c>
      <c r="S2282" s="32" t="str">
        <f aca="false">IF(R2282="","",SUMPRODUCT((I$5:I$4004=I2282)*ISNUMBER(R$5:R$4004)*(R$5:R$4004&gt;R2282))+1)</f>
        <v/>
      </c>
      <c r="T2282" s="32" t="str">
        <f aca="false">IF(S2282="","",IF(S2282&lt;=Setup!$B$5,"🏆 WINNER",""))</f>
        <v/>
      </c>
      <c r="U2282" s="31" t="str">
        <f aca="false">IF(S2282="","",I2282&amp;"|"&amp;S2282)</f>
        <v/>
      </c>
    </row>
    <row r="2283" customFormat="false" ht="15" hidden="false" customHeight="false" outlineLevel="0" collapsed="false">
      <c r="A2283" s="24" t="n">
        <v>2279</v>
      </c>
      <c r="B2283" s="25" t="str">
        <f aca="false">IF(OR(C2283="",I2283="",G2283=""),"",IFERROR(VLOOKUP(I2283,Setup!$A$9:$B$11,2,0),"???")&amp;"-"&amp;G2283&amp;"-"&amp;TEXT(COUNTIFS(I$5:I2283,I2283,G$5:G2283,G2283),"0000"))</f>
        <v/>
      </c>
      <c r="C2283" s="26"/>
      <c r="D2283" s="26"/>
      <c r="E2283" s="27"/>
      <c r="F2283" s="27"/>
      <c r="G2283" s="24" t="str">
        <f aca="false">IF(F2283="","",IF(F2283&lt;=5,"A",IF(F2283&lt;=8,"B",IF(F2283&lt;=10,"C","D"))))</f>
        <v/>
      </c>
      <c r="H2283" s="28"/>
      <c r="I2283" s="27"/>
      <c r="J2283" s="26"/>
      <c r="K2283" s="27"/>
      <c r="L2283" s="27"/>
      <c r="M2283" s="27"/>
      <c r="N2283" s="27"/>
      <c r="O2283" s="24" t="str">
        <f aca="false">IF(G2283="","",VLOOKUP(G2283,Setup!$A$14:$C$17,3,0))</f>
        <v/>
      </c>
      <c r="P2283" s="27"/>
      <c r="Q2283" s="29" t="str">
        <f aca="false">IF(OR(P2283="",M2283&lt;&gt;"Paid",O2283=""),"",P2283/O2283)</f>
        <v/>
      </c>
      <c r="R2283" s="30" t="str">
        <f aca="false">IF(Q2283="","",Q2283+N(H2283)*0.000000001)</f>
        <v/>
      </c>
      <c r="S2283" s="25" t="str">
        <f aca="false">IF(R2283="","",SUMPRODUCT((I$5:I$4004=I2283)*ISNUMBER(R$5:R$4004)*(R$5:R$4004&gt;R2283))+1)</f>
        <v/>
      </c>
      <c r="T2283" s="25" t="str">
        <f aca="false">IF(S2283="","",IF(S2283&lt;=Setup!$B$5,"🏆 WINNER",""))</f>
        <v/>
      </c>
      <c r="U2283" s="24" t="str">
        <f aca="false">IF(S2283="","",I2283&amp;"|"&amp;S2283)</f>
        <v/>
      </c>
    </row>
    <row r="2284" customFormat="false" ht="15" hidden="false" customHeight="false" outlineLevel="0" collapsed="false">
      <c r="A2284" s="31" t="n">
        <v>2280</v>
      </c>
      <c r="B2284" s="32" t="str">
        <f aca="false">IF(OR(C2284="",I2284="",G2284=""),"",IFERROR(VLOOKUP(I2284,Setup!$A$9:$B$11,2,0),"???")&amp;"-"&amp;G2284&amp;"-"&amp;TEXT(COUNTIFS(I$5:I2284,I2284,G$5:G2284,G2284),"0000"))</f>
        <v/>
      </c>
      <c r="C2284" s="26"/>
      <c r="D2284" s="26"/>
      <c r="E2284" s="27"/>
      <c r="F2284" s="27"/>
      <c r="G2284" s="31" t="str">
        <f aca="false">IF(F2284="","",IF(F2284&lt;=5,"A",IF(F2284&lt;=8,"B",IF(F2284&lt;=10,"C","D"))))</f>
        <v/>
      </c>
      <c r="H2284" s="28"/>
      <c r="I2284" s="27"/>
      <c r="J2284" s="26"/>
      <c r="K2284" s="27"/>
      <c r="L2284" s="27"/>
      <c r="M2284" s="27"/>
      <c r="N2284" s="27"/>
      <c r="O2284" s="31" t="str">
        <f aca="false">IF(G2284="","",VLOOKUP(G2284,Setup!$A$14:$C$17,3,0))</f>
        <v/>
      </c>
      <c r="P2284" s="27"/>
      <c r="Q2284" s="33" t="str">
        <f aca="false">IF(OR(P2284="",M2284&lt;&gt;"Paid",O2284=""),"",P2284/O2284)</f>
        <v/>
      </c>
      <c r="R2284" s="34" t="str">
        <f aca="false">IF(Q2284="","",Q2284+N(H2284)*0.000000001)</f>
        <v/>
      </c>
      <c r="S2284" s="32" t="str">
        <f aca="false">IF(R2284="","",SUMPRODUCT((I$5:I$4004=I2284)*ISNUMBER(R$5:R$4004)*(R$5:R$4004&gt;R2284))+1)</f>
        <v/>
      </c>
      <c r="T2284" s="32" t="str">
        <f aca="false">IF(S2284="","",IF(S2284&lt;=Setup!$B$5,"🏆 WINNER",""))</f>
        <v/>
      </c>
      <c r="U2284" s="31" t="str">
        <f aca="false">IF(S2284="","",I2284&amp;"|"&amp;S2284)</f>
        <v/>
      </c>
    </row>
    <row r="2285" customFormat="false" ht="15" hidden="false" customHeight="false" outlineLevel="0" collapsed="false">
      <c r="A2285" s="24" t="n">
        <v>2281</v>
      </c>
      <c r="B2285" s="25" t="str">
        <f aca="false">IF(OR(C2285="",I2285="",G2285=""),"",IFERROR(VLOOKUP(I2285,Setup!$A$9:$B$11,2,0),"???")&amp;"-"&amp;G2285&amp;"-"&amp;TEXT(COUNTIFS(I$5:I2285,I2285,G$5:G2285,G2285),"0000"))</f>
        <v/>
      </c>
      <c r="C2285" s="26"/>
      <c r="D2285" s="26"/>
      <c r="E2285" s="27"/>
      <c r="F2285" s="27"/>
      <c r="G2285" s="24" t="str">
        <f aca="false">IF(F2285="","",IF(F2285&lt;=5,"A",IF(F2285&lt;=8,"B",IF(F2285&lt;=10,"C","D"))))</f>
        <v/>
      </c>
      <c r="H2285" s="28"/>
      <c r="I2285" s="27"/>
      <c r="J2285" s="26"/>
      <c r="K2285" s="27"/>
      <c r="L2285" s="27"/>
      <c r="M2285" s="27"/>
      <c r="N2285" s="27"/>
      <c r="O2285" s="24" t="str">
        <f aca="false">IF(G2285="","",VLOOKUP(G2285,Setup!$A$14:$C$17,3,0))</f>
        <v/>
      </c>
      <c r="P2285" s="27"/>
      <c r="Q2285" s="29" t="str">
        <f aca="false">IF(OR(P2285="",M2285&lt;&gt;"Paid",O2285=""),"",P2285/O2285)</f>
        <v/>
      </c>
      <c r="R2285" s="30" t="str">
        <f aca="false">IF(Q2285="","",Q2285+N(H2285)*0.000000001)</f>
        <v/>
      </c>
      <c r="S2285" s="25" t="str">
        <f aca="false">IF(R2285="","",SUMPRODUCT((I$5:I$4004=I2285)*ISNUMBER(R$5:R$4004)*(R$5:R$4004&gt;R2285))+1)</f>
        <v/>
      </c>
      <c r="T2285" s="25" t="str">
        <f aca="false">IF(S2285="","",IF(S2285&lt;=Setup!$B$5,"🏆 WINNER",""))</f>
        <v/>
      </c>
      <c r="U2285" s="24" t="str">
        <f aca="false">IF(S2285="","",I2285&amp;"|"&amp;S2285)</f>
        <v/>
      </c>
    </row>
    <row r="2286" customFormat="false" ht="15" hidden="false" customHeight="false" outlineLevel="0" collapsed="false">
      <c r="A2286" s="31" t="n">
        <v>2282</v>
      </c>
      <c r="B2286" s="32" t="str">
        <f aca="false">IF(OR(C2286="",I2286="",G2286=""),"",IFERROR(VLOOKUP(I2286,Setup!$A$9:$B$11,2,0),"???")&amp;"-"&amp;G2286&amp;"-"&amp;TEXT(COUNTIFS(I$5:I2286,I2286,G$5:G2286,G2286),"0000"))</f>
        <v/>
      </c>
      <c r="C2286" s="26"/>
      <c r="D2286" s="26"/>
      <c r="E2286" s="27"/>
      <c r="F2286" s="27"/>
      <c r="G2286" s="31" t="str">
        <f aca="false">IF(F2286="","",IF(F2286&lt;=5,"A",IF(F2286&lt;=8,"B",IF(F2286&lt;=10,"C","D"))))</f>
        <v/>
      </c>
      <c r="H2286" s="28"/>
      <c r="I2286" s="27"/>
      <c r="J2286" s="26"/>
      <c r="K2286" s="27"/>
      <c r="L2286" s="27"/>
      <c r="M2286" s="27"/>
      <c r="N2286" s="27"/>
      <c r="O2286" s="31" t="str">
        <f aca="false">IF(G2286="","",VLOOKUP(G2286,Setup!$A$14:$C$17,3,0))</f>
        <v/>
      </c>
      <c r="P2286" s="27"/>
      <c r="Q2286" s="33" t="str">
        <f aca="false">IF(OR(P2286="",M2286&lt;&gt;"Paid",O2286=""),"",P2286/O2286)</f>
        <v/>
      </c>
      <c r="R2286" s="34" t="str">
        <f aca="false">IF(Q2286="","",Q2286+N(H2286)*0.000000001)</f>
        <v/>
      </c>
      <c r="S2286" s="32" t="str">
        <f aca="false">IF(R2286="","",SUMPRODUCT((I$5:I$4004=I2286)*ISNUMBER(R$5:R$4004)*(R$5:R$4004&gt;R2286))+1)</f>
        <v/>
      </c>
      <c r="T2286" s="32" t="str">
        <f aca="false">IF(S2286="","",IF(S2286&lt;=Setup!$B$5,"🏆 WINNER",""))</f>
        <v/>
      </c>
      <c r="U2286" s="31" t="str">
        <f aca="false">IF(S2286="","",I2286&amp;"|"&amp;S2286)</f>
        <v/>
      </c>
    </row>
    <row r="2287" customFormat="false" ht="15" hidden="false" customHeight="false" outlineLevel="0" collapsed="false">
      <c r="A2287" s="24" t="n">
        <v>2283</v>
      </c>
      <c r="B2287" s="25" t="str">
        <f aca="false">IF(OR(C2287="",I2287="",G2287=""),"",IFERROR(VLOOKUP(I2287,Setup!$A$9:$B$11,2,0),"???")&amp;"-"&amp;G2287&amp;"-"&amp;TEXT(COUNTIFS(I$5:I2287,I2287,G$5:G2287,G2287),"0000"))</f>
        <v/>
      </c>
      <c r="C2287" s="26"/>
      <c r="D2287" s="26"/>
      <c r="E2287" s="27"/>
      <c r="F2287" s="27"/>
      <c r="G2287" s="24" t="str">
        <f aca="false">IF(F2287="","",IF(F2287&lt;=5,"A",IF(F2287&lt;=8,"B",IF(F2287&lt;=10,"C","D"))))</f>
        <v/>
      </c>
      <c r="H2287" s="28"/>
      <c r="I2287" s="27"/>
      <c r="J2287" s="26"/>
      <c r="K2287" s="27"/>
      <c r="L2287" s="27"/>
      <c r="M2287" s="27"/>
      <c r="N2287" s="27"/>
      <c r="O2287" s="24" t="str">
        <f aca="false">IF(G2287="","",VLOOKUP(G2287,Setup!$A$14:$C$17,3,0))</f>
        <v/>
      </c>
      <c r="P2287" s="27"/>
      <c r="Q2287" s="29" t="str">
        <f aca="false">IF(OR(P2287="",M2287&lt;&gt;"Paid",O2287=""),"",P2287/O2287)</f>
        <v/>
      </c>
      <c r="R2287" s="30" t="str">
        <f aca="false">IF(Q2287="","",Q2287+N(H2287)*0.000000001)</f>
        <v/>
      </c>
      <c r="S2287" s="25" t="str">
        <f aca="false">IF(R2287="","",SUMPRODUCT((I$5:I$4004=I2287)*ISNUMBER(R$5:R$4004)*(R$5:R$4004&gt;R2287))+1)</f>
        <v/>
      </c>
      <c r="T2287" s="25" t="str">
        <f aca="false">IF(S2287="","",IF(S2287&lt;=Setup!$B$5,"🏆 WINNER",""))</f>
        <v/>
      </c>
      <c r="U2287" s="24" t="str">
        <f aca="false">IF(S2287="","",I2287&amp;"|"&amp;S2287)</f>
        <v/>
      </c>
    </row>
    <row r="2288" customFormat="false" ht="15" hidden="false" customHeight="false" outlineLevel="0" collapsed="false">
      <c r="A2288" s="31" t="n">
        <v>2284</v>
      </c>
      <c r="B2288" s="32" t="str">
        <f aca="false">IF(OR(C2288="",I2288="",G2288=""),"",IFERROR(VLOOKUP(I2288,Setup!$A$9:$B$11,2,0),"???")&amp;"-"&amp;G2288&amp;"-"&amp;TEXT(COUNTIFS(I$5:I2288,I2288,G$5:G2288,G2288),"0000"))</f>
        <v/>
      </c>
      <c r="C2288" s="26"/>
      <c r="D2288" s="26"/>
      <c r="E2288" s="27"/>
      <c r="F2288" s="27"/>
      <c r="G2288" s="31" t="str">
        <f aca="false">IF(F2288="","",IF(F2288&lt;=5,"A",IF(F2288&lt;=8,"B",IF(F2288&lt;=10,"C","D"))))</f>
        <v/>
      </c>
      <c r="H2288" s="28"/>
      <c r="I2288" s="27"/>
      <c r="J2288" s="26"/>
      <c r="K2288" s="27"/>
      <c r="L2288" s="27"/>
      <c r="M2288" s="27"/>
      <c r="N2288" s="27"/>
      <c r="O2288" s="31" t="str">
        <f aca="false">IF(G2288="","",VLOOKUP(G2288,Setup!$A$14:$C$17,3,0))</f>
        <v/>
      </c>
      <c r="P2288" s="27"/>
      <c r="Q2288" s="33" t="str">
        <f aca="false">IF(OR(P2288="",M2288&lt;&gt;"Paid",O2288=""),"",P2288/O2288)</f>
        <v/>
      </c>
      <c r="R2288" s="34" t="str">
        <f aca="false">IF(Q2288="","",Q2288+N(H2288)*0.000000001)</f>
        <v/>
      </c>
      <c r="S2288" s="32" t="str">
        <f aca="false">IF(R2288="","",SUMPRODUCT((I$5:I$4004=I2288)*ISNUMBER(R$5:R$4004)*(R$5:R$4004&gt;R2288))+1)</f>
        <v/>
      </c>
      <c r="T2288" s="32" t="str">
        <f aca="false">IF(S2288="","",IF(S2288&lt;=Setup!$B$5,"🏆 WINNER",""))</f>
        <v/>
      </c>
      <c r="U2288" s="31" t="str">
        <f aca="false">IF(S2288="","",I2288&amp;"|"&amp;S2288)</f>
        <v/>
      </c>
    </row>
    <row r="2289" customFormat="false" ht="15" hidden="false" customHeight="false" outlineLevel="0" collapsed="false">
      <c r="A2289" s="24" t="n">
        <v>2285</v>
      </c>
      <c r="B2289" s="25" t="str">
        <f aca="false">IF(OR(C2289="",I2289="",G2289=""),"",IFERROR(VLOOKUP(I2289,Setup!$A$9:$B$11,2,0),"???")&amp;"-"&amp;G2289&amp;"-"&amp;TEXT(COUNTIFS(I$5:I2289,I2289,G$5:G2289,G2289),"0000"))</f>
        <v/>
      </c>
      <c r="C2289" s="26"/>
      <c r="D2289" s="26"/>
      <c r="E2289" s="27"/>
      <c r="F2289" s="27"/>
      <c r="G2289" s="24" t="str">
        <f aca="false">IF(F2289="","",IF(F2289&lt;=5,"A",IF(F2289&lt;=8,"B",IF(F2289&lt;=10,"C","D"))))</f>
        <v/>
      </c>
      <c r="H2289" s="28"/>
      <c r="I2289" s="27"/>
      <c r="J2289" s="26"/>
      <c r="K2289" s="27"/>
      <c r="L2289" s="27"/>
      <c r="M2289" s="27"/>
      <c r="N2289" s="27"/>
      <c r="O2289" s="24" t="str">
        <f aca="false">IF(G2289="","",VLOOKUP(G2289,Setup!$A$14:$C$17,3,0))</f>
        <v/>
      </c>
      <c r="P2289" s="27"/>
      <c r="Q2289" s="29" t="str">
        <f aca="false">IF(OR(P2289="",M2289&lt;&gt;"Paid",O2289=""),"",P2289/O2289)</f>
        <v/>
      </c>
      <c r="R2289" s="30" t="str">
        <f aca="false">IF(Q2289="","",Q2289+N(H2289)*0.000000001)</f>
        <v/>
      </c>
      <c r="S2289" s="25" t="str">
        <f aca="false">IF(R2289="","",SUMPRODUCT((I$5:I$4004=I2289)*ISNUMBER(R$5:R$4004)*(R$5:R$4004&gt;R2289))+1)</f>
        <v/>
      </c>
      <c r="T2289" s="25" t="str">
        <f aca="false">IF(S2289="","",IF(S2289&lt;=Setup!$B$5,"🏆 WINNER",""))</f>
        <v/>
      </c>
      <c r="U2289" s="24" t="str">
        <f aca="false">IF(S2289="","",I2289&amp;"|"&amp;S2289)</f>
        <v/>
      </c>
    </row>
    <row r="2290" customFormat="false" ht="15" hidden="false" customHeight="false" outlineLevel="0" collapsed="false">
      <c r="A2290" s="31" t="n">
        <v>2286</v>
      </c>
      <c r="B2290" s="32" t="str">
        <f aca="false">IF(OR(C2290="",I2290="",G2290=""),"",IFERROR(VLOOKUP(I2290,Setup!$A$9:$B$11,2,0),"???")&amp;"-"&amp;G2290&amp;"-"&amp;TEXT(COUNTIFS(I$5:I2290,I2290,G$5:G2290,G2290),"0000"))</f>
        <v/>
      </c>
      <c r="C2290" s="26"/>
      <c r="D2290" s="26"/>
      <c r="E2290" s="27"/>
      <c r="F2290" s="27"/>
      <c r="G2290" s="31" t="str">
        <f aca="false">IF(F2290="","",IF(F2290&lt;=5,"A",IF(F2290&lt;=8,"B",IF(F2290&lt;=10,"C","D"))))</f>
        <v/>
      </c>
      <c r="H2290" s="28"/>
      <c r="I2290" s="27"/>
      <c r="J2290" s="26"/>
      <c r="K2290" s="27"/>
      <c r="L2290" s="27"/>
      <c r="M2290" s="27"/>
      <c r="N2290" s="27"/>
      <c r="O2290" s="31" t="str">
        <f aca="false">IF(G2290="","",VLOOKUP(G2290,Setup!$A$14:$C$17,3,0))</f>
        <v/>
      </c>
      <c r="P2290" s="27"/>
      <c r="Q2290" s="33" t="str">
        <f aca="false">IF(OR(P2290="",M2290&lt;&gt;"Paid",O2290=""),"",P2290/O2290)</f>
        <v/>
      </c>
      <c r="R2290" s="34" t="str">
        <f aca="false">IF(Q2290="","",Q2290+N(H2290)*0.000000001)</f>
        <v/>
      </c>
      <c r="S2290" s="32" t="str">
        <f aca="false">IF(R2290="","",SUMPRODUCT((I$5:I$4004=I2290)*ISNUMBER(R$5:R$4004)*(R$5:R$4004&gt;R2290))+1)</f>
        <v/>
      </c>
      <c r="T2290" s="32" t="str">
        <f aca="false">IF(S2290="","",IF(S2290&lt;=Setup!$B$5,"🏆 WINNER",""))</f>
        <v/>
      </c>
      <c r="U2290" s="31" t="str">
        <f aca="false">IF(S2290="","",I2290&amp;"|"&amp;S2290)</f>
        <v/>
      </c>
    </row>
    <row r="2291" customFormat="false" ht="15" hidden="false" customHeight="false" outlineLevel="0" collapsed="false">
      <c r="A2291" s="24" t="n">
        <v>2287</v>
      </c>
      <c r="B2291" s="25" t="str">
        <f aca="false">IF(OR(C2291="",I2291="",G2291=""),"",IFERROR(VLOOKUP(I2291,Setup!$A$9:$B$11,2,0),"???")&amp;"-"&amp;G2291&amp;"-"&amp;TEXT(COUNTIFS(I$5:I2291,I2291,G$5:G2291,G2291),"0000"))</f>
        <v/>
      </c>
      <c r="C2291" s="26"/>
      <c r="D2291" s="26"/>
      <c r="E2291" s="27"/>
      <c r="F2291" s="27"/>
      <c r="G2291" s="24" t="str">
        <f aca="false">IF(F2291="","",IF(F2291&lt;=5,"A",IF(F2291&lt;=8,"B",IF(F2291&lt;=10,"C","D"))))</f>
        <v/>
      </c>
      <c r="H2291" s="28"/>
      <c r="I2291" s="27"/>
      <c r="J2291" s="26"/>
      <c r="K2291" s="27"/>
      <c r="L2291" s="27"/>
      <c r="M2291" s="27"/>
      <c r="N2291" s="27"/>
      <c r="O2291" s="24" t="str">
        <f aca="false">IF(G2291="","",VLOOKUP(G2291,Setup!$A$14:$C$17,3,0))</f>
        <v/>
      </c>
      <c r="P2291" s="27"/>
      <c r="Q2291" s="29" t="str">
        <f aca="false">IF(OR(P2291="",M2291&lt;&gt;"Paid",O2291=""),"",P2291/O2291)</f>
        <v/>
      </c>
      <c r="R2291" s="30" t="str">
        <f aca="false">IF(Q2291="","",Q2291+N(H2291)*0.000000001)</f>
        <v/>
      </c>
      <c r="S2291" s="25" t="str">
        <f aca="false">IF(R2291="","",SUMPRODUCT((I$5:I$4004=I2291)*ISNUMBER(R$5:R$4004)*(R$5:R$4004&gt;R2291))+1)</f>
        <v/>
      </c>
      <c r="T2291" s="25" t="str">
        <f aca="false">IF(S2291="","",IF(S2291&lt;=Setup!$B$5,"🏆 WINNER",""))</f>
        <v/>
      </c>
      <c r="U2291" s="24" t="str">
        <f aca="false">IF(S2291="","",I2291&amp;"|"&amp;S2291)</f>
        <v/>
      </c>
    </row>
    <row r="2292" customFormat="false" ht="15" hidden="false" customHeight="false" outlineLevel="0" collapsed="false">
      <c r="A2292" s="31" t="n">
        <v>2288</v>
      </c>
      <c r="B2292" s="32" t="str">
        <f aca="false">IF(OR(C2292="",I2292="",G2292=""),"",IFERROR(VLOOKUP(I2292,Setup!$A$9:$B$11,2,0),"???")&amp;"-"&amp;G2292&amp;"-"&amp;TEXT(COUNTIFS(I$5:I2292,I2292,G$5:G2292,G2292),"0000"))</f>
        <v/>
      </c>
      <c r="C2292" s="26"/>
      <c r="D2292" s="26"/>
      <c r="E2292" s="27"/>
      <c r="F2292" s="27"/>
      <c r="G2292" s="31" t="str">
        <f aca="false">IF(F2292="","",IF(F2292&lt;=5,"A",IF(F2292&lt;=8,"B",IF(F2292&lt;=10,"C","D"))))</f>
        <v/>
      </c>
      <c r="H2292" s="28"/>
      <c r="I2292" s="27"/>
      <c r="J2292" s="26"/>
      <c r="K2292" s="27"/>
      <c r="L2292" s="27"/>
      <c r="M2292" s="27"/>
      <c r="N2292" s="27"/>
      <c r="O2292" s="31" t="str">
        <f aca="false">IF(G2292="","",VLOOKUP(G2292,Setup!$A$14:$C$17,3,0))</f>
        <v/>
      </c>
      <c r="P2292" s="27"/>
      <c r="Q2292" s="33" t="str">
        <f aca="false">IF(OR(P2292="",M2292&lt;&gt;"Paid",O2292=""),"",P2292/O2292)</f>
        <v/>
      </c>
      <c r="R2292" s="34" t="str">
        <f aca="false">IF(Q2292="","",Q2292+N(H2292)*0.000000001)</f>
        <v/>
      </c>
      <c r="S2292" s="32" t="str">
        <f aca="false">IF(R2292="","",SUMPRODUCT((I$5:I$4004=I2292)*ISNUMBER(R$5:R$4004)*(R$5:R$4004&gt;R2292))+1)</f>
        <v/>
      </c>
      <c r="T2292" s="32" t="str">
        <f aca="false">IF(S2292="","",IF(S2292&lt;=Setup!$B$5,"🏆 WINNER",""))</f>
        <v/>
      </c>
      <c r="U2292" s="31" t="str">
        <f aca="false">IF(S2292="","",I2292&amp;"|"&amp;S2292)</f>
        <v/>
      </c>
    </row>
    <row r="2293" customFormat="false" ht="15" hidden="false" customHeight="false" outlineLevel="0" collapsed="false">
      <c r="A2293" s="24" t="n">
        <v>2289</v>
      </c>
      <c r="B2293" s="25" t="str">
        <f aca="false">IF(OR(C2293="",I2293="",G2293=""),"",IFERROR(VLOOKUP(I2293,Setup!$A$9:$B$11,2,0),"???")&amp;"-"&amp;G2293&amp;"-"&amp;TEXT(COUNTIFS(I$5:I2293,I2293,G$5:G2293,G2293),"0000"))</f>
        <v/>
      </c>
      <c r="C2293" s="26"/>
      <c r="D2293" s="26"/>
      <c r="E2293" s="27"/>
      <c r="F2293" s="27"/>
      <c r="G2293" s="24" t="str">
        <f aca="false">IF(F2293="","",IF(F2293&lt;=5,"A",IF(F2293&lt;=8,"B",IF(F2293&lt;=10,"C","D"))))</f>
        <v/>
      </c>
      <c r="H2293" s="28"/>
      <c r="I2293" s="27"/>
      <c r="J2293" s="26"/>
      <c r="K2293" s="27"/>
      <c r="L2293" s="27"/>
      <c r="M2293" s="27"/>
      <c r="N2293" s="27"/>
      <c r="O2293" s="24" t="str">
        <f aca="false">IF(G2293="","",VLOOKUP(G2293,Setup!$A$14:$C$17,3,0))</f>
        <v/>
      </c>
      <c r="P2293" s="27"/>
      <c r="Q2293" s="29" t="str">
        <f aca="false">IF(OR(P2293="",M2293&lt;&gt;"Paid",O2293=""),"",P2293/O2293)</f>
        <v/>
      </c>
      <c r="R2293" s="30" t="str">
        <f aca="false">IF(Q2293="","",Q2293+N(H2293)*0.000000001)</f>
        <v/>
      </c>
      <c r="S2293" s="25" t="str">
        <f aca="false">IF(R2293="","",SUMPRODUCT((I$5:I$4004=I2293)*ISNUMBER(R$5:R$4004)*(R$5:R$4004&gt;R2293))+1)</f>
        <v/>
      </c>
      <c r="T2293" s="25" t="str">
        <f aca="false">IF(S2293="","",IF(S2293&lt;=Setup!$B$5,"🏆 WINNER",""))</f>
        <v/>
      </c>
      <c r="U2293" s="24" t="str">
        <f aca="false">IF(S2293="","",I2293&amp;"|"&amp;S2293)</f>
        <v/>
      </c>
    </row>
    <row r="2294" customFormat="false" ht="15" hidden="false" customHeight="false" outlineLevel="0" collapsed="false">
      <c r="A2294" s="31" t="n">
        <v>2290</v>
      </c>
      <c r="B2294" s="32" t="str">
        <f aca="false">IF(OR(C2294="",I2294="",G2294=""),"",IFERROR(VLOOKUP(I2294,Setup!$A$9:$B$11,2,0),"???")&amp;"-"&amp;G2294&amp;"-"&amp;TEXT(COUNTIFS(I$5:I2294,I2294,G$5:G2294,G2294),"0000"))</f>
        <v/>
      </c>
      <c r="C2294" s="26"/>
      <c r="D2294" s="26"/>
      <c r="E2294" s="27"/>
      <c r="F2294" s="27"/>
      <c r="G2294" s="31" t="str">
        <f aca="false">IF(F2294="","",IF(F2294&lt;=5,"A",IF(F2294&lt;=8,"B",IF(F2294&lt;=10,"C","D"))))</f>
        <v/>
      </c>
      <c r="H2294" s="28"/>
      <c r="I2294" s="27"/>
      <c r="J2294" s="26"/>
      <c r="K2294" s="27"/>
      <c r="L2294" s="27"/>
      <c r="M2294" s="27"/>
      <c r="N2294" s="27"/>
      <c r="O2294" s="31" t="str">
        <f aca="false">IF(G2294="","",VLOOKUP(G2294,Setup!$A$14:$C$17,3,0))</f>
        <v/>
      </c>
      <c r="P2294" s="27"/>
      <c r="Q2294" s="33" t="str">
        <f aca="false">IF(OR(P2294="",M2294&lt;&gt;"Paid",O2294=""),"",P2294/O2294)</f>
        <v/>
      </c>
      <c r="R2294" s="34" t="str">
        <f aca="false">IF(Q2294="","",Q2294+N(H2294)*0.000000001)</f>
        <v/>
      </c>
      <c r="S2294" s="32" t="str">
        <f aca="false">IF(R2294="","",SUMPRODUCT((I$5:I$4004=I2294)*ISNUMBER(R$5:R$4004)*(R$5:R$4004&gt;R2294))+1)</f>
        <v/>
      </c>
      <c r="T2294" s="32" t="str">
        <f aca="false">IF(S2294="","",IF(S2294&lt;=Setup!$B$5,"🏆 WINNER",""))</f>
        <v/>
      </c>
      <c r="U2294" s="31" t="str">
        <f aca="false">IF(S2294="","",I2294&amp;"|"&amp;S2294)</f>
        <v/>
      </c>
    </row>
    <row r="2295" customFormat="false" ht="15" hidden="false" customHeight="false" outlineLevel="0" collapsed="false">
      <c r="A2295" s="24" t="n">
        <v>2291</v>
      </c>
      <c r="B2295" s="25" t="str">
        <f aca="false">IF(OR(C2295="",I2295="",G2295=""),"",IFERROR(VLOOKUP(I2295,Setup!$A$9:$B$11,2,0),"???")&amp;"-"&amp;G2295&amp;"-"&amp;TEXT(COUNTIFS(I$5:I2295,I2295,G$5:G2295,G2295),"0000"))</f>
        <v/>
      </c>
      <c r="C2295" s="26"/>
      <c r="D2295" s="26"/>
      <c r="E2295" s="27"/>
      <c r="F2295" s="27"/>
      <c r="G2295" s="24" t="str">
        <f aca="false">IF(F2295="","",IF(F2295&lt;=5,"A",IF(F2295&lt;=8,"B",IF(F2295&lt;=10,"C","D"))))</f>
        <v/>
      </c>
      <c r="H2295" s="28"/>
      <c r="I2295" s="27"/>
      <c r="J2295" s="26"/>
      <c r="K2295" s="27"/>
      <c r="L2295" s="27"/>
      <c r="M2295" s="27"/>
      <c r="N2295" s="27"/>
      <c r="O2295" s="24" t="str">
        <f aca="false">IF(G2295="","",VLOOKUP(G2295,Setup!$A$14:$C$17,3,0))</f>
        <v/>
      </c>
      <c r="P2295" s="27"/>
      <c r="Q2295" s="29" t="str">
        <f aca="false">IF(OR(P2295="",M2295&lt;&gt;"Paid",O2295=""),"",P2295/O2295)</f>
        <v/>
      </c>
      <c r="R2295" s="30" t="str">
        <f aca="false">IF(Q2295="","",Q2295+N(H2295)*0.000000001)</f>
        <v/>
      </c>
      <c r="S2295" s="25" t="str">
        <f aca="false">IF(R2295="","",SUMPRODUCT((I$5:I$4004=I2295)*ISNUMBER(R$5:R$4004)*(R$5:R$4004&gt;R2295))+1)</f>
        <v/>
      </c>
      <c r="T2295" s="25" t="str">
        <f aca="false">IF(S2295="","",IF(S2295&lt;=Setup!$B$5,"🏆 WINNER",""))</f>
        <v/>
      </c>
      <c r="U2295" s="24" t="str">
        <f aca="false">IF(S2295="","",I2295&amp;"|"&amp;S2295)</f>
        <v/>
      </c>
    </row>
    <row r="2296" customFormat="false" ht="15" hidden="false" customHeight="false" outlineLevel="0" collapsed="false">
      <c r="A2296" s="31" t="n">
        <v>2292</v>
      </c>
      <c r="B2296" s="32" t="str">
        <f aca="false">IF(OR(C2296="",I2296="",G2296=""),"",IFERROR(VLOOKUP(I2296,Setup!$A$9:$B$11,2,0),"???")&amp;"-"&amp;G2296&amp;"-"&amp;TEXT(COUNTIFS(I$5:I2296,I2296,G$5:G2296,G2296),"0000"))</f>
        <v/>
      </c>
      <c r="C2296" s="26"/>
      <c r="D2296" s="26"/>
      <c r="E2296" s="27"/>
      <c r="F2296" s="27"/>
      <c r="G2296" s="31" t="str">
        <f aca="false">IF(F2296="","",IF(F2296&lt;=5,"A",IF(F2296&lt;=8,"B",IF(F2296&lt;=10,"C","D"))))</f>
        <v/>
      </c>
      <c r="H2296" s="28"/>
      <c r="I2296" s="27"/>
      <c r="J2296" s="26"/>
      <c r="K2296" s="27"/>
      <c r="L2296" s="27"/>
      <c r="M2296" s="27"/>
      <c r="N2296" s="27"/>
      <c r="O2296" s="31" t="str">
        <f aca="false">IF(G2296="","",VLOOKUP(G2296,Setup!$A$14:$C$17,3,0))</f>
        <v/>
      </c>
      <c r="P2296" s="27"/>
      <c r="Q2296" s="33" t="str">
        <f aca="false">IF(OR(P2296="",M2296&lt;&gt;"Paid",O2296=""),"",P2296/O2296)</f>
        <v/>
      </c>
      <c r="R2296" s="34" t="str">
        <f aca="false">IF(Q2296="","",Q2296+N(H2296)*0.000000001)</f>
        <v/>
      </c>
      <c r="S2296" s="32" t="str">
        <f aca="false">IF(R2296="","",SUMPRODUCT((I$5:I$4004=I2296)*ISNUMBER(R$5:R$4004)*(R$5:R$4004&gt;R2296))+1)</f>
        <v/>
      </c>
      <c r="T2296" s="32" t="str">
        <f aca="false">IF(S2296="","",IF(S2296&lt;=Setup!$B$5,"🏆 WINNER",""))</f>
        <v/>
      </c>
      <c r="U2296" s="31" t="str">
        <f aca="false">IF(S2296="","",I2296&amp;"|"&amp;S2296)</f>
        <v/>
      </c>
    </row>
    <row r="2297" customFormat="false" ht="15" hidden="false" customHeight="false" outlineLevel="0" collapsed="false">
      <c r="A2297" s="24" t="n">
        <v>2293</v>
      </c>
      <c r="B2297" s="25" t="str">
        <f aca="false">IF(OR(C2297="",I2297="",G2297=""),"",IFERROR(VLOOKUP(I2297,Setup!$A$9:$B$11,2,0),"???")&amp;"-"&amp;G2297&amp;"-"&amp;TEXT(COUNTIFS(I$5:I2297,I2297,G$5:G2297,G2297),"0000"))</f>
        <v/>
      </c>
      <c r="C2297" s="26"/>
      <c r="D2297" s="26"/>
      <c r="E2297" s="27"/>
      <c r="F2297" s="27"/>
      <c r="G2297" s="24" t="str">
        <f aca="false">IF(F2297="","",IF(F2297&lt;=5,"A",IF(F2297&lt;=8,"B",IF(F2297&lt;=10,"C","D"))))</f>
        <v/>
      </c>
      <c r="H2297" s="28"/>
      <c r="I2297" s="27"/>
      <c r="J2297" s="26"/>
      <c r="K2297" s="27"/>
      <c r="L2297" s="27"/>
      <c r="M2297" s="27"/>
      <c r="N2297" s="27"/>
      <c r="O2297" s="24" t="str">
        <f aca="false">IF(G2297="","",VLOOKUP(G2297,Setup!$A$14:$C$17,3,0))</f>
        <v/>
      </c>
      <c r="P2297" s="27"/>
      <c r="Q2297" s="29" t="str">
        <f aca="false">IF(OR(P2297="",M2297&lt;&gt;"Paid",O2297=""),"",P2297/O2297)</f>
        <v/>
      </c>
      <c r="R2297" s="30" t="str">
        <f aca="false">IF(Q2297="","",Q2297+N(H2297)*0.000000001)</f>
        <v/>
      </c>
      <c r="S2297" s="25" t="str">
        <f aca="false">IF(R2297="","",SUMPRODUCT((I$5:I$4004=I2297)*ISNUMBER(R$5:R$4004)*(R$5:R$4004&gt;R2297))+1)</f>
        <v/>
      </c>
      <c r="T2297" s="25" t="str">
        <f aca="false">IF(S2297="","",IF(S2297&lt;=Setup!$B$5,"🏆 WINNER",""))</f>
        <v/>
      </c>
      <c r="U2297" s="24" t="str">
        <f aca="false">IF(S2297="","",I2297&amp;"|"&amp;S2297)</f>
        <v/>
      </c>
    </row>
    <row r="2298" customFormat="false" ht="15" hidden="false" customHeight="false" outlineLevel="0" collapsed="false">
      <c r="A2298" s="31" t="n">
        <v>2294</v>
      </c>
      <c r="B2298" s="32" t="str">
        <f aca="false">IF(OR(C2298="",I2298="",G2298=""),"",IFERROR(VLOOKUP(I2298,Setup!$A$9:$B$11,2,0),"???")&amp;"-"&amp;G2298&amp;"-"&amp;TEXT(COUNTIFS(I$5:I2298,I2298,G$5:G2298,G2298),"0000"))</f>
        <v/>
      </c>
      <c r="C2298" s="26"/>
      <c r="D2298" s="26"/>
      <c r="E2298" s="27"/>
      <c r="F2298" s="27"/>
      <c r="G2298" s="31" t="str">
        <f aca="false">IF(F2298="","",IF(F2298&lt;=5,"A",IF(F2298&lt;=8,"B",IF(F2298&lt;=10,"C","D"))))</f>
        <v/>
      </c>
      <c r="H2298" s="28"/>
      <c r="I2298" s="27"/>
      <c r="J2298" s="26"/>
      <c r="K2298" s="27"/>
      <c r="L2298" s="27"/>
      <c r="M2298" s="27"/>
      <c r="N2298" s="27"/>
      <c r="O2298" s="31" t="str">
        <f aca="false">IF(G2298="","",VLOOKUP(G2298,Setup!$A$14:$C$17,3,0))</f>
        <v/>
      </c>
      <c r="P2298" s="27"/>
      <c r="Q2298" s="33" t="str">
        <f aca="false">IF(OR(P2298="",M2298&lt;&gt;"Paid",O2298=""),"",P2298/O2298)</f>
        <v/>
      </c>
      <c r="R2298" s="34" t="str">
        <f aca="false">IF(Q2298="","",Q2298+N(H2298)*0.000000001)</f>
        <v/>
      </c>
      <c r="S2298" s="32" t="str">
        <f aca="false">IF(R2298="","",SUMPRODUCT((I$5:I$4004=I2298)*ISNUMBER(R$5:R$4004)*(R$5:R$4004&gt;R2298))+1)</f>
        <v/>
      </c>
      <c r="T2298" s="32" t="str">
        <f aca="false">IF(S2298="","",IF(S2298&lt;=Setup!$B$5,"🏆 WINNER",""))</f>
        <v/>
      </c>
      <c r="U2298" s="31" t="str">
        <f aca="false">IF(S2298="","",I2298&amp;"|"&amp;S2298)</f>
        <v/>
      </c>
    </row>
    <row r="2299" customFormat="false" ht="15" hidden="false" customHeight="false" outlineLevel="0" collapsed="false">
      <c r="A2299" s="24" t="n">
        <v>2295</v>
      </c>
      <c r="B2299" s="25" t="str">
        <f aca="false">IF(OR(C2299="",I2299="",G2299=""),"",IFERROR(VLOOKUP(I2299,Setup!$A$9:$B$11,2,0),"???")&amp;"-"&amp;G2299&amp;"-"&amp;TEXT(COUNTIFS(I$5:I2299,I2299,G$5:G2299,G2299),"0000"))</f>
        <v/>
      </c>
      <c r="C2299" s="26"/>
      <c r="D2299" s="26"/>
      <c r="E2299" s="27"/>
      <c r="F2299" s="27"/>
      <c r="G2299" s="24" t="str">
        <f aca="false">IF(F2299="","",IF(F2299&lt;=5,"A",IF(F2299&lt;=8,"B",IF(F2299&lt;=10,"C","D"))))</f>
        <v/>
      </c>
      <c r="H2299" s="28"/>
      <c r="I2299" s="27"/>
      <c r="J2299" s="26"/>
      <c r="K2299" s="27"/>
      <c r="L2299" s="27"/>
      <c r="M2299" s="27"/>
      <c r="N2299" s="27"/>
      <c r="O2299" s="24" t="str">
        <f aca="false">IF(G2299="","",VLOOKUP(G2299,Setup!$A$14:$C$17,3,0))</f>
        <v/>
      </c>
      <c r="P2299" s="27"/>
      <c r="Q2299" s="29" t="str">
        <f aca="false">IF(OR(P2299="",M2299&lt;&gt;"Paid",O2299=""),"",P2299/O2299)</f>
        <v/>
      </c>
      <c r="R2299" s="30" t="str">
        <f aca="false">IF(Q2299="","",Q2299+N(H2299)*0.000000001)</f>
        <v/>
      </c>
      <c r="S2299" s="25" t="str">
        <f aca="false">IF(R2299="","",SUMPRODUCT((I$5:I$4004=I2299)*ISNUMBER(R$5:R$4004)*(R$5:R$4004&gt;R2299))+1)</f>
        <v/>
      </c>
      <c r="T2299" s="25" t="str">
        <f aca="false">IF(S2299="","",IF(S2299&lt;=Setup!$B$5,"🏆 WINNER",""))</f>
        <v/>
      </c>
      <c r="U2299" s="24" t="str">
        <f aca="false">IF(S2299="","",I2299&amp;"|"&amp;S2299)</f>
        <v/>
      </c>
    </row>
    <row r="2300" customFormat="false" ht="15" hidden="false" customHeight="false" outlineLevel="0" collapsed="false">
      <c r="A2300" s="31" t="n">
        <v>2296</v>
      </c>
      <c r="B2300" s="32" t="str">
        <f aca="false">IF(OR(C2300="",I2300="",G2300=""),"",IFERROR(VLOOKUP(I2300,Setup!$A$9:$B$11,2,0),"???")&amp;"-"&amp;G2300&amp;"-"&amp;TEXT(COUNTIFS(I$5:I2300,I2300,G$5:G2300,G2300),"0000"))</f>
        <v/>
      </c>
      <c r="C2300" s="26"/>
      <c r="D2300" s="26"/>
      <c r="E2300" s="27"/>
      <c r="F2300" s="27"/>
      <c r="G2300" s="31" t="str">
        <f aca="false">IF(F2300="","",IF(F2300&lt;=5,"A",IF(F2300&lt;=8,"B",IF(F2300&lt;=10,"C","D"))))</f>
        <v/>
      </c>
      <c r="H2300" s="28"/>
      <c r="I2300" s="27"/>
      <c r="J2300" s="26"/>
      <c r="K2300" s="27"/>
      <c r="L2300" s="27"/>
      <c r="M2300" s="27"/>
      <c r="N2300" s="27"/>
      <c r="O2300" s="31" t="str">
        <f aca="false">IF(G2300="","",VLOOKUP(G2300,Setup!$A$14:$C$17,3,0))</f>
        <v/>
      </c>
      <c r="P2300" s="27"/>
      <c r="Q2300" s="33" t="str">
        <f aca="false">IF(OR(P2300="",M2300&lt;&gt;"Paid",O2300=""),"",P2300/O2300)</f>
        <v/>
      </c>
      <c r="R2300" s="34" t="str">
        <f aca="false">IF(Q2300="","",Q2300+N(H2300)*0.000000001)</f>
        <v/>
      </c>
      <c r="S2300" s="32" t="str">
        <f aca="false">IF(R2300="","",SUMPRODUCT((I$5:I$4004=I2300)*ISNUMBER(R$5:R$4004)*(R$5:R$4004&gt;R2300))+1)</f>
        <v/>
      </c>
      <c r="T2300" s="32" t="str">
        <f aca="false">IF(S2300="","",IF(S2300&lt;=Setup!$B$5,"🏆 WINNER",""))</f>
        <v/>
      </c>
      <c r="U2300" s="31" t="str">
        <f aca="false">IF(S2300="","",I2300&amp;"|"&amp;S2300)</f>
        <v/>
      </c>
    </row>
    <row r="2301" customFormat="false" ht="15" hidden="false" customHeight="false" outlineLevel="0" collapsed="false">
      <c r="A2301" s="24" t="n">
        <v>2297</v>
      </c>
      <c r="B2301" s="25" t="str">
        <f aca="false">IF(OR(C2301="",I2301="",G2301=""),"",IFERROR(VLOOKUP(I2301,Setup!$A$9:$B$11,2,0),"???")&amp;"-"&amp;G2301&amp;"-"&amp;TEXT(COUNTIFS(I$5:I2301,I2301,G$5:G2301,G2301),"0000"))</f>
        <v/>
      </c>
      <c r="C2301" s="26"/>
      <c r="D2301" s="26"/>
      <c r="E2301" s="27"/>
      <c r="F2301" s="27"/>
      <c r="G2301" s="24" t="str">
        <f aca="false">IF(F2301="","",IF(F2301&lt;=5,"A",IF(F2301&lt;=8,"B",IF(F2301&lt;=10,"C","D"))))</f>
        <v/>
      </c>
      <c r="H2301" s="28"/>
      <c r="I2301" s="27"/>
      <c r="J2301" s="26"/>
      <c r="K2301" s="27"/>
      <c r="L2301" s="27"/>
      <c r="M2301" s="27"/>
      <c r="N2301" s="27"/>
      <c r="O2301" s="24" t="str">
        <f aca="false">IF(G2301="","",VLOOKUP(G2301,Setup!$A$14:$C$17,3,0))</f>
        <v/>
      </c>
      <c r="P2301" s="27"/>
      <c r="Q2301" s="29" t="str">
        <f aca="false">IF(OR(P2301="",M2301&lt;&gt;"Paid",O2301=""),"",P2301/O2301)</f>
        <v/>
      </c>
      <c r="R2301" s="30" t="str">
        <f aca="false">IF(Q2301="","",Q2301+N(H2301)*0.000000001)</f>
        <v/>
      </c>
      <c r="S2301" s="25" t="str">
        <f aca="false">IF(R2301="","",SUMPRODUCT((I$5:I$4004=I2301)*ISNUMBER(R$5:R$4004)*(R$5:R$4004&gt;R2301))+1)</f>
        <v/>
      </c>
      <c r="T2301" s="25" t="str">
        <f aca="false">IF(S2301="","",IF(S2301&lt;=Setup!$B$5,"🏆 WINNER",""))</f>
        <v/>
      </c>
      <c r="U2301" s="24" t="str">
        <f aca="false">IF(S2301="","",I2301&amp;"|"&amp;S2301)</f>
        <v/>
      </c>
    </row>
    <row r="2302" customFormat="false" ht="15" hidden="false" customHeight="false" outlineLevel="0" collapsed="false">
      <c r="A2302" s="31" t="n">
        <v>2298</v>
      </c>
      <c r="B2302" s="32" t="str">
        <f aca="false">IF(OR(C2302="",I2302="",G2302=""),"",IFERROR(VLOOKUP(I2302,Setup!$A$9:$B$11,2,0),"???")&amp;"-"&amp;G2302&amp;"-"&amp;TEXT(COUNTIFS(I$5:I2302,I2302,G$5:G2302,G2302),"0000"))</f>
        <v/>
      </c>
      <c r="C2302" s="26"/>
      <c r="D2302" s="26"/>
      <c r="E2302" s="27"/>
      <c r="F2302" s="27"/>
      <c r="G2302" s="31" t="str">
        <f aca="false">IF(F2302="","",IF(F2302&lt;=5,"A",IF(F2302&lt;=8,"B",IF(F2302&lt;=10,"C","D"))))</f>
        <v/>
      </c>
      <c r="H2302" s="28"/>
      <c r="I2302" s="27"/>
      <c r="J2302" s="26"/>
      <c r="K2302" s="27"/>
      <c r="L2302" s="27"/>
      <c r="M2302" s="27"/>
      <c r="N2302" s="27"/>
      <c r="O2302" s="31" t="str">
        <f aca="false">IF(G2302="","",VLOOKUP(G2302,Setup!$A$14:$C$17,3,0))</f>
        <v/>
      </c>
      <c r="P2302" s="27"/>
      <c r="Q2302" s="33" t="str">
        <f aca="false">IF(OR(P2302="",M2302&lt;&gt;"Paid",O2302=""),"",P2302/O2302)</f>
        <v/>
      </c>
      <c r="R2302" s="34" t="str">
        <f aca="false">IF(Q2302="","",Q2302+N(H2302)*0.000000001)</f>
        <v/>
      </c>
      <c r="S2302" s="32" t="str">
        <f aca="false">IF(R2302="","",SUMPRODUCT((I$5:I$4004=I2302)*ISNUMBER(R$5:R$4004)*(R$5:R$4004&gt;R2302))+1)</f>
        <v/>
      </c>
      <c r="T2302" s="32" t="str">
        <f aca="false">IF(S2302="","",IF(S2302&lt;=Setup!$B$5,"🏆 WINNER",""))</f>
        <v/>
      </c>
      <c r="U2302" s="31" t="str">
        <f aca="false">IF(S2302="","",I2302&amp;"|"&amp;S2302)</f>
        <v/>
      </c>
    </row>
    <row r="2303" customFormat="false" ht="15" hidden="false" customHeight="false" outlineLevel="0" collapsed="false">
      <c r="A2303" s="24" t="n">
        <v>2299</v>
      </c>
      <c r="B2303" s="25" t="str">
        <f aca="false">IF(OR(C2303="",I2303="",G2303=""),"",IFERROR(VLOOKUP(I2303,Setup!$A$9:$B$11,2,0),"???")&amp;"-"&amp;G2303&amp;"-"&amp;TEXT(COUNTIFS(I$5:I2303,I2303,G$5:G2303,G2303),"0000"))</f>
        <v/>
      </c>
      <c r="C2303" s="26"/>
      <c r="D2303" s="26"/>
      <c r="E2303" s="27"/>
      <c r="F2303" s="27"/>
      <c r="G2303" s="24" t="str">
        <f aca="false">IF(F2303="","",IF(F2303&lt;=5,"A",IF(F2303&lt;=8,"B",IF(F2303&lt;=10,"C","D"))))</f>
        <v/>
      </c>
      <c r="H2303" s="28"/>
      <c r="I2303" s="27"/>
      <c r="J2303" s="26"/>
      <c r="K2303" s="27"/>
      <c r="L2303" s="27"/>
      <c r="M2303" s="27"/>
      <c r="N2303" s="27"/>
      <c r="O2303" s="24" t="str">
        <f aca="false">IF(G2303="","",VLOOKUP(G2303,Setup!$A$14:$C$17,3,0))</f>
        <v/>
      </c>
      <c r="P2303" s="27"/>
      <c r="Q2303" s="29" t="str">
        <f aca="false">IF(OR(P2303="",M2303&lt;&gt;"Paid",O2303=""),"",P2303/O2303)</f>
        <v/>
      </c>
      <c r="R2303" s="30" t="str">
        <f aca="false">IF(Q2303="","",Q2303+N(H2303)*0.000000001)</f>
        <v/>
      </c>
      <c r="S2303" s="25" t="str">
        <f aca="false">IF(R2303="","",SUMPRODUCT((I$5:I$4004=I2303)*ISNUMBER(R$5:R$4004)*(R$5:R$4004&gt;R2303))+1)</f>
        <v/>
      </c>
      <c r="T2303" s="25" t="str">
        <f aca="false">IF(S2303="","",IF(S2303&lt;=Setup!$B$5,"🏆 WINNER",""))</f>
        <v/>
      </c>
      <c r="U2303" s="24" t="str">
        <f aca="false">IF(S2303="","",I2303&amp;"|"&amp;S2303)</f>
        <v/>
      </c>
    </row>
    <row r="2304" customFormat="false" ht="15" hidden="false" customHeight="false" outlineLevel="0" collapsed="false">
      <c r="A2304" s="31" t="n">
        <v>2300</v>
      </c>
      <c r="B2304" s="32" t="str">
        <f aca="false">IF(OR(C2304="",I2304="",G2304=""),"",IFERROR(VLOOKUP(I2304,Setup!$A$9:$B$11,2,0),"???")&amp;"-"&amp;G2304&amp;"-"&amp;TEXT(COUNTIFS(I$5:I2304,I2304,G$5:G2304,G2304),"0000"))</f>
        <v/>
      </c>
      <c r="C2304" s="26"/>
      <c r="D2304" s="26"/>
      <c r="E2304" s="27"/>
      <c r="F2304" s="27"/>
      <c r="G2304" s="31" t="str">
        <f aca="false">IF(F2304="","",IF(F2304&lt;=5,"A",IF(F2304&lt;=8,"B",IF(F2304&lt;=10,"C","D"))))</f>
        <v/>
      </c>
      <c r="H2304" s="28"/>
      <c r="I2304" s="27"/>
      <c r="J2304" s="26"/>
      <c r="K2304" s="27"/>
      <c r="L2304" s="27"/>
      <c r="M2304" s="27"/>
      <c r="N2304" s="27"/>
      <c r="O2304" s="31" t="str">
        <f aca="false">IF(G2304="","",VLOOKUP(G2304,Setup!$A$14:$C$17,3,0))</f>
        <v/>
      </c>
      <c r="P2304" s="27"/>
      <c r="Q2304" s="33" t="str">
        <f aca="false">IF(OR(P2304="",M2304&lt;&gt;"Paid",O2304=""),"",P2304/O2304)</f>
        <v/>
      </c>
      <c r="R2304" s="34" t="str">
        <f aca="false">IF(Q2304="","",Q2304+N(H2304)*0.000000001)</f>
        <v/>
      </c>
      <c r="S2304" s="32" t="str">
        <f aca="false">IF(R2304="","",SUMPRODUCT((I$5:I$4004=I2304)*ISNUMBER(R$5:R$4004)*(R$5:R$4004&gt;R2304))+1)</f>
        <v/>
      </c>
      <c r="T2304" s="32" t="str">
        <f aca="false">IF(S2304="","",IF(S2304&lt;=Setup!$B$5,"🏆 WINNER",""))</f>
        <v/>
      </c>
      <c r="U2304" s="31" t="str">
        <f aca="false">IF(S2304="","",I2304&amp;"|"&amp;S2304)</f>
        <v/>
      </c>
    </row>
    <row r="2305" customFormat="false" ht="15" hidden="false" customHeight="false" outlineLevel="0" collapsed="false">
      <c r="A2305" s="24" t="n">
        <v>2301</v>
      </c>
      <c r="B2305" s="25" t="str">
        <f aca="false">IF(OR(C2305="",I2305="",G2305=""),"",IFERROR(VLOOKUP(I2305,Setup!$A$9:$B$11,2,0),"???")&amp;"-"&amp;G2305&amp;"-"&amp;TEXT(COUNTIFS(I$5:I2305,I2305,G$5:G2305,G2305),"0000"))</f>
        <v/>
      </c>
      <c r="C2305" s="26"/>
      <c r="D2305" s="26"/>
      <c r="E2305" s="27"/>
      <c r="F2305" s="27"/>
      <c r="G2305" s="24" t="str">
        <f aca="false">IF(F2305="","",IF(F2305&lt;=5,"A",IF(F2305&lt;=8,"B",IF(F2305&lt;=10,"C","D"))))</f>
        <v/>
      </c>
      <c r="H2305" s="28"/>
      <c r="I2305" s="27"/>
      <c r="J2305" s="26"/>
      <c r="K2305" s="27"/>
      <c r="L2305" s="27"/>
      <c r="M2305" s="27"/>
      <c r="N2305" s="27"/>
      <c r="O2305" s="24" t="str">
        <f aca="false">IF(G2305="","",VLOOKUP(G2305,Setup!$A$14:$C$17,3,0))</f>
        <v/>
      </c>
      <c r="P2305" s="27"/>
      <c r="Q2305" s="29" t="str">
        <f aca="false">IF(OR(P2305="",M2305&lt;&gt;"Paid",O2305=""),"",P2305/O2305)</f>
        <v/>
      </c>
      <c r="R2305" s="30" t="str">
        <f aca="false">IF(Q2305="","",Q2305+N(H2305)*0.000000001)</f>
        <v/>
      </c>
      <c r="S2305" s="25" t="str">
        <f aca="false">IF(R2305="","",SUMPRODUCT((I$5:I$4004=I2305)*ISNUMBER(R$5:R$4004)*(R$5:R$4004&gt;R2305))+1)</f>
        <v/>
      </c>
      <c r="T2305" s="25" t="str">
        <f aca="false">IF(S2305="","",IF(S2305&lt;=Setup!$B$5,"🏆 WINNER",""))</f>
        <v/>
      </c>
      <c r="U2305" s="24" t="str">
        <f aca="false">IF(S2305="","",I2305&amp;"|"&amp;S2305)</f>
        <v/>
      </c>
    </row>
    <row r="2306" customFormat="false" ht="15" hidden="false" customHeight="false" outlineLevel="0" collapsed="false">
      <c r="A2306" s="31" t="n">
        <v>2302</v>
      </c>
      <c r="B2306" s="32" t="str">
        <f aca="false">IF(OR(C2306="",I2306="",G2306=""),"",IFERROR(VLOOKUP(I2306,Setup!$A$9:$B$11,2,0),"???")&amp;"-"&amp;G2306&amp;"-"&amp;TEXT(COUNTIFS(I$5:I2306,I2306,G$5:G2306,G2306),"0000"))</f>
        <v/>
      </c>
      <c r="C2306" s="26"/>
      <c r="D2306" s="26"/>
      <c r="E2306" s="27"/>
      <c r="F2306" s="27"/>
      <c r="G2306" s="31" t="str">
        <f aca="false">IF(F2306="","",IF(F2306&lt;=5,"A",IF(F2306&lt;=8,"B",IF(F2306&lt;=10,"C","D"))))</f>
        <v/>
      </c>
      <c r="H2306" s="28"/>
      <c r="I2306" s="27"/>
      <c r="J2306" s="26"/>
      <c r="K2306" s="27"/>
      <c r="L2306" s="27"/>
      <c r="M2306" s="27"/>
      <c r="N2306" s="27"/>
      <c r="O2306" s="31" t="str">
        <f aca="false">IF(G2306="","",VLOOKUP(G2306,Setup!$A$14:$C$17,3,0))</f>
        <v/>
      </c>
      <c r="P2306" s="27"/>
      <c r="Q2306" s="33" t="str">
        <f aca="false">IF(OR(P2306="",M2306&lt;&gt;"Paid",O2306=""),"",P2306/O2306)</f>
        <v/>
      </c>
      <c r="R2306" s="34" t="str">
        <f aca="false">IF(Q2306="","",Q2306+N(H2306)*0.000000001)</f>
        <v/>
      </c>
      <c r="S2306" s="32" t="str">
        <f aca="false">IF(R2306="","",SUMPRODUCT((I$5:I$4004=I2306)*ISNUMBER(R$5:R$4004)*(R$5:R$4004&gt;R2306))+1)</f>
        <v/>
      </c>
      <c r="T2306" s="32" t="str">
        <f aca="false">IF(S2306="","",IF(S2306&lt;=Setup!$B$5,"🏆 WINNER",""))</f>
        <v/>
      </c>
      <c r="U2306" s="31" t="str">
        <f aca="false">IF(S2306="","",I2306&amp;"|"&amp;S2306)</f>
        <v/>
      </c>
    </row>
    <row r="2307" customFormat="false" ht="15" hidden="false" customHeight="false" outlineLevel="0" collapsed="false">
      <c r="A2307" s="24" t="n">
        <v>2303</v>
      </c>
      <c r="B2307" s="25" t="str">
        <f aca="false">IF(OR(C2307="",I2307="",G2307=""),"",IFERROR(VLOOKUP(I2307,Setup!$A$9:$B$11,2,0),"???")&amp;"-"&amp;G2307&amp;"-"&amp;TEXT(COUNTIFS(I$5:I2307,I2307,G$5:G2307,G2307),"0000"))</f>
        <v/>
      </c>
      <c r="C2307" s="26"/>
      <c r="D2307" s="26"/>
      <c r="E2307" s="27"/>
      <c r="F2307" s="27"/>
      <c r="G2307" s="24" t="str">
        <f aca="false">IF(F2307="","",IF(F2307&lt;=5,"A",IF(F2307&lt;=8,"B",IF(F2307&lt;=10,"C","D"))))</f>
        <v/>
      </c>
      <c r="H2307" s="28"/>
      <c r="I2307" s="27"/>
      <c r="J2307" s="26"/>
      <c r="K2307" s="27"/>
      <c r="L2307" s="27"/>
      <c r="M2307" s="27"/>
      <c r="N2307" s="27"/>
      <c r="O2307" s="24" t="str">
        <f aca="false">IF(G2307="","",VLOOKUP(G2307,Setup!$A$14:$C$17,3,0))</f>
        <v/>
      </c>
      <c r="P2307" s="27"/>
      <c r="Q2307" s="29" t="str">
        <f aca="false">IF(OR(P2307="",M2307&lt;&gt;"Paid",O2307=""),"",P2307/O2307)</f>
        <v/>
      </c>
      <c r="R2307" s="30" t="str">
        <f aca="false">IF(Q2307="","",Q2307+N(H2307)*0.000000001)</f>
        <v/>
      </c>
      <c r="S2307" s="25" t="str">
        <f aca="false">IF(R2307="","",SUMPRODUCT((I$5:I$4004=I2307)*ISNUMBER(R$5:R$4004)*(R$5:R$4004&gt;R2307))+1)</f>
        <v/>
      </c>
      <c r="T2307" s="25" t="str">
        <f aca="false">IF(S2307="","",IF(S2307&lt;=Setup!$B$5,"🏆 WINNER",""))</f>
        <v/>
      </c>
      <c r="U2307" s="24" t="str">
        <f aca="false">IF(S2307="","",I2307&amp;"|"&amp;S2307)</f>
        <v/>
      </c>
    </row>
    <row r="2308" customFormat="false" ht="15" hidden="false" customHeight="false" outlineLevel="0" collapsed="false">
      <c r="A2308" s="31" t="n">
        <v>2304</v>
      </c>
      <c r="B2308" s="32" t="str">
        <f aca="false">IF(OR(C2308="",I2308="",G2308=""),"",IFERROR(VLOOKUP(I2308,Setup!$A$9:$B$11,2,0),"???")&amp;"-"&amp;G2308&amp;"-"&amp;TEXT(COUNTIFS(I$5:I2308,I2308,G$5:G2308,G2308),"0000"))</f>
        <v/>
      </c>
      <c r="C2308" s="26"/>
      <c r="D2308" s="26"/>
      <c r="E2308" s="27"/>
      <c r="F2308" s="27"/>
      <c r="G2308" s="31" t="str">
        <f aca="false">IF(F2308="","",IF(F2308&lt;=5,"A",IF(F2308&lt;=8,"B",IF(F2308&lt;=10,"C","D"))))</f>
        <v/>
      </c>
      <c r="H2308" s="28"/>
      <c r="I2308" s="27"/>
      <c r="J2308" s="26"/>
      <c r="K2308" s="27"/>
      <c r="L2308" s="27"/>
      <c r="M2308" s="27"/>
      <c r="N2308" s="27"/>
      <c r="O2308" s="31" t="str">
        <f aca="false">IF(G2308="","",VLOOKUP(G2308,Setup!$A$14:$C$17,3,0))</f>
        <v/>
      </c>
      <c r="P2308" s="27"/>
      <c r="Q2308" s="33" t="str">
        <f aca="false">IF(OR(P2308="",M2308&lt;&gt;"Paid",O2308=""),"",P2308/O2308)</f>
        <v/>
      </c>
      <c r="R2308" s="34" t="str">
        <f aca="false">IF(Q2308="","",Q2308+N(H2308)*0.000000001)</f>
        <v/>
      </c>
      <c r="S2308" s="32" t="str">
        <f aca="false">IF(R2308="","",SUMPRODUCT((I$5:I$4004=I2308)*ISNUMBER(R$5:R$4004)*(R$5:R$4004&gt;R2308))+1)</f>
        <v/>
      </c>
      <c r="T2308" s="32" t="str">
        <f aca="false">IF(S2308="","",IF(S2308&lt;=Setup!$B$5,"🏆 WINNER",""))</f>
        <v/>
      </c>
      <c r="U2308" s="31" t="str">
        <f aca="false">IF(S2308="","",I2308&amp;"|"&amp;S2308)</f>
        <v/>
      </c>
    </row>
    <row r="2309" customFormat="false" ht="15" hidden="false" customHeight="false" outlineLevel="0" collapsed="false">
      <c r="A2309" s="24" t="n">
        <v>2305</v>
      </c>
      <c r="B2309" s="25" t="str">
        <f aca="false">IF(OR(C2309="",I2309="",G2309=""),"",IFERROR(VLOOKUP(I2309,Setup!$A$9:$B$11,2,0),"???")&amp;"-"&amp;G2309&amp;"-"&amp;TEXT(COUNTIFS(I$5:I2309,I2309,G$5:G2309,G2309),"0000"))</f>
        <v/>
      </c>
      <c r="C2309" s="26"/>
      <c r="D2309" s="26"/>
      <c r="E2309" s="27"/>
      <c r="F2309" s="27"/>
      <c r="G2309" s="24" t="str">
        <f aca="false">IF(F2309="","",IF(F2309&lt;=5,"A",IF(F2309&lt;=8,"B",IF(F2309&lt;=10,"C","D"))))</f>
        <v/>
      </c>
      <c r="H2309" s="28"/>
      <c r="I2309" s="27"/>
      <c r="J2309" s="26"/>
      <c r="K2309" s="27"/>
      <c r="L2309" s="27"/>
      <c r="M2309" s="27"/>
      <c r="N2309" s="27"/>
      <c r="O2309" s="24" t="str">
        <f aca="false">IF(G2309="","",VLOOKUP(G2309,Setup!$A$14:$C$17,3,0))</f>
        <v/>
      </c>
      <c r="P2309" s="27"/>
      <c r="Q2309" s="29" t="str">
        <f aca="false">IF(OR(P2309="",M2309&lt;&gt;"Paid",O2309=""),"",P2309/O2309)</f>
        <v/>
      </c>
      <c r="R2309" s="30" t="str">
        <f aca="false">IF(Q2309="","",Q2309+N(H2309)*0.000000001)</f>
        <v/>
      </c>
      <c r="S2309" s="25" t="str">
        <f aca="false">IF(R2309="","",SUMPRODUCT((I$5:I$4004=I2309)*ISNUMBER(R$5:R$4004)*(R$5:R$4004&gt;R2309))+1)</f>
        <v/>
      </c>
      <c r="T2309" s="25" t="str">
        <f aca="false">IF(S2309="","",IF(S2309&lt;=Setup!$B$5,"🏆 WINNER",""))</f>
        <v/>
      </c>
      <c r="U2309" s="24" t="str">
        <f aca="false">IF(S2309="","",I2309&amp;"|"&amp;S2309)</f>
        <v/>
      </c>
    </row>
    <row r="2310" customFormat="false" ht="15" hidden="false" customHeight="false" outlineLevel="0" collapsed="false">
      <c r="A2310" s="31" t="n">
        <v>2306</v>
      </c>
      <c r="B2310" s="32" t="str">
        <f aca="false">IF(OR(C2310="",I2310="",G2310=""),"",IFERROR(VLOOKUP(I2310,Setup!$A$9:$B$11,2,0),"???")&amp;"-"&amp;G2310&amp;"-"&amp;TEXT(COUNTIFS(I$5:I2310,I2310,G$5:G2310,G2310),"0000"))</f>
        <v/>
      </c>
      <c r="C2310" s="26"/>
      <c r="D2310" s="26"/>
      <c r="E2310" s="27"/>
      <c r="F2310" s="27"/>
      <c r="G2310" s="31" t="str">
        <f aca="false">IF(F2310="","",IF(F2310&lt;=5,"A",IF(F2310&lt;=8,"B",IF(F2310&lt;=10,"C","D"))))</f>
        <v/>
      </c>
      <c r="H2310" s="28"/>
      <c r="I2310" s="27"/>
      <c r="J2310" s="26"/>
      <c r="K2310" s="27"/>
      <c r="L2310" s="27"/>
      <c r="M2310" s="27"/>
      <c r="N2310" s="27"/>
      <c r="O2310" s="31" t="str">
        <f aca="false">IF(G2310="","",VLOOKUP(G2310,Setup!$A$14:$C$17,3,0))</f>
        <v/>
      </c>
      <c r="P2310" s="27"/>
      <c r="Q2310" s="33" t="str">
        <f aca="false">IF(OR(P2310="",M2310&lt;&gt;"Paid",O2310=""),"",P2310/O2310)</f>
        <v/>
      </c>
      <c r="R2310" s="34" t="str">
        <f aca="false">IF(Q2310="","",Q2310+N(H2310)*0.000000001)</f>
        <v/>
      </c>
      <c r="S2310" s="32" t="str">
        <f aca="false">IF(R2310="","",SUMPRODUCT((I$5:I$4004=I2310)*ISNUMBER(R$5:R$4004)*(R$5:R$4004&gt;R2310))+1)</f>
        <v/>
      </c>
      <c r="T2310" s="32" t="str">
        <f aca="false">IF(S2310="","",IF(S2310&lt;=Setup!$B$5,"🏆 WINNER",""))</f>
        <v/>
      </c>
      <c r="U2310" s="31" t="str">
        <f aca="false">IF(S2310="","",I2310&amp;"|"&amp;S2310)</f>
        <v/>
      </c>
    </row>
    <row r="2311" customFormat="false" ht="15" hidden="false" customHeight="false" outlineLevel="0" collapsed="false">
      <c r="A2311" s="24" t="n">
        <v>2307</v>
      </c>
      <c r="B2311" s="25" t="str">
        <f aca="false">IF(OR(C2311="",I2311="",G2311=""),"",IFERROR(VLOOKUP(I2311,Setup!$A$9:$B$11,2,0),"???")&amp;"-"&amp;G2311&amp;"-"&amp;TEXT(COUNTIFS(I$5:I2311,I2311,G$5:G2311,G2311),"0000"))</f>
        <v/>
      </c>
      <c r="C2311" s="26"/>
      <c r="D2311" s="26"/>
      <c r="E2311" s="27"/>
      <c r="F2311" s="27"/>
      <c r="G2311" s="24" t="str">
        <f aca="false">IF(F2311="","",IF(F2311&lt;=5,"A",IF(F2311&lt;=8,"B",IF(F2311&lt;=10,"C","D"))))</f>
        <v/>
      </c>
      <c r="H2311" s="28"/>
      <c r="I2311" s="27"/>
      <c r="J2311" s="26"/>
      <c r="K2311" s="27"/>
      <c r="L2311" s="27"/>
      <c r="M2311" s="27"/>
      <c r="N2311" s="27"/>
      <c r="O2311" s="24" t="str">
        <f aca="false">IF(G2311="","",VLOOKUP(G2311,Setup!$A$14:$C$17,3,0))</f>
        <v/>
      </c>
      <c r="P2311" s="27"/>
      <c r="Q2311" s="29" t="str">
        <f aca="false">IF(OR(P2311="",M2311&lt;&gt;"Paid",O2311=""),"",P2311/O2311)</f>
        <v/>
      </c>
      <c r="R2311" s="30" t="str">
        <f aca="false">IF(Q2311="","",Q2311+N(H2311)*0.000000001)</f>
        <v/>
      </c>
      <c r="S2311" s="25" t="str">
        <f aca="false">IF(R2311="","",SUMPRODUCT((I$5:I$4004=I2311)*ISNUMBER(R$5:R$4004)*(R$5:R$4004&gt;R2311))+1)</f>
        <v/>
      </c>
      <c r="T2311" s="25" t="str">
        <f aca="false">IF(S2311="","",IF(S2311&lt;=Setup!$B$5,"🏆 WINNER",""))</f>
        <v/>
      </c>
      <c r="U2311" s="24" t="str">
        <f aca="false">IF(S2311="","",I2311&amp;"|"&amp;S2311)</f>
        <v/>
      </c>
    </row>
    <row r="2312" customFormat="false" ht="15" hidden="false" customHeight="false" outlineLevel="0" collapsed="false">
      <c r="A2312" s="31" t="n">
        <v>2308</v>
      </c>
      <c r="B2312" s="32" t="str">
        <f aca="false">IF(OR(C2312="",I2312="",G2312=""),"",IFERROR(VLOOKUP(I2312,Setup!$A$9:$B$11,2,0),"???")&amp;"-"&amp;G2312&amp;"-"&amp;TEXT(COUNTIFS(I$5:I2312,I2312,G$5:G2312,G2312),"0000"))</f>
        <v/>
      </c>
      <c r="C2312" s="26"/>
      <c r="D2312" s="26"/>
      <c r="E2312" s="27"/>
      <c r="F2312" s="27"/>
      <c r="G2312" s="31" t="str">
        <f aca="false">IF(F2312="","",IF(F2312&lt;=5,"A",IF(F2312&lt;=8,"B",IF(F2312&lt;=10,"C","D"))))</f>
        <v/>
      </c>
      <c r="H2312" s="28"/>
      <c r="I2312" s="27"/>
      <c r="J2312" s="26"/>
      <c r="K2312" s="27"/>
      <c r="L2312" s="27"/>
      <c r="M2312" s="27"/>
      <c r="N2312" s="27"/>
      <c r="O2312" s="31" t="str">
        <f aca="false">IF(G2312="","",VLOOKUP(G2312,Setup!$A$14:$C$17,3,0))</f>
        <v/>
      </c>
      <c r="P2312" s="27"/>
      <c r="Q2312" s="33" t="str">
        <f aca="false">IF(OR(P2312="",M2312&lt;&gt;"Paid",O2312=""),"",P2312/O2312)</f>
        <v/>
      </c>
      <c r="R2312" s="34" t="str">
        <f aca="false">IF(Q2312="","",Q2312+N(H2312)*0.000000001)</f>
        <v/>
      </c>
      <c r="S2312" s="32" t="str">
        <f aca="false">IF(R2312="","",SUMPRODUCT((I$5:I$4004=I2312)*ISNUMBER(R$5:R$4004)*(R$5:R$4004&gt;R2312))+1)</f>
        <v/>
      </c>
      <c r="T2312" s="32" t="str">
        <f aca="false">IF(S2312="","",IF(S2312&lt;=Setup!$B$5,"🏆 WINNER",""))</f>
        <v/>
      </c>
      <c r="U2312" s="31" t="str">
        <f aca="false">IF(S2312="","",I2312&amp;"|"&amp;S2312)</f>
        <v/>
      </c>
    </row>
    <row r="2313" customFormat="false" ht="15" hidden="false" customHeight="false" outlineLevel="0" collapsed="false">
      <c r="A2313" s="24" t="n">
        <v>2309</v>
      </c>
      <c r="B2313" s="25" t="str">
        <f aca="false">IF(OR(C2313="",I2313="",G2313=""),"",IFERROR(VLOOKUP(I2313,Setup!$A$9:$B$11,2,0),"???")&amp;"-"&amp;G2313&amp;"-"&amp;TEXT(COUNTIFS(I$5:I2313,I2313,G$5:G2313,G2313),"0000"))</f>
        <v/>
      </c>
      <c r="C2313" s="26"/>
      <c r="D2313" s="26"/>
      <c r="E2313" s="27"/>
      <c r="F2313" s="27"/>
      <c r="G2313" s="24" t="str">
        <f aca="false">IF(F2313="","",IF(F2313&lt;=5,"A",IF(F2313&lt;=8,"B",IF(F2313&lt;=10,"C","D"))))</f>
        <v/>
      </c>
      <c r="H2313" s="28"/>
      <c r="I2313" s="27"/>
      <c r="J2313" s="26"/>
      <c r="K2313" s="27"/>
      <c r="L2313" s="27"/>
      <c r="M2313" s="27"/>
      <c r="N2313" s="27"/>
      <c r="O2313" s="24" t="str">
        <f aca="false">IF(G2313="","",VLOOKUP(G2313,Setup!$A$14:$C$17,3,0))</f>
        <v/>
      </c>
      <c r="P2313" s="27"/>
      <c r="Q2313" s="29" t="str">
        <f aca="false">IF(OR(P2313="",M2313&lt;&gt;"Paid",O2313=""),"",P2313/O2313)</f>
        <v/>
      </c>
      <c r="R2313" s="30" t="str">
        <f aca="false">IF(Q2313="","",Q2313+N(H2313)*0.000000001)</f>
        <v/>
      </c>
      <c r="S2313" s="25" t="str">
        <f aca="false">IF(R2313="","",SUMPRODUCT((I$5:I$4004=I2313)*ISNUMBER(R$5:R$4004)*(R$5:R$4004&gt;R2313))+1)</f>
        <v/>
      </c>
      <c r="T2313" s="25" t="str">
        <f aca="false">IF(S2313="","",IF(S2313&lt;=Setup!$B$5,"🏆 WINNER",""))</f>
        <v/>
      </c>
      <c r="U2313" s="24" t="str">
        <f aca="false">IF(S2313="","",I2313&amp;"|"&amp;S2313)</f>
        <v/>
      </c>
    </row>
    <row r="2314" customFormat="false" ht="15" hidden="false" customHeight="false" outlineLevel="0" collapsed="false">
      <c r="A2314" s="31" t="n">
        <v>2310</v>
      </c>
      <c r="B2314" s="32" t="str">
        <f aca="false">IF(OR(C2314="",I2314="",G2314=""),"",IFERROR(VLOOKUP(I2314,Setup!$A$9:$B$11,2,0),"???")&amp;"-"&amp;G2314&amp;"-"&amp;TEXT(COUNTIFS(I$5:I2314,I2314,G$5:G2314,G2314),"0000"))</f>
        <v/>
      </c>
      <c r="C2314" s="26"/>
      <c r="D2314" s="26"/>
      <c r="E2314" s="27"/>
      <c r="F2314" s="27"/>
      <c r="G2314" s="31" t="str">
        <f aca="false">IF(F2314="","",IF(F2314&lt;=5,"A",IF(F2314&lt;=8,"B",IF(F2314&lt;=10,"C","D"))))</f>
        <v/>
      </c>
      <c r="H2314" s="28"/>
      <c r="I2314" s="27"/>
      <c r="J2314" s="26"/>
      <c r="K2314" s="27"/>
      <c r="L2314" s="27"/>
      <c r="M2314" s="27"/>
      <c r="N2314" s="27"/>
      <c r="O2314" s="31" t="str">
        <f aca="false">IF(G2314="","",VLOOKUP(G2314,Setup!$A$14:$C$17,3,0))</f>
        <v/>
      </c>
      <c r="P2314" s="27"/>
      <c r="Q2314" s="33" t="str">
        <f aca="false">IF(OR(P2314="",M2314&lt;&gt;"Paid",O2314=""),"",P2314/O2314)</f>
        <v/>
      </c>
      <c r="R2314" s="34" t="str">
        <f aca="false">IF(Q2314="","",Q2314+N(H2314)*0.000000001)</f>
        <v/>
      </c>
      <c r="S2314" s="32" t="str">
        <f aca="false">IF(R2314="","",SUMPRODUCT((I$5:I$4004=I2314)*ISNUMBER(R$5:R$4004)*(R$5:R$4004&gt;R2314))+1)</f>
        <v/>
      </c>
      <c r="T2314" s="32" t="str">
        <f aca="false">IF(S2314="","",IF(S2314&lt;=Setup!$B$5,"🏆 WINNER",""))</f>
        <v/>
      </c>
      <c r="U2314" s="31" t="str">
        <f aca="false">IF(S2314="","",I2314&amp;"|"&amp;S2314)</f>
        <v/>
      </c>
    </row>
    <row r="2315" customFormat="false" ht="15" hidden="false" customHeight="false" outlineLevel="0" collapsed="false">
      <c r="A2315" s="24" t="n">
        <v>2311</v>
      </c>
      <c r="B2315" s="25" t="str">
        <f aca="false">IF(OR(C2315="",I2315="",G2315=""),"",IFERROR(VLOOKUP(I2315,Setup!$A$9:$B$11,2,0),"???")&amp;"-"&amp;G2315&amp;"-"&amp;TEXT(COUNTIFS(I$5:I2315,I2315,G$5:G2315,G2315),"0000"))</f>
        <v/>
      </c>
      <c r="C2315" s="26"/>
      <c r="D2315" s="26"/>
      <c r="E2315" s="27"/>
      <c r="F2315" s="27"/>
      <c r="G2315" s="24" t="str">
        <f aca="false">IF(F2315="","",IF(F2315&lt;=5,"A",IF(F2315&lt;=8,"B",IF(F2315&lt;=10,"C","D"))))</f>
        <v/>
      </c>
      <c r="H2315" s="28"/>
      <c r="I2315" s="27"/>
      <c r="J2315" s="26"/>
      <c r="K2315" s="27"/>
      <c r="L2315" s="27"/>
      <c r="M2315" s="27"/>
      <c r="N2315" s="27"/>
      <c r="O2315" s="24" t="str">
        <f aca="false">IF(G2315="","",VLOOKUP(G2315,Setup!$A$14:$C$17,3,0))</f>
        <v/>
      </c>
      <c r="P2315" s="27"/>
      <c r="Q2315" s="29" t="str">
        <f aca="false">IF(OR(P2315="",M2315&lt;&gt;"Paid",O2315=""),"",P2315/O2315)</f>
        <v/>
      </c>
      <c r="R2315" s="30" t="str">
        <f aca="false">IF(Q2315="","",Q2315+N(H2315)*0.000000001)</f>
        <v/>
      </c>
      <c r="S2315" s="25" t="str">
        <f aca="false">IF(R2315="","",SUMPRODUCT((I$5:I$4004=I2315)*ISNUMBER(R$5:R$4004)*(R$5:R$4004&gt;R2315))+1)</f>
        <v/>
      </c>
      <c r="T2315" s="25" t="str">
        <f aca="false">IF(S2315="","",IF(S2315&lt;=Setup!$B$5,"🏆 WINNER",""))</f>
        <v/>
      </c>
      <c r="U2315" s="24" t="str">
        <f aca="false">IF(S2315="","",I2315&amp;"|"&amp;S2315)</f>
        <v/>
      </c>
    </row>
    <row r="2316" customFormat="false" ht="15" hidden="false" customHeight="false" outlineLevel="0" collapsed="false">
      <c r="A2316" s="31" t="n">
        <v>2312</v>
      </c>
      <c r="B2316" s="32" t="str">
        <f aca="false">IF(OR(C2316="",I2316="",G2316=""),"",IFERROR(VLOOKUP(I2316,Setup!$A$9:$B$11,2,0),"???")&amp;"-"&amp;G2316&amp;"-"&amp;TEXT(COUNTIFS(I$5:I2316,I2316,G$5:G2316,G2316),"0000"))</f>
        <v/>
      </c>
      <c r="C2316" s="26"/>
      <c r="D2316" s="26"/>
      <c r="E2316" s="27"/>
      <c r="F2316" s="27"/>
      <c r="G2316" s="31" t="str">
        <f aca="false">IF(F2316="","",IF(F2316&lt;=5,"A",IF(F2316&lt;=8,"B",IF(F2316&lt;=10,"C","D"))))</f>
        <v/>
      </c>
      <c r="H2316" s="28"/>
      <c r="I2316" s="27"/>
      <c r="J2316" s="26"/>
      <c r="K2316" s="27"/>
      <c r="L2316" s="27"/>
      <c r="M2316" s="27"/>
      <c r="N2316" s="27"/>
      <c r="O2316" s="31" t="str">
        <f aca="false">IF(G2316="","",VLOOKUP(G2316,Setup!$A$14:$C$17,3,0))</f>
        <v/>
      </c>
      <c r="P2316" s="27"/>
      <c r="Q2316" s="33" t="str">
        <f aca="false">IF(OR(P2316="",M2316&lt;&gt;"Paid",O2316=""),"",P2316/O2316)</f>
        <v/>
      </c>
      <c r="R2316" s="34" t="str">
        <f aca="false">IF(Q2316="","",Q2316+N(H2316)*0.000000001)</f>
        <v/>
      </c>
      <c r="S2316" s="32" t="str">
        <f aca="false">IF(R2316="","",SUMPRODUCT((I$5:I$4004=I2316)*ISNUMBER(R$5:R$4004)*(R$5:R$4004&gt;R2316))+1)</f>
        <v/>
      </c>
      <c r="T2316" s="32" t="str">
        <f aca="false">IF(S2316="","",IF(S2316&lt;=Setup!$B$5,"🏆 WINNER",""))</f>
        <v/>
      </c>
      <c r="U2316" s="31" t="str">
        <f aca="false">IF(S2316="","",I2316&amp;"|"&amp;S2316)</f>
        <v/>
      </c>
    </row>
    <row r="2317" customFormat="false" ht="15" hidden="false" customHeight="false" outlineLevel="0" collapsed="false">
      <c r="A2317" s="24" t="n">
        <v>2313</v>
      </c>
      <c r="B2317" s="25" t="str">
        <f aca="false">IF(OR(C2317="",I2317="",G2317=""),"",IFERROR(VLOOKUP(I2317,Setup!$A$9:$B$11,2,0),"???")&amp;"-"&amp;G2317&amp;"-"&amp;TEXT(COUNTIFS(I$5:I2317,I2317,G$5:G2317,G2317),"0000"))</f>
        <v/>
      </c>
      <c r="C2317" s="26"/>
      <c r="D2317" s="26"/>
      <c r="E2317" s="27"/>
      <c r="F2317" s="27"/>
      <c r="G2317" s="24" t="str">
        <f aca="false">IF(F2317="","",IF(F2317&lt;=5,"A",IF(F2317&lt;=8,"B",IF(F2317&lt;=10,"C","D"))))</f>
        <v/>
      </c>
      <c r="H2317" s="28"/>
      <c r="I2317" s="27"/>
      <c r="J2317" s="26"/>
      <c r="K2317" s="27"/>
      <c r="L2317" s="27"/>
      <c r="M2317" s="27"/>
      <c r="N2317" s="27"/>
      <c r="O2317" s="24" t="str">
        <f aca="false">IF(G2317="","",VLOOKUP(G2317,Setup!$A$14:$C$17,3,0))</f>
        <v/>
      </c>
      <c r="P2317" s="27"/>
      <c r="Q2317" s="29" t="str">
        <f aca="false">IF(OR(P2317="",M2317&lt;&gt;"Paid",O2317=""),"",P2317/O2317)</f>
        <v/>
      </c>
      <c r="R2317" s="30" t="str">
        <f aca="false">IF(Q2317="","",Q2317+N(H2317)*0.000000001)</f>
        <v/>
      </c>
      <c r="S2317" s="25" t="str">
        <f aca="false">IF(R2317="","",SUMPRODUCT((I$5:I$4004=I2317)*ISNUMBER(R$5:R$4004)*(R$5:R$4004&gt;R2317))+1)</f>
        <v/>
      </c>
      <c r="T2317" s="25" t="str">
        <f aca="false">IF(S2317="","",IF(S2317&lt;=Setup!$B$5,"🏆 WINNER",""))</f>
        <v/>
      </c>
      <c r="U2317" s="24" t="str">
        <f aca="false">IF(S2317="","",I2317&amp;"|"&amp;S2317)</f>
        <v/>
      </c>
    </row>
    <row r="2318" customFormat="false" ht="15" hidden="false" customHeight="false" outlineLevel="0" collapsed="false">
      <c r="A2318" s="31" t="n">
        <v>2314</v>
      </c>
      <c r="B2318" s="32" t="str">
        <f aca="false">IF(OR(C2318="",I2318="",G2318=""),"",IFERROR(VLOOKUP(I2318,Setup!$A$9:$B$11,2,0),"???")&amp;"-"&amp;G2318&amp;"-"&amp;TEXT(COUNTIFS(I$5:I2318,I2318,G$5:G2318,G2318),"0000"))</f>
        <v/>
      </c>
      <c r="C2318" s="26"/>
      <c r="D2318" s="26"/>
      <c r="E2318" s="27"/>
      <c r="F2318" s="27"/>
      <c r="G2318" s="31" t="str">
        <f aca="false">IF(F2318="","",IF(F2318&lt;=5,"A",IF(F2318&lt;=8,"B",IF(F2318&lt;=10,"C","D"))))</f>
        <v/>
      </c>
      <c r="H2318" s="28"/>
      <c r="I2318" s="27"/>
      <c r="J2318" s="26"/>
      <c r="K2318" s="27"/>
      <c r="L2318" s="27"/>
      <c r="M2318" s="27"/>
      <c r="N2318" s="27"/>
      <c r="O2318" s="31" t="str">
        <f aca="false">IF(G2318="","",VLOOKUP(G2318,Setup!$A$14:$C$17,3,0))</f>
        <v/>
      </c>
      <c r="P2318" s="27"/>
      <c r="Q2318" s="33" t="str">
        <f aca="false">IF(OR(P2318="",M2318&lt;&gt;"Paid",O2318=""),"",P2318/O2318)</f>
        <v/>
      </c>
      <c r="R2318" s="34" t="str">
        <f aca="false">IF(Q2318="","",Q2318+N(H2318)*0.000000001)</f>
        <v/>
      </c>
      <c r="S2318" s="32" t="str">
        <f aca="false">IF(R2318="","",SUMPRODUCT((I$5:I$4004=I2318)*ISNUMBER(R$5:R$4004)*(R$5:R$4004&gt;R2318))+1)</f>
        <v/>
      </c>
      <c r="T2318" s="32" t="str">
        <f aca="false">IF(S2318="","",IF(S2318&lt;=Setup!$B$5,"🏆 WINNER",""))</f>
        <v/>
      </c>
      <c r="U2318" s="31" t="str">
        <f aca="false">IF(S2318="","",I2318&amp;"|"&amp;S2318)</f>
        <v/>
      </c>
    </row>
    <row r="2319" customFormat="false" ht="15" hidden="false" customHeight="false" outlineLevel="0" collapsed="false">
      <c r="A2319" s="24" t="n">
        <v>2315</v>
      </c>
      <c r="B2319" s="25" t="str">
        <f aca="false">IF(OR(C2319="",I2319="",G2319=""),"",IFERROR(VLOOKUP(I2319,Setup!$A$9:$B$11,2,0),"???")&amp;"-"&amp;G2319&amp;"-"&amp;TEXT(COUNTIFS(I$5:I2319,I2319,G$5:G2319,G2319),"0000"))</f>
        <v/>
      </c>
      <c r="C2319" s="26"/>
      <c r="D2319" s="26"/>
      <c r="E2319" s="27"/>
      <c r="F2319" s="27"/>
      <c r="G2319" s="24" t="str">
        <f aca="false">IF(F2319="","",IF(F2319&lt;=5,"A",IF(F2319&lt;=8,"B",IF(F2319&lt;=10,"C","D"))))</f>
        <v/>
      </c>
      <c r="H2319" s="28"/>
      <c r="I2319" s="27"/>
      <c r="J2319" s="26"/>
      <c r="K2319" s="27"/>
      <c r="L2319" s="27"/>
      <c r="M2319" s="27"/>
      <c r="N2319" s="27"/>
      <c r="O2319" s="24" t="str">
        <f aca="false">IF(G2319="","",VLOOKUP(G2319,Setup!$A$14:$C$17,3,0))</f>
        <v/>
      </c>
      <c r="P2319" s="27"/>
      <c r="Q2319" s="29" t="str">
        <f aca="false">IF(OR(P2319="",M2319&lt;&gt;"Paid",O2319=""),"",P2319/O2319)</f>
        <v/>
      </c>
      <c r="R2319" s="30" t="str">
        <f aca="false">IF(Q2319="","",Q2319+N(H2319)*0.000000001)</f>
        <v/>
      </c>
      <c r="S2319" s="25" t="str">
        <f aca="false">IF(R2319="","",SUMPRODUCT((I$5:I$4004=I2319)*ISNUMBER(R$5:R$4004)*(R$5:R$4004&gt;R2319))+1)</f>
        <v/>
      </c>
      <c r="T2319" s="25" t="str">
        <f aca="false">IF(S2319="","",IF(S2319&lt;=Setup!$B$5,"🏆 WINNER",""))</f>
        <v/>
      </c>
      <c r="U2319" s="24" t="str">
        <f aca="false">IF(S2319="","",I2319&amp;"|"&amp;S2319)</f>
        <v/>
      </c>
    </row>
    <row r="2320" customFormat="false" ht="15" hidden="false" customHeight="false" outlineLevel="0" collapsed="false">
      <c r="A2320" s="31" t="n">
        <v>2316</v>
      </c>
      <c r="B2320" s="32" t="str">
        <f aca="false">IF(OR(C2320="",I2320="",G2320=""),"",IFERROR(VLOOKUP(I2320,Setup!$A$9:$B$11,2,0),"???")&amp;"-"&amp;G2320&amp;"-"&amp;TEXT(COUNTIFS(I$5:I2320,I2320,G$5:G2320,G2320),"0000"))</f>
        <v/>
      </c>
      <c r="C2320" s="26"/>
      <c r="D2320" s="26"/>
      <c r="E2320" s="27"/>
      <c r="F2320" s="27"/>
      <c r="G2320" s="31" t="str">
        <f aca="false">IF(F2320="","",IF(F2320&lt;=5,"A",IF(F2320&lt;=8,"B",IF(F2320&lt;=10,"C","D"))))</f>
        <v/>
      </c>
      <c r="H2320" s="28"/>
      <c r="I2320" s="27"/>
      <c r="J2320" s="26"/>
      <c r="K2320" s="27"/>
      <c r="L2320" s="27"/>
      <c r="M2320" s="27"/>
      <c r="N2320" s="27"/>
      <c r="O2320" s="31" t="str">
        <f aca="false">IF(G2320="","",VLOOKUP(G2320,Setup!$A$14:$C$17,3,0))</f>
        <v/>
      </c>
      <c r="P2320" s="27"/>
      <c r="Q2320" s="33" t="str">
        <f aca="false">IF(OR(P2320="",M2320&lt;&gt;"Paid",O2320=""),"",P2320/O2320)</f>
        <v/>
      </c>
      <c r="R2320" s="34" t="str">
        <f aca="false">IF(Q2320="","",Q2320+N(H2320)*0.000000001)</f>
        <v/>
      </c>
      <c r="S2320" s="32" t="str">
        <f aca="false">IF(R2320="","",SUMPRODUCT((I$5:I$4004=I2320)*ISNUMBER(R$5:R$4004)*(R$5:R$4004&gt;R2320))+1)</f>
        <v/>
      </c>
      <c r="T2320" s="32" t="str">
        <f aca="false">IF(S2320="","",IF(S2320&lt;=Setup!$B$5,"🏆 WINNER",""))</f>
        <v/>
      </c>
      <c r="U2320" s="31" t="str">
        <f aca="false">IF(S2320="","",I2320&amp;"|"&amp;S2320)</f>
        <v/>
      </c>
    </row>
    <row r="2321" customFormat="false" ht="15" hidden="false" customHeight="false" outlineLevel="0" collapsed="false">
      <c r="A2321" s="24" t="n">
        <v>2317</v>
      </c>
      <c r="B2321" s="25" t="str">
        <f aca="false">IF(OR(C2321="",I2321="",G2321=""),"",IFERROR(VLOOKUP(I2321,Setup!$A$9:$B$11,2,0),"???")&amp;"-"&amp;G2321&amp;"-"&amp;TEXT(COUNTIFS(I$5:I2321,I2321,G$5:G2321,G2321),"0000"))</f>
        <v/>
      </c>
      <c r="C2321" s="26"/>
      <c r="D2321" s="26"/>
      <c r="E2321" s="27"/>
      <c r="F2321" s="27"/>
      <c r="G2321" s="24" t="str">
        <f aca="false">IF(F2321="","",IF(F2321&lt;=5,"A",IF(F2321&lt;=8,"B",IF(F2321&lt;=10,"C","D"))))</f>
        <v/>
      </c>
      <c r="H2321" s="28"/>
      <c r="I2321" s="27"/>
      <c r="J2321" s="26"/>
      <c r="K2321" s="27"/>
      <c r="L2321" s="27"/>
      <c r="M2321" s="27"/>
      <c r="N2321" s="27"/>
      <c r="O2321" s="24" t="str">
        <f aca="false">IF(G2321="","",VLOOKUP(G2321,Setup!$A$14:$C$17,3,0))</f>
        <v/>
      </c>
      <c r="P2321" s="27"/>
      <c r="Q2321" s="29" t="str">
        <f aca="false">IF(OR(P2321="",M2321&lt;&gt;"Paid",O2321=""),"",P2321/O2321)</f>
        <v/>
      </c>
      <c r="R2321" s="30" t="str">
        <f aca="false">IF(Q2321="","",Q2321+N(H2321)*0.000000001)</f>
        <v/>
      </c>
      <c r="S2321" s="25" t="str">
        <f aca="false">IF(R2321="","",SUMPRODUCT((I$5:I$4004=I2321)*ISNUMBER(R$5:R$4004)*(R$5:R$4004&gt;R2321))+1)</f>
        <v/>
      </c>
      <c r="T2321" s="25" t="str">
        <f aca="false">IF(S2321="","",IF(S2321&lt;=Setup!$B$5,"🏆 WINNER",""))</f>
        <v/>
      </c>
      <c r="U2321" s="24" t="str">
        <f aca="false">IF(S2321="","",I2321&amp;"|"&amp;S2321)</f>
        <v/>
      </c>
    </row>
    <row r="2322" customFormat="false" ht="15" hidden="false" customHeight="false" outlineLevel="0" collapsed="false">
      <c r="A2322" s="31" t="n">
        <v>2318</v>
      </c>
      <c r="B2322" s="32" t="str">
        <f aca="false">IF(OR(C2322="",I2322="",G2322=""),"",IFERROR(VLOOKUP(I2322,Setup!$A$9:$B$11,2,0),"???")&amp;"-"&amp;G2322&amp;"-"&amp;TEXT(COUNTIFS(I$5:I2322,I2322,G$5:G2322,G2322),"0000"))</f>
        <v/>
      </c>
      <c r="C2322" s="26"/>
      <c r="D2322" s="26"/>
      <c r="E2322" s="27"/>
      <c r="F2322" s="27"/>
      <c r="G2322" s="31" t="str">
        <f aca="false">IF(F2322="","",IF(F2322&lt;=5,"A",IF(F2322&lt;=8,"B",IF(F2322&lt;=10,"C","D"))))</f>
        <v/>
      </c>
      <c r="H2322" s="28"/>
      <c r="I2322" s="27"/>
      <c r="J2322" s="26"/>
      <c r="K2322" s="27"/>
      <c r="L2322" s="27"/>
      <c r="M2322" s="27"/>
      <c r="N2322" s="27"/>
      <c r="O2322" s="31" t="str">
        <f aca="false">IF(G2322="","",VLOOKUP(G2322,Setup!$A$14:$C$17,3,0))</f>
        <v/>
      </c>
      <c r="P2322" s="27"/>
      <c r="Q2322" s="33" t="str">
        <f aca="false">IF(OR(P2322="",M2322&lt;&gt;"Paid",O2322=""),"",P2322/O2322)</f>
        <v/>
      </c>
      <c r="R2322" s="34" t="str">
        <f aca="false">IF(Q2322="","",Q2322+N(H2322)*0.000000001)</f>
        <v/>
      </c>
      <c r="S2322" s="32" t="str">
        <f aca="false">IF(R2322="","",SUMPRODUCT((I$5:I$4004=I2322)*ISNUMBER(R$5:R$4004)*(R$5:R$4004&gt;R2322))+1)</f>
        <v/>
      </c>
      <c r="T2322" s="32" t="str">
        <f aca="false">IF(S2322="","",IF(S2322&lt;=Setup!$B$5,"🏆 WINNER",""))</f>
        <v/>
      </c>
      <c r="U2322" s="31" t="str">
        <f aca="false">IF(S2322="","",I2322&amp;"|"&amp;S2322)</f>
        <v/>
      </c>
    </row>
    <row r="2323" customFormat="false" ht="15" hidden="false" customHeight="false" outlineLevel="0" collapsed="false">
      <c r="A2323" s="24" t="n">
        <v>2319</v>
      </c>
      <c r="B2323" s="25" t="str">
        <f aca="false">IF(OR(C2323="",I2323="",G2323=""),"",IFERROR(VLOOKUP(I2323,Setup!$A$9:$B$11,2,0),"???")&amp;"-"&amp;G2323&amp;"-"&amp;TEXT(COUNTIFS(I$5:I2323,I2323,G$5:G2323,G2323),"0000"))</f>
        <v/>
      </c>
      <c r="C2323" s="26"/>
      <c r="D2323" s="26"/>
      <c r="E2323" s="27"/>
      <c r="F2323" s="27"/>
      <c r="G2323" s="24" t="str">
        <f aca="false">IF(F2323="","",IF(F2323&lt;=5,"A",IF(F2323&lt;=8,"B",IF(F2323&lt;=10,"C","D"))))</f>
        <v/>
      </c>
      <c r="H2323" s="28"/>
      <c r="I2323" s="27"/>
      <c r="J2323" s="26"/>
      <c r="K2323" s="27"/>
      <c r="L2323" s="27"/>
      <c r="M2323" s="27"/>
      <c r="N2323" s="27"/>
      <c r="O2323" s="24" t="str">
        <f aca="false">IF(G2323="","",VLOOKUP(G2323,Setup!$A$14:$C$17,3,0))</f>
        <v/>
      </c>
      <c r="P2323" s="27"/>
      <c r="Q2323" s="29" t="str">
        <f aca="false">IF(OR(P2323="",M2323&lt;&gt;"Paid",O2323=""),"",P2323/O2323)</f>
        <v/>
      </c>
      <c r="R2323" s="30" t="str">
        <f aca="false">IF(Q2323="","",Q2323+N(H2323)*0.000000001)</f>
        <v/>
      </c>
      <c r="S2323" s="25" t="str">
        <f aca="false">IF(R2323="","",SUMPRODUCT((I$5:I$4004=I2323)*ISNUMBER(R$5:R$4004)*(R$5:R$4004&gt;R2323))+1)</f>
        <v/>
      </c>
      <c r="T2323" s="25" t="str">
        <f aca="false">IF(S2323="","",IF(S2323&lt;=Setup!$B$5,"🏆 WINNER",""))</f>
        <v/>
      </c>
      <c r="U2323" s="24" t="str">
        <f aca="false">IF(S2323="","",I2323&amp;"|"&amp;S2323)</f>
        <v/>
      </c>
    </row>
    <row r="2324" customFormat="false" ht="15" hidden="false" customHeight="false" outlineLevel="0" collapsed="false">
      <c r="A2324" s="31" t="n">
        <v>2320</v>
      </c>
      <c r="B2324" s="32" t="str">
        <f aca="false">IF(OR(C2324="",I2324="",G2324=""),"",IFERROR(VLOOKUP(I2324,Setup!$A$9:$B$11,2,0),"???")&amp;"-"&amp;G2324&amp;"-"&amp;TEXT(COUNTIFS(I$5:I2324,I2324,G$5:G2324,G2324),"0000"))</f>
        <v/>
      </c>
      <c r="C2324" s="26"/>
      <c r="D2324" s="26"/>
      <c r="E2324" s="27"/>
      <c r="F2324" s="27"/>
      <c r="G2324" s="31" t="str">
        <f aca="false">IF(F2324="","",IF(F2324&lt;=5,"A",IF(F2324&lt;=8,"B",IF(F2324&lt;=10,"C","D"))))</f>
        <v/>
      </c>
      <c r="H2324" s="28"/>
      <c r="I2324" s="27"/>
      <c r="J2324" s="26"/>
      <c r="K2324" s="27"/>
      <c r="L2324" s="27"/>
      <c r="M2324" s="27"/>
      <c r="N2324" s="27"/>
      <c r="O2324" s="31" t="str">
        <f aca="false">IF(G2324="","",VLOOKUP(G2324,Setup!$A$14:$C$17,3,0))</f>
        <v/>
      </c>
      <c r="P2324" s="27"/>
      <c r="Q2324" s="33" t="str">
        <f aca="false">IF(OR(P2324="",M2324&lt;&gt;"Paid",O2324=""),"",P2324/O2324)</f>
        <v/>
      </c>
      <c r="R2324" s="34" t="str">
        <f aca="false">IF(Q2324="","",Q2324+N(H2324)*0.000000001)</f>
        <v/>
      </c>
      <c r="S2324" s="32" t="str">
        <f aca="false">IF(R2324="","",SUMPRODUCT((I$5:I$4004=I2324)*ISNUMBER(R$5:R$4004)*(R$5:R$4004&gt;R2324))+1)</f>
        <v/>
      </c>
      <c r="T2324" s="32" t="str">
        <f aca="false">IF(S2324="","",IF(S2324&lt;=Setup!$B$5,"🏆 WINNER",""))</f>
        <v/>
      </c>
      <c r="U2324" s="31" t="str">
        <f aca="false">IF(S2324="","",I2324&amp;"|"&amp;S2324)</f>
        <v/>
      </c>
    </row>
    <row r="2325" customFormat="false" ht="15" hidden="false" customHeight="false" outlineLevel="0" collapsed="false">
      <c r="A2325" s="24" t="n">
        <v>2321</v>
      </c>
      <c r="B2325" s="25" t="str">
        <f aca="false">IF(OR(C2325="",I2325="",G2325=""),"",IFERROR(VLOOKUP(I2325,Setup!$A$9:$B$11,2,0),"???")&amp;"-"&amp;G2325&amp;"-"&amp;TEXT(COUNTIFS(I$5:I2325,I2325,G$5:G2325,G2325),"0000"))</f>
        <v/>
      </c>
      <c r="C2325" s="26"/>
      <c r="D2325" s="26"/>
      <c r="E2325" s="27"/>
      <c r="F2325" s="27"/>
      <c r="G2325" s="24" t="str">
        <f aca="false">IF(F2325="","",IF(F2325&lt;=5,"A",IF(F2325&lt;=8,"B",IF(F2325&lt;=10,"C","D"))))</f>
        <v/>
      </c>
      <c r="H2325" s="28"/>
      <c r="I2325" s="27"/>
      <c r="J2325" s="26"/>
      <c r="K2325" s="27"/>
      <c r="L2325" s="27"/>
      <c r="M2325" s="27"/>
      <c r="N2325" s="27"/>
      <c r="O2325" s="24" t="str">
        <f aca="false">IF(G2325="","",VLOOKUP(G2325,Setup!$A$14:$C$17,3,0))</f>
        <v/>
      </c>
      <c r="P2325" s="27"/>
      <c r="Q2325" s="29" t="str">
        <f aca="false">IF(OR(P2325="",M2325&lt;&gt;"Paid",O2325=""),"",P2325/O2325)</f>
        <v/>
      </c>
      <c r="R2325" s="30" t="str">
        <f aca="false">IF(Q2325="","",Q2325+N(H2325)*0.000000001)</f>
        <v/>
      </c>
      <c r="S2325" s="25" t="str">
        <f aca="false">IF(R2325="","",SUMPRODUCT((I$5:I$4004=I2325)*ISNUMBER(R$5:R$4004)*(R$5:R$4004&gt;R2325))+1)</f>
        <v/>
      </c>
      <c r="T2325" s="25" t="str">
        <f aca="false">IF(S2325="","",IF(S2325&lt;=Setup!$B$5,"🏆 WINNER",""))</f>
        <v/>
      </c>
      <c r="U2325" s="24" t="str">
        <f aca="false">IF(S2325="","",I2325&amp;"|"&amp;S2325)</f>
        <v/>
      </c>
    </row>
    <row r="2326" customFormat="false" ht="15" hidden="false" customHeight="false" outlineLevel="0" collapsed="false">
      <c r="A2326" s="31" t="n">
        <v>2322</v>
      </c>
      <c r="B2326" s="32" t="str">
        <f aca="false">IF(OR(C2326="",I2326="",G2326=""),"",IFERROR(VLOOKUP(I2326,Setup!$A$9:$B$11,2,0),"???")&amp;"-"&amp;G2326&amp;"-"&amp;TEXT(COUNTIFS(I$5:I2326,I2326,G$5:G2326,G2326),"0000"))</f>
        <v/>
      </c>
      <c r="C2326" s="26"/>
      <c r="D2326" s="26"/>
      <c r="E2326" s="27"/>
      <c r="F2326" s="27"/>
      <c r="G2326" s="31" t="str">
        <f aca="false">IF(F2326="","",IF(F2326&lt;=5,"A",IF(F2326&lt;=8,"B",IF(F2326&lt;=10,"C","D"))))</f>
        <v/>
      </c>
      <c r="H2326" s="28"/>
      <c r="I2326" s="27"/>
      <c r="J2326" s="26"/>
      <c r="K2326" s="27"/>
      <c r="L2326" s="27"/>
      <c r="M2326" s="27"/>
      <c r="N2326" s="27"/>
      <c r="O2326" s="31" t="str">
        <f aca="false">IF(G2326="","",VLOOKUP(G2326,Setup!$A$14:$C$17,3,0))</f>
        <v/>
      </c>
      <c r="P2326" s="27"/>
      <c r="Q2326" s="33" t="str">
        <f aca="false">IF(OR(P2326="",M2326&lt;&gt;"Paid",O2326=""),"",P2326/O2326)</f>
        <v/>
      </c>
      <c r="R2326" s="34" t="str">
        <f aca="false">IF(Q2326="","",Q2326+N(H2326)*0.000000001)</f>
        <v/>
      </c>
      <c r="S2326" s="32" t="str">
        <f aca="false">IF(R2326="","",SUMPRODUCT((I$5:I$4004=I2326)*ISNUMBER(R$5:R$4004)*(R$5:R$4004&gt;R2326))+1)</f>
        <v/>
      </c>
      <c r="T2326" s="32" t="str">
        <f aca="false">IF(S2326="","",IF(S2326&lt;=Setup!$B$5,"🏆 WINNER",""))</f>
        <v/>
      </c>
      <c r="U2326" s="31" t="str">
        <f aca="false">IF(S2326="","",I2326&amp;"|"&amp;S2326)</f>
        <v/>
      </c>
    </row>
    <row r="2327" customFormat="false" ht="15" hidden="false" customHeight="false" outlineLevel="0" collapsed="false">
      <c r="A2327" s="24" t="n">
        <v>2323</v>
      </c>
      <c r="B2327" s="25" t="str">
        <f aca="false">IF(OR(C2327="",I2327="",G2327=""),"",IFERROR(VLOOKUP(I2327,Setup!$A$9:$B$11,2,0),"???")&amp;"-"&amp;G2327&amp;"-"&amp;TEXT(COUNTIFS(I$5:I2327,I2327,G$5:G2327,G2327),"0000"))</f>
        <v/>
      </c>
      <c r="C2327" s="26"/>
      <c r="D2327" s="26"/>
      <c r="E2327" s="27"/>
      <c r="F2327" s="27"/>
      <c r="G2327" s="24" t="str">
        <f aca="false">IF(F2327="","",IF(F2327&lt;=5,"A",IF(F2327&lt;=8,"B",IF(F2327&lt;=10,"C","D"))))</f>
        <v/>
      </c>
      <c r="H2327" s="28"/>
      <c r="I2327" s="27"/>
      <c r="J2327" s="26"/>
      <c r="K2327" s="27"/>
      <c r="L2327" s="27"/>
      <c r="M2327" s="27"/>
      <c r="N2327" s="27"/>
      <c r="O2327" s="24" t="str">
        <f aca="false">IF(G2327="","",VLOOKUP(G2327,Setup!$A$14:$C$17,3,0))</f>
        <v/>
      </c>
      <c r="P2327" s="27"/>
      <c r="Q2327" s="29" t="str">
        <f aca="false">IF(OR(P2327="",M2327&lt;&gt;"Paid",O2327=""),"",P2327/O2327)</f>
        <v/>
      </c>
      <c r="R2327" s="30" t="str">
        <f aca="false">IF(Q2327="","",Q2327+N(H2327)*0.000000001)</f>
        <v/>
      </c>
      <c r="S2327" s="25" t="str">
        <f aca="false">IF(R2327="","",SUMPRODUCT((I$5:I$4004=I2327)*ISNUMBER(R$5:R$4004)*(R$5:R$4004&gt;R2327))+1)</f>
        <v/>
      </c>
      <c r="T2327" s="25" t="str">
        <f aca="false">IF(S2327="","",IF(S2327&lt;=Setup!$B$5,"🏆 WINNER",""))</f>
        <v/>
      </c>
      <c r="U2327" s="24" t="str">
        <f aca="false">IF(S2327="","",I2327&amp;"|"&amp;S2327)</f>
        <v/>
      </c>
    </row>
    <row r="2328" customFormat="false" ht="15" hidden="false" customHeight="false" outlineLevel="0" collapsed="false">
      <c r="A2328" s="31" t="n">
        <v>2324</v>
      </c>
      <c r="B2328" s="32" t="str">
        <f aca="false">IF(OR(C2328="",I2328="",G2328=""),"",IFERROR(VLOOKUP(I2328,Setup!$A$9:$B$11,2,0),"???")&amp;"-"&amp;G2328&amp;"-"&amp;TEXT(COUNTIFS(I$5:I2328,I2328,G$5:G2328,G2328),"0000"))</f>
        <v/>
      </c>
      <c r="C2328" s="26"/>
      <c r="D2328" s="26"/>
      <c r="E2328" s="27"/>
      <c r="F2328" s="27"/>
      <c r="G2328" s="31" t="str">
        <f aca="false">IF(F2328="","",IF(F2328&lt;=5,"A",IF(F2328&lt;=8,"B",IF(F2328&lt;=10,"C","D"))))</f>
        <v/>
      </c>
      <c r="H2328" s="28"/>
      <c r="I2328" s="27"/>
      <c r="J2328" s="26"/>
      <c r="K2328" s="27"/>
      <c r="L2328" s="27"/>
      <c r="M2328" s="27"/>
      <c r="N2328" s="27"/>
      <c r="O2328" s="31" t="str">
        <f aca="false">IF(G2328="","",VLOOKUP(G2328,Setup!$A$14:$C$17,3,0))</f>
        <v/>
      </c>
      <c r="P2328" s="27"/>
      <c r="Q2328" s="33" t="str">
        <f aca="false">IF(OR(P2328="",M2328&lt;&gt;"Paid",O2328=""),"",P2328/O2328)</f>
        <v/>
      </c>
      <c r="R2328" s="34" t="str">
        <f aca="false">IF(Q2328="","",Q2328+N(H2328)*0.000000001)</f>
        <v/>
      </c>
      <c r="S2328" s="32" t="str">
        <f aca="false">IF(R2328="","",SUMPRODUCT((I$5:I$4004=I2328)*ISNUMBER(R$5:R$4004)*(R$5:R$4004&gt;R2328))+1)</f>
        <v/>
      </c>
      <c r="T2328" s="32" t="str">
        <f aca="false">IF(S2328="","",IF(S2328&lt;=Setup!$B$5,"🏆 WINNER",""))</f>
        <v/>
      </c>
      <c r="U2328" s="31" t="str">
        <f aca="false">IF(S2328="","",I2328&amp;"|"&amp;S2328)</f>
        <v/>
      </c>
    </row>
    <row r="2329" customFormat="false" ht="15" hidden="false" customHeight="false" outlineLevel="0" collapsed="false">
      <c r="A2329" s="24" t="n">
        <v>2325</v>
      </c>
      <c r="B2329" s="25" t="str">
        <f aca="false">IF(OR(C2329="",I2329="",G2329=""),"",IFERROR(VLOOKUP(I2329,Setup!$A$9:$B$11,2,0),"???")&amp;"-"&amp;G2329&amp;"-"&amp;TEXT(COUNTIFS(I$5:I2329,I2329,G$5:G2329,G2329),"0000"))</f>
        <v/>
      </c>
      <c r="C2329" s="26"/>
      <c r="D2329" s="26"/>
      <c r="E2329" s="27"/>
      <c r="F2329" s="27"/>
      <c r="G2329" s="24" t="str">
        <f aca="false">IF(F2329="","",IF(F2329&lt;=5,"A",IF(F2329&lt;=8,"B",IF(F2329&lt;=10,"C","D"))))</f>
        <v/>
      </c>
      <c r="H2329" s="28"/>
      <c r="I2329" s="27"/>
      <c r="J2329" s="26"/>
      <c r="K2329" s="27"/>
      <c r="L2329" s="27"/>
      <c r="M2329" s="27"/>
      <c r="N2329" s="27"/>
      <c r="O2329" s="24" t="str">
        <f aca="false">IF(G2329="","",VLOOKUP(G2329,Setup!$A$14:$C$17,3,0))</f>
        <v/>
      </c>
      <c r="P2329" s="27"/>
      <c r="Q2329" s="29" t="str">
        <f aca="false">IF(OR(P2329="",M2329&lt;&gt;"Paid",O2329=""),"",P2329/O2329)</f>
        <v/>
      </c>
      <c r="R2329" s="30" t="str">
        <f aca="false">IF(Q2329="","",Q2329+N(H2329)*0.000000001)</f>
        <v/>
      </c>
      <c r="S2329" s="25" t="str">
        <f aca="false">IF(R2329="","",SUMPRODUCT((I$5:I$4004=I2329)*ISNUMBER(R$5:R$4004)*(R$5:R$4004&gt;R2329))+1)</f>
        <v/>
      </c>
      <c r="T2329" s="25" t="str">
        <f aca="false">IF(S2329="","",IF(S2329&lt;=Setup!$B$5,"🏆 WINNER",""))</f>
        <v/>
      </c>
      <c r="U2329" s="24" t="str">
        <f aca="false">IF(S2329="","",I2329&amp;"|"&amp;S2329)</f>
        <v/>
      </c>
    </row>
    <row r="2330" customFormat="false" ht="15" hidden="false" customHeight="false" outlineLevel="0" collapsed="false">
      <c r="A2330" s="31" t="n">
        <v>2326</v>
      </c>
      <c r="B2330" s="32" t="str">
        <f aca="false">IF(OR(C2330="",I2330="",G2330=""),"",IFERROR(VLOOKUP(I2330,Setup!$A$9:$B$11,2,0),"???")&amp;"-"&amp;G2330&amp;"-"&amp;TEXT(COUNTIFS(I$5:I2330,I2330,G$5:G2330,G2330),"0000"))</f>
        <v/>
      </c>
      <c r="C2330" s="26"/>
      <c r="D2330" s="26"/>
      <c r="E2330" s="27"/>
      <c r="F2330" s="27"/>
      <c r="G2330" s="31" t="str">
        <f aca="false">IF(F2330="","",IF(F2330&lt;=5,"A",IF(F2330&lt;=8,"B",IF(F2330&lt;=10,"C","D"))))</f>
        <v/>
      </c>
      <c r="H2330" s="28"/>
      <c r="I2330" s="27"/>
      <c r="J2330" s="26"/>
      <c r="K2330" s="27"/>
      <c r="L2330" s="27"/>
      <c r="M2330" s="27"/>
      <c r="N2330" s="27"/>
      <c r="O2330" s="31" t="str">
        <f aca="false">IF(G2330="","",VLOOKUP(G2330,Setup!$A$14:$C$17,3,0))</f>
        <v/>
      </c>
      <c r="P2330" s="27"/>
      <c r="Q2330" s="33" t="str">
        <f aca="false">IF(OR(P2330="",M2330&lt;&gt;"Paid",O2330=""),"",P2330/O2330)</f>
        <v/>
      </c>
      <c r="R2330" s="34" t="str">
        <f aca="false">IF(Q2330="","",Q2330+N(H2330)*0.000000001)</f>
        <v/>
      </c>
      <c r="S2330" s="32" t="str">
        <f aca="false">IF(R2330="","",SUMPRODUCT((I$5:I$4004=I2330)*ISNUMBER(R$5:R$4004)*(R$5:R$4004&gt;R2330))+1)</f>
        <v/>
      </c>
      <c r="T2330" s="32" t="str">
        <f aca="false">IF(S2330="","",IF(S2330&lt;=Setup!$B$5,"🏆 WINNER",""))</f>
        <v/>
      </c>
      <c r="U2330" s="31" t="str">
        <f aca="false">IF(S2330="","",I2330&amp;"|"&amp;S2330)</f>
        <v/>
      </c>
    </row>
    <row r="2331" customFormat="false" ht="15" hidden="false" customHeight="false" outlineLevel="0" collapsed="false">
      <c r="A2331" s="24" t="n">
        <v>2327</v>
      </c>
      <c r="B2331" s="25" t="str">
        <f aca="false">IF(OR(C2331="",I2331="",G2331=""),"",IFERROR(VLOOKUP(I2331,Setup!$A$9:$B$11,2,0),"???")&amp;"-"&amp;G2331&amp;"-"&amp;TEXT(COUNTIFS(I$5:I2331,I2331,G$5:G2331,G2331),"0000"))</f>
        <v/>
      </c>
      <c r="C2331" s="26"/>
      <c r="D2331" s="26"/>
      <c r="E2331" s="27"/>
      <c r="F2331" s="27"/>
      <c r="G2331" s="24" t="str">
        <f aca="false">IF(F2331="","",IF(F2331&lt;=5,"A",IF(F2331&lt;=8,"B",IF(F2331&lt;=10,"C","D"))))</f>
        <v/>
      </c>
      <c r="H2331" s="28"/>
      <c r="I2331" s="27"/>
      <c r="J2331" s="26"/>
      <c r="K2331" s="27"/>
      <c r="L2331" s="27"/>
      <c r="M2331" s="27"/>
      <c r="N2331" s="27"/>
      <c r="O2331" s="24" t="str">
        <f aca="false">IF(G2331="","",VLOOKUP(G2331,Setup!$A$14:$C$17,3,0))</f>
        <v/>
      </c>
      <c r="P2331" s="27"/>
      <c r="Q2331" s="29" t="str">
        <f aca="false">IF(OR(P2331="",M2331&lt;&gt;"Paid",O2331=""),"",P2331/O2331)</f>
        <v/>
      </c>
      <c r="R2331" s="30" t="str">
        <f aca="false">IF(Q2331="","",Q2331+N(H2331)*0.000000001)</f>
        <v/>
      </c>
      <c r="S2331" s="25" t="str">
        <f aca="false">IF(R2331="","",SUMPRODUCT((I$5:I$4004=I2331)*ISNUMBER(R$5:R$4004)*(R$5:R$4004&gt;R2331))+1)</f>
        <v/>
      </c>
      <c r="T2331" s="25" t="str">
        <f aca="false">IF(S2331="","",IF(S2331&lt;=Setup!$B$5,"🏆 WINNER",""))</f>
        <v/>
      </c>
      <c r="U2331" s="24" t="str">
        <f aca="false">IF(S2331="","",I2331&amp;"|"&amp;S2331)</f>
        <v/>
      </c>
    </row>
    <row r="2332" customFormat="false" ht="15" hidden="false" customHeight="false" outlineLevel="0" collapsed="false">
      <c r="A2332" s="31" t="n">
        <v>2328</v>
      </c>
      <c r="B2332" s="32" t="str">
        <f aca="false">IF(OR(C2332="",I2332="",G2332=""),"",IFERROR(VLOOKUP(I2332,Setup!$A$9:$B$11,2,0),"???")&amp;"-"&amp;G2332&amp;"-"&amp;TEXT(COUNTIFS(I$5:I2332,I2332,G$5:G2332,G2332),"0000"))</f>
        <v/>
      </c>
      <c r="C2332" s="26"/>
      <c r="D2332" s="26"/>
      <c r="E2332" s="27"/>
      <c r="F2332" s="27"/>
      <c r="G2332" s="31" t="str">
        <f aca="false">IF(F2332="","",IF(F2332&lt;=5,"A",IF(F2332&lt;=8,"B",IF(F2332&lt;=10,"C","D"))))</f>
        <v/>
      </c>
      <c r="H2332" s="28"/>
      <c r="I2332" s="27"/>
      <c r="J2332" s="26"/>
      <c r="K2332" s="27"/>
      <c r="L2332" s="27"/>
      <c r="M2332" s="27"/>
      <c r="N2332" s="27"/>
      <c r="O2332" s="31" t="str">
        <f aca="false">IF(G2332="","",VLOOKUP(G2332,Setup!$A$14:$C$17,3,0))</f>
        <v/>
      </c>
      <c r="P2332" s="27"/>
      <c r="Q2332" s="33" t="str">
        <f aca="false">IF(OR(P2332="",M2332&lt;&gt;"Paid",O2332=""),"",P2332/O2332)</f>
        <v/>
      </c>
      <c r="R2332" s="34" t="str">
        <f aca="false">IF(Q2332="","",Q2332+N(H2332)*0.000000001)</f>
        <v/>
      </c>
      <c r="S2332" s="32" t="str">
        <f aca="false">IF(R2332="","",SUMPRODUCT((I$5:I$4004=I2332)*ISNUMBER(R$5:R$4004)*(R$5:R$4004&gt;R2332))+1)</f>
        <v/>
      </c>
      <c r="T2332" s="32" t="str">
        <f aca="false">IF(S2332="","",IF(S2332&lt;=Setup!$B$5,"🏆 WINNER",""))</f>
        <v/>
      </c>
      <c r="U2332" s="31" t="str">
        <f aca="false">IF(S2332="","",I2332&amp;"|"&amp;S2332)</f>
        <v/>
      </c>
    </row>
    <row r="2333" customFormat="false" ht="15" hidden="false" customHeight="false" outlineLevel="0" collapsed="false">
      <c r="A2333" s="24" t="n">
        <v>2329</v>
      </c>
      <c r="B2333" s="25" t="str">
        <f aca="false">IF(OR(C2333="",I2333="",G2333=""),"",IFERROR(VLOOKUP(I2333,Setup!$A$9:$B$11,2,0),"???")&amp;"-"&amp;G2333&amp;"-"&amp;TEXT(COUNTIFS(I$5:I2333,I2333,G$5:G2333,G2333),"0000"))</f>
        <v/>
      </c>
      <c r="C2333" s="26"/>
      <c r="D2333" s="26"/>
      <c r="E2333" s="27"/>
      <c r="F2333" s="27"/>
      <c r="G2333" s="24" t="str">
        <f aca="false">IF(F2333="","",IF(F2333&lt;=5,"A",IF(F2333&lt;=8,"B",IF(F2333&lt;=10,"C","D"))))</f>
        <v/>
      </c>
      <c r="H2333" s="28"/>
      <c r="I2333" s="27"/>
      <c r="J2333" s="26"/>
      <c r="K2333" s="27"/>
      <c r="L2333" s="27"/>
      <c r="M2333" s="27"/>
      <c r="N2333" s="27"/>
      <c r="O2333" s="24" t="str">
        <f aca="false">IF(G2333="","",VLOOKUP(G2333,Setup!$A$14:$C$17,3,0))</f>
        <v/>
      </c>
      <c r="P2333" s="27"/>
      <c r="Q2333" s="29" t="str">
        <f aca="false">IF(OR(P2333="",M2333&lt;&gt;"Paid",O2333=""),"",P2333/O2333)</f>
        <v/>
      </c>
      <c r="R2333" s="30" t="str">
        <f aca="false">IF(Q2333="","",Q2333+N(H2333)*0.000000001)</f>
        <v/>
      </c>
      <c r="S2333" s="25" t="str">
        <f aca="false">IF(R2333="","",SUMPRODUCT((I$5:I$4004=I2333)*ISNUMBER(R$5:R$4004)*(R$5:R$4004&gt;R2333))+1)</f>
        <v/>
      </c>
      <c r="T2333" s="25" t="str">
        <f aca="false">IF(S2333="","",IF(S2333&lt;=Setup!$B$5,"🏆 WINNER",""))</f>
        <v/>
      </c>
      <c r="U2333" s="24" t="str">
        <f aca="false">IF(S2333="","",I2333&amp;"|"&amp;S2333)</f>
        <v/>
      </c>
    </row>
    <row r="2334" customFormat="false" ht="15" hidden="false" customHeight="false" outlineLevel="0" collapsed="false">
      <c r="A2334" s="31" t="n">
        <v>2330</v>
      </c>
      <c r="B2334" s="32" t="str">
        <f aca="false">IF(OR(C2334="",I2334="",G2334=""),"",IFERROR(VLOOKUP(I2334,Setup!$A$9:$B$11,2,0),"???")&amp;"-"&amp;G2334&amp;"-"&amp;TEXT(COUNTIFS(I$5:I2334,I2334,G$5:G2334,G2334),"0000"))</f>
        <v/>
      </c>
      <c r="C2334" s="26"/>
      <c r="D2334" s="26"/>
      <c r="E2334" s="27"/>
      <c r="F2334" s="27"/>
      <c r="G2334" s="31" t="str">
        <f aca="false">IF(F2334="","",IF(F2334&lt;=5,"A",IF(F2334&lt;=8,"B",IF(F2334&lt;=10,"C","D"))))</f>
        <v/>
      </c>
      <c r="H2334" s="28"/>
      <c r="I2334" s="27"/>
      <c r="J2334" s="26"/>
      <c r="K2334" s="27"/>
      <c r="L2334" s="27"/>
      <c r="M2334" s="27"/>
      <c r="N2334" s="27"/>
      <c r="O2334" s="31" t="str">
        <f aca="false">IF(G2334="","",VLOOKUP(G2334,Setup!$A$14:$C$17,3,0))</f>
        <v/>
      </c>
      <c r="P2334" s="27"/>
      <c r="Q2334" s="33" t="str">
        <f aca="false">IF(OR(P2334="",M2334&lt;&gt;"Paid",O2334=""),"",P2334/O2334)</f>
        <v/>
      </c>
      <c r="R2334" s="34" t="str">
        <f aca="false">IF(Q2334="","",Q2334+N(H2334)*0.000000001)</f>
        <v/>
      </c>
      <c r="S2334" s="32" t="str">
        <f aca="false">IF(R2334="","",SUMPRODUCT((I$5:I$4004=I2334)*ISNUMBER(R$5:R$4004)*(R$5:R$4004&gt;R2334))+1)</f>
        <v/>
      </c>
      <c r="T2334" s="32" t="str">
        <f aca="false">IF(S2334="","",IF(S2334&lt;=Setup!$B$5,"🏆 WINNER",""))</f>
        <v/>
      </c>
      <c r="U2334" s="31" t="str">
        <f aca="false">IF(S2334="","",I2334&amp;"|"&amp;S2334)</f>
        <v/>
      </c>
    </row>
    <row r="2335" customFormat="false" ht="15" hidden="false" customHeight="false" outlineLevel="0" collapsed="false">
      <c r="A2335" s="24" t="n">
        <v>2331</v>
      </c>
      <c r="B2335" s="25" t="str">
        <f aca="false">IF(OR(C2335="",I2335="",G2335=""),"",IFERROR(VLOOKUP(I2335,Setup!$A$9:$B$11,2,0),"???")&amp;"-"&amp;G2335&amp;"-"&amp;TEXT(COUNTIFS(I$5:I2335,I2335,G$5:G2335,G2335),"0000"))</f>
        <v/>
      </c>
      <c r="C2335" s="26"/>
      <c r="D2335" s="26"/>
      <c r="E2335" s="27"/>
      <c r="F2335" s="27"/>
      <c r="G2335" s="24" t="str">
        <f aca="false">IF(F2335="","",IF(F2335&lt;=5,"A",IF(F2335&lt;=8,"B",IF(F2335&lt;=10,"C","D"))))</f>
        <v/>
      </c>
      <c r="H2335" s="28"/>
      <c r="I2335" s="27"/>
      <c r="J2335" s="26"/>
      <c r="K2335" s="27"/>
      <c r="L2335" s="27"/>
      <c r="M2335" s="27"/>
      <c r="N2335" s="27"/>
      <c r="O2335" s="24" t="str">
        <f aca="false">IF(G2335="","",VLOOKUP(G2335,Setup!$A$14:$C$17,3,0))</f>
        <v/>
      </c>
      <c r="P2335" s="27"/>
      <c r="Q2335" s="29" t="str">
        <f aca="false">IF(OR(P2335="",M2335&lt;&gt;"Paid",O2335=""),"",P2335/O2335)</f>
        <v/>
      </c>
      <c r="R2335" s="30" t="str">
        <f aca="false">IF(Q2335="","",Q2335+N(H2335)*0.000000001)</f>
        <v/>
      </c>
      <c r="S2335" s="25" t="str">
        <f aca="false">IF(R2335="","",SUMPRODUCT((I$5:I$4004=I2335)*ISNUMBER(R$5:R$4004)*(R$5:R$4004&gt;R2335))+1)</f>
        <v/>
      </c>
      <c r="T2335" s="25" t="str">
        <f aca="false">IF(S2335="","",IF(S2335&lt;=Setup!$B$5,"🏆 WINNER",""))</f>
        <v/>
      </c>
      <c r="U2335" s="24" t="str">
        <f aca="false">IF(S2335="","",I2335&amp;"|"&amp;S2335)</f>
        <v/>
      </c>
    </row>
    <row r="2336" customFormat="false" ht="15" hidden="false" customHeight="false" outlineLevel="0" collapsed="false">
      <c r="A2336" s="31" t="n">
        <v>2332</v>
      </c>
      <c r="B2336" s="32" t="str">
        <f aca="false">IF(OR(C2336="",I2336="",G2336=""),"",IFERROR(VLOOKUP(I2336,Setup!$A$9:$B$11,2,0),"???")&amp;"-"&amp;G2336&amp;"-"&amp;TEXT(COUNTIFS(I$5:I2336,I2336,G$5:G2336,G2336),"0000"))</f>
        <v/>
      </c>
      <c r="C2336" s="26"/>
      <c r="D2336" s="26"/>
      <c r="E2336" s="27"/>
      <c r="F2336" s="27"/>
      <c r="G2336" s="31" t="str">
        <f aca="false">IF(F2336="","",IF(F2336&lt;=5,"A",IF(F2336&lt;=8,"B",IF(F2336&lt;=10,"C","D"))))</f>
        <v/>
      </c>
      <c r="H2336" s="28"/>
      <c r="I2336" s="27"/>
      <c r="J2336" s="26"/>
      <c r="K2336" s="27"/>
      <c r="L2336" s="27"/>
      <c r="M2336" s="27"/>
      <c r="N2336" s="27"/>
      <c r="O2336" s="31" t="str">
        <f aca="false">IF(G2336="","",VLOOKUP(G2336,Setup!$A$14:$C$17,3,0))</f>
        <v/>
      </c>
      <c r="P2336" s="27"/>
      <c r="Q2336" s="33" t="str">
        <f aca="false">IF(OR(P2336="",M2336&lt;&gt;"Paid",O2336=""),"",P2336/O2336)</f>
        <v/>
      </c>
      <c r="R2336" s="34" t="str">
        <f aca="false">IF(Q2336="","",Q2336+N(H2336)*0.000000001)</f>
        <v/>
      </c>
      <c r="S2336" s="32" t="str">
        <f aca="false">IF(R2336="","",SUMPRODUCT((I$5:I$4004=I2336)*ISNUMBER(R$5:R$4004)*(R$5:R$4004&gt;R2336))+1)</f>
        <v/>
      </c>
      <c r="T2336" s="32" t="str">
        <f aca="false">IF(S2336="","",IF(S2336&lt;=Setup!$B$5,"🏆 WINNER",""))</f>
        <v/>
      </c>
      <c r="U2336" s="31" t="str">
        <f aca="false">IF(S2336="","",I2336&amp;"|"&amp;S2336)</f>
        <v/>
      </c>
    </row>
    <row r="2337" customFormat="false" ht="15" hidden="false" customHeight="false" outlineLevel="0" collapsed="false">
      <c r="A2337" s="24" t="n">
        <v>2333</v>
      </c>
      <c r="B2337" s="25" t="str">
        <f aca="false">IF(OR(C2337="",I2337="",G2337=""),"",IFERROR(VLOOKUP(I2337,Setup!$A$9:$B$11,2,0),"???")&amp;"-"&amp;G2337&amp;"-"&amp;TEXT(COUNTIFS(I$5:I2337,I2337,G$5:G2337,G2337),"0000"))</f>
        <v/>
      </c>
      <c r="C2337" s="26"/>
      <c r="D2337" s="26"/>
      <c r="E2337" s="27"/>
      <c r="F2337" s="27"/>
      <c r="G2337" s="24" t="str">
        <f aca="false">IF(F2337="","",IF(F2337&lt;=5,"A",IF(F2337&lt;=8,"B",IF(F2337&lt;=10,"C","D"))))</f>
        <v/>
      </c>
      <c r="H2337" s="28"/>
      <c r="I2337" s="27"/>
      <c r="J2337" s="26"/>
      <c r="K2337" s="27"/>
      <c r="L2337" s="27"/>
      <c r="M2337" s="27"/>
      <c r="N2337" s="27"/>
      <c r="O2337" s="24" t="str">
        <f aca="false">IF(G2337="","",VLOOKUP(G2337,Setup!$A$14:$C$17,3,0))</f>
        <v/>
      </c>
      <c r="P2337" s="27"/>
      <c r="Q2337" s="29" t="str">
        <f aca="false">IF(OR(P2337="",M2337&lt;&gt;"Paid",O2337=""),"",P2337/O2337)</f>
        <v/>
      </c>
      <c r="R2337" s="30" t="str">
        <f aca="false">IF(Q2337="","",Q2337+N(H2337)*0.000000001)</f>
        <v/>
      </c>
      <c r="S2337" s="25" t="str">
        <f aca="false">IF(R2337="","",SUMPRODUCT((I$5:I$4004=I2337)*ISNUMBER(R$5:R$4004)*(R$5:R$4004&gt;R2337))+1)</f>
        <v/>
      </c>
      <c r="T2337" s="25" t="str">
        <f aca="false">IF(S2337="","",IF(S2337&lt;=Setup!$B$5,"🏆 WINNER",""))</f>
        <v/>
      </c>
      <c r="U2337" s="24" t="str">
        <f aca="false">IF(S2337="","",I2337&amp;"|"&amp;S2337)</f>
        <v/>
      </c>
    </row>
    <row r="2338" customFormat="false" ht="15" hidden="false" customHeight="false" outlineLevel="0" collapsed="false">
      <c r="A2338" s="31" t="n">
        <v>2334</v>
      </c>
      <c r="B2338" s="32" t="str">
        <f aca="false">IF(OR(C2338="",I2338="",G2338=""),"",IFERROR(VLOOKUP(I2338,Setup!$A$9:$B$11,2,0),"???")&amp;"-"&amp;G2338&amp;"-"&amp;TEXT(COUNTIFS(I$5:I2338,I2338,G$5:G2338,G2338),"0000"))</f>
        <v/>
      </c>
      <c r="C2338" s="26"/>
      <c r="D2338" s="26"/>
      <c r="E2338" s="27"/>
      <c r="F2338" s="27"/>
      <c r="G2338" s="31" t="str">
        <f aca="false">IF(F2338="","",IF(F2338&lt;=5,"A",IF(F2338&lt;=8,"B",IF(F2338&lt;=10,"C","D"))))</f>
        <v/>
      </c>
      <c r="H2338" s="28"/>
      <c r="I2338" s="27"/>
      <c r="J2338" s="26"/>
      <c r="K2338" s="27"/>
      <c r="L2338" s="27"/>
      <c r="M2338" s="27"/>
      <c r="N2338" s="27"/>
      <c r="O2338" s="31" t="str">
        <f aca="false">IF(G2338="","",VLOOKUP(G2338,Setup!$A$14:$C$17,3,0))</f>
        <v/>
      </c>
      <c r="P2338" s="27"/>
      <c r="Q2338" s="33" t="str">
        <f aca="false">IF(OR(P2338="",M2338&lt;&gt;"Paid",O2338=""),"",P2338/O2338)</f>
        <v/>
      </c>
      <c r="R2338" s="34" t="str">
        <f aca="false">IF(Q2338="","",Q2338+N(H2338)*0.000000001)</f>
        <v/>
      </c>
      <c r="S2338" s="32" t="str">
        <f aca="false">IF(R2338="","",SUMPRODUCT((I$5:I$4004=I2338)*ISNUMBER(R$5:R$4004)*(R$5:R$4004&gt;R2338))+1)</f>
        <v/>
      </c>
      <c r="T2338" s="32" t="str">
        <f aca="false">IF(S2338="","",IF(S2338&lt;=Setup!$B$5,"🏆 WINNER",""))</f>
        <v/>
      </c>
      <c r="U2338" s="31" t="str">
        <f aca="false">IF(S2338="","",I2338&amp;"|"&amp;S2338)</f>
        <v/>
      </c>
    </row>
    <row r="2339" customFormat="false" ht="15" hidden="false" customHeight="false" outlineLevel="0" collapsed="false">
      <c r="A2339" s="24" t="n">
        <v>2335</v>
      </c>
      <c r="B2339" s="25" t="str">
        <f aca="false">IF(OR(C2339="",I2339="",G2339=""),"",IFERROR(VLOOKUP(I2339,Setup!$A$9:$B$11,2,0),"???")&amp;"-"&amp;G2339&amp;"-"&amp;TEXT(COUNTIFS(I$5:I2339,I2339,G$5:G2339,G2339),"0000"))</f>
        <v/>
      </c>
      <c r="C2339" s="26"/>
      <c r="D2339" s="26"/>
      <c r="E2339" s="27"/>
      <c r="F2339" s="27"/>
      <c r="G2339" s="24" t="str">
        <f aca="false">IF(F2339="","",IF(F2339&lt;=5,"A",IF(F2339&lt;=8,"B",IF(F2339&lt;=10,"C","D"))))</f>
        <v/>
      </c>
      <c r="H2339" s="28"/>
      <c r="I2339" s="27"/>
      <c r="J2339" s="26"/>
      <c r="K2339" s="27"/>
      <c r="L2339" s="27"/>
      <c r="M2339" s="27"/>
      <c r="N2339" s="27"/>
      <c r="O2339" s="24" t="str">
        <f aca="false">IF(G2339="","",VLOOKUP(G2339,Setup!$A$14:$C$17,3,0))</f>
        <v/>
      </c>
      <c r="P2339" s="27"/>
      <c r="Q2339" s="29" t="str">
        <f aca="false">IF(OR(P2339="",M2339&lt;&gt;"Paid",O2339=""),"",P2339/O2339)</f>
        <v/>
      </c>
      <c r="R2339" s="30" t="str">
        <f aca="false">IF(Q2339="","",Q2339+N(H2339)*0.000000001)</f>
        <v/>
      </c>
      <c r="S2339" s="25" t="str">
        <f aca="false">IF(R2339="","",SUMPRODUCT((I$5:I$4004=I2339)*ISNUMBER(R$5:R$4004)*(R$5:R$4004&gt;R2339))+1)</f>
        <v/>
      </c>
      <c r="T2339" s="25" t="str">
        <f aca="false">IF(S2339="","",IF(S2339&lt;=Setup!$B$5,"🏆 WINNER",""))</f>
        <v/>
      </c>
      <c r="U2339" s="24" t="str">
        <f aca="false">IF(S2339="","",I2339&amp;"|"&amp;S2339)</f>
        <v/>
      </c>
    </row>
    <row r="2340" customFormat="false" ht="15" hidden="false" customHeight="false" outlineLevel="0" collapsed="false">
      <c r="A2340" s="31" t="n">
        <v>2336</v>
      </c>
      <c r="B2340" s="32" t="str">
        <f aca="false">IF(OR(C2340="",I2340="",G2340=""),"",IFERROR(VLOOKUP(I2340,Setup!$A$9:$B$11,2,0),"???")&amp;"-"&amp;G2340&amp;"-"&amp;TEXT(COUNTIFS(I$5:I2340,I2340,G$5:G2340,G2340),"0000"))</f>
        <v/>
      </c>
      <c r="C2340" s="26"/>
      <c r="D2340" s="26"/>
      <c r="E2340" s="27"/>
      <c r="F2340" s="27"/>
      <c r="G2340" s="31" t="str">
        <f aca="false">IF(F2340="","",IF(F2340&lt;=5,"A",IF(F2340&lt;=8,"B",IF(F2340&lt;=10,"C","D"))))</f>
        <v/>
      </c>
      <c r="H2340" s="28"/>
      <c r="I2340" s="27"/>
      <c r="J2340" s="26"/>
      <c r="K2340" s="27"/>
      <c r="L2340" s="27"/>
      <c r="M2340" s="27"/>
      <c r="N2340" s="27"/>
      <c r="O2340" s="31" t="str">
        <f aca="false">IF(G2340="","",VLOOKUP(G2340,Setup!$A$14:$C$17,3,0))</f>
        <v/>
      </c>
      <c r="P2340" s="27"/>
      <c r="Q2340" s="33" t="str">
        <f aca="false">IF(OR(P2340="",M2340&lt;&gt;"Paid",O2340=""),"",P2340/O2340)</f>
        <v/>
      </c>
      <c r="R2340" s="34" t="str">
        <f aca="false">IF(Q2340="","",Q2340+N(H2340)*0.000000001)</f>
        <v/>
      </c>
      <c r="S2340" s="32" t="str">
        <f aca="false">IF(R2340="","",SUMPRODUCT((I$5:I$4004=I2340)*ISNUMBER(R$5:R$4004)*(R$5:R$4004&gt;R2340))+1)</f>
        <v/>
      </c>
      <c r="T2340" s="32" t="str">
        <f aca="false">IF(S2340="","",IF(S2340&lt;=Setup!$B$5,"🏆 WINNER",""))</f>
        <v/>
      </c>
      <c r="U2340" s="31" t="str">
        <f aca="false">IF(S2340="","",I2340&amp;"|"&amp;S2340)</f>
        <v/>
      </c>
    </row>
    <row r="2341" customFormat="false" ht="15" hidden="false" customHeight="false" outlineLevel="0" collapsed="false">
      <c r="A2341" s="24" t="n">
        <v>2337</v>
      </c>
      <c r="B2341" s="25" t="str">
        <f aca="false">IF(OR(C2341="",I2341="",G2341=""),"",IFERROR(VLOOKUP(I2341,Setup!$A$9:$B$11,2,0),"???")&amp;"-"&amp;G2341&amp;"-"&amp;TEXT(COUNTIFS(I$5:I2341,I2341,G$5:G2341,G2341),"0000"))</f>
        <v/>
      </c>
      <c r="C2341" s="26"/>
      <c r="D2341" s="26"/>
      <c r="E2341" s="27"/>
      <c r="F2341" s="27"/>
      <c r="G2341" s="24" t="str">
        <f aca="false">IF(F2341="","",IF(F2341&lt;=5,"A",IF(F2341&lt;=8,"B",IF(F2341&lt;=10,"C","D"))))</f>
        <v/>
      </c>
      <c r="H2341" s="28"/>
      <c r="I2341" s="27"/>
      <c r="J2341" s="26"/>
      <c r="K2341" s="27"/>
      <c r="L2341" s="27"/>
      <c r="M2341" s="27"/>
      <c r="N2341" s="27"/>
      <c r="O2341" s="24" t="str">
        <f aca="false">IF(G2341="","",VLOOKUP(G2341,Setup!$A$14:$C$17,3,0))</f>
        <v/>
      </c>
      <c r="P2341" s="27"/>
      <c r="Q2341" s="29" t="str">
        <f aca="false">IF(OR(P2341="",M2341&lt;&gt;"Paid",O2341=""),"",P2341/O2341)</f>
        <v/>
      </c>
      <c r="R2341" s="30" t="str">
        <f aca="false">IF(Q2341="","",Q2341+N(H2341)*0.000000001)</f>
        <v/>
      </c>
      <c r="S2341" s="25" t="str">
        <f aca="false">IF(R2341="","",SUMPRODUCT((I$5:I$4004=I2341)*ISNUMBER(R$5:R$4004)*(R$5:R$4004&gt;R2341))+1)</f>
        <v/>
      </c>
      <c r="T2341" s="25" t="str">
        <f aca="false">IF(S2341="","",IF(S2341&lt;=Setup!$B$5,"🏆 WINNER",""))</f>
        <v/>
      </c>
      <c r="U2341" s="24" t="str">
        <f aca="false">IF(S2341="","",I2341&amp;"|"&amp;S2341)</f>
        <v/>
      </c>
    </row>
    <row r="2342" customFormat="false" ht="15" hidden="false" customHeight="false" outlineLevel="0" collapsed="false">
      <c r="A2342" s="31" t="n">
        <v>2338</v>
      </c>
      <c r="B2342" s="32" t="str">
        <f aca="false">IF(OR(C2342="",I2342="",G2342=""),"",IFERROR(VLOOKUP(I2342,Setup!$A$9:$B$11,2,0),"???")&amp;"-"&amp;G2342&amp;"-"&amp;TEXT(COUNTIFS(I$5:I2342,I2342,G$5:G2342,G2342),"0000"))</f>
        <v/>
      </c>
      <c r="C2342" s="26"/>
      <c r="D2342" s="26"/>
      <c r="E2342" s="27"/>
      <c r="F2342" s="27"/>
      <c r="G2342" s="31" t="str">
        <f aca="false">IF(F2342="","",IF(F2342&lt;=5,"A",IF(F2342&lt;=8,"B",IF(F2342&lt;=10,"C","D"))))</f>
        <v/>
      </c>
      <c r="H2342" s="28"/>
      <c r="I2342" s="27"/>
      <c r="J2342" s="26"/>
      <c r="K2342" s="27"/>
      <c r="L2342" s="27"/>
      <c r="M2342" s="27"/>
      <c r="N2342" s="27"/>
      <c r="O2342" s="31" t="str">
        <f aca="false">IF(G2342="","",VLOOKUP(G2342,Setup!$A$14:$C$17,3,0))</f>
        <v/>
      </c>
      <c r="P2342" s="27"/>
      <c r="Q2342" s="33" t="str">
        <f aca="false">IF(OR(P2342="",M2342&lt;&gt;"Paid",O2342=""),"",P2342/O2342)</f>
        <v/>
      </c>
      <c r="R2342" s="34" t="str">
        <f aca="false">IF(Q2342="","",Q2342+N(H2342)*0.000000001)</f>
        <v/>
      </c>
      <c r="S2342" s="32" t="str">
        <f aca="false">IF(R2342="","",SUMPRODUCT((I$5:I$4004=I2342)*ISNUMBER(R$5:R$4004)*(R$5:R$4004&gt;R2342))+1)</f>
        <v/>
      </c>
      <c r="T2342" s="32" t="str">
        <f aca="false">IF(S2342="","",IF(S2342&lt;=Setup!$B$5,"🏆 WINNER",""))</f>
        <v/>
      </c>
      <c r="U2342" s="31" t="str">
        <f aca="false">IF(S2342="","",I2342&amp;"|"&amp;S2342)</f>
        <v/>
      </c>
    </row>
    <row r="2343" customFormat="false" ht="15" hidden="false" customHeight="false" outlineLevel="0" collapsed="false">
      <c r="A2343" s="24" t="n">
        <v>2339</v>
      </c>
      <c r="B2343" s="25" t="str">
        <f aca="false">IF(OR(C2343="",I2343="",G2343=""),"",IFERROR(VLOOKUP(I2343,Setup!$A$9:$B$11,2,0),"???")&amp;"-"&amp;G2343&amp;"-"&amp;TEXT(COUNTIFS(I$5:I2343,I2343,G$5:G2343,G2343),"0000"))</f>
        <v/>
      </c>
      <c r="C2343" s="26"/>
      <c r="D2343" s="26"/>
      <c r="E2343" s="27"/>
      <c r="F2343" s="27"/>
      <c r="G2343" s="24" t="str">
        <f aca="false">IF(F2343="","",IF(F2343&lt;=5,"A",IF(F2343&lt;=8,"B",IF(F2343&lt;=10,"C","D"))))</f>
        <v/>
      </c>
      <c r="H2343" s="28"/>
      <c r="I2343" s="27"/>
      <c r="J2343" s="26"/>
      <c r="K2343" s="27"/>
      <c r="L2343" s="27"/>
      <c r="M2343" s="27"/>
      <c r="N2343" s="27"/>
      <c r="O2343" s="24" t="str">
        <f aca="false">IF(G2343="","",VLOOKUP(G2343,Setup!$A$14:$C$17,3,0))</f>
        <v/>
      </c>
      <c r="P2343" s="27"/>
      <c r="Q2343" s="29" t="str">
        <f aca="false">IF(OR(P2343="",M2343&lt;&gt;"Paid",O2343=""),"",P2343/O2343)</f>
        <v/>
      </c>
      <c r="R2343" s="30" t="str">
        <f aca="false">IF(Q2343="","",Q2343+N(H2343)*0.000000001)</f>
        <v/>
      </c>
      <c r="S2343" s="25" t="str">
        <f aca="false">IF(R2343="","",SUMPRODUCT((I$5:I$4004=I2343)*ISNUMBER(R$5:R$4004)*(R$5:R$4004&gt;R2343))+1)</f>
        <v/>
      </c>
      <c r="T2343" s="25" t="str">
        <f aca="false">IF(S2343="","",IF(S2343&lt;=Setup!$B$5,"🏆 WINNER",""))</f>
        <v/>
      </c>
      <c r="U2343" s="24" t="str">
        <f aca="false">IF(S2343="","",I2343&amp;"|"&amp;S2343)</f>
        <v/>
      </c>
    </row>
    <row r="2344" customFormat="false" ht="15" hidden="false" customHeight="false" outlineLevel="0" collapsed="false">
      <c r="A2344" s="31" t="n">
        <v>2340</v>
      </c>
      <c r="B2344" s="32" t="str">
        <f aca="false">IF(OR(C2344="",I2344="",G2344=""),"",IFERROR(VLOOKUP(I2344,Setup!$A$9:$B$11,2,0),"???")&amp;"-"&amp;G2344&amp;"-"&amp;TEXT(COUNTIFS(I$5:I2344,I2344,G$5:G2344,G2344),"0000"))</f>
        <v/>
      </c>
      <c r="C2344" s="26"/>
      <c r="D2344" s="26"/>
      <c r="E2344" s="27"/>
      <c r="F2344" s="27"/>
      <c r="G2344" s="31" t="str">
        <f aca="false">IF(F2344="","",IF(F2344&lt;=5,"A",IF(F2344&lt;=8,"B",IF(F2344&lt;=10,"C","D"))))</f>
        <v/>
      </c>
      <c r="H2344" s="28"/>
      <c r="I2344" s="27"/>
      <c r="J2344" s="26"/>
      <c r="K2344" s="27"/>
      <c r="L2344" s="27"/>
      <c r="M2344" s="27"/>
      <c r="N2344" s="27"/>
      <c r="O2344" s="31" t="str">
        <f aca="false">IF(G2344="","",VLOOKUP(G2344,Setup!$A$14:$C$17,3,0))</f>
        <v/>
      </c>
      <c r="P2344" s="27"/>
      <c r="Q2344" s="33" t="str">
        <f aca="false">IF(OR(P2344="",M2344&lt;&gt;"Paid",O2344=""),"",P2344/O2344)</f>
        <v/>
      </c>
      <c r="R2344" s="34" t="str">
        <f aca="false">IF(Q2344="","",Q2344+N(H2344)*0.000000001)</f>
        <v/>
      </c>
      <c r="S2344" s="32" t="str">
        <f aca="false">IF(R2344="","",SUMPRODUCT((I$5:I$4004=I2344)*ISNUMBER(R$5:R$4004)*(R$5:R$4004&gt;R2344))+1)</f>
        <v/>
      </c>
      <c r="T2344" s="32" t="str">
        <f aca="false">IF(S2344="","",IF(S2344&lt;=Setup!$B$5,"🏆 WINNER",""))</f>
        <v/>
      </c>
      <c r="U2344" s="31" t="str">
        <f aca="false">IF(S2344="","",I2344&amp;"|"&amp;S2344)</f>
        <v/>
      </c>
    </row>
    <row r="2345" customFormat="false" ht="15" hidden="false" customHeight="false" outlineLevel="0" collapsed="false">
      <c r="A2345" s="24" t="n">
        <v>2341</v>
      </c>
      <c r="B2345" s="25" t="str">
        <f aca="false">IF(OR(C2345="",I2345="",G2345=""),"",IFERROR(VLOOKUP(I2345,Setup!$A$9:$B$11,2,0),"???")&amp;"-"&amp;G2345&amp;"-"&amp;TEXT(COUNTIFS(I$5:I2345,I2345,G$5:G2345,G2345),"0000"))</f>
        <v/>
      </c>
      <c r="C2345" s="26"/>
      <c r="D2345" s="26"/>
      <c r="E2345" s="27"/>
      <c r="F2345" s="27"/>
      <c r="G2345" s="24" t="str">
        <f aca="false">IF(F2345="","",IF(F2345&lt;=5,"A",IF(F2345&lt;=8,"B",IF(F2345&lt;=10,"C","D"))))</f>
        <v/>
      </c>
      <c r="H2345" s="28"/>
      <c r="I2345" s="27"/>
      <c r="J2345" s="26"/>
      <c r="K2345" s="27"/>
      <c r="L2345" s="27"/>
      <c r="M2345" s="27"/>
      <c r="N2345" s="27"/>
      <c r="O2345" s="24" t="str">
        <f aca="false">IF(G2345="","",VLOOKUP(G2345,Setup!$A$14:$C$17,3,0))</f>
        <v/>
      </c>
      <c r="P2345" s="27"/>
      <c r="Q2345" s="29" t="str">
        <f aca="false">IF(OR(P2345="",M2345&lt;&gt;"Paid",O2345=""),"",P2345/O2345)</f>
        <v/>
      </c>
      <c r="R2345" s="30" t="str">
        <f aca="false">IF(Q2345="","",Q2345+N(H2345)*0.000000001)</f>
        <v/>
      </c>
      <c r="S2345" s="25" t="str">
        <f aca="false">IF(R2345="","",SUMPRODUCT((I$5:I$4004=I2345)*ISNUMBER(R$5:R$4004)*(R$5:R$4004&gt;R2345))+1)</f>
        <v/>
      </c>
      <c r="T2345" s="25" t="str">
        <f aca="false">IF(S2345="","",IF(S2345&lt;=Setup!$B$5,"🏆 WINNER",""))</f>
        <v/>
      </c>
      <c r="U2345" s="24" t="str">
        <f aca="false">IF(S2345="","",I2345&amp;"|"&amp;S2345)</f>
        <v/>
      </c>
    </row>
    <row r="2346" customFormat="false" ht="15" hidden="false" customHeight="false" outlineLevel="0" collapsed="false">
      <c r="A2346" s="31" t="n">
        <v>2342</v>
      </c>
      <c r="B2346" s="32" t="str">
        <f aca="false">IF(OR(C2346="",I2346="",G2346=""),"",IFERROR(VLOOKUP(I2346,Setup!$A$9:$B$11,2,0),"???")&amp;"-"&amp;G2346&amp;"-"&amp;TEXT(COUNTIFS(I$5:I2346,I2346,G$5:G2346,G2346),"0000"))</f>
        <v/>
      </c>
      <c r="C2346" s="26"/>
      <c r="D2346" s="26"/>
      <c r="E2346" s="27"/>
      <c r="F2346" s="27"/>
      <c r="G2346" s="31" t="str">
        <f aca="false">IF(F2346="","",IF(F2346&lt;=5,"A",IF(F2346&lt;=8,"B",IF(F2346&lt;=10,"C","D"))))</f>
        <v/>
      </c>
      <c r="H2346" s="28"/>
      <c r="I2346" s="27"/>
      <c r="J2346" s="26"/>
      <c r="K2346" s="27"/>
      <c r="L2346" s="27"/>
      <c r="M2346" s="27"/>
      <c r="N2346" s="27"/>
      <c r="O2346" s="31" t="str">
        <f aca="false">IF(G2346="","",VLOOKUP(G2346,Setup!$A$14:$C$17,3,0))</f>
        <v/>
      </c>
      <c r="P2346" s="27"/>
      <c r="Q2346" s="33" t="str">
        <f aca="false">IF(OR(P2346="",M2346&lt;&gt;"Paid",O2346=""),"",P2346/O2346)</f>
        <v/>
      </c>
      <c r="R2346" s="34" t="str">
        <f aca="false">IF(Q2346="","",Q2346+N(H2346)*0.000000001)</f>
        <v/>
      </c>
      <c r="S2346" s="32" t="str">
        <f aca="false">IF(R2346="","",SUMPRODUCT((I$5:I$4004=I2346)*ISNUMBER(R$5:R$4004)*(R$5:R$4004&gt;R2346))+1)</f>
        <v/>
      </c>
      <c r="T2346" s="32" t="str">
        <f aca="false">IF(S2346="","",IF(S2346&lt;=Setup!$B$5,"🏆 WINNER",""))</f>
        <v/>
      </c>
      <c r="U2346" s="31" t="str">
        <f aca="false">IF(S2346="","",I2346&amp;"|"&amp;S2346)</f>
        <v/>
      </c>
    </row>
    <row r="2347" customFormat="false" ht="15" hidden="false" customHeight="false" outlineLevel="0" collapsed="false">
      <c r="A2347" s="24" t="n">
        <v>2343</v>
      </c>
      <c r="B2347" s="25" t="str">
        <f aca="false">IF(OR(C2347="",I2347="",G2347=""),"",IFERROR(VLOOKUP(I2347,Setup!$A$9:$B$11,2,0),"???")&amp;"-"&amp;G2347&amp;"-"&amp;TEXT(COUNTIFS(I$5:I2347,I2347,G$5:G2347,G2347),"0000"))</f>
        <v/>
      </c>
      <c r="C2347" s="26"/>
      <c r="D2347" s="26"/>
      <c r="E2347" s="27"/>
      <c r="F2347" s="27"/>
      <c r="G2347" s="24" t="str">
        <f aca="false">IF(F2347="","",IF(F2347&lt;=5,"A",IF(F2347&lt;=8,"B",IF(F2347&lt;=10,"C","D"))))</f>
        <v/>
      </c>
      <c r="H2347" s="28"/>
      <c r="I2347" s="27"/>
      <c r="J2347" s="26"/>
      <c r="K2347" s="27"/>
      <c r="L2347" s="27"/>
      <c r="M2347" s="27"/>
      <c r="N2347" s="27"/>
      <c r="O2347" s="24" t="str">
        <f aca="false">IF(G2347="","",VLOOKUP(G2347,Setup!$A$14:$C$17,3,0))</f>
        <v/>
      </c>
      <c r="P2347" s="27"/>
      <c r="Q2347" s="29" t="str">
        <f aca="false">IF(OR(P2347="",M2347&lt;&gt;"Paid",O2347=""),"",P2347/O2347)</f>
        <v/>
      </c>
      <c r="R2347" s="30" t="str">
        <f aca="false">IF(Q2347="","",Q2347+N(H2347)*0.000000001)</f>
        <v/>
      </c>
      <c r="S2347" s="25" t="str">
        <f aca="false">IF(R2347="","",SUMPRODUCT((I$5:I$4004=I2347)*ISNUMBER(R$5:R$4004)*(R$5:R$4004&gt;R2347))+1)</f>
        <v/>
      </c>
      <c r="T2347" s="25" t="str">
        <f aca="false">IF(S2347="","",IF(S2347&lt;=Setup!$B$5,"🏆 WINNER",""))</f>
        <v/>
      </c>
      <c r="U2347" s="24" t="str">
        <f aca="false">IF(S2347="","",I2347&amp;"|"&amp;S2347)</f>
        <v/>
      </c>
    </row>
    <row r="2348" customFormat="false" ht="15" hidden="false" customHeight="false" outlineLevel="0" collapsed="false">
      <c r="A2348" s="31" t="n">
        <v>2344</v>
      </c>
      <c r="B2348" s="32" t="str">
        <f aca="false">IF(OR(C2348="",I2348="",G2348=""),"",IFERROR(VLOOKUP(I2348,Setup!$A$9:$B$11,2,0),"???")&amp;"-"&amp;G2348&amp;"-"&amp;TEXT(COUNTIFS(I$5:I2348,I2348,G$5:G2348,G2348),"0000"))</f>
        <v/>
      </c>
      <c r="C2348" s="26"/>
      <c r="D2348" s="26"/>
      <c r="E2348" s="27"/>
      <c r="F2348" s="27"/>
      <c r="G2348" s="31" t="str">
        <f aca="false">IF(F2348="","",IF(F2348&lt;=5,"A",IF(F2348&lt;=8,"B",IF(F2348&lt;=10,"C","D"))))</f>
        <v/>
      </c>
      <c r="H2348" s="28"/>
      <c r="I2348" s="27"/>
      <c r="J2348" s="26"/>
      <c r="K2348" s="27"/>
      <c r="L2348" s="27"/>
      <c r="M2348" s="27"/>
      <c r="N2348" s="27"/>
      <c r="O2348" s="31" t="str">
        <f aca="false">IF(G2348="","",VLOOKUP(G2348,Setup!$A$14:$C$17,3,0))</f>
        <v/>
      </c>
      <c r="P2348" s="27"/>
      <c r="Q2348" s="33" t="str">
        <f aca="false">IF(OR(P2348="",M2348&lt;&gt;"Paid",O2348=""),"",P2348/O2348)</f>
        <v/>
      </c>
      <c r="R2348" s="34" t="str">
        <f aca="false">IF(Q2348="","",Q2348+N(H2348)*0.000000001)</f>
        <v/>
      </c>
      <c r="S2348" s="32" t="str">
        <f aca="false">IF(R2348="","",SUMPRODUCT((I$5:I$4004=I2348)*ISNUMBER(R$5:R$4004)*(R$5:R$4004&gt;R2348))+1)</f>
        <v/>
      </c>
      <c r="T2348" s="32" t="str">
        <f aca="false">IF(S2348="","",IF(S2348&lt;=Setup!$B$5,"🏆 WINNER",""))</f>
        <v/>
      </c>
      <c r="U2348" s="31" t="str">
        <f aca="false">IF(S2348="","",I2348&amp;"|"&amp;S2348)</f>
        <v/>
      </c>
    </row>
    <row r="2349" customFormat="false" ht="15" hidden="false" customHeight="false" outlineLevel="0" collapsed="false">
      <c r="A2349" s="24" t="n">
        <v>2345</v>
      </c>
      <c r="B2349" s="25" t="str">
        <f aca="false">IF(OR(C2349="",I2349="",G2349=""),"",IFERROR(VLOOKUP(I2349,Setup!$A$9:$B$11,2,0),"???")&amp;"-"&amp;G2349&amp;"-"&amp;TEXT(COUNTIFS(I$5:I2349,I2349,G$5:G2349,G2349),"0000"))</f>
        <v/>
      </c>
      <c r="C2349" s="26"/>
      <c r="D2349" s="26"/>
      <c r="E2349" s="27"/>
      <c r="F2349" s="27"/>
      <c r="G2349" s="24" t="str">
        <f aca="false">IF(F2349="","",IF(F2349&lt;=5,"A",IF(F2349&lt;=8,"B",IF(F2349&lt;=10,"C","D"))))</f>
        <v/>
      </c>
      <c r="H2349" s="28"/>
      <c r="I2349" s="27"/>
      <c r="J2349" s="26"/>
      <c r="K2349" s="27"/>
      <c r="L2349" s="27"/>
      <c r="M2349" s="27"/>
      <c r="N2349" s="27"/>
      <c r="O2349" s="24" t="str">
        <f aca="false">IF(G2349="","",VLOOKUP(G2349,Setup!$A$14:$C$17,3,0))</f>
        <v/>
      </c>
      <c r="P2349" s="27"/>
      <c r="Q2349" s="29" t="str">
        <f aca="false">IF(OR(P2349="",M2349&lt;&gt;"Paid",O2349=""),"",P2349/O2349)</f>
        <v/>
      </c>
      <c r="R2349" s="30" t="str">
        <f aca="false">IF(Q2349="","",Q2349+N(H2349)*0.000000001)</f>
        <v/>
      </c>
      <c r="S2349" s="25" t="str">
        <f aca="false">IF(R2349="","",SUMPRODUCT((I$5:I$4004=I2349)*ISNUMBER(R$5:R$4004)*(R$5:R$4004&gt;R2349))+1)</f>
        <v/>
      </c>
      <c r="T2349" s="25" t="str">
        <f aca="false">IF(S2349="","",IF(S2349&lt;=Setup!$B$5,"🏆 WINNER",""))</f>
        <v/>
      </c>
      <c r="U2349" s="24" t="str">
        <f aca="false">IF(S2349="","",I2349&amp;"|"&amp;S2349)</f>
        <v/>
      </c>
    </row>
    <row r="2350" customFormat="false" ht="15" hidden="false" customHeight="false" outlineLevel="0" collapsed="false">
      <c r="A2350" s="31" t="n">
        <v>2346</v>
      </c>
      <c r="B2350" s="32" t="str">
        <f aca="false">IF(OR(C2350="",I2350="",G2350=""),"",IFERROR(VLOOKUP(I2350,Setup!$A$9:$B$11,2,0),"???")&amp;"-"&amp;G2350&amp;"-"&amp;TEXT(COUNTIFS(I$5:I2350,I2350,G$5:G2350,G2350),"0000"))</f>
        <v/>
      </c>
      <c r="C2350" s="26"/>
      <c r="D2350" s="26"/>
      <c r="E2350" s="27"/>
      <c r="F2350" s="27"/>
      <c r="G2350" s="31" t="str">
        <f aca="false">IF(F2350="","",IF(F2350&lt;=5,"A",IF(F2350&lt;=8,"B",IF(F2350&lt;=10,"C","D"))))</f>
        <v/>
      </c>
      <c r="H2350" s="28"/>
      <c r="I2350" s="27"/>
      <c r="J2350" s="26"/>
      <c r="K2350" s="27"/>
      <c r="L2350" s="27"/>
      <c r="M2350" s="27"/>
      <c r="N2350" s="27"/>
      <c r="O2350" s="31" t="str">
        <f aca="false">IF(G2350="","",VLOOKUP(G2350,Setup!$A$14:$C$17,3,0))</f>
        <v/>
      </c>
      <c r="P2350" s="27"/>
      <c r="Q2350" s="33" t="str">
        <f aca="false">IF(OR(P2350="",M2350&lt;&gt;"Paid",O2350=""),"",P2350/O2350)</f>
        <v/>
      </c>
      <c r="R2350" s="34" t="str">
        <f aca="false">IF(Q2350="","",Q2350+N(H2350)*0.000000001)</f>
        <v/>
      </c>
      <c r="S2350" s="32" t="str">
        <f aca="false">IF(R2350="","",SUMPRODUCT((I$5:I$4004=I2350)*ISNUMBER(R$5:R$4004)*(R$5:R$4004&gt;R2350))+1)</f>
        <v/>
      </c>
      <c r="T2350" s="32" t="str">
        <f aca="false">IF(S2350="","",IF(S2350&lt;=Setup!$B$5,"🏆 WINNER",""))</f>
        <v/>
      </c>
      <c r="U2350" s="31" t="str">
        <f aca="false">IF(S2350="","",I2350&amp;"|"&amp;S2350)</f>
        <v/>
      </c>
    </row>
    <row r="2351" customFormat="false" ht="15" hidden="false" customHeight="false" outlineLevel="0" collapsed="false">
      <c r="A2351" s="24" t="n">
        <v>2347</v>
      </c>
      <c r="B2351" s="25" t="str">
        <f aca="false">IF(OR(C2351="",I2351="",G2351=""),"",IFERROR(VLOOKUP(I2351,Setup!$A$9:$B$11,2,0),"???")&amp;"-"&amp;G2351&amp;"-"&amp;TEXT(COUNTIFS(I$5:I2351,I2351,G$5:G2351,G2351),"0000"))</f>
        <v/>
      </c>
      <c r="C2351" s="26"/>
      <c r="D2351" s="26"/>
      <c r="E2351" s="27"/>
      <c r="F2351" s="27"/>
      <c r="G2351" s="24" t="str">
        <f aca="false">IF(F2351="","",IF(F2351&lt;=5,"A",IF(F2351&lt;=8,"B",IF(F2351&lt;=10,"C","D"))))</f>
        <v/>
      </c>
      <c r="H2351" s="28"/>
      <c r="I2351" s="27"/>
      <c r="J2351" s="26"/>
      <c r="K2351" s="27"/>
      <c r="L2351" s="27"/>
      <c r="M2351" s="27"/>
      <c r="N2351" s="27"/>
      <c r="O2351" s="24" t="str">
        <f aca="false">IF(G2351="","",VLOOKUP(G2351,Setup!$A$14:$C$17,3,0))</f>
        <v/>
      </c>
      <c r="P2351" s="27"/>
      <c r="Q2351" s="29" t="str">
        <f aca="false">IF(OR(P2351="",M2351&lt;&gt;"Paid",O2351=""),"",P2351/O2351)</f>
        <v/>
      </c>
      <c r="R2351" s="30" t="str">
        <f aca="false">IF(Q2351="","",Q2351+N(H2351)*0.000000001)</f>
        <v/>
      </c>
      <c r="S2351" s="25" t="str">
        <f aca="false">IF(R2351="","",SUMPRODUCT((I$5:I$4004=I2351)*ISNUMBER(R$5:R$4004)*(R$5:R$4004&gt;R2351))+1)</f>
        <v/>
      </c>
      <c r="T2351" s="25" t="str">
        <f aca="false">IF(S2351="","",IF(S2351&lt;=Setup!$B$5,"🏆 WINNER",""))</f>
        <v/>
      </c>
      <c r="U2351" s="24" t="str">
        <f aca="false">IF(S2351="","",I2351&amp;"|"&amp;S2351)</f>
        <v/>
      </c>
    </row>
    <row r="2352" customFormat="false" ht="15" hidden="false" customHeight="false" outlineLevel="0" collapsed="false">
      <c r="A2352" s="31" t="n">
        <v>2348</v>
      </c>
      <c r="B2352" s="32" t="str">
        <f aca="false">IF(OR(C2352="",I2352="",G2352=""),"",IFERROR(VLOOKUP(I2352,Setup!$A$9:$B$11,2,0),"???")&amp;"-"&amp;G2352&amp;"-"&amp;TEXT(COUNTIFS(I$5:I2352,I2352,G$5:G2352,G2352),"0000"))</f>
        <v/>
      </c>
      <c r="C2352" s="26"/>
      <c r="D2352" s="26"/>
      <c r="E2352" s="27"/>
      <c r="F2352" s="27"/>
      <c r="G2352" s="31" t="str">
        <f aca="false">IF(F2352="","",IF(F2352&lt;=5,"A",IF(F2352&lt;=8,"B",IF(F2352&lt;=10,"C","D"))))</f>
        <v/>
      </c>
      <c r="H2352" s="28"/>
      <c r="I2352" s="27"/>
      <c r="J2352" s="26"/>
      <c r="K2352" s="27"/>
      <c r="L2352" s="27"/>
      <c r="M2352" s="27"/>
      <c r="N2352" s="27"/>
      <c r="O2352" s="31" t="str">
        <f aca="false">IF(G2352="","",VLOOKUP(G2352,Setup!$A$14:$C$17,3,0))</f>
        <v/>
      </c>
      <c r="P2352" s="27"/>
      <c r="Q2352" s="33" t="str">
        <f aca="false">IF(OR(P2352="",M2352&lt;&gt;"Paid",O2352=""),"",P2352/O2352)</f>
        <v/>
      </c>
      <c r="R2352" s="34" t="str">
        <f aca="false">IF(Q2352="","",Q2352+N(H2352)*0.000000001)</f>
        <v/>
      </c>
      <c r="S2352" s="32" t="str">
        <f aca="false">IF(R2352="","",SUMPRODUCT((I$5:I$4004=I2352)*ISNUMBER(R$5:R$4004)*(R$5:R$4004&gt;R2352))+1)</f>
        <v/>
      </c>
      <c r="T2352" s="32" t="str">
        <f aca="false">IF(S2352="","",IF(S2352&lt;=Setup!$B$5,"🏆 WINNER",""))</f>
        <v/>
      </c>
      <c r="U2352" s="31" t="str">
        <f aca="false">IF(S2352="","",I2352&amp;"|"&amp;S2352)</f>
        <v/>
      </c>
    </row>
    <row r="2353" customFormat="false" ht="15" hidden="false" customHeight="false" outlineLevel="0" collapsed="false">
      <c r="A2353" s="24" t="n">
        <v>2349</v>
      </c>
      <c r="B2353" s="25" t="str">
        <f aca="false">IF(OR(C2353="",I2353="",G2353=""),"",IFERROR(VLOOKUP(I2353,Setup!$A$9:$B$11,2,0),"???")&amp;"-"&amp;G2353&amp;"-"&amp;TEXT(COUNTIFS(I$5:I2353,I2353,G$5:G2353,G2353),"0000"))</f>
        <v/>
      </c>
      <c r="C2353" s="26"/>
      <c r="D2353" s="26"/>
      <c r="E2353" s="27"/>
      <c r="F2353" s="27"/>
      <c r="G2353" s="24" t="str">
        <f aca="false">IF(F2353="","",IF(F2353&lt;=5,"A",IF(F2353&lt;=8,"B",IF(F2353&lt;=10,"C","D"))))</f>
        <v/>
      </c>
      <c r="H2353" s="28"/>
      <c r="I2353" s="27"/>
      <c r="J2353" s="26"/>
      <c r="K2353" s="27"/>
      <c r="L2353" s="27"/>
      <c r="M2353" s="27"/>
      <c r="N2353" s="27"/>
      <c r="O2353" s="24" t="str">
        <f aca="false">IF(G2353="","",VLOOKUP(G2353,Setup!$A$14:$C$17,3,0))</f>
        <v/>
      </c>
      <c r="P2353" s="27"/>
      <c r="Q2353" s="29" t="str">
        <f aca="false">IF(OR(P2353="",M2353&lt;&gt;"Paid",O2353=""),"",P2353/O2353)</f>
        <v/>
      </c>
      <c r="R2353" s="30" t="str">
        <f aca="false">IF(Q2353="","",Q2353+N(H2353)*0.000000001)</f>
        <v/>
      </c>
      <c r="S2353" s="25" t="str">
        <f aca="false">IF(R2353="","",SUMPRODUCT((I$5:I$4004=I2353)*ISNUMBER(R$5:R$4004)*(R$5:R$4004&gt;R2353))+1)</f>
        <v/>
      </c>
      <c r="T2353" s="25" t="str">
        <f aca="false">IF(S2353="","",IF(S2353&lt;=Setup!$B$5,"🏆 WINNER",""))</f>
        <v/>
      </c>
      <c r="U2353" s="24" t="str">
        <f aca="false">IF(S2353="","",I2353&amp;"|"&amp;S2353)</f>
        <v/>
      </c>
    </row>
    <row r="2354" customFormat="false" ht="15" hidden="false" customHeight="false" outlineLevel="0" collapsed="false">
      <c r="A2354" s="31" t="n">
        <v>2350</v>
      </c>
      <c r="B2354" s="32" t="str">
        <f aca="false">IF(OR(C2354="",I2354="",G2354=""),"",IFERROR(VLOOKUP(I2354,Setup!$A$9:$B$11,2,0),"???")&amp;"-"&amp;G2354&amp;"-"&amp;TEXT(COUNTIFS(I$5:I2354,I2354,G$5:G2354,G2354),"0000"))</f>
        <v/>
      </c>
      <c r="C2354" s="26"/>
      <c r="D2354" s="26"/>
      <c r="E2354" s="27"/>
      <c r="F2354" s="27"/>
      <c r="G2354" s="31" t="str">
        <f aca="false">IF(F2354="","",IF(F2354&lt;=5,"A",IF(F2354&lt;=8,"B",IF(F2354&lt;=10,"C","D"))))</f>
        <v/>
      </c>
      <c r="H2354" s="28"/>
      <c r="I2354" s="27"/>
      <c r="J2354" s="26"/>
      <c r="K2354" s="27"/>
      <c r="L2354" s="27"/>
      <c r="M2354" s="27"/>
      <c r="N2354" s="27"/>
      <c r="O2354" s="31" t="str">
        <f aca="false">IF(G2354="","",VLOOKUP(G2354,Setup!$A$14:$C$17,3,0))</f>
        <v/>
      </c>
      <c r="P2354" s="27"/>
      <c r="Q2354" s="33" t="str">
        <f aca="false">IF(OR(P2354="",M2354&lt;&gt;"Paid",O2354=""),"",P2354/O2354)</f>
        <v/>
      </c>
      <c r="R2354" s="34" t="str">
        <f aca="false">IF(Q2354="","",Q2354+N(H2354)*0.000000001)</f>
        <v/>
      </c>
      <c r="S2354" s="32" t="str">
        <f aca="false">IF(R2354="","",SUMPRODUCT((I$5:I$4004=I2354)*ISNUMBER(R$5:R$4004)*(R$5:R$4004&gt;R2354))+1)</f>
        <v/>
      </c>
      <c r="T2354" s="32" t="str">
        <f aca="false">IF(S2354="","",IF(S2354&lt;=Setup!$B$5,"🏆 WINNER",""))</f>
        <v/>
      </c>
      <c r="U2354" s="31" t="str">
        <f aca="false">IF(S2354="","",I2354&amp;"|"&amp;S2354)</f>
        <v/>
      </c>
    </row>
    <row r="2355" customFormat="false" ht="15" hidden="false" customHeight="false" outlineLevel="0" collapsed="false">
      <c r="A2355" s="24" t="n">
        <v>2351</v>
      </c>
      <c r="B2355" s="25" t="str">
        <f aca="false">IF(OR(C2355="",I2355="",G2355=""),"",IFERROR(VLOOKUP(I2355,Setup!$A$9:$B$11,2,0),"???")&amp;"-"&amp;G2355&amp;"-"&amp;TEXT(COUNTIFS(I$5:I2355,I2355,G$5:G2355,G2355),"0000"))</f>
        <v/>
      </c>
      <c r="C2355" s="26"/>
      <c r="D2355" s="26"/>
      <c r="E2355" s="27"/>
      <c r="F2355" s="27"/>
      <c r="G2355" s="24" t="str">
        <f aca="false">IF(F2355="","",IF(F2355&lt;=5,"A",IF(F2355&lt;=8,"B",IF(F2355&lt;=10,"C","D"))))</f>
        <v/>
      </c>
      <c r="H2355" s="28"/>
      <c r="I2355" s="27"/>
      <c r="J2355" s="26"/>
      <c r="K2355" s="27"/>
      <c r="L2355" s="27"/>
      <c r="M2355" s="27"/>
      <c r="N2355" s="27"/>
      <c r="O2355" s="24" t="str">
        <f aca="false">IF(G2355="","",VLOOKUP(G2355,Setup!$A$14:$C$17,3,0))</f>
        <v/>
      </c>
      <c r="P2355" s="27"/>
      <c r="Q2355" s="29" t="str">
        <f aca="false">IF(OR(P2355="",M2355&lt;&gt;"Paid",O2355=""),"",P2355/O2355)</f>
        <v/>
      </c>
      <c r="R2355" s="30" t="str">
        <f aca="false">IF(Q2355="","",Q2355+N(H2355)*0.000000001)</f>
        <v/>
      </c>
      <c r="S2355" s="25" t="str">
        <f aca="false">IF(R2355="","",SUMPRODUCT((I$5:I$4004=I2355)*ISNUMBER(R$5:R$4004)*(R$5:R$4004&gt;R2355))+1)</f>
        <v/>
      </c>
      <c r="T2355" s="25" t="str">
        <f aca="false">IF(S2355="","",IF(S2355&lt;=Setup!$B$5,"🏆 WINNER",""))</f>
        <v/>
      </c>
      <c r="U2355" s="24" t="str">
        <f aca="false">IF(S2355="","",I2355&amp;"|"&amp;S2355)</f>
        <v/>
      </c>
    </row>
    <row r="2356" customFormat="false" ht="15" hidden="false" customHeight="false" outlineLevel="0" collapsed="false">
      <c r="A2356" s="31" t="n">
        <v>2352</v>
      </c>
      <c r="B2356" s="32" t="str">
        <f aca="false">IF(OR(C2356="",I2356="",G2356=""),"",IFERROR(VLOOKUP(I2356,Setup!$A$9:$B$11,2,0),"???")&amp;"-"&amp;G2356&amp;"-"&amp;TEXT(COUNTIFS(I$5:I2356,I2356,G$5:G2356,G2356),"0000"))</f>
        <v/>
      </c>
      <c r="C2356" s="26"/>
      <c r="D2356" s="26"/>
      <c r="E2356" s="27"/>
      <c r="F2356" s="27"/>
      <c r="G2356" s="31" t="str">
        <f aca="false">IF(F2356="","",IF(F2356&lt;=5,"A",IF(F2356&lt;=8,"B",IF(F2356&lt;=10,"C","D"))))</f>
        <v/>
      </c>
      <c r="H2356" s="28"/>
      <c r="I2356" s="27"/>
      <c r="J2356" s="26"/>
      <c r="K2356" s="27"/>
      <c r="L2356" s="27"/>
      <c r="M2356" s="27"/>
      <c r="N2356" s="27"/>
      <c r="O2356" s="31" t="str">
        <f aca="false">IF(G2356="","",VLOOKUP(G2356,Setup!$A$14:$C$17,3,0))</f>
        <v/>
      </c>
      <c r="P2356" s="27"/>
      <c r="Q2356" s="33" t="str">
        <f aca="false">IF(OR(P2356="",M2356&lt;&gt;"Paid",O2356=""),"",P2356/O2356)</f>
        <v/>
      </c>
      <c r="R2356" s="34" t="str">
        <f aca="false">IF(Q2356="","",Q2356+N(H2356)*0.000000001)</f>
        <v/>
      </c>
      <c r="S2356" s="32" t="str">
        <f aca="false">IF(R2356="","",SUMPRODUCT((I$5:I$4004=I2356)*ISNUMBER(R$5:R$4004)*(R$5:R$4004&gt;R2356))+1)</f>
        <v/>
      </c>
      <c r="T2356" s="32" t="str">
        <f aca="false">IF(S2356="","",IF(S2356&lt;=Setup!$B$5,"🏆 WINNER",""))</f>
        <v/>
      </c>
      <c r="U2356" s="31" t="str">
        <f aca="false">IF(S2356="","",I2356&amp;"|"&amp;S2356)</f>
        <v/>
      </c>
    </row>
    <row r="2357" customFormat="false" ht="15" hidden="false" customHeight="false" outlineLevel="0" collapsed="false">
      <c r="A2357" s="24" t="n">
        <v>2353</v>
      </c>
      <c r="B2357" s="25" t="str">
        <f aca="false">IF(OR(C2357="",I2357="",G2357=""),"",IFERROR(VLOOKUP(I2357,Setup!$A$9:$B$11,2,0),"???")&amp;"-"&amp;G2357&amp;"-"&amp;TEXT(COUNTIFS(I$5:I2357,I2357,G$5:G2357,G2357),"0000"))</f>
        <v/>
      </c>
      <c r="C2357" s="26"/>
      <c r="D2357" s="26"/>
      <c r="E2357" s="27"/>
      <c r="F2357" s="27"/>
      <c r="G2357" s="24" t="str">
        <f aca="false">IF(F2357="","",IF(F2357&lt;=5,"A",IF(F2357&lt;=8,"B",IF(F2357&lt;=10,"C","D"))))</f>
        <v/>
      </c>
      <c r="H2357" s="28"/>
      <c r="I2357" s="27"/>
      <c r="J2357" s="26"/>
      <c r="K2357" s="27"/>
      <c r="L2357" s="27"/>
      <c r="M2357" s="27"/>
      <c r="N2357" s="27"/>
      <c r="O2357" s="24" t="str">
        <f aca="false">IF(G2357="","",VLOOKUP(G2357,Setup!$A$14:$C$17,3,0))</f>
        <v/>
      </c>
      <c r="P2357" s="27"/>
      <c r="Q2357" s="29" t="str">
        <f aca="false">IF(OR(P2357="",M2357&lt;&gt;"Paid",O2357=""),"",P2357/O2357)</f>
        <v/>
      </c>
      <c r="R2357" s="30" t="str">
        <f aca="false">IF(Q2357="","",Q2357+N(H2357)*0.000000001)</f>
        <v/>
      </c>
      <c r="S2357" s="25" t="str">
        <f aca="false">IF(R2357="","",SUMPRODUCT((I$5:I$4004=I2357)*ISNUMBER(R$5:R$4004)*(R$5:R$4004&gt;R2357))+1)</f>
        <v/>
      </c>
      <c r="T2357" s="25" t="str">
        <f aca="false">IF(S2357="","",IF(S2357&lt;=Setup!$B$5,"🏆 WINNER",""))</f>
        <v/>
      </c>
      <c r="U2357" s="24" t="str">
        <f aca="false">IF(S2357="","",I2357&amp;"|"&amp;S2357)</f>
        <v/>
      </c>
    </row>
    <row r="2358" customFormat="false" ht="15" hidden="false" customHeight="false" outlineLevel="0" collapsed="false">
      <c r="A2358" s="31" t="n">
        <v>2354</v>
      </c>
      <c r="B2358" s="32" t="str">
        <f aca="false">IF(OR(C2358="",I2358="",G2358=""),"",IFERROR(VLOOKUP(I2358,Setup!$A$9:$B$11,2,0),"???")&amp;"-"&amp;G2358&amp;"-"&amp;TEXT(COUNTIFS(I$5:I2358,I2358,G$5:G2358,G2358),"0000"))</f>
        <v/>
      </c>
      <c r="C2358" s="26"/>
      <c r="D2358" s="26"/>
      <c r="E2358" s="27"/>
      <c r="F2358" s="27"/>
      <c r="G2358" s="31" t="str">
        <f aca="false">IF(F2358="","",IF(F2358&lt;=5,"A",IF(F2358&lt;=8,"B",IF(F2358&lt;=10,"C","D"))))</f>
        <v/>
      </c>
      <c r="H2358" s="28"/>
      <c r="I2358" s="27"/>
      <c r="J2358" s="26"/>
      <c r="K2358" s="27"/>
      <c r="L2358" s="27"/>
      <c r="M2358" s="27"/>
      <c r="N2358" s="27"/>
      <c r="O2358" s="31" t="str">
        <f aca="false">IF(G2358="","",VLOOKUP(G2358,Setup!$A$14:$C$17,3,0))</f>
        <v/>
      </c>
      <c r="P2358" s="27"/>
      <c r="Q2358" s="33" t="str">
        <f aca="false">IF(OR(P2358="",M2358&lt;&gt;"Paid",O2358=""),"",P2358/O2358)</f>
        <v/>
      </c>
      <c r="R2358" s="34" t="str">
        <f aca="false">IF(Q2358="","",Q2358+N(H2358)*0.000000001)</f>
        <v/>
      </c>
      <c r="S2358" s="32" t="str">
        <f aca="false">IF(R2358="","",SUMPRODUCT((I$5:I$4004=I2358)*ISNUMBER(R$5:R$4004)*(R$5:R$4004&gt;R2358))+1)</f>
        <v/>
      </c>
      <c r="T2358" s="32" t="str">
        <f aca="false">IF(S2358="","",IF(S2358&lt;=Setup!$B$5,"🏆 WINNER",""))</f>
        <v/>
      </c>
      <c r="U2358" s="31" t="str">
        <f aca="false">IF(S2358="","",I2358&amp;"|"&amp;S2358)</f>
        <v/>
      </c>
    </row>
    <row r="2359" customFormat="false" ht="15" hidden="false" customHeight="false" outlineLevel="0" collapsed="false">
      <c r="A2359" s="24" t="n">
        <v>2355</v>
      </c>
      <c r="B2359" s="25" t="str">
        <f aca="false">IF(OR(C2359="",I2359="",G2359=""),"",IFERROR(VLOOKUP(I2359,Setup!$A$9:$B$11,2,0),"???")&amp;"-"&amp;G2359&amp;"-"&amp;TEXT(COUNTIFS(I$5:I2359,I2359,G$5:G2359,G2359),"0000"))</f>
        <v/>
      </c>
      <c r="C2359" s="26"/>
      <c r="D2359" s="26"/>
      <c r="E2359" s="27"/>
      <c r="F2359" s="27"/>
      <c r="G2359" s="24" t="str">
        <f aca="false">IF(F2359="","",IF(F2359&lt;=5,"A",IF(F2359&lt;=8,"B",IF(F2359&lt;=10,"C","D"))))</f>
        <v/>
      </c>
      <c r="H2359" s="28"/>
      <c r="I2359" s="27"/>
      <c r="J2359" s="26"/>
      <c r="K2359" s="27"/>
      <c r="L2359" s="27"/>
      <c r="M2359" s="27"/>
      <c r="N2359" s="27"/>
      <c r="O2359" s="24" t="str">
        <f aca="false">IF(G2359="","",VLOOKUP(G2359,Setup!$A$14:$C$17,3,0))</f>
        <v/>
      </c>
      <c r="P2359" s="27"/>
      <c r="Q2359" s="29" t="str">
        <f aca="false">IF(OR(P2359="",M2359&lt;&gt;"Paid",O2359=""),"",P2359/O2359)</f>
        <v/>
      </c>
      <c r="R2359" s="30" t="str">
        <f aca="false">IF(Q2359="","",Q2359+N(H2359)*0.000000001)</f>
        <v/>
      </c>
      <c r="S2359" s="25" t="str">
        <f aca="false">IF(R2359="","",SUMPRODUCT((I$5:I$4004=I2359)*ISNUMBER(R$5:R$4004)*(R$5:R$4004&gt;R2359))+1)</f>
        <v/>
      </c>
      <c r="T2359" s="25" t="str">
        <f aca="false">IF(S2359="","",IF(S2359&lt;=Setup!$B$5,"🏆 WINNER",""))</f>
        <v/>
      </c>
      <c r="U2359" s="24" t="str">
        <f aca="false">IF(S2359="","",I2359&amp;"|"&amp;S2359)</f>
        <v/>
      </c>
    </row>
    <row r="2360" customFormat="false" ht="15" hidden="false" customHeight="false" outlineLevel="0" collapsed="false">
      <c r="A2360" s="31" t="n">
        <v>2356</v>
      </c>
      <c r="B2360" s="32" t="str">
        <f aca="false">IF(OR(C2360="",I2360="",G2360=""),"",IFERROR(VLOOKUP(I2360,Setup!$A$9:$B$11,2,0),"???")&amp;"-"&amp;G2360&amp;"-"&amp;TEXT(COUNTIFS(I$5:I2360,I2360,G$5:G2360,G2360),"0000"))</f>
        <v/>
      </c>
      <c r="C2360" s="26"/>
      <c r="D2360" s="26"/>
      <c r="E2360" s="27"/>
      <c r="F2360" s="27"/>
      <c r="G2360" s="31" t="str">
        <f aca="false">IF(F2360="","",IF(F2360&lt;=5,"A",IF(F2360&lt;=8,"B",IF(F2360&lt;=10,"C","D"))))</f>
        <v/>
      </c>
      <c r="H2360" s="28"/>
      <c r="I2360" s="27"/>
      <c r="J2360" s="26"/>
      <c r="K2360" s="27"/>
      <c r="L2360" s="27"/>
      <c r="M2360" s="27"/>
      <c r="N2360" s="27"/>
      <c r="O2360" s="31" t="str">
        <f aca="false">IF(G2360="","",VLOOKUP(G2360,Setup!$A$14:$C$17,3,0))</f>
        <v/>
      </c>
      <c r="P2360" s="27"/>
      <c r="Q2360" s="33" t="str">
        <f aca="false">IF(OR(P2360="",M2360&lt;&gt;"Paid",O2360=""),"",P2360/O2360)</f>
        <v/>
      </c>
      <c r="R2360" s="34" t="str">
        <f aca="false">IF(Q2360="","",Q2360+N(H2360)*0.000000001)</f>
        <v/>
      </c>
      <c r="S2360" s="32" t="str">
        <f aca="false">IF(R2360="","",SUMPRODUCT((I$5:I$4004=I2360)*ISNUMBER(R$5:R$4004)*(R$5:R$4004&gt;R2360))+1)</f>
        <v/>
      </c>
      <c r="T2360" s="32" t="str">
        <f aca="false">IF(S2360="","",IF(S2360&lt;=Setup!$B$5,"🏆 WINNER",""))</f>
        <v/>
      </c>
      <c r="U2360" s="31" t="str">
        <f aca="false">IF(S2360="","",I2360&amp;"|"&amp;S2360)</f>
        <v/>
      </c>
    </row>
    <row r="2361" customFormat="false" ht="15" hidden="false" customHeight="false" outlineLevel="0" collapsed="false">
      <c r="A2361" s="24" t="n">
        <v>2357</v>
      </c>
      <c r="B2361" s="25" t="str">
        <f aca="false">IF(OR(C2361="",I2361="",G2361=""),"",IFERROR(VLOOKUP(I2361,Setup!$A$9:$B$11,2,0),"???")&amp;"-"&amp;G2361&amp;"-"&amp;TEXT(COUNTIFS(I$5:I2361,I2361,G$5:G2361,G2361),"0000"))</f>
        <v/>
      </c>
      <c r="C2361" s="26"/>
      <c r="D2361" s="26"/>
      <c r="E2361" s="27"/>
      <c r="F2361" s="27"/>
      <c r="G2361" s="24" t="str">
        <f aca="false">IF(F2361="","",IF(F2361&lt;=5,"A",IF(F2361&lt;=8,"B",IF(F2361&lt;=10,"C","D"))))</f>
        <v/>
      </c>
      <c r="H2361" s="28"/>
      <c r="I2361" s="27"/>
      <c r="J2361" s="26"/>
      <c r="K2361" s="27"/>
      <c r="L2361" s="27"/>
      <c r="M2361" s="27"/>
      <c r="N2361" s="27"/>
      <c r="O2361" s="24" t="str">
        <f aca="false">IF(G2361="","",VLOOKUP(G2361,Setup!$A$14:$C$17,3,0))</f>
        <v/>
      </c>
      <c r="P2361" s="27"/>
      <c r="Q2361" s="29" t="str">
        <f aca="false">IF(OR(P2361="",M2361&lt;&gt;"Paid",O2361=""),"",P2361/O2361)</f>
        <v/>
      </c>
      <c r="R2361" s="30" t="str">
        <f aca="false">IF(Q2361="","",Q2361+N(H2361)*0.000000001)</f>
        <v/>
      </c>
      <c r="S2361" s="25" t="str">
        <f aca="false">IF(R2361="","",SUMPRODUCT((I$5:I$4004=I2361)*ISNUMBER(R$5:R$4004)*(R$5:R$4004&gt;R2361))+1)</f>
        <v/>
      </c>
      <c r="T2361" s="25" t="str">
        <f aca="false">IF(S2361="","",IF(S2361&lt;=Setup!$B$5,"🏆 WINNER",""))</f>
        <v/>
      </c>
      <c r="U2361" s="24" t="str">
        <f aca="false">IF(S2361="","",I2361&amp;"|"&amp;S2361)</f>
        <v/>
      </c>
    </row>
    <row r="2362" customFormat="false" ht="15" hidden="false" customHeight="false" outlineLevel="0" collapsed="false">
      <c r="A2362" s="31" t="n">
        <v>2358</v>
      </c>
      <c r="B2362" s="32" t="str">
        <f aca="false">IF(OR(C2362="",I2362="",G2362=""),"",IFERROR(VLOOKUP(I2362,Setup!$A$9:$B$11,2,0),"???")&amp;"-"&amp;G2362&amp;"-"&amp;TEXT(COUNTIFS(I$5:I2362,I2362,G$5:G2362,G2362),"0000"))</f>
        <v/>
      </c>
      <c r="C2362" s="26"/>
      <c r="D2362" s="26"/>
      <c r="E2362" s="27"/>
      <c r="F2362" s="27"/>
      <c r="G2362" s="31" t="str">
        <f aca="false">IF(F2362="","",IF(F2362&lt;=5,"A",IF(F2362&lt;=8,"B",IF(F2362&lt;=10,"C","D"))))</f>
        <v/>
      </c>
      <c r="H2362" s="28"/>
      <c r="I2362" s="27"/>
      <c r="J2362" s="26"/>
      <c r="K2362" s="27"/>
      <c r="L2362" s="27"/>
      <c r="M2362" s="27"/>
      <c r="N2362" s="27"/>
      <c r="O2362" s="31" t="str">
        <f aca="false">IF(G2362="","",VLOOKUP(G2362,Setup!$A$14:$C$17,3,0))</f>
        <v/>
      </c>
      <c r="P2362" s="27"/>
      <c r="Q2362" s="33" t="str">
        <f aca="false">IF(OR(P2362="",M2362&lt;&gt;"Paid",O2362=""),"",P2362/O2362)</f>
        <v/>
      </c>
      <c r="R2362" s="34" t="str">
        <f aca="false">IF(Q2362="","",Q2362+N(H2362)*0.000000001)</f>
        <v/>
      </c>
      <c r="S2362" s="32" t="str">
        <f aca="false">IF(R2362="","",SUMPRODUCT((I$5:I$4004=I2362)*ISNUMBER(R$5:R$4004)*(R$5:R$4004&gt;R2362))+1)</f>
        <v/>
      </c>
      <c r="T2362" s="32" t="str">
        <f aca="false">IF(S2362="","",IF(S2362&lt;=Setup!$B$5,"🏆 WINNER",""))</f>
        <v/>
      </c>
      <c r="U2362" s="31" t="str">
        <f aca="false">IF(S2362="","",I2362&amp;"|"&amp;S2362)</f>
        <v/>
      </c>
    </row>
    <row r="2363" customFormat="false" ht="15" hidden="false" customHeight="false" outlineLevel="0" collapsed="false">
      <c r="A2363" s="24" t="n">
        <v>2359</v>
      </c>
      <c r="B2363" s="25" t="str">
        <f aca="false">IF(OR(C2363="",I2363="",G2363=""),"",IFERROR(VLOOKUP(I2363,Setup!$A$9:$B$11,2,0),"???")&amp;"-"&amp;G2363&amp;"-"&amp;TEXT(COUNTIFS(I$5:I2363,I2363,G$5:G2363,G2363),"0000"))</f>
        <v/>
      </c>
      <c r="C2363" s="26"/>
      <c r="D2363" s="26"/>
      <c r="E2363" s="27"/>
      <c r="F2363" s="27"/>
      <c r="G2363" s="24" t="str">
        <f aca="false">IF(F2363="","",IF(F2363&lt;=5,"A",IF(F2363&lt;=8,"B",IF(F2363&lt;=10,"C","D"))))</f>
        <v/>
      </c>
      <c r="H2363" s="28"/>
      <c r="I2363" s="27"/>
      <c r="J2363" s="26"/>
      <c r="K2363" s="27"/>
      <c r="L2363" s="27"/>
      <c r="M2363" s="27"/>
      <c r="N2363" s="27"/>
      <c r="O2363" s="24" t="str">
        <f aca="false">IF(G2363="","",VLOOKUP(G2363,Setup!$A$14:$C$17,3,0))</f>
        <v/>
      </c>
      <c r="P2363" s="27"/>
      <c r="Q2363" s="29" t="str">
        <f aca="false">IF(OR(P2363="",M2363&lt;&gt;"Paid",O2363=""),"",P2363/O2363)</f>
        <v/>
      </c>
      <c r="R2363" s="30" t="str">
        <f aca="false">IF(Q2363="","",Q2363+N(H2363)*0.000000001)</f>
        <v/>
      </c>
      <c r="S2363" s="25" t="str">
        <f aca="false">IF(R2363="","",SUMPRODUCT((I$5:I$4004=I2363)*ISNUMBER(R$5:R$4004)*(R$5:R$4004&gt;R2363))+1)</f>
        <v/>
      </c>
      <c r="T2363" s="25" t="str">
        <f aca="false">IF(S2363="","",IF(S2363&lt;=Setup!$B$5,"🏆 WINNER",""))</f>
        <v/>
      </c>
      <c r="U2363" s="24" t="str">
        <f aca="false">IF(S2363="","",I2363&amp;"|"&amp;S2363)</f>
        <v/>
      </c>
    </row>
    <row r="2364" customFormat="false" ht="15" hidden="false" customHeight="false" outlineLevel="0" collapsed="false">
      <c r="A2364" s="31" t="n">
        <v>2360</v>
      </c>
      <c r="B2364" s="32" t="str">
        <f aca="false">IF(OR(C2364="",I2364="",G2364=""),"",IFERROR(VLOOKUP(I2364,Setup!$A$9:$B$11,2,0),"???")&amp;"-"&amp;G2364&amp;"-"&amp;TEXT(COUNTIFS(I$5:I2364,I2364,G$5:G2364,G2364),"0000"))</f>
        <v/>
      </c>
      <c r="C2364" s="26"/>
      <c r="D2364" s="26"/>
      <c r="E2364" s="27"/>
      <c r="F2364" s="27"/>
      <c r="G2364" s="31" t="str">
        <f aca="false">IF(F2364="","",IF(F2364&lt;=5,"A",IF(F2364&lt;=8,"B",IF(F2364&lt;=10,"C","D"))))</f>
        <v/>
      </c>
      <c r="H2364" s="28"/>
      <c r="I2364" s="27"/>
      <c r="J2364" s="26"/>
      <c r="K2364" s="27"/>
      <c r="L2364" s="27"/>
      <c r="M2364" s="27"/>
      <c r="N2364" s="27"/>
      <c r="O2364" s="31" t="str">
        <f aca="false">IF(G2364="","",VLOOKUP(G2364,Setup!$A$14:$C$17,3,0))</f>
        <v/>
      </c>
      <c r="P2364" s="27"/>
      <c r="Q2364" s="33" t="str">
        <f aca="false">IF(OR(P2364="",M2364&lt;&gt;"Paid",O2364=""),"",P2364/O2364)</f>
        <v/>
      </c>
      <c r="R2364" s="34" t="str">
        <f aca="false">IF(Q2364="","",Q2364+N(H2364)*0.000000001)</f>
        <v/>
      </c>
      <c r="S2364" s="32" t="str">
        <f aca="false">IF(R2364="","",SUMPRODUCT((I$5:I$4004=I2364)*ISNUMBER(R$5:R$4004)*(R$5:R$4004&gt;R2364))+1)</f>
        <v/>
      </c>
      <c r="T2364" s="32" t="str">
        <f aca="false">IF(S2364="","",IF(S2364&lt;=Setup!$B$5,"🏆 WINNER",""))</f>
        <v/>
      </c>
      <c r="U2364" s="31" t="str">
        <f aca="false">IF(S2364="","",I2364&amp;"|"&amp;S2364)</f>
        <v/>
      </c>
    </row>
    <row r="2365" customFormat="false" ht="15" hidden="false" customHeight="false" outlineLevel="0" collapsed="false">
      <c r="A2365" s="24" t="n">
        <v>2361</v>
      </c>
      <c r="B2365" s="25" t="str">
        <f aca="false">IF(OR(C2365="",I2365="",G2365=""),"",IFERROR(VLOOKUP(I2365,Setup!$A$9:$B$11,2,0),"???")&amp;"-"&amp;G2365&amp;"-"&amp;TEXT(COUNTIFS(I$5:I2365,I2365,G$5:G2365,G2365),"0000"))</f>
        <v/>
      </c>
      <c r="C2365" s="26"/>
      <c r="D2365" s="26"/>
      <c r="E2365" s="27"/>
      <c r="F2365" s="27"/>
      <c r="G2365" s="24" t="str">
        <f aca="false">IF(F2365="","",IF(F2365&lt;=5,"A",IF(F2365&lt;=8,"B",IF(F2365&lt;=10,"C","D"))))</f>
        <v/>
      </c>
      <c r="H2365" s="28"/>
      <c r="I2365" s="27"/>
      <c r="J2365" s="26"/>
      <c r="K2365" s="27"/>
      <c r="L2365" s="27"/>
      <c r="M2365" s="27"/>
      <c r="N2365" s="27"/>
      <c r="O2365" s="24" t="str">
        <f aca="false">IF(G2365="","",VLOOKUP(G2365,Setup!$A$14:$C$17,3,0))</f>
        <v/>
      </c>
      <c r="P2365" s="27"/>
      <c r="Q2365" s="29" t="str">
        <f aca="false">IF(OR(P2365="",M2365&lt;&gt;"Paid",O2365=""),"",P2365/O2365)</f>
        <v/>
      </c>
      <c r="R2365" s="30" t="str">
        <f aca="false">IF(Q2365="","",Q2365+N(H2365)*0.000000001)</f>
        <v/>
      </c>
      <c r="S2365" s="25" t="str">
        <f aca="false">IF(R2365="","",SUMPRODUCT((I$5:I$4004=I2365)*ISNUMBER(R$5:R$4004)*(R$5:R$4004&gt;R2365))+1)</f>
        <v/>
      </c>
      <c r="T2365" s="25" t="str">
        <f aca="false">IF(S2365="","",IF(S2365&lt;=Setup!$B$5,"🏆 WINNER",""))</f>
        <v/>
      </c>
      <c r="U2365" s="24" t="str">
        <f aca="false">IF(S2365="","",I2365&amp;"|"&amp;S2365)</f>
        <v/>
      </c>
    </row>
    <row r="2366" customFormat="false" ht="15" hidden="false" customHeight="false" outlineLevel="0" collapsed="false">
      <c r="A2366" s="31" t="n">
        <v>2362</v>
      </c>
      <c r="B2366" s="32" t="str">
        <f aca="false">IF(OR(C2366="",I2366="",G2366=""),"",IFERROR(VLOOKUP(I2366,Setup!$A$9:$B$11,2,0),"???")&amp;"-"&amp;G2366&amp;"-"&amp;TEXT(COUNTIFS(I$5:I2366,I2366,G$5:G2366,G2366),"0000"))</f>
        <v/>
      </c>
      <c r="C2366" s="26"/>
      <c r="D2366" s="26"/>
      <c r="E2366" s="27"/>
      <c r="F2366" s="27"/>
      <c r="G2366" s="31" t="str">
        <f aca="false">IF(F2366="","",IF(F2366&lt;=5,"A",IF(F2366&lt;=8,"B",IF(F2366&lt;=10,"C","D"))))</f>
        <v/>
      </c>
      <c r="H2366" s="28"/>
      <c r="I2366" s="27"/>
      <c r="J2366" s="26"/>
      <c r="K2366" s="27"/>
      <c r="L2366" s="27"/>
      <c r="M2366" s="27"/>
      <c r="N2366" s="27"/>
      <c r="O2366" s="31" t="str">
        <f aca="false">IF(G2366="","",VLOOKUP(G2366,Setup!$A$14:$C$17,3,0))</f>
        <v/>
      </c>
      <c r="P2366" s="27"/>
      <c r="Q2366" s="33" t="str">
        <f aca="false">IF(OR(P2366="",M2366&lt;&gt;"Paid",O2366=""),"",P2366/O2366)</f>
        <v/>
      </c>
      <c r="R2366" s="34" t="str">
        <f aca="false">IF(Q2366="","",Q2366+N(H2366)*0.000000001)</f>
        <v/>
      </c>
      <c r="S2366" s="32" t="str">
        <f aca="false">IF(R2366="","",SUMPRODUCT((I$5:I$4004=I2366)*ISNUMBER(R$5:R$4004)*(R$5:R$4004&gt;R2366))+1)</f>
        <v/>
      </c>
      <c r="T2366" s="32" t="str">
        <f aca="false">IF(S2366="","",IF(S2366&lt;=Setup!$B$5,"🏆 WINNER",""))</f>
        <v/>
      </c>
      <c r="U2366" s="31" t="str">
        <f aca="false">IF(S2366="","",I2366&amp;"|"&amp;S2366)</f>
        <v/>
      </c>
    </row>
    <row r="2367" customFormat="false" ht="15" hidden="false" customHeight="false" outlineLevel="0" collapsed="false">
      <c r="A2367" s="24" t="n">
        <v>2363</v>
      </c>
      <c r="B2367" s="25" t="str">
        <f aca="false">IF(OR(C2367="",I2367="",G2367=""),"",IFERROR(VLOOKUP(I2367,Setup!$A$9:$B$11,2,0),"???")&amp;"-"&amp;G2367&amp;"-"&amp;TEXT(COUNTIFS(I$5:I2367,I2367,G$5:G2367,G2367),"0000"))</f>
        <v/>
      </c>
      <c r="C2367" s="26"/>
      <c r="D2367" s="26"/>
      <c r="E2367" s="27"/>
      <c r="F2367" s="27"/>
      <c r="G2367" s="24" t="str">
        <f aca="false">IF(F2367="","",IF(F2367&lt;=5,"A",IF(F2367&lt;=8,"B",IF(F2367&lt;=10,"C","D"))))</f>
        <v/>
      </c>
      <c r="H2367" s="28"/>
      <c r="I2367" s="27"/>
      <c r="J2367" s="26"/>
      <c r="K2367" s="27"/>
      <c r="L2367" s="27"/>
      <c r="M2367" s="27"/>
      <c r="N2367" s="27"/>
      <c r="O2367" s="24" t="str">
        <f aca="false">IF(G2367="","",VLOOKUP(G2367,Setup!$A$14:$C$17,3,0))</f>
        <v/>
      </c>
      <c r="P2367" s="27"/>
      <c r="Q2367" s="29" t="str">
        <f aca="false">IF(OR(P2367="",M2367&lt;&gt;"Paid",O2367=""),"",P2367/O2367)</f>
        <v/>
      </c>
      <c r="R2367" s="30" t="str">
        <f aca="false">IF(Q2367="","",Q2367+N(H2367)*0.000000001)</f>
        <v/>
      </c>
      <c r="S2367" s="25" t="str">
        <f aca="false">IF(R2367="","",SUMPRODUCT((I$5:I$4004=I2367)*ISNUMBER(R$5:R$4004)*(R$5:R$4004&gt;R2367))+1)</f>
        <v/>
      </c>
      <c r="T2367" s="25" t="str">
        <f aca="false">IF(S2367="","",IF(S2367&lt;=Setup!$B$5,"🏆 WINNER",""))</f>
        <v/>
      </c>
      <c r="U2367" s="24" t="str">
        <f aca="false">IF(S2367="","",I2367&amp;"|"&amp;S2367)</f>
        <v/>
      </c>
    </row>
    <row r="2368" customFormat="false" ht="15" hidden="false" customHeight="false" outlineLevel="0" collapsed="false">
      <c r="A2368" s="31" t="n">
        <v>2364</v>
      </c>
      <c r="B2368" s="32" t="str">
        <f aca="false">IF(OR(C2368="",I2368="",G2368=""),"",IFERROR(VLOOKUP(I2368,Setup!$A$9:$B$11,2,0),"???")&amp;"-"&amp;G2368&amp;"-"&amp;TEXT(COUNTIFS(I$5:I2368,I2368,G$5:G2368,G2368),"0000"))</f>
        <v/>
      </c>
      <c r="C2368" s="26"/>
      <c r="D2368" s="26"/>
      <c r="E2368" s="27"/>
      <c r="F2368" s="27"/>
      <c r="G2368" s="31" t="str">
        <f aca="false">IF(F2368="","",IF(F2368&lt;=5,"A",IF(F2368&lt;=8,"B",IF(F2368&lt;=10,"C","D"))))</f>
        <v/>
      </c>
      <c r="H2368" s="28"/>
      <c r="I2368" s="27"/>
      <c r="J2368" s="26"/>
      <c r="K2368" s="27"/>
      <c r="L2368" s="27"/>
      <c r="M2368" s="27"/>
      <c r="N2368" s="27"/>
      <c r="O2368" s="31" t="str">
        <f aca="false">IF(G2368="","",VLOOKUP(G2368,Setup!$A$14:$C$17,3,0))</f>
        <v/>
      </c>
      <c r="P2368" s="27"/>
      <c r="Q2368" s="33" t="str">
        <f aca="false">IF(OR(P2368="",M2368&lt;&gt;"Paid",O2368=""),"",P2368/O2368)</f>
        <v/>
      </c>
      <c r="R2368" s="34" t="str">
        <f aca="false">IF(Q2368="","",Q2368+N(H2368)*0.000000001)</f>
        <v/>
      </c>
      <c r="S2368" s="32" t="str">
        <f aca="false">IF(R2368="","",SUMPRODUCT((I$5:I$4004=I2368)*ISNUMBER(R$5:R$4004)*(R$5:R$4004&gt;R2368))+1)</f>
        <v/>
      </c>
      <c r="T2368" s="32" t="str">
        <f aca="false">IF(S2368="","",IF(S2368&lt;=Setup!$B$5,"🏆 WINNER",""))</f>
        <v/>
      </c>
      <c r="U2368" s="31" t="str">
        <f aca="false">IF(S2368="","",I2368&amp;"|"&amp;S2368)</f>
        <v/>
      </c>
    </row>
    <row r="2369" customFormat="false" ht="15" hidden="false" customHeight="false" outlineLevel="0" collapsed="false">
      <c r="A2369" s="24" t="n">
        <v>2365</v>
      </c>
      <c r="B2369" s="25" t="str">
        <f aca="false">IF(OR(C2369="",I2369="",G2369=""),"",IFERROR(VLOOKUP(I2369,Setup!$A$9:$B$11,2,0),"???")&amp;"-"&amp;G2369&amp;"-"&amp;TEXT(COUNTIFS(I$5:I2369,I2369,G$5:G2369,G2369),"0000"))</f>
        <v/>
      </c>
      <c r="C2369" s="26"/>
      <c r="D2369" s="26"/>
      <c r="E2369" s="27"/>
      <c r="F2369" s="27"/>
      <c r="G2369" s="24" t="str">
        <f aca="false">IF(F2369="","",IF(F2369&lt;=5,"A",IF(F2369&lt;=8,"B",IF(F2369&lt;=10,"C","D"))))</f>
        <v/>
      </c>
      <c r="H2369" s="28"/>
      <c r="I2369" s="27"/>
      <c r="J2369" s="26"/>
      <c r="K2369" s="27"/>
      <c r="L2369" s="27"/>
      <c r="M2369" s="27"/>
      <c r="N2369" s="27"/>
      <c r="O2369" s="24" t="str">
        <f aca="false">IF(G2369="","",VLOOKUP(G2369,Setup!$A$14:$C$17,3,0))</f>
        <v/>
      </c>
      <c r="P2369" s="27"/>
      <c r="Q2369" s="29" t="str">
        <f aca="false">IF(OR(P2369="",M2369&lt;&gt;"Paid",O2369=""),"",P2369/O2369)</f>
        <v/>
      </c>
      <c r="R2369" s="30" t="str">
        <f aca="false">IF(Q2369="","",Q2369+N(H2369)*0.000000001)</f>
        <v/>
      </c>
      <c r="S2369" s="25" t="str">
        <f aca="false">IF(R2369="","",SUMPRODUCT((I$5:I$4004=I2369)*ISNUMBER(R$5:R$4004)*(R$5:R$4004&gt;R2369))+1)</f>
        <v/>
      </c>
      <c r="T2369" s="25" t="str">
        <f aca="false">IF(S2369="","",IF(S2369&lt;=Setup!$B$5,"🏆 WINNER",""))</f>
        <v/>
      </c>
      <c r="U2369" s="24" t="str">
        <f aca="false">IF(S2369="","",I2369&amp;"|"&amp;S2369)</f>
        <v/>
      </c>
    </row>
    <row r="2370" customFormat="false" ht="15" hidden="false" customHeight="false" outlineLevel="0" collapsed="false">
      <c r="A2370" s="31" t="n">
        <v>2366</v>
      </c>
      <c r="B2370" s="32" t="str">
        <f aca="false">IF(OR(C2370="",I2370="",G2370=""),"",IFERROR(VLOOKUP(I2370,Setup!$A$9:$B$11,2,0),"???")&amp;"-"&amp;G2370&amp;"-"&amp;TEXT(COUNTIFS(I$5:I2370,I2370,G$5:G2370,G2370),"0000"))</f>
        <v/>
      </c>
      <c r="C2370" s="26"/>
      <c r="D2370" s="26"/>
      <c r="E2370" s="27"/>
      <c r="F2370" s="27"/>
      <c r="G2370" s="31" t="str">
        <f aca="false">IF(F2370="","",IF(F2370&lt;=5,"A",IF(F2370&lt;=8,"B",IF(F2370&lt;=10,"C","D"))))</f>
        <v/>
      </c>
      <c r="H2370" s="28"/>
      <c r="I2370" s="27"/>
      <c r="J2370" s="26"/>
      <c r="K2370" s="27"/>
      <c r="L2370" s="27"/>
      <c r="M2370" s="27"/>
      <c r="N2370" s="27"/>
      <c r="O2370" s="31" t="str">
        <f aca="false">IF(G2370="","",VLOOKUP(G2370,Setup!$A$14:$C$17,3,0))</f>
        <v/>
      </c>
      <c r="P2370" s="27"/>
      <c r="Q2370" s="33" t="str">
        <f aca="false">IF(OR(P2370="",M2370&lt;&gt;"Paid",O2370=""),"",P2370/O2370)</f>
        <v/>
      </c>
      <c r="R2370" s="34" t="str">
        <f aca="false">IF(Q2370="","",Q2370+N(H2370)*0.000000001)</f>
        <v/>
      </c>
      <c r="S2370" s="32" t="str">
        <f aca="false">IF(R2370="","",SUMPRODUCT((I$5:I$4004=I2370)*ISNUMBER(R$5:R$4004)*(R$5:R$4004&gt;R2370))+1)</f>
        <v/>
      </c>
      <c r="T2370" s="32" t="str">
        <f aca="false">IF(S2370="","",IF(S2370&lt;=Setup!$B$5,"🏆 WINNER",""))</f>
        <v/>
      </c>
      <c r="U2370" s="31" t="str">
        <f aca="false">IF(S2370="","",I2370&amp;"|"&amp;S2370)</f>
        <v/>
      </c>
    </row>
    <row r="2371" customFormat="false" ht="15" hidden="false" customHeight="false" outlineLevel="0" collapsed="false">
      <c r="A2371" s="24" t="n">
        <v>2367</v>
      </c>
      <c r="B2371" s="25" t="str">
        <f aca="false">IF(OR(C2371="",I2371="",G2371=""),"",IFERROR(VLOOKUP(I2371,Setup!$A$9:$B$11,2,0),"???")&amp;"-"&amp;G2371&amp;"-"&amp;TEXT(COUNTIFS(I$5:I2371,I2371,G$5:G2371,G2371),"0000"))</f>
        <v/>
      </c>
      <c r="C2371" s="26"/>
      <c r="D2371" s="26"/>
      <c r="E2371" s="27"/>
      <c r="F2371" s="27"/>
      <c r="G2371" s="24" t="str">
        <f aca="false">IF(F2371="","",IF(F2371&lt;=5,"A",IF(F2371&lt;=8,"B",IF(F2371&lt;=10,"C","D"))))</f>
        <v/>
      </c>
      <c r="H2371" s="28"/>
      <c r="I2371" s="27"/>
      <c r="J2371" s="26"/>
      <c r="K2371" s="27"/>
      <c r="L2371" s="27"/>
      <c r="M2371" s="27"/>
      <c r="N2371" s="27"/>
      <c r="O2371" s="24" t="str">
        <f aca="false">IF(G2371="","",VLOOKUP(G2371,Setup!$A$14:$C$17,3,0))</f>
        <v/>
      </c>
      <c r="P2371" s="27"/>
      <c r="Q2371" s="29" t="str">
        <f aca="false">IF(OR(P2371="",M2371&lt;&gt;"Paid",O2371=""),"",P2371/O2371)</f>
        <v/>
      </c>
      <c r="R2371" s="30" t="str">
        <f aca="false">IF(Q2371="","",Q2371+N(H2371)*0.000000001)</f>
        <v/>
      </c>
      <c r="S2371" s="25" t="str">
        <f aca="false">IF(R2371="","",SUMPRODUCT((I$5:I$4004=I2371)*ISNUMBER(R$5:R$4004)*(R$5:R$4004&gt;R2371))+1)</f>
        <v/>
      </c>
      <c r="T2371" s="25" t="str">
        <f aca="false">IF(S2371="","",IF(S2371&lt;=Setup!$B$5,"🏆 WINNER",""))</f>
        <v/>
      </c>
      <c r="U2371" s="24" t="str">
        <f aca="false">IF(S2371="","",I2371&amp;"|"&amp;S2371)</f>
        <v/>
      </c>
    </row>
    <row r="2372" customFormat="false" ht="15" hidden="false" customHeight="false" outlineLevel="0" collapsed="false">
      <c r="A2372" s="31" t="n">
        <v>2368</v>
      </c>
      <c r="B2372" s="32" t="str">
        <f aca="false">IF(OR(C2372="",I2372="",G2372=""),"",IFERROR(VLOOKUP(I2372,Setup!$A$9:$B$11,2,0),"???")&amp;"-"&amp;G2372&amp;"-"&amp;TEXT(COUNTIFS(I$5:I2372,I2372,G$5:G2372,G2372),"0000"))</f>
        <v/>
      </c>
      <c r="C2372" s="26"/>
      <c r="D2372" s="26"/>
      <c r="E2372" s="27"/>
      <c r="F2372" s="27"/>
      <c r="G2372" s="31" t="str">
        <f aca="false">IF(F2372="","",IF(F2372&lt;=5,"A",IF(F2372&lt;=8,"B",IF(F2372&lt;=10,"C","D"))))</f>
        <v/>
      </c>
      <c r="H2372" s="28"/>
      <c r="I2372" s="27"/>
      <c r="J2372" s="26"/>
      <c r="K2372" s="27"/>
      <c r="L2372" s="27"/>
      <c r="M2372" s="27"/>
      <c r="N2372" s="27"/>
      <c r="O2372" s="31" t="str">
        <f aca="false">IF(G2372="","",VLOOKUP(G2372,Setup!$A$14:$C$17,3,0))</f>
        <v/>
      </c>
      <c r="P2372" s="27"/>
      <c r="Q2372" s="33" t="str">
        <f aca="false">IF(OR(P2372="",M2372&lt;&gt;"Paid",O2372=""),"",P2372/O2372)</f>
        <v/>
      </c>
      <c r="R2372" s="34" t="str">
        <f aca="false">IF(Q2372="","",Q2372+N(H2372)*0.000000001)</f>
        <v/>
      </c>
      <c r="S2372" s="32" t="str">
        <f aca="false">IF(R2372="","",SUMPRODUCT((I$5:I$4004=I2372)*ISNUMBER(R$5:R$4004)*(R$5:R$4004&gt;R2372))+1)</f>
        <v/>
      </c>
      <c r="T2372" s="32" t="str">
        <f aca="false">IF(S2372="","",IF(S2372&lt;=Setup!$B$5,"🏆 WINNER",""))</f>
        <v/>
      </c>
      <c r="U2372" s="31" t="str">
        <f aca="false">IF(S2372="","",I2372&amp;"|"&amp;S2372)</f>
        <v/>
      </c>
    </row>
    <row r="2373" customFormat="false" ht="15" hidden="false" customHeight="false" outlineLevel="0" collapsed="false">
      <c r="A2373" s="24" t="n">
        <v>2369</v>
      </c>
      <c r="B2373" s="25" t="str">
        <f aca="false">IF(OR(C2373="",I2373="",G2373=""),"",IFERROR(VLOOKUP(I2373,Setup!$A$9:$B$11,2,0),"???")&amp;"-"&amp;G2373&amp;"-"&amp;TEXT(COUNTIFS(I$5:I2373,I2373,G$5:G2373,G2373),"0000"))</f>
        <v/>
      </c>
      <c r="C2373" s="26"/>
      <c r="D2373" s="26"/>
      <c r="E2373" s="27"/>
      <c r="F2373" s="27"/>
      <c r="G2373" s="24" t="str">
        <f aca="false">IF(F2373="","",IF(F2373&lt;=5,"A",IF(F2373&lt;=8,"B",IF(F2373&lt;=10,"C","D"))))</f>
        <v/>
      </c>
      <c r="H2373" s="28"/>
      <c r="I2373" s="27"/>
      <c r="J2373" s="26"/>
      <c r="K2373" s="27"/>
      <c r="L2373" s="27"/>
      <c r="M2373" s="27"/>
      <c r="N2373" s="27"/>
      <c r="O2373" s="24" t="str">
        <f aca="false">IF(G2373="","",VLOOKUP(G2373,Setup!$A$14:$C$17,3,0))</f>
        <v/>
      </c>
      <c r="P2373" s="27"/>
      <c r="Q2373" s="29" t="str">
        <f aca="false">IF(OR(P2373="",M2373&lt;&gt;"Paid",O2373=""),"",P2373/O2373)</f>
        <v/>
      </c>
      <c r="R2373" s="30" t="str">
        <f aca="false">IF(Q2373="","",Q2373+N(H2373)*0.000000001)</f>
        <v/>
      </c>
      <c r="S2373" s="25" t="str">
        <f aca="false">IF(R2373="","",SUMPRODUCT((I$5:I$4004=I2373)*ISNUMBER(R$5:R$4004)*(R$5:R$4004&gt;R2373))+1)</f>
        <v/>
      </c>
      <c r="T2373" s="25" t="str">
        <f aca="false">IF(S2373="","",IF(S2373&lt;=Setup!$B$5,"🏆 WINNER",""))</f>
        <v/>
      </c>
      <c r="U2373" s="24" t="str">
        <f aca="false">IF(S2373="","",I2373&amp;"|"&amp;S2373)</f>
        <v/>
      </c>
    </row>
    <row r="2374" customFormat="false" ht="15" hidden="false" customHeight="false" outlineLevel="0" collapsed="false">
      <c r="A2374" s="31" t="n">
        <v>2370</v>
      </c>
      <c r="B2374" s="32" t="str">
        <f aca="false">IF(OR(C2374="",I2374="",G2374=""),"",IFERROR(VLOOKUP(I2374,Setup!$A$9:$B$11,2,0),"???")&amp;"-"&amp;G2374&amp;"-"&amp;TEXT(COUNTIFS(I$5:I2374,I2374,G$5:G2374,G2374),"0000"))</f>
        <v/>
      </c>
      <c r="C2374" s="26"/>
      <c r="D2374" s="26"/>
      <c r="E2374" s="27"/>
      <c r="F2374" s="27"/>
      <c r="G2374" s="31" t="str">
        <f aca="false">IF(F2374="","",IF(F2374&lt;=5,"A",IF(F2374&lt;=8,"B",IF(F2374&lt;=10,"C","D"))))</f>
        <v/>
      </c>
      <c r="H2374" s="28"/>
      <c r="I2374" s="27"/>
      <c r="J2374" s="26"/>
      <c r="K2374" s="27"/>
      <c r="L2374" s="27"/>
      <c r="M2374" s="27"/>
      <c r="N2374" s="27"/>
      <c r="O2374" s="31" t="str">
        <f aca="false">IF(G2374="","",VLOOKUP(G2374,Setup!$A$14:$C$17,3,0))</f>
        <v/>
      </c>
      <c r="P2374" s="27"/>
      <c r="Q2374" s="33" t="str">
        <f aca="false">IF(OR(P2374="",M2374&lt;&gt;"Paid",O2374=""),"",P2374/O2374)</f>
        <v/>
      </c>
      <c r="R2374" s="34" t="str">
        <f aca="false">IF(Q2374="","",Q2374+N(H2374)*0.000000001)</f>
        <v/>
      </c>
      <c r="S2374" s="32" t="str">
        <f aca="false">IF(R2374="","",SUMPRODUCT((I$5:I$4004=I2374)*ISNUMBER(R$5:R$4004)*(R$5:R$4004&gt;R2374))+1)</f>
        <v/>
      </c>
      <c r="T2374" s="32" t="str">
        <f aca="false">IF(S2374="","",IF(S2374&lt;=Setup!$B$5,"🏆 WINNER",""))</f>
        <v/>
      </c>
      <c r="U2374" s="31" t="str">
        <f aca="false">IF(S2374="","",I2374&amp;"|"&amp;S2374)</f>
        <v/>
      </c>
    </row>
    <row r="2375" customFormat="false" ht="15" hidden="false" customHeight="false" outlineLevel="0" collapsed="false">
      <c r="A2375" s="24" t="n">
        <v>2371</v>
      </c>
      <c r="B2375" s="25" t="str">
        <f aca="false">IF(OR(C2375="",I2375="",G2375=""),"",IFERROR(VLOOKUP(I2375,Setup!$A$9:$B$11,2,0),"???")&amp;"-"&amp;G2375&amp;"-"&amp;TEXT(COUNTIFS(I$5:I2375,I2375,G$5:G2375,G2375),"0000"))</f>
        <v/>
      </c>
      <c r="C2375" s="26"/>
      <c r="D2375" s="26"/>
      <c r="E2375" s="27"/>
      <c r="F2375" s="27"/>
      <c r="G2375" s="24" t="str">
        <f aca="false">IF(F2375="","",IF(F2375&lt;=5,"A",IF(F2375&lt;=8,"B",IF(F2375&lt;=10,"C","D"))))</f>
        <v/>
      </c>
      <c r="H2375" s="28"/>
      <c r="I2375" s="27"/>
      <c r="J2375" s="26"/>
      <c r="K2375" s="27"/>
      <c r="L2375" s="27"/>
      <c r="M2375" s="27"/>
      <c r="N2375" s="27"/>
      <c r="O2375" s="24" t="str">
        <f aca="false">IF(G2375="","",VLOOKUP(G2375,Setup!$A$14:$C$17,3,0))</f>
        <v/>
      </c>
      <c r="P2375" s="27"/>
      <c r="Q2375" s="29" t="str">
        <f aca="false">IF(OR(P2375="",M2375&lt;&gt;"Paid",O2375=""),"",P2375/O2375)</f>
        <v/>
      </c>
      <c r="R2375" s="30" t="str">
        <f aca="false">IF(Q2375="","",Q2375+N(H2375)*0.000000001)</f>
        <v/>
      </c>
      <c r="S2375" s="25" t="str">
        <f aca="false">IF(R2375="","",SUMPRODUCT((I$5:I$4004=I2375)*ISNUMBER(R$5:R$4004)*(R$5:R$4004&gt;R2375))+1)</f>
        <v/>
      </c>
      <c r="T2375" s="25" t="str">
        <f aca="false">IF(S2375="","",IF(S2375&lt;=Setup!$B$5,"🏆 WINNER",""))</f>
        <v/>
      </c>
      <c r="U2375" s="24" t="str">
        <f aca="false">IF(S2375="","",I2375&amp;"|"&amp;S2375)</f>
        <v/>
      </c>
    </row>
    <row r="2376" customFormat="false" ht="15" hidden="false" customHeight="false" outlineLevel="0" collapsed="false">
      <c r="A2376" s="31" t="n">
        <v>2372</v>
      </c>
      <c r="B2376" s="32" t="str">
        <f aca="false">IF(OR(C2376="",I2376="",G2376=""),"",IFERROR(VLOOKUP(I2376,Setup!$A$9:$B$11,2,0),"???")&amp;"-"&amp;G2376&amp;"-"&amp;TEXT(COUNTIFS(I$5:I2376,I2376,G$5:G2376,G2376),"0000"))</f>
        <v/>
      </c>
      <c r="C2376" s="26"/>
      <c r="D2376" s="26"/>
      <c r="E2376" s="27"/>
      <c r="F2376" s="27"/>
      <c r="G2376" s="31" t="str">
        <f aca="false">IF(F2376="","",IF(F2376&lt;=5,"A",IF(F2376&lt;=8,"B",IF(F2376&lt;=10,"C","D"))))</f>
        <v/>
      </c>
      <c r="H2376" s="28"/>
      <c r="I2376" s="27"/>
      <c r="J2376" s="26"/>
      <c r="K2376" s="27"/>
      <c r="L2376" s="27"/>
      <c r="M2376" s="27"/>
      <c r="N2376" s="27"/>
      <c r="O2376" s="31" t="str">
        <f aca="false">IF(G2376="","",VLOOKUP(G2376,Setup!$A$14:$C$17,3,0))</f>
        <v/>
      </c>
      <c r="P2376" s="27"/>
      <c r="Q2376" s="33" t="str">
        <f aca="false">IF(OR(P2376="",M2376&lt;&gt;"Paid",O2376=""),"",P2376/O2376)</f>
        <v/>
      </c>
      <c r="R2376" s="34" t="str">
        <f aca="false">IF(Q2376="","",Q2376+N(H2376)*0.000000001)</f>
        <v/>
      </c>
      <c r="S2376" s="32" t="str">
        <f aca="false">IF(R2376="","",SUMPRODUCT((I$5:I$4004=I2376)*ISNUMBER(R$5:R$4004)*(R$5:R$4004&gt;R2376))+1)</f>
        <v/>
      </c>
      <c r="T2376" s="32" t="str">
        <f aca="false">IF(S2376="","",IF(S2376&lt;=Setup!$B$5,"🏆 WINNER",""))</f>
        <v/>
      </c>
      <c r="U2376" s="31" t="str">
        <f aca="false">IF(S2376="","",I2376&amp;"|"&amp;S2376)</f>
        <v/>
      </c>
    </row>
    <row r="2377" customFormat="false" ht="15" hidden="false" customHeight="false" outlineLevel="0" collapsed="false">
      <c r="A2377" s="24" t="n">
        <v>2373</v>
      </c>
      <c r="B2377" s="25" t="str">
        <f aca="false">IF(OR(C2377="",I2377="",G2377=""),"",IFERROR(VLOOKUP(I2377,Setup!$A$9:$B$11,2,0),"???")&amp;"-"&amp;G2377&amp;"-"&amp;TEXT(COUNTIFS(I$5:I2377,I2377,G$5:G2377,G2377),"0000"))</f>
        <v/>
      </c>
      <c r="C2377" s="26"/>
      <c r="D2377" s="26"/>
      <c r="E2377" s="27"/>
      <c r="F2377" s="27"/>
      <c r="G2377" s="24" t="str">
        <f aca="false">IF(F2377="","",IF(F2377&lt;=5,"A",IF(F2377&lt;=8,"B",IF(F2377&lt;=10,"C","D"))))</f>
        <v/>
      </c>
      <c r="H2377" s="28"/>
      <c r="I2377" s="27"/>
      <c r="J2377" s="26"/>
      <c r="K2377" s="27"/>
      <c r="L2377" s="27"/>
      <c r="M2377" s="27"/>
      <c r="N2377" s="27"/>
      <c r="O2377" s="24" t="str">
        <f aca="false">IF(G2377="","",VLOOKUP(G2377,Setup!$A$14:$C$17,3,0))</f>
        <v/>
      </c>
      <c r="P2377" s="27"/>
      <c r="Q2377" s="29" t="str">
        <f aca="false">IF(OR(P2377="",M2377&lt;&gt;"Paid",O2377=""),"",P2377/O2377)</f>
        <v/>
      </c>
      <c r="R2377" s="30" t="str">
        <f aca="false">IF(Q2377="","",Q2377+N(H2377)*0.000000001)</f>
        <v/>
      </c>
      <c r="S2377" s="25" t="str">
        <f aca="false">IF(R2377="","",SUMPRODUCT((I$5:I$4004=I2377)*ISNUMBER(R$5:R$4004)*(R$5:R$4004&gt;R2377))+1)</f>
        <v/>
      </c>
      <c r="T2377" s="25" t="str">
        <f aca="false">IF(S2377="","",IF(S2377&lt;=Setup!$B$5,"🏆 WINNER",""))</f>
        <v/>
      </c>
      <c r="U2377" s="24" t="str">
        <f aca="false">IF(S2377="","",I2377&amp;"|"&amp;S2377)</f>
        <v/>
      </c>
    </row>
    <row r="2378" customFormat="false" ht="15" hidden="false" customHeight="false" outlineLevel="0" collapsed="false">
      <c r="A2378" s="31" t="n">
        <v>2374</v>
      </c>
      <c r="B2378" s="32" t="str">
        <f aca="false">IF(OR(C2378="",I2378="",G2378=""),"",IFERROR(VLOOKUP(I2378,Setup!$A$9:$B$11,2,0),"???")&amp;"-"&amp;G2378&amp;"-"&amp;TEXT(COUNTIFS(I$5:I2378,I2378,G$5:G2378,G2378),"0000"))</f>
        <v/>
      </c>
      <c r="C2378" s="26"/>
      <c r="D2378" s="26"/>
      <c r="E2378" s="27"/>
      <c r="F2378" s="27"/>
      <c r="G2378" s="31" t="str">
        <f aca="false">IF(F2378="","",IF(F2378&lt;=5,"A",IF(F2378&lt;=8,"B",IF(F2378&lt;=10,"C","D"))))</f>
        <v/>
      </c>
      <c r="H2378" s="28"/>
      <c r="I2378" s="27"/>
      <c r="J2378" s="26"/>
      <c r="K2378" s="27"/>
      <c r="L2378" s="27"/>
      <c r="M2378" s="27"/>
      <c r="N2378" s="27"/>
      <c r="O2378" s="31" t="str">
        <f aca="false">IF(G2378="","",VLOOKUP(G2378,Setup!$A$14:$C$17,3,0))</f>
        <v/>
      </c>
      <c r="P2378" s="27"/>
      <c r="Q2378" s="33" t="str">
        <f aca="false">IF(OR(P2378="",M2378&lt;&gt;"Paid",O2378=""),"",P2378/O2378)</f>
        <v/>
      </c>
      <c r="R2378" s="34" t="str">
        <f aca="false">IF(Q2378="","",Q2378+N(H2378)*0.000000001)</f>
        <v/>
      </c>
      <c r="S2378" s="32" t="str">
        <f aca="false">IF(R2378="","",SUMPRODUCT((I$5:I$4004=I2378)*ISNUMBER(R$5:R$4004)*(R$5:R$4004&gt;R2378))+1)</f>
        <v/>
      </c>
      <c r="T2378" s="32" t="str">
        <f aca="false">IF(S2378="","",IF(S2378&lt;=Setup!$B$5,"🏆 WINNER",""))</f>
        <v/>
      </c>
      <c r="U2378" s="31" t="str">
        <f aca="false">IF(S2378="","",I2378&amp;"|"&amp;S2378)</f>
        <v/>
      </c>
    </row>
    <row r="2379" customFormat="false" ht="15" hidden="false" customHeight="false" outlineLevel="0" collapsed="false">
      <c r="A2379" s="24" t="n">
        <v>2375</v>
      </c>
      <c r="B2379" s="25" t="str">
        <f aca="false">IF(OR(C2379="",I2379="",G2379=""),"",IFERROR(VLOOKUP(I2379,Setup!$A$9:$B$11,2,0),"???")&amp;"-"&amp;G2379&amp;"-"&amp;TEXT(COUNTIFS(I$5:I2379,I2379,G$5:G2379,G2379),"0000"))</f>
        <v/>
      </c>
      <c r="C2379" s="26"/>
      <c r="D2379" s="26"/>
      <c r="E2379" s="27"/>
      <c r="F2379" s="27"/>
      <c r="G2379" s="24" t="str">
        <f aca="false">IF(F2379="","",IF(F2379&lt;=5,"A",IF(F2379&lt;=8,"B",IF(F2379&lt;=10,"C","D"))))</f>
        <v/>
      </c>
      <c r="H2379" s="28"/>
      <c r="I2379" s="27"/>
      <c r="J2379" s="26"/>
      <c r="K2379" s="27"/>
      <c r="L2379" s="27"/>
      <c r="M2379" s="27"/>
      <c r="N2379" s="27"/>
      <c r="O2379" s="24" t="str">
        <f aca="false">IF(G2379="","",VLOOKUP(G2379,Setup!$A$14:$C$17,3,0))</f>
        <v/>
      </c>
      <c r="P2379" s="27"/>
      <c r="Q2379" s="29" t="str">
        <f aca="false">IF(OR(P2379="",M2379&lt;&gt;"Paid",O2379=""),"",P2379/O2379)</f>
        <v/>
      </c>
      <c r="R2379" s="30" t="str">
        <f aca="false">IF(Q2379="","",Q2379+N(H2379)*0.000000001)</f>
        <v/>
      </c>
      <c r="S2379" s="25" t="str">
        <f aca="false">IF(R2379="","",SUMPRODUCT((I$5:I$4004=I2379)*ISNUMBER(R$5:R$4004)*(R$5:R$4004&gt;R2379))+1)</f>
        <v/>
      </c>
      <c r="T2379" s="25" t="str">
        <f aca="false">IF(S2379="","",IF(S2379&lt;=Setup!$B$5,"🏆 WINNER",""))</f>
        <v/>
      </c>
      <c r="U2379" s="24" t="str">
        <f aca="false">IF(S2379="","",I2379&amp;"|"&amp;S2379)</f>
        <v/>
      </c>
    </row>
    <row r="2380" customFormat="false" ht="15" hidden="false" customHeight="false" outlineLevel="0" collapsed="false">
      <c r="A2380" s="31" t="n">
        <v>2376</v>
      </c>
      <c r="B2380" s="32" t="str">
        <f aca="false">IF(OR(C2380="",I2380="",G2380=""),"",IFERROR(VLOOKUP(I2380,Setup!$A$9:$B$11,2,0),"???")&amp;"-"&amp;G2380&amp;"-"&amp;TEXT(COUNTIFS(I$5:I2380,I2380,G$5:G2380,G2380),"0000"))</f>
        <v/>
      </c>
      <c r="C2380" s="26"/>
      <c r="D2380" s="26"/>
      <c r="E2380" s="27"/>
      <c r="F2380" s="27"/>
      <c r="G2380" s="31" t="str">
        <f aca="false">IF(F2380="","",IF(F2380&lt;=5,"A",IF(F2380&lt;=8,"B",IF(F2380&lt;=10,"C","D"))))</f>
        <v/>
      </c>
      <c r="H2380" s="28"/>
      <c r="I2380" s="27"/>
      <c r="J2380" s="26"/>
      <c r="K2380" s="27"/>
      <c r="L2380" s="27"/>
      <c r="M2380" s="27"/>
      <c r="N2380" s="27"/>
      <c r="O2380" s="31" t="str">
        <f aca="false">IF(G2380="","",VLOOKUP(G2380,Setup!$A$14:$C$17,3,0))</f>
        <v/>
      </c>
      <c r="P2380" s="27"/>
      <c r="Q2380" s="33" t="str">
        <f aca="false">IF(OR(P2380="",M2380&lt;&gt;"Paid",O2380=""),"",P2380/O2380)</f>
        <v/>
      </c>
      <c r="R2380" s="34" t="str">
        <f aca="false">IF(Q2380="","",Q2380+N(H2380)*0.000000001)</f>
        <v/>
      </c>
      <c r="S2380" s="32" t="str">
        <f aca="false">IF(R2380="","",SUMPRODUCT((I$5:I$4004=I2380)*ISNUMBER(R$5:R$4004)*(R$5:R$4004&gt;R2380))+1)</f>
        <v/>
      </c>
      <c r="T2380" s="32" t="str">
        <f aca="false">IF(S2380="","",IF(S2380&lt;=Setup!$B$5,"🏆 WINNER",""))</f>
        <v/>
      </c>
      <c r="U2380" s="31" t="str">
        <f aca="false">IF(S2380="","",I2380&amp;"|"&amp;S2380)</f>
        <v/>
      </c>
    </row>
    <row r="2381" customFormat="false" ht="15" hidden="false" customHeight="false" outlineLevel="0" collapsed="false">
      <c r="A2381" s="24" t="n">
        <v>2377</v>
      </c>
      <c r="B2381" s="25" t="str">
        <f aca="false">IF(OR(C2381="",I2381="",G2381=""),"",IFERROR(VLOOKUP(I2381,Setup!$A$9:$B$11,2,0),"???")&amp;"-"&amp;G2381&amp;"-"&amp;TEXT(COUNTIFS(I$5:I2381,I2381,G$5:G2381,G2381),"0000"))</f>
        <v/>
      </c>
      <c r="C2381" s="26"/>
      <c r="D2381" s="26"/>
      <c r="E2381" s="27"/>
      <c r="F2381" s="27"/>
      <c r="G2381" s="24" t="str">
        <f aca="false">IF(F2381="","",IF(F2381&lt;=5,"A",IF(F2381&lt;=8,"B",IF(F2381&lt;=10,"C","D"))))</f>
        <v/>
      </c>
      <c r="H2381" s="28"/>
      <c r="I2381" s="27"/>
      <c r="J2381" s="26"/>
      <c r="K2381" s="27"/>
      <c r="L2381" s="27"/>
      <c r="M2381" s="27"/>
      <c r="N2381" s="27"/>
      <c r="O2381" s="24" t="str">
        <f aca="false">IF(G2381="","",VLOOKUP(G2381,Setup!$A$14:$C$17,3,0))</f>
        <v/>
      </c>
      <c r="P2381" s="27"/>
      <c r="Q2381" s="29" t="str">
        <f aca="false">IF(OR(P2381="",M2381&lt;&gt;"Paid",O2381=""),"",P2381/O2381)</f>
        <v/>
      </c>
      <c r="R2381" s="30" t="str">
        <f aca="false">IF(Q2381="","",Q2381+N(H2381)*0.000000001)</f>
        <v/>
      </c>
      <c r="S2381" s="25" t="str">
        <f aca="false">IF(R2381="","",SUMPRODUCT((I$5:I$4004=I2381)*ISNUMBER(R$5:R$4004)*(R$5:R$4004&gt;R2381))+1)</f>
        <v/>
      </c>
      <c r="T2381" s="25" t="str">
        <f aca="false">IF(S2381="","",IF(S2381&lt;=Setup!$B$5,"🏆 WINNER",""))</f>
        <v/>
      </c>
      <c r="U2381" s="24" t="str">
        <f aca="false">IF(S2381="","",I2381&amp;"|"&amp;S2381)</f>
        <v/>
      </c>
    </row>
    <row r="2382" customFormat="false" ht="15" hidden="false" customHeight="false" outlineLevel="0" collapsed="false">
      <c r="A2382" s="31" t="n">
        <v>2378</v>
      </c>
      <c r="B2382" s="32" t="str">
        <f aca="false">IF(OR(C2382="",I2382="",G2382=""),"",IFERROR(VLOOKUP(I2382,Setup!$A$9:$B$11,2,0),"???")&amp;"-"&amp;G2382&amp;"-"&amp;TEXT(COUNTIFS(I$5:I2382,I2382,G$5:G2382,G2382),"0000"))</f>
        <v/>
      </c>
      <c r="C2382" s="26"/>
      <c r="D2382" s="26"/>
      <c r="E2382" s="27"/>
      <c r="F2382" s="27"/>
      <c r="G2382" s="31" t="str">
        <f aca="false">IF(F2382="","",IF(F2382&lt;=5,"A",IF(F2382&lt;=8,"B",IF(F2382&lt;=10,"C","D"))))</f>
        <v/>
      </c>
      <c r="H2382" s="28"/>
      <c r="I2382" s="27"/>
      <c r="J2382" s="26"/>
      <c r="K2382" s="27"/>
      <c r="L2382" s="27"/>
      <c r="M2382" s="27"/>
      <c r="N2382" s="27"/>
      <c r="O2382" s="31" t="str">
        <f aca="false">IF(G2382="","",VLOOKUP(G2382,Setup!$A$14:$C$17,3,0))</f>
        <v/>
      </c>
      <c r="P2382" s="27"/>
      <c r="Q2382" s="33" t="str">
        <f aca="false">IF(OR(P2382="",M2382&lt;&gt;"Paid",O2382=""),"",P2382/O2382)</f>
        <v/>
      </c>
      <c r="R2382" s="34" t="str">
        <f aca="false">IF(Q2382="","",Q2382+N(H2382)*0.000000001)</f>
        <v/>
      </c>
      <c r="S2382" s="32" t="str">
        <f aca="false">IF(R2382="","",SUMPRODUCT((I$5:I$4004=I2382)*ISNUMBER(R$5:R$4004)*(R$5:R$4004&gt;R2382))+1)</f>
        <v/>
      </c>
      <c r="T2382" s="32" t="str">
        <f aca="false">IF(S2382="","",IF(S2382&lt;=Setup!$B$5,"🏆 WINNER",""))</f>
        <v/>
      </c>
      <c r="U2382" s="31" t="str">
        <f aca="false">IF(S2382="","",I2382&amp;"|"&amp;S2382)</f>
        <v/>
      </c>
    </row>
    <row r="2383" customFormat="false" ht="15" hidden="false" customHeight="false" outlineLevel="0" collapsed="false">
      <c r="A2383" s="24" t="n">
        <v>2379</v>
      </c>
      <c r="B2383" s="25" t="str">
        <f aca="false">IF(OR(C2383="",I2383="",G2383=""),"",IFERROR(VLOOKUP(I2383,Setup!$A$9:$B$11,2,0),"???")&amp;"-"&amp;G2383&amp;"-"&amp;TEXT(COUNTIFS(I$5:I2383,I2383,G$5:G2383,G2383),"0000"))</f>
        <v/>
      </c>
      <c r="C2383" s="26"/>
      <c r="D2383" s="26"/>
      <c r="E2383" s="27"/>
      <c r="F2383" s="27"/>
      <c r="G2383" s="24" t="str">
        <f aca="false">IF(F2383="","",IF(F2383&lt;=5,"A",IF(F2383&lt;=8,"B",IF(F2383&lt;=10,"C","D"))))</f>
        <v/>
      </c>
      <c r="H2383" s="28"/>
      <c r="I2383" s="27"/>
      <c r="J2383" s="26"/>
      <c r="K2383" s="27"/>
      <c r="L2383" s="27"/>
      <c r="M2383" s="27"/>
      <c r="N2383" s="27"/>
      <c r="O2383" s="24" t="str">
        <f aca="false">IF(G2383="","",VLOOKUP(G2383,Setup!$A$14:$C$17,3,0))</f>
        <v/>
      </c>
      <c r="P2383" s="27"/>
      <c r="Q2383" s="29" t="str">
        <f aca="false">IF(OR(P2383="",M2383&lt;&gt;"Paid",O2383=""),"",P2383/O2383)</f>
        <v/>
      </c>
      <c r="R2383" s="30" t="str">
        <f aca="false">IF(Q2383="","",Q2383+N(H2383)*0.000000001)</f>
        <v/>
      </c>
      <c r="S2383" s="25" t="str">
        <f aca="false">IF(R2383="","",SUMPRODUCT((I$5:I$4004=I2383)*ISNUMBER(R$5:R$4004)*(R$5:R$4004&gt;R2383))+1)</f>
        <v/>
      </c>
      <c r="T2383" s="25" t="str">
        <f aca="false">IF(S2383="","",IF(S2383&lt;=Setup!$B$5,"🏆 WINNER",""))</f>
        <v/>
      </c>
      <c r="U2383" s="24" t="str">
        <f aca="false">IF(S2383="","",I2383&amp;"|"&amp;S2383)</f>
        <v/>
      </c>
    </row>
    <row r="2384" customFormat="false" ht="15" hidden="false" customHeight="false" outlineLevel="0" collapsed="false">
      <c r="A2384" s="31" t="n">
        <v>2380</v>
      </c>
      <c r="B2384" s="32" t="str">
        <f aca="false">IF(OR(C2384="",I2384="",G2384=""),"",IFERROR(VLOOKUP(I2384,Setup!$A$9:$B$11,2,0),"???")&amp;"-"&amp;G2384&amp;"-"&amp;TEXT(COUNTIFS(I$5:I2384,I2384,G$5:G2384,G2384),"0000"))</f>
        <v/>
      </c>
      <c r="C2384" s="26"/>
      <c r="D2384" s="26"/>
      <c r="E2384" s="27"/>
      <c r="F2384" s="27"/>
      <c r="G2384" s="31" t="str">
        <f aca="false">IF(F2384="","",IF(F2384&lt;=5,"A",IF(F2384&lt;=8,"B",IF(F2384&lt;=10,"C","D"))))</f>
        <v/>
      </c>
      <c r="H2384" s="28"/>
      <c r="I2384" s="27"/>
      <c r="J2384" s="26"/>
      <c r="K2384" s="27"/>
      <c r="L2384" s="27"/>
      <c r="M2384" s="27"/>
      <c r="N2384" s="27"/>
      <c r="O2384" s="31" t="str">
        <f aca="false">IF(G2384="","",VLOOKUP(G2384,Setup!$A$14:$C$17,3,0))</f>
        <v/>
      </c>
      <c r="P2384" s="27"/>
      <c r="Q2384" s="33" t="str">
        <f aca="false">IF(OR(P2384="",M2384&lt;&gt;"Paid",O2384=""),"",P2384/O2384)</f>
        <v/>
      </c>
      <c r="R2384" s="34" t="str">
        <f aca="false">IF(Q2384="","",Q2384+N(H2384)*0.000000001)</f>
        <v/>
      </c>
      <c r="S2384" s="32" t="str">
        <f aca="false">IF(R2384="","",SUMPRODUCT((I$5:I$4004=I2384)*ISNUMBER(R$5:R$4004)*(R$5:R$4004&gt;R2384))+1)</f>
        <v/>
      </c>
      <c r="T2384" s="32" t="str">
        <f aca="false">IF(S2384="","",IF(S2384&lt;=Setup!$B$5,"🏆 WINNER",""))</f>
        <v/>
      </c>
      <c r="U2384" s="31" t="str">
        <f aca="false">IF(S2384="","",I2384&amp;"|"&amp;S2384)</f>
        <v/>
      </c>
    </row>
    <row r="2385" customFormat="false" ht="15" hidden="false" customHeight="false" outlineLevel="0" collapsed="false">
      <c r="A2385" s="24" t="n">
        <v>2381</v>
      </c>
      <c r="B2385" s="25" t="str">
        <f aca="false">IF(OR(C2385="",I2385="",G2385=""),"",IFERROR(VLOOKUP(I2385,Setup!$A$9:$B$11,2,0),"???")&amp;"-"&amp;G2385&amp;"-"&amp;TEXT(COUNTIFS(I$5:I2385,I2385,G$5:G2385,G2385),"0000"))</f>
        <v/>
      </c>
      <c r="C2385" s="26"/>
      <c r="D2385" s="26"/>
      <c r="E2385" s="27"/>
      <c r="F2385" s="27"/>
      <c r="G2385" s="24" t="str">
        <f aca="false">IF(F2385="","",IF(F2385&lt;=5,"A",IF(F2385&lt;=8,"B",IF(F2385&lt;=10,"C","D"))))</f>
        <v/>
      </c>
      <c r="H2385" s="28"/>
      <c r="I2385" s="27"/>
      <c r="J2385" s="26"/>
      <c r="K2385" s="27"/>
      <c r="L2385" s="27"/>
      <c r="M2385" s="27"/>
      <c r="N2385" s="27"/>
      <c r="O2385" s="24" t="str">
        <f aca="false">IF(G2385="","",VLOOKUP(G2385,Setup!$A$14:$C$17,3,0))</f>
        <v/>
      </c>
      <c r="P2385" s="27"/>
      <c r="Q2385" s="29" t="str">
        <f aca="false">IF(OR(P2385="",M2385&lt;&gt;"Paid",O2385=""),"",P2385/O2385)</f>
        <v/>
      </c>
      <c r="R2385" s="30" t="str">
        <f aca="false">IF(Q2385="","",Q2385+N(H2385)*0.000000001)</f>
        <v/>
      </c>
      <c r="S2385" s="25" t="str">
        <f aca="false">IF(R2385="","",SUMPRODUCT((I$5:I$4004=I2385)*ISNUMBER(R$5:R$4004)*(R$5:R$4004&gt;R2385))+1)</f>
        <v/>
      </c>
      <c r="T2385" s="25" t="str">
        <f aca="false">IF(S2385="","",IF(S2385&lt;=Setup!$B$5,"🏆 WINNER",""))</f>
        <v/>
      </c>
      <c r="U2385" s="24" t="str">
        <f aca="false">IF(S2385="","",I2385&amp;"|"&amp;S2385)</f>
        <v/>
      </c>
    </row>
    <row r="2386" customFormat="false" ht="15" hidden="false" customHeight="false" outlineLevel="0" collapsed="false">
      <c r="A2386" s="31" t="n">
        <v>2382</v>
      </c>
      <c r="B2386" s="32" t="str">
        <f aca="false">IF(OR(C2386="",I2386="",G2386=""),"",IFERROR(VLOOKUP(I2386,Setup!$A$9:$B$11,2,0),"???")&amp;"-"&amp;G2386&amp;"-"&amp;TEXT(COUNTIFS(I$5:I2386,I2386,G$5:G2386,G2386),"0000"))</f>
        <v/>
      </c>
      <c r="C2386" s="26"/>
      <c r="D2386" s="26"/>
      <c r="E2386" s="27"/>
      <c r="F2386" s="27"/>
      <c r="G2386" s="31" t="str">
        <f aca="false">IF(F2386="","",IF(F2386&lt;=5,"A",IF(F2386&lt;=8,"B",IF(F2386&lt;=10,"C","D"))))</f>
        <v/>
      </c>
      <c r="H2386" s="28"/>
      <c r="I2386" s="27"/>
      <c r="J2386" s="26"/>
      <c r="K2386" s="27"/>
      <c r="L2386" s="27"/>
      <c r="M2386" s="27"/>
      <c r="N2386" s="27"/>
      <c r="O2386" s="31" t="str">
        <f aca="false">IF(G2386="","",VLOOKUP(G2386,Setup!$A$14:$C$17,3,0))</f>
        <v/>
      </c>
      <c r="P2386" s="27"/>
      <c r="Q2386" s="33" t="str">
        <f aca="false">IF(OR(P2386="",M2386&lt;&gt;"Paid",O2386=""),"",P2386/O2386)</f>
        <v/>
      </c>
      <c r="R2386" s="34" t="str">
        <f aca="false">IF(Q2386="","",Q2386+N(H2386)*0.000000001)</f>
        <v/>
      </c>
      <c r="S2386" s="32" t="str">
        <f aca="false">IF(R2386="","",SUMPRODUCT((I$5:I$4004=I2386)*ISNUMBER(R$5:R$4004)*(R$5:R$4004&gt;R2386))+1)</f>
        <v/>
      </c>
      <c r="T2386" s="32" t="str">
        <f aca="false">IF(S2386="","",IF(S2386&lt;=Setup!$B$5,"🏆 WINNER",""))</f>
        <v/>
      </c>
      <c r="U2386" s="31" t="str">
        <f aca="false">IF(S2386="","",I2386&amp;"|"&amp;S2386)</f>
        <v/>
      </c>
    </row>
    <row r="2387" customFormat="false" ht="15" hidden="false" customHeight="false" outlineLevel="0" collapsed="false">
      <c r="A2387" s="24" t="n">
        <v>2383</v>
      </c>
      <c r="B2387" s="25" t="str">
        <f aca="false">IF(OR(C2387="",I2387="",G2387=""),"",IFERROR(VLOOKUP(I2387,Setup!$A$9:$B$11,2,0),"???")&amp;"-"&amp;G2387&amp;"-"&amp;TEXT(COUNTIFS(I$5:I2387,I2387,G$5:G2387,G2387),"0000"))</f>
        <v/>
      </c>
      <c r="C2387" s="26"/>
      <c r="D2387" s="26"/>
      <c r="E2387" s="27"/>
      <c r="F2387" s="27"/>
      <c r="G2387" s="24" t="str">
        <f aca="false">IF(F2387="","",IF(F2387&lt;=5,"A",IF(F2387&lt;=8,"B",IF(F2387&lt;=10,"C","D"))))</f>
        <v/>
      </c>
      <c r="H2387" s="28"/>
      <c r="I2387" s="27"/>
      <c r="J2387" s="26"/>
      <c r="K2387" s="27"/>
      <c r="L2387" s="27"/>
      <c r="M2387" s="27"/>
      <c r="N2387" s="27"/>
      <c r="O2387" s="24" t="str">
        <f aca="false">IF(G2387="","",VLOOKUP(G2387,Setup!$A$14:$C$17,3,0))</f>
        <v/>
      </c>
      <c r="P2387" s="27"/>
      <c r="Q2387" s="29" t="str">
        <f aca="false">IF(OR(P2387="",M2387&lt;&gt;"Paid",O2387=""),"",P2387/O2387)</f>
        <v/>
      </c>
      <c r="R2387" s="30" t="str">
        <f aca="false">IF(Q2387="","",Q2387+N(H2387)*0.000000001)</f>
        <v/>
      </c>
      <c r="S2387" s="25" t="str">
        <f aca="false">IF(R2387="","",SUMPRODUCT((I$5:I$4004=I2387)*ISNUMBER(R$5:R$4004)*(R$5:R$4004&gt;R2387))+1)</f>
        <v/>
      </c>
      <c r="T2387" s="25" t="str">
        <f aca="false">IF(S2387="","",IF(S2387&lt;=Setup!$B$5,"🏆 WINNER",""))</f>
        <v/>
      </c>
      <c r="U2387" s="24" t="str">
        <f aca="false">IF(S2387="","",I2387&amp;"|"&amp;S2387)</f>
        <v/>
      </c>
    </row>
    <row r="2388" customFormat="false" ht="15" hidden="false" customHeight="false" outlineLevel="0" collapsed="false">
      <c r="A2388" s="31" t="n">
        <v>2384</v>
      </c>
      <c r="B2388" s="32" t="str">
        <f aca="false">IF(OR(C2388="",I2388="",G2388=""),"",IFERROR(VLOOKUP(I2388,Setup!$A$9:$B$11,2,0),"???")&amp;"-"&amp;G2388&amp;"-"&amp;TEXT(COUNTIFS(I$5:I2388,I2388,G$5:G2388,G2388),"0000"))</f>
        <v/>
      </c>
      <c r="C2388" s="26"/>
      <c r="D2388" s="26"/>
      <c r="E2388" s="27"/>
      <c r="F2388" s="27"/>
      <c r="G2388" s="31" t="str">
        <f aca="false">IF(F2388="","",IF(F2388&lt;=5,"A",IF(F2388&lt;=8,"B",IF(F2388&lt;=10,"C","D"))))</f>
        <v/>
      </c>
      <c r="H2388" s="28"/>
      <c r="I2388" s="27"/>
      <c r="J2388" s="26"/>
      <c r="K2388" s="27"/>
      <c r="L2388" s="27"/>
      <c r="M2388" s="27"/>
      <c r="N2388" s="27"/>
      <c r="O2388" s="31" t="str">
        <f aca="false">IF(G2388="","",VLOOKUP(G2388,Setup!$A$14:$C$17,3,0))</f>
        <v/>
      </c>
      <c r="P2388" s="27"/>
      <c r="Q2388" s="33" t="str">
        <f aca="false">IF(OR(P2388="",M2388&lt;&gt;"Paid",O2388=""),"",P2388/O2388)</f>
        <v/>
      </c>
      <c r="R2388" s="34" t="str">
        <f aca="false">IF(Q2388="","",Q2388+N(H2388)*0.000000001)</f>
        <v/>
      </c>
      <c r="S2388" s="32" t="str">
        <f aca="false">IF(R2388="","",SUMPRODUCT((I$5:I$4004=I2388)*ISNUMBER(R$5:R$4004)*(R$5:R$4004&gt;R2388))+1)</f>
        <v/>
      </c>
      <c r="T2388" s="32" t="str">
        <f aca="false">IF(S2388="","",IF(S2388&lt;=Setup!$B$5,"🏆 WINNER",""))</f>
        <v/>
      </c>
      <c r="U2388" s="31" t="str">
        <f aca="false">IF(S2388="","",I2388&amp;"|"&amp;S2388)</f>
        <v/>
      </c>
    </row>
    <row r="2389" customFormat="false" ht="15" hidden="false" customHeight="false" outlineLevel="0" collapsed="false">
      <c r="A2389" s="24" t="n">
        <v>2385</v>
      </c>
      <c r="B2389" s="25" t="str">
        <f aca="false">IF(OR(C2389="",I2389="",G2389=""),"",IFERROR(VLOOKUP(I2389,Setup!$A$9:$B$11,2,0),"???")&amp;"-"&amp;G2389&amp;"-"&amp;TEXT(COUNTIFS(I$5:I2389,I2389,G$5:G2389,G2389),"0000"))</f>
        <v/>
      </c>
      <c r="C2389" s="26"/>
      <c r="D2389" s="26"/>
      <c r="E2389" s="27"/>
      <c r="F2389" s="27"/>
      <c r="G2389" s="24" t="str">
        <f aca="false">IF(F2389="","",IF(F2389&lt;=5,"A",IF(F2389&lt;=8,"B",IF(F2389&lt;=10,"C","D"))))</f>
        <v/>
      </c>
      <c r="H2389" s="28"/>
      <c r="I2389" s="27"/>
      <c r="J2389" s="26"/>
      <c r="K2389" s="27"/>
      <c r="L2389" s="27"/>
      <c r="M2389" s="27"/>
      <c r="N2389" s="27"/>
      <c r="O2389" s="24" t="str">
        <f aca="false">IF(G2389="","",VLOOKUP(G2389,Setup!$A$14:$C$17,3,0))</f>
        <v/>
      </c>
      <c r="P2389" s="27"/>
      <c r="Q2389" s="29" t="str">
        <f aca="false">IF(OR(P2389="",M2389&lt;&gt;"Paid",O2389=""),"",P2389/O2389)</f>
        <v/>
      </c>
      <c r="R2389" s="30" t="str">
        <f aca="false">IF(Q2389="","",Q2389+N(H2389)*0.000000001)</f>
        <v/>
      </c>
      <c r="S2389" s="25" t="str">
        <f aca="false">IF(R2389="","",SUMPRODUCT((I$5:I$4004=I2389)*ISNUMBER(R$5:R$4004)*(R$5:R$4004&gt;R2389))+1)</f>
        <v/>
      </c>
      <c r="T2389" s="25" t="str">
        <f aca="false">IF(S2389="","",IF(S2389&lt;=Setup!$B$5,"🏆 WINNER",""))</f>
        <v/>
      </c>
      <c r="U2389" s="24" t="str">
        <f aca="false">IF(S2389="","",I2389&amp;"|"&amp;S2389)</f>
        <v/>
      </c>
    </row>
    <row r="2390" customFormat="false" ht="15" hidden="false" customHeight="false" outlineLevel="0" collapsed="false">
      <c r="A2390" s="31" t="n">
        <v>2386</v>
      </c>
      <c r="B2390" s="32" t="str">
        <f aca="false">IF(OR(C2390="",I2390="",G2390=""),"",IFERROR(VLOOKUP(I2390,Setup!$A$9:$B$11,2,0),"???")&amp;"-"&amp;G2390&amp;"-"&amp;TEXT(COUNTIFS(I$5:I2390,I2390,G$5:G2390,G2390),"0000"))</f>
        <v/>
      </c>
      <c r="C2390" s="26"/>
      <c r="D2390" s="26"/>
      <c r="E2390" s="27"/>
      <c r="F2390" s="27"/>
      <c r="G2390" s="31" t="str">
        <f aca="false">IF(F2390="","",IF(F2390&lt;=5,"A",IF(F2390&lt;=8,"B",IF(F2390&lt;=10,"C","D"))))</f>
        <v/>
      </c>
      <c r="H2390" s="28"/>
      <c r="I2390" s="27"/>
      <c r="J2390" s="26"/>
      <c r="K2390" s="27"/>
      <c r="L2390" s="27"/>
      <c r="M2390" s="27"/>
      <c r="N2390" s="27"/>
      <c r="O2390" s="31" t="str">
        <f aca="false">IF(G2390="","",VLOOKUP(G2390,Setup!$A$14:$C$17,3,0))</f>
        <v/>
      </c>
      <c r="P2390" s="27"/>
      <c r="Q2390" s="33" t="str">
        <f aca="false">IF(OR(P2390="",M2390&lt;&gt;"Paid",O2390=""),"",P2390/O2390)</f>
        <v/>
      </c>
      <c r="R2390" s="34" t="str">
        <f aca="false">IF(Q2390="","",Q2390+N(H2390)*0.000000001)</f>
        <v/>
      </c>
      <c r="S2390" s="32" t="str">
        <f aca="false">IF(R2390="","",SUMPRODUCT((I$5:I$4004=I2390)*ISNUMBER(R$5:R$4004)*(R$5:R$4004&gt;R2390))+1)</f>
        <v/>
      </c>
      <c r="T2390" s="32" t="str">
        <f aca="false">IF(S2390="","",IF(S2390&lt;=Setup!$B$5,"🏆 WINNER",""))</f>
        <v/>
      </c>
      <c r="U2390" s="31" t="str">
        <f aca="false">IF(S2390="","",I2390&amp;"|"&amp;S2390)</f>
        <v/>
      </c>
    </row>
    <row r="2391" customFormat="false" ht="15" hidden="false" customHeight="false" outlineLevel="0" collapsed="false">
      <c r="A2391" s="24" t="n">
        <v>2387</v>
      </c>
      <c r="B2391" s="25" t="str">
        <f aca="false">IF(OR(C2391="",I2391="",G2391=""),"",IFERROR(VLOOKUP(I2391,Setup!$A$9:$B$11,2,0),"???")&amp;"-"&amp;G2391&amp;"-"&amp;TEXT(COUNTIFS(I$5:I2391,I2391,G$5:G2391,G2391),"0000"))</f>
        <v/>
      </c>
      <c r="C2391" s="26"/>
      <c r="D2391" s="26"/>
      <c r="E2391" s="27"/>
      <c r="F2391" s="27"/>
      <c r="G2391" s="24" t="str">
        <f aca="false">IF(F2391="","",IF(F2391&lt;=5,"A",IF(F2391&lt;=8,"B",IF(F2391&lt;=10,"C","D"))))</f>
        <v/>
      </c>
      <c r="H2391" s="28"/>
      <c r="I2391" s="27"/>
      <c r="J2391" s="26"/>
      <c r="K2391" s="27"/>
      <c r="L2391" s="27"/>
      <c r="M2391" s="27"/>
      <c r="N2391" s="27"/>
      <c r="O2391" s="24" t="str">
        <f aca="false">IF(G2391="","",VLOOKUP(G2391,Setup!$A$14:$C$17,3,0))</f>
        <v/>
      </c>
      <c r="P2391" s="27"/>
      <c r="Q2391" s="29" t="str">
        <f aca="false">IF(OR(P2391="",M2391&lt;&gt;"Paid",O2391=""),"",P2391/O2391)</f>
        <v/>
      </c>
      <c r="R2391" s="30" t="str">
        <f aca="false">IF(Q2391="","",Q2391+N(H2391)*0.000000001)</f>
        <v/>
      </c>
      <c r="S2391" s="25" t="str">
        <f aca="false">IF(R2391="","",SUMPRODUCT((I$5:I$4004=I2391)*ISNUMBER(R$5:R$4004)*(R$5:R$4004&gt;R2391))+1)</f>
        <v/>
      </c>
      <c r="T2391" s="25" t="str">
        <f aca="false">IF(S2391="","",IF(S2391&lt;=Setup!$B$5,"🏆 WINNER",""))</f>
        <v/>
      </c>
      <c r="U2391" s="24" t="str">
        <f aca="false">IF(S2391="","",I2391&amp;"|"&amp;S2391)</f>
        <v/>
      </c>
    </row>
    <row r="2392" customFormat="false" ht="15" hidden="false" customHeight="false" outlineLevel="0" collapsed="false">
      <c r="A2392" s="31" t="n">
        <v>2388</v>
      </c>
      <c r="B2392" s="32" t="str">
        <f aca="false">IF(OR(C2392="",I2392="",G2392=""),"",IFERROR(VLOOKUP(I2392,Setup!$A$9:$B$11,2,0),"???")&amp;"-"&amp;G2392&amp;"-"&amp;TEXT(COUNTIFS(I$5:I2392,I2392,G$5:G2392,G2392),"0000"))</f>
        <v/>
      </c>
      <c r="C2392" s="26"/>
      <c r="D2392" s="26"/>
      <c r="E2392" s="27"/>
      <c r="F2392" s="27"/>
      <c r="G2392" s="31" t="str">
        <f aca="false">IF(F2392="","",IF(F2392&lt;=5,"A",IF(F2392&lt;=8,"B",IF(F2392&lt;=10,"C","D"))))</f>
        <v/>
      </c>
      <c r="H2392" s="28"/>
      <c r="I2392" s="27"/>
      <c r="J2392" s="26"/>
      <c r="K2392" s="27"/>
      <c r="L2392" s="27"/>
      <c r="M2392" s="27"/>
      <c r="N2392" s="27"/>
      <c r="O2392" s="31" t="str">
        <f aca="false">IF(G2392="","",VLOOKUP(G2392,Setup!$A$14:$C$17,3,0))</f>
        <v/>
      </c>
      <c r="P2392" s="27"/>
      <c r="Q2392" s="33" t="str">
        <f aca="false">IF(OR(P2392="",M2392&lt;&gt;"Paid",O2392=""),"",P2392/O2392)</f>
        <v/>
      </c>
      <c r="R2392" s="34" t="str">
        <f aca="false">IF(Q2392="","",Q2392+N(H2392)*0.000000001)</f>
        <v/>
      </c>
      <c r="S2392" s="32" t="str">
        <f aca="false">IF(R2392="","",SUMPRODUCT((I$5:I$4004=I2392)*ISNUMBER(R$5:R$4004)*(R$5:R$4004&gt;R2392))+1)</f>
        <v/>
      </c>
      <c r="T2392" s="32" t="str">
        <f aca="false">IF(S2392="","",IF(S2392&lt;=Setup!$B$5,"🏆 WINNER",""))</f>
        <v/>
      </c>
      <c r="U2392" s="31" t="str">
        <f aca="false">IF(S2392="","",I2392&amp;"|"&amp;S2392)</f>
        <v/>
      </c>
    </row>
    <row r="2393" customFormat="false" ht="15" hidden="false" customHeight="false" outlineLevel="0" collapsed="false">
      <c r="A2393" s="24" t="n">
        <v>2389</v>
      </c>
      <c r="B2393" s="25" t="str">
        <f aca="false">IF(OR(C2393="",I2393="",G2393=""),"",IFERROR(VLOOKUP(I2393,Setup!$A$9:$B$11,2,0),"???")&amp;"-"&amp;G2393&amp;"-"&amp;TEXT(COUNTIFS(I$5:I2393,I2393,G$5:G2393,G2393),"0000"))</f>
        <v/>
      </c>
      <c r="C2393" s="26"/>
      <c r="D2393" s="26"/>
      <c r="E2393" s="27"/>
      <c r="F2393" s="27"/>
      <c r="G2393" s="24" t="str">
        <f aca="false">IF(F2393="","",IF(F2393&lt;=5,"A",IF(F2393&lt;=8,"B",IF(F2393&lt;=10,"C","D"))))</f>
        <v/>
      </c>
      <c r="H2393" s="28"/>
      <c r="I2393" s="27"/>
      <c r="J2393" s="26"/>
      <c r="K2393" s="27"/>
      <c r="L2393" s="27"/>
      <c r="M2393" s="27"/>
      <c r="N2393" s="27"/>
      <c r="O2393" s="24" t="str">
        <f aca="false">IF(G2393="","",VLOOKUP(G2393,Setup!$A$14:$C$17,3,0))</f>
        <v/>
      </c>
      <c r="P2393" s="27"/>
      <c r="Q2393" s="29" t="str">
        <f aca="false">IF(OR(P2393="",M2393&lt;&gt;"Paid",O2393=""),"",P2393/O2393)</f>
        <v/>
      </c>
      <c r="R2393" s="30" t="str">
        <f aca="false">IF(Q2393="","",Q2393+N(H2393)*0.000000001)</f>
        <v/>
      </c>
      <c r="S2393" s="25" t="str">
        <f aca="false">IF(R2393="","",SUMPRODUCT((I$5:I$4004=I2393)*ISNUMBER(R$5:R$4004)*(R$5:R$4004&gt;R2393))+1)</f>
        <v/>
      </c>
      <c r="T2393" s="25" t="str">
        <f aca="false">IF(S2393="","",IF(S2393&lt;=Setup!$B$5,"🏆 WINNER",""))</f>
        <v/>
      </c>
      <c r="U2393" s="24" t="str">
        <f aca="false">IF(S2393="","",I2393&amp;"|"&amp;S2393)</f>
        <v/>
      </c>
    </row>
    <row r="2394" customFormat="false" ht="15" hidden="false" customHeight="false" outlineLevel="0" collapsed="false">
      <c r="A2394" s="31" t="n">
        <v>2390</v>
      </c>
      <c r="B2394" s="32" t="str">
        <f aca="false">IF(OR(C2394="",I2394="",G2394=""),"",IFERROR(VLOOKUP(I2394,Setup!$A$9:$B$11,2,0),"???")&amp;"-"&amp;G2394&amp;"-"&amp;TEXT(COUNTIFS(I$5:I2394,I2394,G$5:G2394,G2394),"0000"))</f>
        <v/>
      </c>
      <c r="C2394" s="26"/>
      <c r="D2394" s="26"/>
      <c r="E2394" s="27"/>
      <c r="F2394" s="27"/>
      <c r="G2394" s="31" t="str">
        <f aca="false">IF(F2394="","",IF(F2394&lt;=5,"A",IF(F2394&lt;=8,"B",IF(F2394&lt;=10,"C","D"))))</f>
        <v/>
      </c>
      <c r="H2394" s="28"/>
      <c r="I2394" s="27"/>
      <c r="J2394" s="26"/>
      <c r="K2394" s="27"/>
      <c r="L2394" s="27"/>
      <c r="M2394" s="27"/>
      <c r="N2394" s="27"/>
      <c r="O2394" s="31" t="str">
        <f aca="false">IF(G2394="","",VLOOKUP(G2394,Setup!$A$14:$C$17,3,0))</f>
        <v/>
      </c>
      <c r="P2394" s="27"/>
      <c r="Q2394" s="33" t="str">
        <f aca="false">IF(OR(P2394="",M2394&lt;&gt;"Paid",O2394=""),"",P2394/O2394)</f>
        <v/>
      </c>
      <c r="R2394" s="34" t="str">
        <f aca="false">IF(Q2394="","",Q2394+N(H2394)*0.000000001)</f>
        <v/>
      </c>
      <c r="S2394" s="32" t="str">
        <f aca="false">IF(R2394="","",SUMPRODUCT((I$5:I$4004=I2394)*ISNUMBER(R$5:R$4004)*(R$5:R$4004&gt;R2394))+1)</f>
        <v/>
      </c>
      <c r="T2394" s="32" t="str">
        <f aca="false">IF(S2394="","",IF(S2394&lt;=Setup!$B$5,"🏆 WINNER",""))</f>
        <v/>
      </c>
      <c r="U2394" s="31" t="str">
        <f aca="false">IF(S2394="","",I2394&amp;"|"&amp;S2394)</f>
        <v/>
      </c>
    </row>
    <row r="2395" customFormat="false" ht="15" hidden="false" customHeight="false" outlineLevel="0" collapsed="false">
      <c r="A2395" s="24" t="n">
        <v>2391</v>
      </c>
      <c r="B2395" s="25" t="str">
        <f aca="false">IF(OR(C2395="",I2395="",G2395=""),"",IFERROR(VLOOKUP(I2395,Setup!$A$9:$B$11,2,0),"???")&amp;"-"&amp;G2395&amp;"-"&amp;TEXT(COUNTIFS(I$5:I2395,I2395,G$5:G2395,G2395),"0000"))</f>
        <v/>
      </c>
      <c r="C2395" s="26"/>
      <c r="D2395" s="26"/>
      <c r="E2395" s="27"/>
      <c r="F2395" s="27"/>
      <c r="G2395" s="24" t="str">
        <f aca="false">IF(F2395="","",IF(F2395&lt;=5,"A",IF(F2395&lt;=8,"B",IF(F2395&lt;=10,"C","D"))))</f>
        <v/>
      </c>
      <c r="H2395" s="28"/>
      <c r="I2395" s="27"/>
      <c r="J2395" s="26"/>
      <c r="K2395" s="27"/>
      <c r="L2395" s="27"/>
      <c r="M2395" s="27"/>
      <c r="N2395" s="27"/>
      <c r="O2395" s="24" t="str">
        <f aca="false">IF(G2395="","",VLOOKUP(G2395,Setup!$A$14:$C$17,3,0))</f>
        <v/>
      </c>
      <c r="P2395" s="27"/>
      <c r="Q2395" s="29" t="str">
        <f aca="false">IF(OR(P2395="",M2395&lt;&gt;"Paid",O2395=""),"",P2395/O2395)</f>
        <v/>
      </c>
      <c r="R2395" s="30" t="str">
        <f aca="false">IF(Q2395="","",Q2395+N(H2395)*0.000000001)</f>
        <v/>
      </c>
      <c r="S2395" s="25" t="str">
        <f aca="false">IF(R2395="","",SUMPRODUCT((I$5:I$4004=I2395)*ISNUMBER(R$5:R$4004)*(R$5:R$4004&gt;R2395))+1)</f>
        <v/>
      </c>
      <c r="T2395" s="25" t="str">
        <f aca="false">IF(S2395="","",IF(S2395&lt;=Setup!$B$5,"🏆 WINNER",""))</f>
        <v/>
      </c>
      <c r="U2395" s="24" t="str">
        <f aca="false">IF(S2395="","",I2395&amp;"|"&amp;S2395)</f>
        <v/>
      </c>
    </row>
    <row r="2396" customFormat="false" ht="15" hidden="false" customHeight="false" outlineLevel="0" collapsed="false">
      <c r="A2396" s="31" t="n">
        <v>2392</v>
      </c>
      <c r="B2396" s="32" t="str">
        <f aca="false">IF(OR(C2396="",I2396="",G2396=""),"",IFERROR(VLOOKUP(I2396,Setup!$A$9:$B$11,2,0),"???")&amp;"-"&amp;G2396&amp;"-"&amp;TEXT(COUNTIFS(I$5:I2396,I2396,G$5:G2396,G2396),"0000"))</f>
        <v/>
      </c>
      <c r="C2396" s="26"/>
      <c r="D2396" s="26"/>
      <c r="E2396" s="27"/>
      <c r="F2396" s="27"/>
      <c r="G2396" s="31" t="str">
        <f aca="false">IF(F2396="","",IF(F2396&lt;=5,"A",IF(F2396&lt;=8,"B",IF(F2396&lt;=10,"C","D"))))</f>
        <v/>
      </c>
      <c r="H2396" s="28"/>
      <c r="I2396" s="27"/>
      <c r="J2396" s="26"/>
      <c r="K2396" s="27"/>
      <c r="L2396" s="27"/>
      <c r="M2396" s="27"/>
      <c r="N2396" s="27"/>
      <c r="O2396" s="31" t="str">
        <f aca="false">IF(G2396="","",VLOOKUP(G2396,Setup!$A$14:$C$17,3,0))</f>
        <v/>
      </c>
      <c r="P2396" s="27"/>
      <c r="Q2396" s="33" t="str">
        <f aca="false">IF(OR(P2396="",M2396&lt;&gt;"Paid",O2396=""),"",P2396/O2396)</f>
        <v/>
      </c>
      <c r="R2396" s="34" t="str">
        <f aca="false">IF(Q2396="","",Q2396+N(H2396)*0.000000001)</f>
        <v/>
      </c>
      <c r="S2396" s="32" t="str">
        <f aca="false">IF(R2396="","",SUMPRODUCT((I$5:I$4004=I2396)*ISNUMBER(R$5:R$4004)*(R$5:R$4004&gt;R2396))+1)</f>
        <v/>
      </c>
      <c r="T2396" s="32" t="str">
        <f aca="false">IF(S2396="","",IF(S2396&lt;=Setup!$B$5,"🏆 WINNER",""))</f>
        <v/>
      </c>
      <c r="U2396" s="31" t="str">
        <f aca="false">IF(S2396="","",I2396&amp;"|"&amp;S2396)</f>
        <v/>
      </c>
    </row>
    <row r="2397" customFormat="false" ht="15" hidden="false" customHeight="false" outlineLevel="0" collapsed="false">
      <c r="A2397" s="24" t="n">
        <v>2393</v>
      </c>
      <c r="B2397" s="25" t="str">
        <f aca="false">IF(OR(C2397="",I2397="",G2397=""),"",IFERROR(VLOOKUP(I2397,Setup!$A$9:$B$11,2,0),"???")&amp;"-"&amp;G2397&amp;"-"&amp;TEXT(COUNTIFS(I$5:I2397,I2397,G$5:G2397,G2397),"0000"))</f>
        <v/>
      </c>
      <c r="C2397" s="26"/>
      <c r="D2397" s="26"/>
      <c r="E2397" s="27"/>
      <c r="F2397" s="27"/>
      <c r="G2397" s="24" t="str">
        <f aca="false">IF(F2397="","",IF(F2397&lt;=5,"A",IF(F2397&lt;=8,"B",IF(F2397&lt;=10,"C","D"))))</f>
        <v/>
      </c>
      <c r="H2397" s="28"/>
      <c r="I2397" s="27"/>
      <c r="J2397" s="26"/>
      <c r="K2397" s="27"/>
      <c r="L2397" s="27"/>
      <c r="M2397" s="27"/>
      <c r="N2397" s="27"/>
      <c r="O2397" s="24" t="str">
        <f aca="false">IF(G2397="","",VLOOKUP(G2397,Setup!$A$14:$C$17,3,0))</f>
        <v/>
      </c>
      <c r="P2397" s="27"/>
      <c r="Q2397" s="29" t="str">
        <f aca="false">IF(OR(P2397="",M2397&lt;&gt;"Paid",O2397=""),"",P2397/O2397)</f>
        <v/>
      </c>
      <c r="R2397" s="30" t="str">
        <f aca="false">IF(Q2397="","",Q2397+N(H2397)*0.000000001)</f>
        <v/>
      </c>
      <c r="S2397" s="25" t="str">
        <f aca="false">IF(R2397="","",SUMPRODUCT((I$5:I$4004=I2397)*ISNUMBER(R$5:R$4004)*(R$5:R$4004&gt;R2397))+1)</f>
        <v/>
      </c>
      <c r="T2397" s="25" t="str">
        <f aca="false">IF(S2397="","",IF(S2397&lt;=Setup!$B$5,"🏆 WINNER",""))</f>
        <v/>
      </c>
      <c r="U2397" s="24" t="str">
        <f aca="false">IF(S2397="","",I2397&amp;"|"&amp;S2397)</f>
        <v/>
      </c>
    </row>
    <row r="2398" customFormat="false" ht="15" hidden="false" customHeight="false" outlineLevel="0" collapsed="false">
      <c r="A2398" s="31" t="n">
        <v>2394</v>
      </c>
      <c r="B2398" s="32" t="str">
        <f aca="false">IF(OR(C2398="",I2398="",G2398=""),"",IFERROR(VLOOKUP(I2398,Setup!$A$9:$B$11,2,0),"???")&amp;"-"&amp;G2398&amp;"-"&amp;TEXT(COUNTIFS(I$5:I2398,I2398,G$5:G2398,G2398),"0000"))</f>
        <v/>
      </c>
      <c r="C2398" s="26"/>
      <c r="D2398" s="26"/>
      <c r="E2398" s="27"/>
      <c r="F2398" s="27"/>
      <c r="G2398" s="31" t="str">
        <f aca="false">IF(F2398="","",IF(F2398&lt;=5,"A",IF(F2398&lt;=8,"B",IF(F2398&lt;=10,"C","D"))))</f>
        <v/>
      </c>
      <c r="H2398" s="28"/>
      <c r="I2398" s="27"/>
      <c r="J2398" s="26"/>
      <c r="K2398" s="27"/>
      <c r="L2398" s="27"/>
      <c r="M2398" s="27"/>
      <c r="N2398" s="27"/>
      <c r="O2398" s="31" t="str">
        <f aca="false">IF(G2398="","",VLOOKUP(G2398,Setup!$A$14:$C$17,3,0))</f>
        <v/>
      </c>
      <c r="P2398" s="27"/>
      <c r="Q2398" s="33" t="str">
        <f aca="false">IF(OR(P2398="",M2398&lt;&gt;"Paid",O2398=""),"",P2398/O2398)</f>
        <v/>
      </c>
      <c r="R2398" s="34" t="str">
        <f aca="false">IF(Q2398="","",Q2398+N(H2398)*0.000000001)</f>
        <v/>
      </c>
      <c r="S2398" s="32" t="str">
        <f aca="false">IF(R2398="","",SUMPRODUCT((I$5:I$4004=I2398)*ISNUMBER(R$5:R$4004)*(R$5:R$4004&gt;R2398))+1)</f>
        <v/>
      </c>
      <c r="T2398" s="32" t="str">
        <f aca="false">IF(S2398="","",IF(S2398&lt;=Setup!$B$5,"🏆 WINNER",""))</f>
        <v/>
      </c>
      <c r="U2398" s="31" t="str">
        <f aca="false">IF(S2398="","",I2398&amp;"|"&amp;S2398)</f>
        <v/>
      </c>
    </row>
    <row r="2399" customFormat="false" ht="15" hidden="false" customHeight="false" outlineLevel="0" collapsed="false">
      <c r="A2399" s="24" t="n">
        <v>2395</v>
      </c>
      <c r="B2399" s="25" t="str">
        <f aca="false">IF(OR(C2399="",I2399="",G2399=""),"",IFERROR(VLOOKUP(I2399,Setup!$A$9:$B$11,2,0),"???")&amp;"-"&amp;G2399&amp;"-"&amp;TEXT(COUNTIFS(I$5:I2399,I2399,G$5:G2399,G2399),"0000"))</f>
        <v/>
      </c>
      <c r="C2399" s="26"/>
      <c r="D2399" s="26"/>
      <c r="E2399" s="27"/>
      <c r="F2399" s="27"/>
      <c r="G2399" s="24" t="str">
        <f aca="false">IF(F2399="","",IF(F2399&lt;=5,"A",IF(F2399&lt;=8,"B",IF(F2399&lt;=10,"C","D"))))</f>
        <v/>
      </c>
      <c r="H2399" s="28"/>
      <c r="I2399" s="27"/>
      <c r="J2399" s="26"/>
      <c r="K2399" s="27"/>
      <c r="L2399" s="27"/>
      <c r="M2399" s="27"/>
      <c r="N2399" s="27"/>
      <c r="O2399" s="24" t="str">
        <f aca="false">IF(G2399="","",VLOOKUP(G2399,Setup!$A$14:$C$17,3,0))</f>
        <v/>
      </c>
      <c r="P2399" s="27"/>
      <c r="Q2399" s="29" t="str">
        <f aca="false">IF(OR(P2399="",M2399&lt;&gt;"Paid",O2399=""),"",P2399/O2399)</f>
        <v/>
      </c>
      <c r="R2399" s="30" t="str">
        <f aca="false">IF(Q2399="","",Q2399+N(H2399)*0.000000001)</f>
        <v/>
      </c>
      <c r="S2399" s="25" t="str">
        <f aca="false">IF(R2399="","",SUMPRODUCT((I$5:I$4004=I2399)*ISNUMBER(R$5:R$4004)*(R$5:R$4004&gt;R2399))+1)</f>
        <v/>
      </c>
      <c r="T2399" s="25" t="str">
        <f aca="false">IF(S2399="","",IF(S2399&lt;=Setup!$B$5,"🏆 WINNER",""))</f>
        <v/>
      </c>
      <c r="U2399" s="24" t="str">
        <f aca="false">IF(S2399="","",I2399&amp;"|"&amp;S2399)</f>
        <v/>
      </c>
    </row>
    <row r="2400" customFormat="false" ht="15" hidden="false" customHeight="false" outlineLevel="0" collapsed="false">
      <c r="A2400" s="31" t="n">
        <v>2396</v>
      </c>
      <c r="B2400" s="32" t="str">
        <f aca="false">IF(OR(C2400="",I2400="",G2400=""),"",IFERROR(VLOOKUP(I2400,Setup!$A$9:$B$11,2,0),"???")&amp;"-"&amp;G2400&amp;"-"&amp;TEXT(COUNTIFS(I$5:I2400,I2400,G$5:G2400,G2400),"0000"))</f>
        <v/>
      </c>
      <c r="C2400" s="26"/>
      <c r="D2400" s="26"/>
      <c r="E2400" s="27"/>
      <c r="F2400" s="27"/>
      <c r="G2400" s="31" t="str">
        <f aca="false">IF(F2400="","",IF(F2400&lt;=5,"A",IF(F2400&lt;=8,"B",IF(F2400&lt;=10,"C","D"))))</f>
        <v/>
      </c>
      <c r="H2400" s="28"/>
      <c r="I2400" s="27"/>
      <c r="J2400" s="26"/>
      <c r="K2400" s="27"/>
      <c r="L2400" s="27"/>
      <c r="M2400" s="27"/>
      <c r="N2400" s="27"/>
      <c r="O2400" s="31" t="str">
        <f aca="false">IF(G2400="","",VLOOKUP(G2400,Setup!$A$14:$C$17,3,0))</f>
        <v/>
      </c>
      <c r="P2400" s="27"/>
      <c r="Q2400" s="33" t="str">
        <f aca="false">IF(OR(P2400="",M2400&lt;&gt;"Paid",O2400=""),"",P2400/O2400)</f>
        <v/>
      </c>
      <c r="R2400" s="34" t="str">
        <f aca="false">IF(Q2400="","",Q2400+N(H2400)*0.000000001)</f>
        <v/>
      </c>
      <c r="S2400" s="32" t="str">
        <f aca="false">IF(R2400="","",SUMPRODUCT((I$5:I$4004=I2400)*ISNUMBER(R$5:R$4004)*(R$5:R$4004&gt;R2400))+1)</f>
        <v/>
      </c>
      <c r="T2400" s="32" t="str">
        <f aca="false">IF(S2400="","",IF(S2400&lt;=Setup!$B$5,"🏆 WINNER",""))</f>
        <v/>
      </c>
      <c r="U2400" s="31" t="str">
        <f aca="false">IF(S2400="","",I2400&amp;"|"&amp;S2400)</f>
        <v/>
      </c>
    </row>
    <row r="2401" customFormat="false" ht="15" hidden="false" customHeight="false" outlineLevel="0" collapsed="false">
      <c r="A2401" s="24" t="n">
        <v>2397</v>
      </c>
      <c r="B2401" s="25" t="str">
        <f aca="false">IF(OR(C2401="",I2401="",G2401=""),"",IFERROR(VLOOKUP(I2401,Setup!$A$9:$B$11,2,0),"???")&amp;"-"&amp;G2401&amp;"-"&amp;TEXT(COUNTIFS(I$5:I2401,I2401,G$5:G2401,G2401),"0000"))</f>
        <v/>
      </c>
      <c r="C2401" s="26"/>
      <c r="D2401" s="26"/>
      <c r="E2401" s="27"/>
      <c r="F2401" s="27"/>
      <c r="G2401" s="24" t="str">
        <f aca="false">IF(F2401="","",IF(F2401&lt;=5,"A",IF(F2401&lt;=8,"B",IF(F2401&lt;=10,"C","D"))))</f>
        <v/>
      </c>
      <c r="H2401" s="28"/>
      <c r="I2401" s="27"/>
      <c r="J2401" s="26"/>
      <c r="K2401" s="27"/>
      <c r="L2401" s="27"/>
      <c r="M2401" s="27"/>
      <c r="N2401" s="27"/>
      <c r="O2401" s="24" t="str">
        <f aca="false">IF(G2401="","",VLOOKUP(G2401,Setup!$A$14:$C$17,3,0))</f>
        <v/>
      </c>
      <c r="P2401" s="27"/>
      <c r="Q2401" s="29" t="str">
        <f aca="false">IF(OR(P2401="",M2401&lt;&gt;"Paid",O2401=""),"",P2401/O2401)</f>
        <v/>
      </c>
      <c r="R2401" s="30" t="str">
        <f aca="false">IF(Q2401="","",Q2401+N(H2401)*0.000000001)</f>
        <v/>
      </c>
      <c r="S2401" s="25" t="str">
        <f aca="false">IF(R2401="","",SUMPRODUCT((I$5:I$4004=I2401)*ISNUMBER(R$5:R$4004)*(R$5:R$4004&gt;R2401))+1)</f>
        <v/>
      </c>
      <c r="T2401" s="25" t="str">
        <f aca="false">IF(S2401="","",IF(S2401&lt;=Setup!$B$5,"🏆 WINNER",""))</f>
        <v/>
      </c>
      <c r="U2401" s="24" t="str">
        <f aca="false">IF(S2401="","",I2401&amp;"|"&amp;S2401)</f>
        <v/>
      </c>
    </row>
    <row r="2402" customFormat="false" ht="15" hidden="false" customHeight="false" outlineLevel="0" collapsed="false">
      <c r="A2402" s="31" t="n">
        <v>2398</v>
      </c>
      <c r="B2402" s="32" t="str">
        <f aca="false">IF(OR(C2402="",I2402="",G2402=""),"",IFERROR(VLOOKUP(I2402,Setup!$A$9:$B$11,2,0),"???")&amp;"-"&amp;G2402&amp;"-"&amp;TEXT(COUNTIFS(I$5:I2402,I2402,G$5:G2402,G2402),"0000"))</f>
        <v/>
      </c>
      <c r="C2402" s="26"/>
      <c r="D2402" s="26"/>
      <c r="E2402" s="27"/>
      <c r="F2402" s="27"/>
      <c r="G2402" s="31" t="str">
        <f aca="false">IF(F2402="","",IF(F2402&lt;=5,"A",IF(F2402&lt;=8,"B",IF(F2402&lt;=10,"C","D"))))</f>
        <v/>
      </c>
      <c r="H2402" s="28"/>
      <c r="I2402" s="27"/>
      <c r="J2402" s="26"/>
      <c r="K2402" s="27"/>
      <c r="L2402" s="27"/>
      <c r="M2402" s="27"/>
      <c r="N2402" s="27"/>
      <c r="O2402" s="31" t="str">
        <f aca="false">IF(G2402="","",VLOOKUP(G2402,Setup!$A$14:$C$17,3,0))</f>
        <v/>
      </c>
      <c r="P2402" s="27"/>
      <c r="Q2402" s="33" t="str">
        <f aca="false">IF(OR(P2402="",M2402&lt;&gt;"Paid",O2402=""),"",P2402/O2402)</f>
        <v/>
      </c>
      <c r="R2402" s="34" t="str">
        <f aca="false">IF(Q2402="","",Q2402+N(H2402)*0.000000001)</f>
        <v/>
      </c>
      <c r="S2402" s="32" t="str">
        <f aca="false">IF(R2402="","",SUMPRODUCT((I$5:I$4004=I2402)*ISNUMBER(R$5:R$4004)*(R$5:R$4004&gt;R2402))+1)</f>
        <v/>
      </c>
      <c r="T2402" s="32" t="str">
        <f aca="false">IF(S2402="","",IF(S2402&lt;=Setup!$B$5,"🏆 WINNER",""))</f>
        <v/>
      </c>
      <c r="U2402" s="31" t="str">
        <f aca="false">IF(S2402="","",I2402&amp;"|"&amp;S2402)</f>
        <v/>
      </c>
    </row>
    <row r="2403" customFormat="false" ht="15" hidden="false" customHeight="false" outlineLevel="0" collapsed="false">
      <c r="A2403" s="24" t="n">
        <v>2399</v>
      </c>
      <c r="B2403" s="25" t="str">
        <f aca="false">IF(OR(C2403="",I2403="",G2403=""),"",IFERROR(VLOOKUP(I2403,Setup!$A$9:$B$11,2,0),"???")&amp;"-"&amp;G2403&amp;"-"&amp;TEXT(COUNTIFS(I$5:I2403,I2403,G$5:G2403,G2403),"0000"))</f>
        <v/>
      </c>
      <c r="C2403" s="26"/>
      <c r="D2403" s="26"/>
      <c r="E2403" s="27"/>
      <c r="F2403" s="27"/>
      <c r="G2403" s="24" t="str">
        <f aca="false">IF(F2403="","",IF(F2403&lt;=5,"A",IF(F2403&lt;=8,"B",IF(F2403&lt;=10,"C","D"))))</f>
        <v/>
      </c>
      <c r="H2403" s="28"/>
      <c r="I2403" s="27"/>
      <c r="J2403" s="26"/>
      <c r="K2403" s="27"/>
      <c r="L2403" s="27"/>
      <c r="M2403" s="27"/>
      <c r="N2403" s="27"/>
      <c r="O2403" s="24" t="str">
        <f aca="false">IF(G2403="","",VLOOKUP(G2403,Setup!$A$14:$C$17,3,0))</f>
        <v/>
      </c>
      <c r="P2403" s="27"/>
      <c r="Q2403" s="29" t="str">
        <f aca="false">IF(OR(P2403="",M2403&lt;&gt;"Paid",O2403=""),"",P2403/O2403)</f>
        <v/>
      </c>
      <c r="R2403" s="30" t="str">
        <f aca="false">IF(Q2403="","",Q2403+N(H2403)*0.000000001)</f>
        <v/>
      </c>
      <c r="S2403" s="25" t="str">
        <f aca="false">IF(R2403="","",SUMPRODUCT((I$5:I$4004=I2403)*ISNUMBER(R$5:R$4004)*(R$5:R$4004&gt;R2403))+1)</f>
        <v/>
      </c>
      <c r="T2403" s="25" t="str">
        <f aca="false">IF(S2403="","",IF(S2403&lt;=Setup!$B$5,"🏆 WINNER",""))</f>
        <v/>
      </c>
      <c r="U2403" s="24" t="str">
        <f aca="false">IF(S2403="","",I2403&amp;"|"&amp;S2403)</f>
        <v/>
      </c>
    </row>
    <row r="2404" customFormat="false" ht="15" hidden="false" customHeight="false" outlineLevel="0" collapsed="false">
      <c r="A2404" s="31" t="n">
        <v>2400</v>
      </c>
      <c r="B2404" s="32" t="str">
        <f aca="false">IF(OR(C2404="",I2404="",G2404=""),"",IFERROR(VLOOKUP(I2404,Setup!$A$9:$B$11,2,0),"???")&amp;"-"&amp;G2404&amp;"-"&amp;TEXT(COUNTIFS(I$5:I2404,I2404,G$5:G2404,G2404),"0000"))</f>
        <v/>
      </c>
      <c r="C2404" s="26"/>
      <c r="D2404" s="26"/>
      <c r="E2404" s="27"/>
      <c r="F2404" s="27"/>
      <c r="G2404" s="31" t="str">
        <f aca="false">IF(F2404="","",IF(F2404&lt;=5,"A",IF(F2404&lt;=8,"B",IF(F2404&lt;=10,"C","D"))))</f>
        <v/>
      </c>
      <c r="H2404" s="28"/>
      <c r="I2404" s="27"/>
      <c r="J2404" s="26"/>
      <c r="K2404" s="27"/>
      <c r="L2404" s="27"/>
      <c r="M2404" s="27"/>
      <c r="N2404" s="27"/>
      <c r="O2404" s="31" t="str">
        <f aca="false">IF(G2404="","",VLOOKUP(G2404,Setup!$A$14:$C$17,3,0))</f>
        <v/>
      </c>
      <c r="P2404" s="27"/>
      <c r="Q2404" s="33" t="str">
        <f aca="false">IF(OR(P2404="",M2404&lt;&gt;"Paid",O2404=""),"",P2404/O2404)</f>
        <v/>
      </c>
      <c r="R2404" s="34" t="str">
        <f aca="false">IF(Q2404="","",Q2404+N(H2404)*0.000000001)</f>
        <v/>
      </c>
      <c r="S2404" s="32" t="str">
        <f aca="false">IF(R2404="","",SUMPRODUCT((I$5:I$4004=I2404)*ISNUMBER(R$5:R$4004)*(R$5:R$4004&gt;R2404))+1)</f>
        <v/>
      </c>
      <c r="T2404" s="32" t="str">
        <f aca="false">IF(S2404="","",IF(S2404&lt;=Setup!$B$5,"🏆 WINNER",""))</f>
        <v/>
      </c>
      <c r="U2404" s="31" t="str">
        <f aca="false">IF(S2404="","",I2404&amp;"|"&amp;S2404)</f>
        <v/>
      </c>
    </row>
    <row r="2405" customFormat="false" ht="15" hidden="false" customHeight="false" outlineLevel="0" collapsed="false">
      <c r="A2405" s="24" t="n">
        <v>2401</v>
      </c>
      <c r="B2405" s="25" t="str">
        <f aca="false">IF(OR(C2405="",I2405="",G2405=""),"",IFERROR(VLOOKUP(I2405,Setup!$A$9:$B$11,2,0),"???")&amp;"-"&amp;G2405&amp;"-"&amp;TEXT(COUNTIFS(I$5:I2405,I2405,G$5:G2405,G2405),"0000"))</f>
        <v/>
      </c>
      <c r="C2405" s="26"/>
      <c r="D2405" s="26"/>
      <c r="E2405" s="27"/>
      <c r="F2405" s="27"/>
      <c r="G2405" s="24" t="str">
        <f aca="false">IF(F2405="","",IF(F2405&lt;=5,"A",IF(F2405&lt;=8,"B",IF(F2405&lt;=10,"C","D"))))</f>
        <v/>
      </c>
      <c r="H2405" s="28"/>
      <c r="I2405" s="27"/>
      <c r="J2405" s="26"/>
      <c r="K2405" s="27"/>
      <c r="L2405" s="27"/>
      <c r="M2405" s="27"/>
      <c r="N2405" s="27"/>
      <c r="O2405" s="24" t="str">
        <f aca="false">IF(G2405="","",VLOOKUP(G2405,Setup!$A$14:$C$17,3,0))</f>
        <v/>
      </c>
      <c r="P2405" s="27"/>
      <c r="Q2405" s="29" t="str">
        <f aca="false">IF(OR(P2405="",M2405&lt;&gt;"Paid",O2405=""),"",P2405/O2405)</f>
        <v/>
      </c>
      <c r="R2405" s="30" t="str">
        <f aca="false">IF(Q2405="","",Q2405+N(H2405)*0.000000001)</f>
        <v/>
      </c>
      <c r="S2405" s="25" t="str">
        <f aca="false">IF(R2405="","",SUMPRODUCT((I$5:I$4004=I2405)*ISNUMBER(R$5:R$4004)*(R$5:R$4004&gt;R2405))+1)</f>
        <v/>
      </c>
      <c r="T2405" s="25" t="str">
        <f aca="false">IF(S2405="","",IF(S2405&lt;=Setup!$B$5,"🏆 WINNER",""))</f>
        <v/>
      </c>
      <c r="U2405" s="24" t="str">
        <f aca="false">IF(S2405="","",I2405&amp;"|"&amp;S2405)</f>
        <v/>
      </c>
    </row>
    <row r="2406" customFormat="false" ht="15" hidden="false" customHeight="false" outlineLevel="0" collapsed="false">
      <c r="A2406" s="31" t="n">
        <v>2402</v>
      </c>
      <c r="B2406" s="32" t="str">
        <f aca="false">IF(OR(C2406="",I2406="",G2406=""),"",IFERROR(VLOOKUP(I2406,Setup!$A$9:$B$11,2,0),"???")&amp;"-"&amp;G2406&amp;"-"&amp;TEXT(COUNTIFS(I$5:I2406,I2406,G$5:G2406,G2406),"0000"))</f>
        <v/>
      </c>
      <c r="C2406" s="26"/>
      <c r="D2406" s="26"/>
      <c r="E2406" s="27"/>
      <c r="F2406" s="27"/>
      <c r="G2406" s="31" t="str">
        <f aca="false">IF(F2406="","",IF(F2406&lt;=5,"A",IF(F2406&lt;=8,"B",IF(F2406&lt;=10,"C","D"))))</f>
        <v/>
      </c>
      <c r="H2406" s="28"/>
      <c r="I2406" s="27"/>
      <c r="J2406" s="26"/>
      <c r="K2406" s="27"/>
      <c r="L2406" s="27"/>
      <c r="M2406" s="27"/>
      <c r="N2406" s="27"/>
      <c r="O2406" s="31" t="str">
        <f aca="false">IF(G2406="","",VLOOKUP(G2406,Setup!$A$14:$C$17,3,0))</f>
        <v/>
      </c>
      <c r="P2406" s="27"/>
      <c r="Q2406" s="33" t="str">
        <f aca="false">IF(OR(P2406="",M2406&lt;&gt;"Paid",O2406=""),"",P2406/O2406)</f>
        <v/>
      </c>
      <c r="R2406" s="34" t="str">
        <f aca="false">IF(Q2406="","",Q2406+N(H2406)*0.000000001)</f>
        <v/>
      </c>
      <c r="S2406" s="32" t="str">
        <f aca="false">IF(R2406="","",SUMPRODUCT((I$5:I$4004=I2406)*ISNUMBER(R$5:R$4004)*(R$5:R$4004&gt;R2406))+1)</f>
        <v/>
      </c>
      <c r="T2406" s="32" t="str">
        <f aca="false">IF(S2406="","",IF(S2406&lt;=Setup!$B$5,"🏆 WINNER",""))</f>
        <v/>
      </c>
      <c r="U2406" s="31" t="str">
        <f aca="false">IF(S2406="","",I2406&amp;"|"&amp;S2406)</f>
        <v/>
      </c>
    </row>
    <row r="2407" customFormat="false" ht="15" hidden="false" customHeight="false" outlineLevel="0" collapsed="false">
      <c r="A2407" s="24" t="n">
        <v>2403</v>
      </c>
      <c r="B2407" s="25" t="str">
        <f aca="false">IF(OR(C2407="",I2407="",G2407=""),"",IFERROR(VLOOKUP(I2407,Setup!$A$9:$B$11,2,0),"???")&amp;"-"&amp;G2407&amp;"-"&amp;TEXT(COUNTIFS(I$5:I2407,I2407,G$5:G2407,G2407),"0000"))</f>
        <v/>
      </c>
      <c r="C2407" s="26"/>
      <c r="D2407" s="26"/>
      <c r="E2407" s="27"/>
      <c r="F2407" s="27"/>
      <c r="G2407" s="24" t="str">
        <f aca="false">IF(F2407="","",IF(F2407&lt;=5,"A",IF(F2407&lt;=8,"B",IF(F2407&lt;=10,"C","D"))))</f>
        <v/>
      </c>
      <c r="H2407" s="28"/>
      <c r="I2407" s="27"/>
      <c r="J2407" s="26"/>
      <c r="K2407" s="27"/>
      <c r="L2407" s="27"/>
      <c r="M2407" s="27"/>
      <c r="N2407" s="27"/>
      <c r="O2407" s="24" t="str">
        <f aca="false">IF(G2407="","",VLOOKUP(G2407,Setup!$A$14:$C$17,3,0))</f>
        <v/>
      </c>
      <c r="P2407" s="27"/>
      <c r="Q2407" s="29" t="str">
        <f aca="false">IF(OR(P2407="",M2407&lt;&gt;"Paid",O2407=""),"",P2407/O2407)</f>
        <v/>
      </c>
      <c r="R2407" s="30" t="str">
        <f aca="false">IF(Q2407="","",Q2407+N(H2407)*0.000000001)</f>
        <v/>
      </c>
      <c r="S2407" s="25" t="str">
        <f aca="false">IF(R2407="","",SUMPRODUCT((I$5:I$4004=I2407)*ISNUMBER(R$5:R$4004)*(R$5:R$4004&gt;R2407))+1)</f>
        <v/>
      </c>
      <c r="T2407" s="25" t="str">
        <f aca="false">IF(S2407="","",IF(S2407&lt;=Setup!$B$5,"🏆 WINNER",""))</f>
        <v/>
      </c>
      <c r="U2407" s="24" t="str">
        <f aca="false">IF(S2407="","",I2407&amp;"|"&amp;S2407)</f>
        <v/>
      </c>
    </row>
    <row r="2408" customFormat="false" ht="15" hidden="false" customHeight="false" outlineLevel="0" collapsed="false">
      <c r="A2408" s="31" t="n">
        <v>2404</v>
      </c>
      <c r="B2408" s="32" t="str">
        <f aca="false">IF(OR(C2408="",I2408="",G2408=""),"",IFERROR(VLOOKUP(I2408,Setup!$A$9:$B$11,2,0),"???")&amp;"-"&amp;G2408&amp;"-"&amp;TEXT(COUNTIFS(I$5:I2408,I2408,G$5:G2408,G2408),"0000"))</f>
        <v/>
      </c>
      <c r="C2408" s="26"/>
      <c r="D2408" s="26"/>
      <c r="E2408" s="27"/>
      <c r="F2408" s="27"/>
      <c r="G2408" s="31" t="str">
        <f aca="false">IF(F2408="","",IF(F2408&lt;=5,"A",IF(F2408&lt;=8,"B",IF(F2408&lt;=10,"C","D"))))</f>
        <v/>
      </c>
      <c r="H2408" s="28"/>
      <c r="I2408" s="27"/>
      <c r="J2408" s="26"/>
      <c r="K2408" s="27"/>
      <c r="L2408" s="27"/>
      <c r="M2408" s="27"/>
      <c r="N2408" s="27"/>
      <c r="O2408" s="31" t="str">
        <f aca="false">IF(G2408="","",VLOOKUP(G2408,Setup!$A$14:$C$17,3,0))</f>
        <v/>
      </c>
      <c r="P2408" s="27"/>
      <c r="Q2408" s="33" t="str">
        <f aca="false">IF(OR(P2408="",M2408&lt;&gt;"Paid",O2408=""),"",P2408/O2408)</f>
        <v/>
      </c>
      <c r="R2408" s="34" t="str">
        <f aca="false">IF(Q2408="","",Q2408+N(H2408)*0.000000001)</f>
        <v/>
      </c>
      <c r="S2408" s="32" t="str">
        <f aca="false">IF(R2408="","",SUMPRODUCT((I$5:I$4004=I2408)*ISNUMBER(R$5:R$4004)*(R$5:R$4004&gt;R2408))+1)</f>
        <v/>
      </c>
      <c r="T2408" s="32" t="str">
        <f aca="false">IF(S2408="","",IF(S2408&lt;=Setup!$B$5,"🏆 WINNER",""))</f>
        <v/>
      </c>
      <c r="U2408" s="31" t="str">
        <f aca="false">IF(S2408="","",I2408&amp;"|"&amp;S2408)</f>
        <v/>
      </c>
    </row>
    <row r="2409" customFormat="false" ht="15" hidden="false" customHeight="false" outlineLevel="0" collapsed="false">
      <c r="A2409" s="24" t="n">
        <v>2405</v>
      </c>
      <c r="B2409" s="25" t="str">
        <f aca="false">IF(OR(C2409="",I2409="",G2409=""),"",IFERROR(VLOOKUP(I2409,Setup!$A$9:$B$11,2,0),"???")&amp;"-"&amp;G2409&amp;"-"&amp;TEXT(COUNTIFS(I$5:I2409,I2409,G$5:G2409,G2409),"0000"))</f>
        <v/>
      </c>
      <c r="C2409" s="26"/>
      <c r="D2409" s="26"/>
      <c r="E2409" s="27"/>
      <c r="F2409" s="27"/>
      <c r="G2409" s="24" t="str">
        <f aca="false">IF(F2409="","",IF(F2409&lt;=5,"A",IF(F2409&lt;=8,"B",IF(F2409&lt;=10,"C","D"))))</f>
        <v/>
      </c>
      <c r="H2409" s="28"/>
      <c r="I2409" s="27"/>
      <c r="J2409" s="26"/>
      <c r="K2409" s="27"/>
      <c r="L2409" s="27"/>
      <c r="M2409" s="27"/>
      <c r="N2409" s="27"/>
      <c r="O2409" s="24" t="str">
        <f aca="false">IF(G2409="","",VLOOKUP(G2409,Setup!$A$14:$C$17,3,0))</f>
        <v/>
      </c>
      <c r="P2409" s="27"/>
      <c r="Q2409" s="29" t="str">
        <f aca="false">IF(OR(P2409="",M2409&lt;&gt;"Paid",O2409=""),"",P2409/O2409)</f>
        <v/>
      </c>
      <c r="R2409" s="30" t="str">
        <f aca="false">IF(Q2409="","",Q2409+N(H2409)*0.000000001)</f>
        <v/>
      </c>
      <c r="S2409" s="25" t="str">
        <f aca="false">IF(R2409="","",SUMPRODUCT((I$5:I$4004=I2409)*ISNUMBER(R$5:R$4004)*(R$5:R$4004&gt;R2409))+1)</f>
        <v/>
      </c>
      <c r="T2409" s="25" t="str">
        <f aca="false">IF(S2409="","",IF(S2409&lt;=Setup!$B$5,"🏆 WINNER",""))</f>
        <v/>
      </c>
      <c r="U2409" s="24" t="str">
        <f aca="false">IF(S2409="","",I2409&amp;"|"&amp;S2409)</f>
        <v/>
      </c>
    </row>
    <row r="2410" customFormat="false" ht="15" hidden="false" customHeight="false" outlineLevel="0" collapsed="false">
      <c r="A2410" s="31" t="n">
        <v>2406</v>
      </c>
      <c r="B2410" s="32" t="str">
        <f aca="false">IF(OR(C2410="",I2410="",G2410=""),"",IFERROR(VLOOKUP(I2410,Setup!$A$9:$B$11,2,0),"???")&amp;"-"&amp;G2410&amp;"-"&amp;TEXT(COUNTIFS(I$5:I2410,I2410,G$5:G2410,G2410),"0000"))</f>
        <v/>
      </c>
      <c r="C2410" s="26"/>
      <c r="D2410" s="26"/>
      <c r="E2410" s="27"/>
      <c r="F2410" s="27"/>
      <c r="G2410" s="31" t="str">
        <f aca="false">IF(F2410="","",IF(F2410&lt;=5,"A",IF(F2410&lt;=8,"B",IF(F2410&lt;=10,"C","D"))))</f>
        <v/>
      </c>
      <c r="H2410" s="28"/>
      <c r="I2410" s="27"/>
      <c r="J2410" s="26"/>
      <c r="K2410" s="27"/>
      <c r="L2410" s="27"/>
      <c r="M2410" s="27"/>
      <c r="N2410" s="27"/>
      <c r="O2410" s="31" t="str">
        <f aca="false">IF(G2410="","",VLOOKUP(G2410,Setup!$A$14:$C$17,3,0))</f>
        <v/>
      </c>
      <c r="P2410" s="27"/>
      <c r="Q2410" s="33" t="str">
        <f aca="false">IF(OR(P2410="",M2410&lt;&gt;"Paid",O2410=""),"",P2410/O2410)</f>
        <v/>
      </c>
      <c r="R2410" s="34" t="str">
        <f aca="false">IF(Q2410="","",Q2410+N(H2410)*0.000000001)</f>
        <v/>
      </c>
      <c r="S2410" s="32" t="str">
        <f aca="false">IF(R2410="","",SUMPRODUCT((I$5:I$4004=I2410)*ISNUMBER(R$5:R$4004)*(R$5:R$4004&gt;R2410))+1)</f>
        <v/>
      </c>
      <c r="T2410" s="32" t="str">
        <f aca="false">IF(S2410="","",IF(S2410&lt;=Setup!$B$5,"🏆 WINNER",""))</f>
        <v/>
      </c>
      <c r="U2410" s="31" t="str">
        <f aca="false">IF(S2410="","",I2410&amp;"|"&amp;S2410)</f>
        <v/>
      </c>
    </row>
    <row r="2411" customFormat="false" ht="15" hidden="false" customHeight="false" outlineLevel="0" collapsed="false">
      <c r="A2411" s="24" t="n">
        <v>2407</v>
      </c>
      <c r="B2411" s="25" t="str">
        <f aca="false">IF(OR(C2411="",I2411="",G2411=""),"",IFERROR(VLOOKUP(I2411,Setup!$A$9:$B$11,2,0),"???")&amp;"-"&amp;G2411&amp;"-"&amp;TEXT(COUNTIFS(I$5:I2411,I2411,G$5:G2411,G2411),"0000"))</f>
        <v/>
      </c>
      <c r="C2411" s="26"/>
      <c r="D2411" s="26"/>
      <c r="E2411" s="27"/>
      <c r="F2411" s="27"/>
      <c r="G2411" s="24" t="str">
        <f aca="false">IF(F2411="","",IF(F2411&lt;=5,"A",IF(F2411&lt;=8,"B",IF(F2411&lt;=10,"C","D"))))</f>
        <v/>
      </c>
      <c r="H2411" s="28"/>
      <c r="I2411" s="27"/>
      <c r="J2411" s="26"/>
      <c r="K2411" s="27"/>
      <c r="L2411" s="27"/>
      <c r="M2411" s="27"/>
      <c r="N2411" s="27"/>
      <c r="O2411" s="24" t="str">
        <f aca="false">IF(G2411="","",VLOOKUP(G2411,Setup!$A$14:$C$17,3,0))</f>
        <v/>
      </c>
      <c r="P2411" s="27"/>
      <c r="Q2411" s="29" t="str">
        <f aca="false">IF(OR(P2411="",M2411&lt;&gt;"Paid",O2411=""),"",P2411/O2411)</f>
        <v/>
      </c>
      <c r="R2411" s="30" t="str">
        <f aca="false">IF(Q2411="","",Q2411+N(H2411)*0.000000001)</f>
        <v/>
      </c>
      <c r="S2411" s="25" t="str">
        <f aca="false">IF(R2411="","",SUMPRODUCT((I$5:I$4004=I2411)*ISNUMBER(R$5:R$4004)*(R$5:R$4004&gt;R2411))+1)</f>
        <v/>
      </c>
      <c r="T2411" s="25" t="str">
        <f aca="false">IF(S2411="","",IF(S2411&lt;=Setup!$B$5,"🏆 WINNER",""))</f>
        <v/>
      </c>
      <c r="U2411" s="24" t="str">
        <f aca="false">IF(S2411="","",I2411&amp;"|"&amp;S2411)</f>
        <v/>
      </c>
    </row>
    <row r="2412" customFormat="false" ht="15" hidden="false" customHeight="false" outlineLevel="0" collapsed="false">
      <c r="A2412" s="31" t="n">
        <v>2408</v>
      </c>
      <c r="B2412" s="32" t="str">
        <f aca="false">IF(OR(C2412="",I2412="",G2412=""),"",IFERROR(VLOOKUP(I2412,Setup!$A$9:$B$11,2,0),"???")&amp;"-"&amp;G2412&amp;"-"&amp;TEXT(COUNTIFS(I$5:I2412,I2412,G$5:G2412,G2412),"0000"))</f>
        <v/>
      </c>
      <c r="C2412" s="26"/>
      <c r="D2412" s="26"/>
      <c r="E2412" s="27"/>
      <c r="F2412" s="27"/>
      <c r="G2412" s="31" t="str">
        <f aca="false">IF(F2412="","",IF(F2412&lt;=5,"A",IF(F2412&lt;=8,"B",IF(F2412&lt;=10,"C","D"))))</f>
        <v/>
      </c>
      <c r="H2412" s="28"/>
      <c r="I2412" s="27"/>
      <c r="J2412" s="26"/>
      <c r="K2412" s="27"/>
      <c r="L2412" s="27"/>
      <c r="M2412" s="27"/>
      <c r="N2412" s="27"/>
      <c r="O2412" s="31" t="str">
        <f aca="false">IF(G2412="","",VLOOKUP(G2412,Setup!$A$14:$C$17,3,0))</f>
        <v/>
      </c>
      <c r="P2412" s="27"/>
      <c r="Q2412" s="33" t="str">
        <f aca="false">IF(OR(P2412="",M2412&lt;&gt;"Paid",O2412=""),"",P2412/O2412)</f>
        <v/>
      </c>
      <c r="R2412" s="34" t="str">
        <f aca="false">IF(Q2412="","",Q2412+N(H2412)*0.000000001)</f>
        <v/>
      </c>
      <c r="S2412" s="32" t="str">
        <f aca="false">IF(R2412="","",SUMPRODUCT((I$5:I$4004=I2412)*ISNUMBER(R$5:R$4004)*(R$5:R$4004&gt;R2412))+1)</f>
        <v/>
      </c>
      <c r="T2412" s="32" t="str">
        <f aca="false">IF(S2412="","",IF(S2412&lt;=Setup!$B$5,"🏆 WINNER",""))</f>
        <v/>
      </c>
      <c r="U2412" s="31" t="str">
        <f aca="false">IF(S2412="","",I2412&amp;"|"&amp;S2412)</f>
        <v/>
      </c>
    </row>
    <row r="2413" customFormat="false" ht="15" hidden="false" customHeight="false" outlineLevel="0" collapsed="false">
      <c r="A2413" s="24" t="n">
        <v>2409</v>
      </c>
      <c r="B2413" s="25" t="str">
        <f aca="false">IF(OR(C2413="",I2413="",G2413=""),"",IFERROR(VLOOKUP(I2413,Setup!$A$9:$B$11,2,0),"???")&amp;"-"&amp;G2413&amp;"-"&amp;TEXT(COUNTIFS(I$5:I2413,I2413,G$5:G2413,G2413),"0000"))</f>
        <v/>
      </c>
      <c r="C2413" s="26"/>
      <c r="D2413" s="26"/>
      <c r="E2413" s="27"/>
      <c r="F2413" s="27"/>
      <c r="G2413" s="24" t="str">
        <f aca="false">IF(F2413="","",IF(F2413&lt;=5,"A",IF(F2413&lt;=8,"B",IF(F2413&lt;=10,"C","D"))))</f>
        <v/>
      </c>
      <c r="H2413" s="28"/>
      <c r="I2413" s="27"/>
      <c r="J2413" s="26"/>
      <c r="K2413" s="27"/>
      <c r="L2413" s="27"/>
      <c r="M2413" s="27"/>
      <c r="N2413" s="27"/>
      <c r="O2413" s="24" t="str">
        <f aca="false">IF(G2413="","",VLOOKUP(G2413,Setup!$A$14:$C$17,3,0))</f>
        <v/>
      </c>
      <c r="P2413" s="27"/>
      <c r="Q2413" s="29" t="str">
        <f aca="false">IF(OR(P2413="",M2413&lt;&gt;"Paid",O2413=""),"",P2413/O2413)</f>
        <v/>
      </c>
      <c r="R2413" s="30" t="str">
        <f aca="false">IF(Q2413="","",Q2413+N(H2413)*0.000000001)</f>
        <v/>
      </c>
      <c r="S2413" s="25" t="str">
        <f aca="false">IF(R2413="","",SUMPRODUCT((I$5:I$4004=I2413)*ISNUMBER(R$5:R$4004)*(R$5:R$4004&gt;R2413))+1)</f>
        <v/>
      </c>
      <c r="T2413" s="25" t="str">
        <f aca="false">IF(S2413="","",IF(S2413&lt;=Setup!$B$5,"🏆 WINNER",""))</f>
        <v/>
      </c>
      <c r="U2413" s="24" t="str">
        <f aca="false">IF(S2413="","",I2413&amp;"|"&amp;S2413)</f>
        <v/>
      </c>
    </row>
    <row r="2414" customFormat="false" ht="15" hidden="false" customHeight="false" outlineLevel="0" collapsed="false">
      <c r="A2414" s="31" t="n">
        <v>2410</v>
      </c>
      <c r="B2414" s="32" t="str">
        <f aca="false">IF(OR(C2414="",I2414="",G2414=""),"",IFERROR(VLOOKUP(I2414,Setup!$A$9:$B$11,2,0),"???")&amp;"-"&amp;G2414&amp;"-"&amp;TEXT(COUNTIFS(I$5:I2414,I2414,G$5:G2414,G2414),"0000"))</f>
        <v/>
      </c>
      <c r="C2414" s="26"/>
      <c r="D2414" s="26"/>
      <c r="E2414" s="27"/>
      <c r="F2414" s="27"/>
      <c r="G2414" s="31" t="str">
        <f aca="false">IF(F2414="","",IF(F2414&lt;=5,"A",IF(F2414&lt;=8,"B",IF(F2414&lt;=10,"C","D"))))</f>
        <v/>
      </c>
      <c r="H2414" s="28"/>
      <c r="I2414" s="27"/>
      <c r="J2414" s="26"/>
      <c r="K2414" s="27"/>
      <c r="L2414" s="27"/>
      <c r="M2414" s="27"/>
      <c r="N2414" s="27"/>
      <c r="O2414" s="31" t="str">
        <f aca="false">IF(G2414="","",VLOOKUP(G2414,Setup!$A$14:$C$17,3,0))</f>
        <v/>
      </c>
      <c r="P2414" s="27"/>
      <c r="Q2414" s="33" t="str">
        <f aca="false">IF(OR(P2414="",M2414&lt;&gt;"Paid",O2414=""),"",P2414/O2414)</f>
        <v/>
      </c>
      <c r="R2414" s="34" t="str">
        <f aca="false">IF(Q2414="","",Q2414+N(H2414)*0.000000001)</f>
        <v/>
      </c>
      <c r="S2414" s="32" t="str">
        <f aca="false">IF(R2414="","",SUMPRODUCT((I$5:I$4004=I2414)*ISNUMBER(R$5:R$4004)*(R$5:R$4004&gt;R2414))+1)</f>
        <v/>
      </c>
      <c r="T2414" s="32" t="str">
        <f aca="false">IF(S2414="","",IF(S2414&lt;=Setup!$B$5,"🏆 WINNER",""))</f>
        <v/>
      </c>
      <c r="U2414" s="31" t="str">
        <f aca="false">IF(S2414="","",I2414&amp;"|"&amp;S2414)</f>
        <v/>
      </c>
    </row>
    <row r="2415" customFormat="false" ht="15" hidden="false" customHeight="false" outlineLevel="0" collapsed="false">
      <c r="A2415" s="24" t="n">
        <v>2411</v>
      </c>
      <c r="B2415" s="25" t="str">
        <f aca="false">IF(OR(C2415="",I2415="",G2415=""),"",IFERROR(VLOOKUP(I2415,Setup!$A$9:$B$11,2,0),"???")&amp;"-"&amp;G2415&amp;"-"&amp;TEXT(COUNTIFS(I$5:I2415,I2415,G$5:G2415,G2415),"0000"))</f>
        <v/>
      </c>
      <c r="C2415" s="26"/>
      <c r="D2415" s="26"/>
      <c r="E2415" s="27"/>
      <c r="F2415" s="27"/>
      <c r="G2415" s="24" t="str">
        <f aca="false">IF(F2415="","",IF(F2415&lt;=5,"A",IF(F2415&lt;=8,"B",IF(F2415&lt;=10,"C","D"))))</f>
        <v/>
      </c>
      <c r="H2415" s="28"/>
      <c r="I2415" s="27"/>
      <c r="J2415" s="26"/>
      <c r="K2415" s="27"/>
      <c r="L2415" s="27"/>
      <c r="M2415" s="27"/>
      <c r="N2415" s="27"/>
      <c r="O2415" s="24" t="str">
        <f aca="false">IF(G2415="","",VLOOKUP(G2415,Setup!$A$14:$C$17,3,0))</f>
        <v/>
      </c>
      <c r="P2415" s="27"/>
      <c r="Q2415" s="29" t="str">
        <f aca="false">IF(OR(P2415="",M2415&lt;&gt;"Paid",O2415=""),"",P2415/O2415)</f>
        <v/>
      </c>
      <c r="R2415" s="30" t="str">
        <f aca="false">IF(Q2415="","",Q2415+N(H2415)*0.000000001)</f>
        <v/>
      </c>
      <c r="S2415" s="25" t="str">
        <f aca="false">IF(R2415="","",SUMPRODUCT((I$5:I$4004=I2415)*ISNUMBER(R$5:R$4004)*(R$5:R$4004&gt;R2415))+1)</f>
        <v/>
      </c>
      <c r="T2415" s="25" t="str">
        <f aca="false">IF(S2415="","",IF(S2415&lt;=Setup!$B$5,"🏆 WINNER",""))</f>
        <v/>
      </c>
      <c r="U2415" s="24" t="str">
        <f aca="false">IF(S2415="","",I2415&amp;"|"&amp;S2415)</f>
        <v/>
      </c>
    </row>
    <row r="2416" customFormat="false" ht="15" hidden="false" customHeight="false" outlineLevel="0" collapsed="false">
      <c r="A2416" s="31" t="n">
        <v>2412</v>
      </c>
      <c r="B2416" s="32" t="str">
        <f aca="false">IF(OR(C2416="",I2416="",G2416=""),"",IFERROR(VLOOKUP(I2416,Setup!$A$9:$B$11,2,0),"???")&amp;"-"&amp;G2416&amp;"-"&amp;TEXT(COUNTIFS(I$5:I2416,I2416,G$5:G2416,G2416),"0000"))</f>
        <v/>
      </c>
      <c r="C2416" s="26"/>
      <c r="D2416" s="26"/>
      <c r="E2416" s="27"/>
      <c r="F2416" s="27"/>
      <c r="G2416" s="31" t="str">
        <f aca="false">IF(F2416="","",IF(F2416&lt;=5,"A",IF(F2416&lt;=8,"B",IF(F2416&lt;=10,"C","D"))))</f>
        <v/>
      </c>
      <c r="H2416" s="28"/>
      <c r="I2416" s="27"/>
      <c r="J2416" s="26"/>
      <c r="K2416" s="27"/>
      <c r="L2416" s="27"/>
      <c r="M2416" s="27"/>
      <c r="N2416" s="27"/>
      <c r="O2416" s="31" t="str">
        <f aca="false">IF(G2416="","",VLOOKUP(G2416,Setup!$A$14:$C$17,3,0))</f>
        <v/>
      </c>
      <c r="P2416" s="27"/>
      <c r="Q2416" s="33" t="str">
        <f aca="false">IF(OR(P2416="",M2416&lt;&gt;"Paid",O2416=""),"",P2416/O2416)</f>
        <v/>
      </c>
      <c r="R2416" s="34" t="str">
        <f aca="false">IF(Q2416="","",Q2416+N(H2416)*0.000000001)</f>
        <v/>
      </c>
      <c r="S2416" s="32" t="str">
        <f aca="false">IF(R2416="","",SUMPRODUCT((I$5:I$4004=I2416)*ISNUMBER(R$5:R$4004)*(R$5:R$4004&gt;R2416))+1)</f>
        <v/>
      </c>
      <c r="T2416" s="32" t="str">
        <f aca="false">IF(S2416="","",IF(S2416&lt;=Setup!$B$5,"🏆 WINNER",""))</f>
        <v/>
      </c>
      <c r="U2416" s="31" t="str">
        <f aca="false">IF(S2416="","",I2416&amp;"|"&amp;S2416)</f>
        <v/>
      </c>
    </row>
    <row r="2417" customFormat="false" ht="15" hidden="false" customHeight="false" outlineLevel="0" collapsed="false">
      <c r="A2417" s="24" t="n">
        <v>2413</v>
      </c>
      <c r="B2417" s="25" t="str">
        <f aca="false">IF(OR(C2417="",I2417="",G2417=""),"",IFERROR(VLOOKUP(I2417,Setup!$A$9:$B$11,2,0),"???")&amp;"-"&amp;G2417&amp;"-"&amp;TEXT(COUNTIFS(I$5:I2417,I2417,G$5:G2417,G2417),"0000"))</f>
        <v/>
      </c>
      <c r="C2417" s="26"/>
      <c r="D2417" s="26"/>
      <c r="E2417" s="27"/>
      <c r="F2417" s="27"/>
      <c r="G2417" s="24" t="str">
        <f aca="false">IF(F2417="","",IF(F2417&lt;=5,"A",IF(F2417&lt;=8,"B",IF(F2417&lt;=10,"C","D"))))</f>
        <v/>
      </c>
      <c r="H2417" s="28"/>
      <c r="I2417" s="27"/>
      <c r="J2417" s="26"/>
      <c r="K2417" s="27"/>
      <c r="L2417" s="27"/>
      <c r="M2417" s="27"/>
      <c r="N2417" s="27"/>
      <c r="O2417" s="24" t="str">
        <f aca="false">IF(G2417="","",VLOOKUP(G2417,Setup!$A$14:$C$17,3,0))</f>
        <v/>
      </c>
      <c r="P2417" s="27"/>
      <c r="Q2417" s="29" t="str">
        <f aca="false">IF(OR(P2417="",M2417&lt;&gt;"Paid",O2417=""),"",P2417/O2417)</f>
        <v/>
      </c>
      <c r="R2417" s="30" t="str">
        <f aca="false">IF(Q2417="","",Q2417+N(H2417)*0.000000001)</f>
        <v/>
      </c>
      <c r="S2417" s="25" t="str">
        <f aca="false">IF(R2417="","",SUMPRODUCT((I$5:I$4004=I2417)*ISNUMBER(R$5:R$4004)*(R$5:R$4004&gt;R2417))+1)</f>
        <v/>
      </c>
      <c r="T2417" s="25" t="str">
        <f aca="false">IF(S2417="","",IF(S2417&lt;=Setup!$B$5,"🏆 WINNER",""))</f>
        <v/>
      </c>
      <c r="U2417" s="24" t="str">
        <f aca="false">IF(S2417="","",I2417&amp;"|"&amp;S2417)</f>
        <v/>
      </c>
    </row>
    <row r="2418" customFormat="false" ht="15" hidden="false" customHeight="false" outlineLevel="0" collapsed="false">
      <c r="A2418" s="31" t="n">
        <v>2414</v>
      </c>
      <c r="B2418" s="32" t="str">
        <f aca="false">IF(OR(C2418="",I2418="",G2418=""),"",IFERROR(VLOOKUP(I2418,Setup!$A$9:$B$11,2,0),"???")&amp;"-"&amp;G2418&amp;"-"&amp;TEXT(COUNTIFS(I$5:I2418,I2418,G$5:G2418,G2418),"0000"))</f>
        <v/>
      </c>
      <c r="C2418" s="26"/>
      <c r="D2418" s="26"/>
      <c r="E2418" s="27"/>
      <c r="F2418" s="27"/>
      <c r="G2418" s="31" t="str">
        <f aca="false">IF(F2418="","",IF(F2418&lt;=5,"A",IF(F2418&lt;=8,"B",IF(F2418&lt;=10,"C","D"))))</f>
        <v/>
      </c>
      <c r="H2418" s="28"/>
      <c r="I2418" s="27"/>
      <c r="J2418" s="26"/>
      <c r="K2418" s="27"/>
      <c r="L2418" s="27"/>
      <c r="M2418" s="27"/>
      <c r="N2418" s="27"/>
      <c r="O2418" s="31" t="str">
        <f aca="false">IF(G2418="","",VLOOKUP(G2418,Setup!$A$14:$C$17,3,0))</f>
        <v/>
      </c>
      <c r="P2418" s="27"/>
      <c r="Q2418" s="33" t="str">
        <f aca="false">IF(OR(P2418="",M2418&lt;&gt;"Paid",O2418=""),"",P2418/O2418)</f>
        <v/>
      </c>
      <c r="R2418" s="34" t="str">
        <f aca="false">IF(Q2418="","",Q2418+N(H2418)*0.000000001)</f>
        <v/>
      </c>
      <c r="S2418" s="32" t="str">
        <f aca="false">IF(R2418="","",SUMPRODUCT((I$5:I$4004=I2418)*ISNUMBER(R$5:R$4004)*(R$5:R$4004&gt;R2418))+1)</f>
        <v/>
      </c>
      <c r="T2418" s="32" t="str">
        <f aca="false">IF(S2418="","",IF(S2418&lt;=Setup!$B$5,"🏆 WINNER",""))</f>
        <v/>
      </c>
      <c r="U2418" s="31" t="str">
        <f aca="false">IF(S2418="","",I2418&amp;"|"&amp;S2418)</f>
        <v/>
      </c>
    </row>
    <row r="2419" customFormat="false" ht="15" hidden="false" customHeight="false" outlineLevel="0" collapsed="false">
      <c r="A2419" s="24" t="n">
        <v>2415</v>
      </c>
      <c r="B2419" s="25" t="str">
        <f aca="false">IF(OR(C2419="",I2419="",G2419=""),"",IFERROR(VLOOKUP(I2419,Setup!$A$9:$B$11,2,0),"???")&amp;"-"&amp;G2419&amp;"-"&amp;TEXT(COUNTIFS(I$5:I2419,I2419,G$5:G2419,G2419),"0000"))</f>
        <v/>
      </c>
      <c r="C2419" s="26"/>
      <c r="D2419" s="26"/>
      <c r="E2419" s="27"/>
      <c r="F2419" s="27"/>
      <c r="G2419" s="24" t="str">
        <f aca="false">IF(F2419="","",IF(F2419&lt;=5,"A",IF(F2419&lt;=8,"B",IF(F2419&lt;=10,"C","D"))))</f>
        <v/>
      </c>
      <c r="H2419" s="28"/>
      <c r="I2419" s="27"/>
      <c r="J2419" s="26"/>
      <c r="K2419" s="27"/>
      <c r="L2419" s="27"/>
      <c r="M2419" s="27"/>
      <c r="N2419" s="27"/>
      <c r="O2419" s="24" t="str">
        <f aca="false">IF(G2419="","",VLOOKUP(G2419,Setup!$A$14:$C$17,3,0))</f>
        <v/>
      </c>
      <c r="P2419" s="27"/>
      <c r="Q2419" s="29" t="str">
        <f aca="false">IF(OR(P2419="",M2419&lt;&gt;"Paid",O2419=""),"",P2419/O2419)</f>
        <v/>
      </c>
      <c r="R2419" s="30" t="str">
        <f aca="false">IF(Q2419="","",Q2419+N(H2419)*0.000000001)</f>
        <v/>
      </c>
      <c r="S2419" s="25" t="str">
        <f aca="false">IF(R2419="","",SUMPRODUCT((I$5:I$4004=I2419)*ISNUMBER(R$5:R$4004)*(R$5:R$4004&gt;R2419))+1)</f>
        <v/>
      </c>
      <c r="T2419" s="25" t="str">
        <f aca="false">IF(S2419="","",IF(S2419&lt;=Setup!$B$5,"🏆 WINNER",""))</f>
        <v/>
      </c>
      <c r="U2419" s="24" t="str">
        <f aca="false">IF(S2419="","",I2419&amp;"|"&amp;S2419)</f>
        <v/>
      </c>
    </row>
    <row r="2420" customFormat="false" ht="15" hidden="false" customHeight="false" outlineLevel="0" collapsed="false">
      <c r="A2420" s="31" t="n">
        <v>2416</v>
      </c>
      <c r="B2420" s="32" t="str">
        <f aca="false">IF(OR(C2420="",I2420="",G2420=""),"",IFERROR(VLOOKUP(I2420,Setup!$A$9:$B$11,2,0),"???")&amp;"-"&amp;G2420&amp;"-"&amp;TEXT(COUNTIFS(I$5:I2420,I2420,G$5:G2420,G2420),"0000"))</f>
        <v/>
      </c>
      <c r="C2420" s="26"/>
      <c r="D2420" s="26"/>
      <c r="E2420" s="27"/>
      <c r="F2420" s="27"/>
      <c r="G2420" s="31" t="str">
        <f aca="false">IF(F2420="","",IF(F2420&lt;=5,"A",IF(F2420&lt;=8,"B",IF(F2420&lt;=10,"C","D"))))</f>
        <v/>
      </c>
      <c r="H2420" s="28"/>
      <c r="I2420" s="27"/>
      <c r="J2420" s="26"/>
      <c r="K2420" s="27"/>
      <c r="L2420" s="27"/>
      <c r="M2420" s="27"/>
      <c r="N2420" s="27"/>
      <c r="O2420" s="31" t="str">
        <f aca="false">IF(G2420="","",VLOOKUP(G2420,Setup!$A$14:$C$17,3,0))</f>
        <v/>
      </c>
      <c r="P2420" s="27"/>
      <c r="Q2420" s="33" t="str">
        <f aca="false">IF(OR(P2420="",M2420&lt;&gt;"Paid",O2420=""),"",P2420/O2420)</f>
        <v/>
      </c>
      <c r="R2420" s="34" t="str">
        <f aca="false">IF(Q2420="","",Q2420+N(H2420)*0.000000001)</f>
        <v/>
      </c>
      <c r="S2420" s="32" t="str">
        <f aca="false">IF(R2420="","",SUMPRODUCT((I$5:I$4004=I2420)*ISNUMBER(R$5:R$4004)*(R$5:R$4004&gt;R2420))+1)</f>
        <v/>
      </c>
      <c r="T2420" s="32" t="str">
        <f aca="false">IF(S2420="","",IF(S2420&lt;=Setup!$B$5,"🏆 WINNER",""))</f>
        <v/>
      </c>
      <c r="U2420" s="31" t="str">
        <f aca="false">IF(S2420="","",I2420&amp;"|"&amp;S2420)</f>
        <v/>
      </c>
    </row>
    <row r="2421" customFormat="false" ht="15" hidden="false" customHeight="false" outlineLevel="0" collapsed="false">
      <c r="A2421" s="24" t="n">
        <v>2417</v>
      </c>
      <c r="B2421" s="25" t="str">
        <f aca="false">IF(OR(C2421="",I2421="",G2421=""),"",IFERROR(VLOOKUP(I2421,Setup!$A$9:$B$11,2,0),"???")&amp;"-"&amp;G2421&amp;"-"&amp;TEXT(COUNTIFS(I$5:I2421,I2421,G$5:G2421,G2421),"0000"))</f>
        <v/>
      </c>
      <c r="C2421" s="26"/>
      <c r="D2421" s="26"/>
      <c r="E2421" s="27"/>
      <c r="F2421" s="27"/>
      <c r="G2421" s="24" t="str">
        <f aca="false">IF(F2421="","",IF(F2421&lt;=5,"A",IF(F2421&lt;=8,"B",IF(F2421&lt;=10,"C","D"))))</f>
        <v/>
      </c>
      <c r="H2421" s="28"/>
      <c r="I2421" s="27"/>
      <c r="J2421" s="26"/>
      <c r="K2421" s="27"/>
      <c r="L2421" s="27"/>
      <c r="M2421" s="27"/>
      <c r="N2421" s="27"/>
      <c r="O2421" s="24" t="str">
        <f aca="false">IF(G2421="","",VLOOKUP(G2421,Setup!$A$14:$C$17,3,0))</f>
        <v/>
      </c>
      <c r="P2421" s="27"/>
      <c r="Q2421" s="29" t="str">
        <f aca="false">IF(OR(P2421="",M2421&lt;&gt;"Paid",O2421=""),"",P2421/O2421)</f>
        <v/>
      </c>
      <c r="R2421" s="30" t="str">
        <f aca="false">IF(Q2421="","",Q2421+N(H2421)*0.000000001)</f>
        <v/>
      </c>
      <c r="S2421" s="25" t="str">
        <f aca="false">IF(R2421="","",SUMPRODUCT((I$5:I$4004=I2421)*ISNUMBER(R$5:R$4004)*(R$5:R$4004&gt;R2421))+1)</f>
        <v/>
      </c>
      <c r="T2421" s="25" t="str">
        <f aca="false">IF(S2421="","",IF(S2421&lt;=Setup!$B$5,"🏆 WINNER",""))</f>
        <v/>
      </c>
      <c r="U2421" s="24" t="str">
        <f aca="false">IF(S2421="","",I2421&amp;"|"&amp;S2421)</f>
        <v/>
      </c>
    </row>
    <row r="2422" customFormat="false" ht="15" hidden="false" customHeight="false" outlineLevel="0" collapsed="false">
      <c r="A2422" s="31" t="n">
        <v>2418</v>
      </c>
      <c r="B2422" s="32" t="str">
        <f aca="false">IF(OR(C2422="",I2422="",G2422=""),"",IFERROR(VLOOKUP(I2422,Setup!$A$9:$B$11,2,0),"???")&amp;"-"&amp;G2422&amp;"-"&amp;TEXT(COUNTIFS(I$5:I2422,I2422,G$5:G2422,G2422),"0000"))</f>
        <v/>
      </c>
      <c r="C2422" s="26"/>
      <c r="D2422" s="26"/>
      <c r="E2422" s="27"/>
      <c r="F2422" s="27"/>
      <c r="G2422" s="31" t="str">
        <f aca="false">IF(F2422="","",IF(F2422&lt;=5,"A",IF(F2422&lt;=8,"B",IF(F2422&lt;=10,"C","D"))))</f>
        <v/>
      </c>
      <c r="H2422" s="28"/>
      <c r="I2422" s="27"/>
      <c r="J2422" s="26"/>
      <c r="K2422" s="27"/>
      <c r="L2422" s="27"/>
      <c r="M2422" s="27"/>
      <c r="N2422" s="27"/>
      <c r="O2422" s="31" t="str">
        <f aca="false">IF(G2422="","",VLOOKUP(G2422,Setup!$A$14:$C$17,3,0))</f>
        <v/>
      </c>
      <c r="P2422" s="27"/>
      <c r="Q2422" s="33" t="str">
        <f aca="false">IF(OR(P2422="",M2422&lt;&gt;"Paid",O2422=""),"",P2422/O2422)</f>
        <v/>
      </c>
      <c r="R2422" s="34" t="str">
        <f aca="false">IF(Q2422="","",Q2422+N(H2422)*0.000000001)</f>
        <v/>
      </c>
      <c r="S2422" s="32" t="str">
        <f aca="false">IF(R2422="","",SUMPRODUCT((I$5:I$4004=I2422)*ISNUMBER(R$5:R$4004)*(R$5:R$4004&gt;R2422))+1)</f>
        <v/>
      </c>
      <c r="T2422" s="32" t="str">
        <f aca="false">IF(S2422="","",IF(S2422&lt;=Setup!$B$5,"🏆 WINNER",""))</f>
        <v/>
      </c>
      <c r="U2422" s="31" t="str">
        <f aca="false">IF(S2422="","",I2422&amp;"|"&amp;S2422)</f>
        <v/>
      </c>
    </row>
    <row r="2423" customFormat="false" ht="15" hidden="false" customHeight="false" outlineLevel="0" collapsed="false">
      <c r="A2423" s="24" t="n">
        <v>2419</v>
      </c>
      <c r="B2423" s="25" t="str">
        <f aca="false">IF(OR(C2423="",I2423="",G2423=""),"",IFERROR(VLOOKUP(I2423,Setup!$A$9:$B$11,2,0),"???")&amp;"-"&amp;G2423&amp;"-"&amp;TEXT(COUNTIFS(I$5:I2423,I2423,G$5:G2423,G2423),"0000"))</f>
        <v/>
      </c>
      <c r="C2423" s="26"/>
      <c r="D2423" s="26"/>
      <c r="E2423" s="27"/>
      <c r="F2423" s="27"/>
      <c r="G2423" s="24" t="str">
        <f aca="false">IF(F2423="","",IF(F2423&lt;=5,"A",IF(F2423&lt;=8,"B",IF(F2423&lt;=10,"C","D"))))</f>
        <v/>
      </c>
      <c r="H2423" s="28"/>
      <c r="I2423" s="27"/>
      <c r="J2423" s="26"/>
      <c r="K2423" s="27"/>
      <c r="L2423" s="27"/>
      <c r="M2423" s="27"/>
      <c r="N2423" s="27"/>
      <c r="O2423" s="24" t="str">
        <f aca="false">IF(G2423="","",VLOOKUP(G2423,Setup!$A$14:$C$17,3,0))</f>
        <v/>
      </c>
      <c r="P2423" s="27"/>
      <c r="Q2423" s="29" t="str">
        <f aca="false">IF(OR(P2423="",M2423&lt;&gt;"Paid",O2423=""),"",P2423/O2423)</f>
        <v/>
      </c>
      <c r="R2423" s="30" t="str">
        <f aca="false">IF(Q2423="","",Q2423+N(H2423)*0.000000001)</f>
        <v/>
      </c>
      <c r="S2423" s="25" t="str">
        <f aca="false">IF(R2423="","",SUMPRODUCT((I$5:I$4004=I2423)*ISNUMBER(R$5:R$4004)*(R$5:R$4004&gt;R2423))+1)</f>
        <v/>
      </c>
      <c r="T2423" s="25" t="str">
        <f aca="false">IF(S2423="","",IF(S2423&lt;=Setup!$B$5,"🏆 WINNER",""))</f>
        <v/>
      </c>
      <c r="U2423" s="24" t="str">
        <f aca="false">IF(S2423="","",I2423&amp;"|"&amp;S2423)</f>
        <v/>
      </c>
    </row>
    <row r="2424" customFormat="false" ht="15" hidden="false" customHeight="false" outlineLevel="0" collapsed="false">
      <c r="A2424" s="31" t="n">
        <v>2420</v>
      </c>
      <c r="B2424" s="32" t="str">
        <f aca="false">IF(OR(C2424="",I2424="",G2424=""),"",IFERROR(VLOOKUP(I2424,Setup!$A$9:$B$11,2,0),"???")&amp;"-"&amp;G2424&amp;"-"&amp;TEXT(COUNTIFS(I$5:I2424,I2424,G$5:G2424,G2424),"0000"))</f>
        <v/>
      </c>
      <c r="C2424" s="26"/>
      <c r="D2424" s="26"/>
      <c r="E2424" s="27"/>
      <c r="F2424" s="27"/>
      <c r="G2424" s="31" t="str">
        <f aca="false">IF(F2424="","",IF(F2424&lt;=5,"A",IF(F2424&lt;=8,"B",IF(F2424&lt;=10,"C","D"))))</f>
        <v/>
      </c>
      <c r="H2424" s="28"/>
      <c r="I2424" s="27"/>
      <c r="J2424" s="26"/>
      <c r="K2424" s="27"/>
      <c r="L2424" s="27"/>
      <c r="M2424" s="27"/>
      <c r="N2424" s="27"/>
      <c r="O2424" s="31" t="str">
        <f aca="false">IF(G2424="","",VLOOKUP(G2424,Setup!$A$14:$C$17,3,0))</f>
        <v/>
      </c>
      <c r="P2424" s="27"/>
      <c r="Q2424" s="33" t="str">
        <f aca="false">IF(OR(P2424="",M2424&lt;&gt;"Paid",O2424=""),"",P2424/O2424)</f>
        <v/>
      </c>
      <c r="R2424" s="34" t="str">
        <f aca="false">IF(Q2424="","",Q2424+N(H2424)*0.000000001)</f>
        <v/>
      </c>
      <c r="S2424" s="32" t="str">
        <f aca="false">IF(R2424="","",SUMPRODUCT((I$5:I$4004=I2424)*ISNUMBER(R$5:R$4004)*(R$5:R$4004&gt;R2424))+1)</f>
        <v/>
      </c>
      <c r="T2424" s="32" t="str">
        <f aca="false">IF(S2424="","",IF(S2424&lt;=Setup!$B$5,"🏆 WINNER",""))</f>
        <v/>
      </c>
      <c r="U2424" s="31" t="str">
        <f aca="false">IF(S2424="","",I2424&amp;"|"&amp;S2424)</f>
        <v/>
      </c>
    </row>
    <row r="2425" customFormat="false" ht="15" hidden="false" customHeight="false" outlineLevel="0" collapsed="false">
      <c r="A2425" s="24" t="n">
        <v>2421</v>
      </c>
      <c r="B2425" s="25" t="str">
        <f aca="false">IF(OR(C2425="",I2425="",G2425=""),"",IFERROR(VLOOKUP(I2425,Setup!$A$9:$B$11,2,0),"???")&amp;"-"&amp;G2425&amp;"-"&amp;TEXT(COUNTIFS(I$5:I2425,I2425,G$5:G2425,G2425),"0000"))</f>
        <v/>
      </c>
      <c r="C2425" s="26"/>
      <c r="D2425" s="26"/>
      <c r="E2425" s="27"/>
      <c r="F2425" s="27"/>
      <c r="G2425" s="24" t="str">
        <f aca="false">IF(F2425="","",IF(F2425&lt;=5,"A",IF(F2425&lt;=8,"B",IF(F2425&lt;=10,"C","D"))))</f>
        <v/>
      </c>
      <c r="H2425" s="28"/>
      <c r="I2425" s="27"/>
      <c r="J2425" s="26"/>
      <c r="K2425" s="27"/>
      <c r="L2425" s="27"/>
      <c r="M2425" s="27"/>
      <c r="N2425" s="27"/>
      <c r="O2425" s="24" t="str">
        <f aca="false">IF(G2425="","",VLOOKUP(G2425,Setup!$A$14:$C$17,3,0))</f>
        <v/>
      </c>
      <c r="P2425" s="27"/>
      <c r="Q2425" s="29" t="str">
        <f aca="false">IF(OR(P2425="",M2425&lt;&gt;"Paid",O2425=""),"",P2425/O2425)</f>
        <v/>
      </c>
      <c r="R2425" s="30" t="str">
        <f aca="false">IF(Q2425="","",Q2425+N(H2425)*0.000000001)</f>
        <v/>
      </c>
      <c r="S2425" s="25" t="str">
        <f aca="false">IF(R2425="","",SUMPRODUCT((I$5:I$4004=I2425)*ISNUMBER(R$5:R$4004)*(R$5:R$4004&gt;R2425))+1)</f>
        <v/>
      </c>
      <c r="T2425" s="25" t="str">
        <f aca="false">IF(S2425="","",IF(S2425&lt;=Setup!$B$5,"🏆 WINNER",""))</f>
        <v/>
      </c>
      <c r="U2425" s="24" t="str">
        <f aca="false">IF(S2425="","",I2425&amp;"|"&amp;S2425)</f>
        <v/>
      </c>
    </row>
    <row r="2426" customFormat="false" ht="15" hidden="false" customHeight="false" outlineLevel="0" collapsed="false">
      <c r="A2426" s="31" t="n">
        <v>2422</v>
      </c>
      <c r="B2426" s="32" t="str">
        <f aca="false">IF(OR(C2426="",I2426="",G2426=""),"",IFERROR(VLOOKUP(I2426,Setup!$A$9:$B$11,2,0),"???")&amp;"-"&amp;G2426&amp;"-"&amp;TEXT(COUNTIFS(I$5:I2426,I2426,G$5:G2426,G2426),"0000"))</f>
        <v/>
      </c>
      <c r="C2426" s="26"/>
      <c r="D2426" s="26"/>
      <c r="E2426" s="27"/>
      <c r="F2426" s="27"/>
      <c r="G2426" s="31" t="str">
        <f aca="false">IF(F2426="","",IF(F2426&lt;=5,"A",IF(F2426&lt;=8,"B",IF(F2426&lt;=10,"C","D"))))</f>
        <v/>
      </c>
      <c r="H2426" s="28"/>
      <c r="I2426" s="27"/>
      <c r="J2426" s="26"/>
      <c r="K2426" s="27"/>
      <c r="L2426" s="27"/>
      <c r="M2426" s="27"/>
      <c r="N2426" s="27"/>
      <c r="O2426" s="31" t="str">
        <f aca="false">IF(G2426="","",VLOOKUP(G2426,Setup!$A$14:$C$17,3,0))</f>
        <v/>
      </c>
      <c r="P2426" s="27"/>
      <c r="Q2426" s="33" t="str">
        <f aca="false">IF(OR(P2426="",M2426&lt;&gt;"Paid",O2426=""),"",P2426/O2426)</f>
        <v/>
      </c>
      <c r="R2426" s="34" t="str">
        <f aca="false">IF(Q2426="","",Q2426+N(H2426)*0.000000001)</f>
        <v/>
      </c>
      <c r="S2426" s="32" t="str">
        <f aca="false">IF(R2426="","",SUMPRODUCT((I$5:I$4004=I2426)*ISNUMBER(R$5:R$4004)*(R$5:R$4004&gt;R2426))+1)</f>
        <v/>
      </c>
      <c r="T2426" s="32" t="str">
        <f aca="false">IF(S2426="","",IF(S2426&lt;=Setup!$B$5,"🏆 WINNER",""))</f>
        <v/>
      </c>
      <c r="U2426" s="31" t="str">
        <f aca="false">IF(S2426="","",I2426&amp;"|"&amp;S2426)</f>
        <v/>
      </c>
    </row>
    <row r="2427" customFormat="false" ht="15" hidden="false" customHeight="false" outlineLevel="0" collapsed="false">
      <c r="A2427" s="24" t="n">
        <v>2423</v>
      </c>
      <c r="B2427" s="25" t="str">
        <f aca="false">IF(OR(C2427="",I2427="",G2427=""),"",IFERROR(VLOOKUP(I2427,Setup!$A$9:$B$11,2,0),"???")&amp;"-"&amp;G2427&amp;"-"&amp;TEXT(COUNTIFS(I$5:I2427,I2427,G$5:G2427,G2427),"0000"))</f>
        <v/>
      </c>
      <c r="C2427" s="26"/>
      <c r="D2427" s="26"/>
      <c r="E2427" s="27"/>
      <c r="F2427" s="27"/>
      <c r="G2427" s="24" t="str">
        <f aca="false">IF(F2427="","",IF(F2427&lt;=5,"A",IF(F2427&lt;=8,"B",IF(F2427&lt;=10,"C","D"))))</f>
        <v/>
      </c>
      <c r="H2427" s="28"/>
      <c r="I2427" s="27"/>
      <c r="J2427" s="26"/>
      <c r="K2427" s="27"/>
      <c r="L2427" s="27"/>
      <c r="M2427" s="27"/>
      <c r="N2427" s="27"/>
      <c r="O2427" s="24" t="str">
        <f aca="false">IF(G2427="","",VLOOKUP(G2427,Setup!$A$14:$C$17,3,0))</f>
        <v/>
      </c>
      <c r="P2427" s="27"/>
      <c r="Q2427" s="29" t="str">
        <f aca="false">IF(OR(P2427="",M2427&lt;&gt;"Paid",O2427=""),"",P2427/O2427)</f>
        <v/>
      </c>
      <c r="R2427" s="30" t="str">
        <f aca="false">IF(Q2427="","",Q2427+N(H2427)*0.000000001)</f>
        <v/>
      </c>
      <c r="S2427" s="25" t="str">
        <f aca="false">IF(R2427="","",SUMPRODUCT((I$5:I$4004=I2427)*ISNUMBER(R$5:R$4004)*(R$5:R$4004&gt;R2427))+1)</f>
        <v/>
      </c>
      <c r="T2427" s="25" t="str">
        <f aca="false">IF(S2427="","",IF(S2427&lt;=Setup!$B$5,"🏆 WINNER",""))</f>
        <v/>
      </c>
      <c r="U2427" s="24" t="str">
        <f aca="false">IF(S2427="","",I2427&amp;"|"&amp;S2427)</f>
        <v/>
      </c>
    </row>
    <row r="2428" customFormat="false" ht="15" hidden="false" customHeight="false" outlineLevel="0" collapsed="false">
      <c r="A2428" s="31" t="n">
        <v>2424</v>
      </c>
      <c r="B2428" s="32" t="str">
        <f aca="false">IF(OR(C2428="",I2428="",G2428=""),"",IFERROR(VLOOKUP(I2428,Setup!$A$9:$B$11,2,0),"???")&amp;"-"&amp;G2428&amp;"-"&amp;TEXT(COUNTIFS(I$5:I2428,I2428,G$5:G2428,G2428),"0000"))</f>
        <v/>
      </c>
      <c r="C2428" s="26"/>
      <c r="D2428" s="26"/>
      <c r="E2428" s="27"/>
      <c r="F2428" s="27"/>
      <c r="G2428" s="31" t="str">
        <f aca="false">IF(F2428="","",IF(F2428&lt;=5,"A",IF(F2428&lt;=8,"B",IF(F2428&lt;=10,"C","D"))))</f>
        <v/>
      </c>
      <c r="H2428" s="28"/>
      <c r="I2428" s="27"/>
      <c r="J2428" s="26"/>
      <c r="K2428" s="27"/>
      <c r="L2428" s="27"/>
      <c r="M2428" s="27"/>
      <c r="N2428" s="27"/>
      <c r="O2428" s="31" t="str">
        <f aca="false">IF(G2428="","",VLOOKUP(G2428,Setup!$A$14:$C$17,3,0))</f>
        <v/>
      </c>
      <c r="P2428" s="27"/>
      <c r="Q2428" s="33" t="str">
        <f aca="false">IF(OR(P2428="",M2428&lt;&gt;"Paid",O2428=""),"",P2428/O2428)</f>
        <v/>
      </c>
      <c r="R2428" s="34" t="str">
        <f aca="false">IF(Q2428="","",Q2428+N(H2428)*0.000000001)</f>
        <v/>
      </c>
      <c r="S2428" s="32" t="str">
        <f aca="false">IF(R2428="","",SUMPRODUCT((I$5:I$4004=I2428)*ISNUMBER(R$5:R$4004)*(R$5:R$4004&gt;R2428))+1)</f>
        <v/>
      </c>
      <c r="T2428" s="32" t="str">
        <f aca="false">IF(S2428="","",IF(S2428&lt;=Setup!$B$5,"🏆 WINNER",""))</f>
        <v/>
      </c>
      <c r="U2428" s="31" t="str">
        <f aca="false">IF(S2428="","",I2428&amp;"|"&amp;S2428)</f>
        <v/>
      </c>
    </row>
    <row r="2429" customFormat="false" ht="15" hidden="false" customHeight="false" outlineLevel="0" collapsed="false">
      <c r="A2429" s="24" t="n">
        <v>2425</v>
      </c>
      <c r="B2429" s="25" t="str">
        <f aca="false">IF(OR(C2429="",I2429="",G2429=""),"",IFERROR(VLOOKUP(I2429,Setup!$A$9:$B$11,2,0),"???")&amp;"-"&amp;G2429&amp;"-"&amp;TEXT(COUNTIFS(I$5:I2429,I2429,G$5:G2429,G2429),"0000"))</f>
        <v/>
      </c>
      <c r="C2429" s="26"/>
      <c r="D2429" s="26"/>
      <c r="E2429" s="27"/>
      <c r="F2429" s="27"/>
      <c r="G2429" s="24" t="str">
        <f aca="false">IF(F2429="","",IF(F2429&lt;=5,"A",IF(F2429&lt;=8,"B",IF(F2429&lt;=10,"C","D"))))</f>
        <v/>
      </c>
      <c r="H2429" s="28"/>
      <c r="I2429" s="27"/>
      <c r="J2429" s="26"/>
      <c r="K2429" s="27"/>
      <c r="L2429" s="27"/>
      <c r="M2429" s="27"/>
      <c r="N2429" s="27"/>
      <c r="O2429" s="24" t="str">
        <f aca="false">IF(G2429="","",VLOOKUP(G2429,Setup!$A$14:$C$17,3,0))</f>
        <v/>
      </c>
      <c r="P2429" s="27"/>
      <c r="Q2429" s="29" t="str">
        <f aca="false">IF(OR(P2429="",M2429&lt;&gt;"Paid",O2429=""),"",P2429/O2429)</f>
        <v/>
      </c>
      <c r="R2429" s="30" t="str">
        <f aca="false">IF(Q2429="","",Q2429+N(H2429)*0.000000001)</f>
        <v/>
      </c>
      <c r="S2429" s="25" t="str">
        <f aca="false">IF(R2429="","",SUMPRODUCT((I$5:I$4004=I2429)*ISNUMBER(R$5:R$4004)*(R$5:R$4004&gt;R2429))+1)</f>
        <v/>
      </c>
      <c r="T2429" s="25" t="str">
        <f aca="false">IF(S2429="","",IF(S2429&lt;=Setup!$B$5,"🏆 WINNER",""))</f>
        <v/>
      </c>
      <c r="U2429" s="24" t="str">
        <f aca="false">IF(S2429="","",I2429&amp;"|"&amp;S2429)</f>
        <v/>
      </c>
    </row>
    <row r="2430" customFormat="false" ht="15" hidden="false" customHeight="false" outlineLevel="0" collapsed="false">
      <c r="A2430" s="31" t="n">
        <v>2426</v>
      </c>
      <c r="B2430" s="32" t="str">
        <f aca="false">IF(OR(C2430="",I2430="",G2430=""),"",IFERROR(VLOOKUP(I2430,Setup!$A$9:$B$11,2,0),"???")&amp;"-"&amp;G2430&amp;"-"&amp;TEXT(COUNTIFS(I$5:I2430,I2430,G$5:G2430,G2430),"0000"))</f>
        <v/>
      </c>
      <c r="C2430" s="26"/>
      <c r="D2430" s="26"/>
      <c r="E2430" s="27"/>
      <c r="F2430" s="27"/>
      <c r="G2430" s="31" t="str">
        <f aca="false">IF(F2430="","",IF(F2430&lt;=5,"A",IF(F2430&lt;=8,"B",IF(F2430&lt;=10,"C","D"))))</f>
        <v/>
      </c>
      <c r="H2430" s="28"/>
      <c r="I2430" s="27"/>
      <c r="J2430" s="26"/>
      <c r="K2430" s="27"/>
      <c r="L2430" s="27"/>
      <c r="M2430" s="27"/>
      <c r="N2430" s="27"/>
      <c r="O2430" s="31" t="str">
        <f aca="false">IF(G2430="","",VLOOKUP(G2430,Setup!$A$14:$C$17,3,0))</f>
        <v/>
      </c>
      <c r="P2430" s="27"/>
      <c r="Q2430" s="33" t="str">
        <f aca="false">IF(OR(P2430="",M2430&lt;&gt;"Paid",O2430=""),"",P2430/O2430)</f>
        <v/>
      </c>
      <c r="R2430" s="34" t="str">
        <f aca="false">IF(Q2430="","",Q2430+N(H2430)*0.000000001)</f>
        <v/>
      </c>
      <c r="S2430" s="32" t="str">
        <f aca="false">IF(R2430="","",SUMPRODUCT((I$5:I$4004=I2430)*ISNUMBER(R$5:R$4004)*(R$5:R$4004&gt;R2430))+1)</f>
        <v/>
      </c>
      <c r="T2430" s="32" t="str">
        <f aca="false">IF(S2430="","",IF(S2430&lt;=Setup!$B$5,"🏆 WINNER",""))</f>
        <v/>
      </c>
      <c r="U2430" s="31" t="str">
        <f aca="false">IF(S2430="","",I2430&amp;"|"&amp;S2430)</f>
        <v/>
      </c>
    </row>
    <row r="2431" customFormat="false" ht="15" hidden="false" customHeight="false" outlineLevel="0" collapsed="false">
      <c r="A2431" s="24" t="n">
        <v>2427</v>
      </c>
      <c r="B2431" s="25" t="str">
        <f aca="false">IF(OR(C2431="",I2431="",G2431=""),"",IFERROR(VLOOKUP(I2431,Setup!$A$9:$B$11,2,0),"???")&amp;"-"&amp;G2431&amp;"-"&amp;TEXT(COUNTIFS(I$5:I2431,I2431,G$5:G2431,G2431),"0000"))</f>
        <v/>
      </c>
      <c r="C2431" s="26"/>
      <c r="D2431" s="26"/>
      <c r="E2431" s="27"/>
      <c r="F2431" s="27"/>
      <c r="G2431" s="24" t="str">
        <f aca="false">IF(F2431="","",IF(F2431&lt;=5,"A",IF(F2431&lt;=8,"B",IF(F2431&lt;=10,"C","D"))))</f>
        <v/>
      </c>
      <c r="H2431" s="28"/>
      <c r="I2431" s="27"/>
      <c r="J2431" s="26"/>
      <c r="K2431" s="27"/>
      <c r="L2431" s="27"/>
      <c r="M2431" s="27"/>
      <c r="N2431" s="27"/>
      <c r="O2431" s="24" t="str">
        <f aca="false">IF(G2431="","",VLOOKUP(G2431,Setup!$A$14:$C$17,3,0))</f>
        <v/>
      </c>
      <c r="P2431" s="27"/>
      <c r="Q2431" s="29" t="str">
        <f aca="false">IF(OR(P2431="",M2431&lt;&gt;"Paid",O2431=""),"",P2431/O2431)</f>
        <v/>
      </c>
      <c r="R2431" s="30" t="str">
        <f aca="false">IF(Q2431="","",Q2431+N(H2431)*0.000000001)</f>
        <v/>
      </c>
      <c r="S2431" s="25" t="str">
        <f aca="false">IF(R2431="","",SUMPRODUCT((I$5:I$4004=I2431)*ISNUMBER(R$5:R$4004)*(R$5:R$4004&gt;R2431))+1)</f>
        <v/>
      </c>
      <c r="T2431" s="25" t="str">
        <f aca="false">IF(S2431="","",IF(S2431&lt;=Setup!$B$5,"🏆 WINNER",""))</f>
        <v/>
      </c>
      <c r="U2431" s="24" t="str">
        <f aca="false">IF(S2431="","",I2431&amp;"|"&amp;S2431)</f>
        <v/>
      </c>
    </row>
    <row r="2432" customFormat="false" ht="15" hidden="false" customHeight="false" outlineLevel="0" collapsed="false">
      <c r="A2432" s="31" t="n">
        <v>2428</v>
      </c>
      <c r="B2432" s="32" t="str">
        <f aca="false">IF(OR(C2432="",I2432="",G2432=""),"",IFERROR(VLOOKUP(I2432,Setup!$A$9:$B$11,2,0),"???")&amp;"-"&amp;G2432&amp;"-"&amp;TEXT(COUNTIFS(I$5:I2432,I2432,G$5:G2432,G2432),"0000"))</f>
        <v/>
      </c>
      <c r="C2432" s="26"/>
      <c r="D2432" s="26"/>
      <c r="E2432" s="27"/>
      <c r="F2432" s="27"/>
      <c r="G2432" s="31" t="str">
        <f aca="false">IF(F2432="","",IF(F2432&lt;=5,"A",IF(F2432&lt;=8,"B",IF(F2432&lt;=10,"C","D"))))</f>
        <v/>
      </c>
      <c r="H2432" s="28"/>
      <c r="I2432" s="27"/>
      <c r="J2432" s="26"/>
      <c r="K2432" s="27"/>
      <c r="L2432" s="27"/>
      <c r="M2432" s="27"/>
      <c r="N2432" s="27"/>
      <c r="O2432" s="31" t="str">
        <f aca="false">IF(G2432="","",VLOOKUP(G2432,Setup!$A$14:$C$17,3,0))</f>
        <v/>
      </c>
      <c r="P2432" s="27"/>
      <c r="Q2432" s="33" t="str">
        <f aca="false">IF(OR(P2432="",M2432&lt;&gt;"Paid",O2432=""),"",P2432/O2432)</f>
        <v/>
      </c>
      <c r="R2432" s="34" t="str">
        <f aca="false">IF(Q2432="","",Q2432+N(H2432)*0.000000001)</f>
        <v/>
      </c>
      <c r="S2432" s="32" t="str">
        <f aca="false">IF(R2432="","",SUMPRODUCT((I$5:I$4004=I2432)*ISNUMBER(R$5:R$4004)*(R$5:R$4004&gt;R2432))+1)</f>
        <v/>
      </c>
      <c r="T2432" s="32" t="str">
        <f aca="false">IF(S2432="","",IF(S2432&lt;=Setup!$B$5,"🏆 WINNER",""))</f>
        <v/>
      </c>
      <c r="U2432" s="31" t="str">
        <f aca="false">IF(S2432="","",I2432&amp;"|"&amp;S2432)</f>
        <v/>
      </c>
    </row>
    <row r="2433" customFormat="false" ht="15" hidden="false" customHeight="false" outlineLevel="0" collapsed="false">
      <c r="A2433" s="24" t="n">
        <v>2429</v>
      </c>
      <c r="B2433" s="25" t="str">
        <f aca="false">IF(OR(C2433="",I2433="",G2433=""),"",IFERROR(VLOOKUP(I2433,Setup!$A$9:$B$11,2,0),"???")&amp;"-"&amp;G2433&amp;"-"&amp;TEXT(COUNTIFS(I$5:I2433,I2433,G$5:G2433,G2433),"0000"))</f>
        <v/>
      </c>
      <c r="C2433" s="26"/>
      <c r="D2433" s="26"/>
      <c r="E2433" s="27"/>
      <c r="F2433" s="27"/>
      <c r="G2433" s="24" t="str">
        <f aca="false">IF(F2433="","",IF(F2433&lt;=5,"A",IF(F2433&lt;=8,"B",IF(F2433&lt;=10,"C","D"))))</f>
        <v/>
      </c>
      <c r="H2433" s="28"/>
      <c r="I2433" s="27"/>
      <c r="J2433" s="26"/>
      <c r="K2433" s="27"/>
      <c r="L2433" s="27"/>
      <c r="M2433" s="27"/>
      <c r="N2433" s="27"/>
      <c r="O2433" s="24" t="str">
        <f aca="false">IF(G2433="","",VLOOKUP(G2433,Setup!$A$14:$C$17,3,0))</f>
        <v/>
      </c>
      <c r="P2433" s="27"/>
      <c r="Q2433" s="29" t="str">
        <f aca="false">IF(OR(P2433="",M2433&lt;&gt;"Paid",O2433=""),"",P2433/O2433)</f>
        <v/>
      </c>
      <c r="R2433" s="30" t="str">
        <f aca="false">IF(Q2433="","",Q2433+N(H2433)*0.000000001)</f>
        <v/>
      </c>
      <c r="S2433" s="25" t="str">
        <f aca="false">IF(R2433="","",SUMPRODUCT((I$5:I$4004=I2433)*ISNUMBER(R$5:R$4004)*(R$5:R$4004&gt;R2433))+1)</f>
        <v/>
      </c>
      <c r="T2433" s="25" t="str">
        <f aca="false">IF(S2433="","",IF(S2433&lt;=Setup!$B$5,"🏆 WINNER",""))</f>
        <v/>
      </c>
      <c r="U2433" s="24" t="str">
        <f aca="false">IF(S2433="","",I2433&amp;"|"&amp;S2433)</f>
        <v/>
      </c>
    </row>
    <row r="2434" customFormat="false" ht="15" hidden="false" customHeight="false" outlineLevel="0" collapsed="false">
      <c r="A2434" s="31" t="n">
        <v>2430</v>
      </c>
      <c r="B2434" s="32" t="str">
        <f aca="false">IF(OR(C2434="",I2434="",G2434=""),"",IFERROR(VLOOKUP(I2434,Setup!$A$9:$B$11,2,0),"???")&amp;"-"&amp;G2434&amp;"-"&amp;TEXT(COUNTIFS(I$5:I2434,I2434,G$5:G2434,G2434),"0000"))</f>
        <v/>
      </c>
      <c r="C2434" s="26"/>
      <c r="D2434" s="26"/>
      <c r="E2434" s="27"/>
      <c r="F2434" s="27"/>
      <c r="G2434" s="31" t="str">
        <f aca="false">IF(F2434="","",IF(F2434&lt;=5,"A",IF(F2434&lt;=8,"B",IF(F2434&lt;=10,"C","D"))))</f>
        <v/>
      </c>
      <c r="H2434" s="28"/>
      <c r="I2434" s="27"/>
      <c r="J2434" s="26"/>
      <c r="K2434" s="27"/>
      <c r="L2434" s="27"/>
      <c r="M2434" s="27"/>
      <c r="N2434" s="27"/>
      <c r="O2434" s="31" t="str">
        <f aca="false">IF(G2434="","",VLOOKUP(G2434,Setup!$A$14:$C$17,3,0))</f>
        <v/>
      </c>
      <c r="P2434" s="27"/>
      <c r="Q2434" s="33" t="str">
        <f aca="false">IF(OR(P2434="",M2434&lt;&gt;"Paid",O2434=""),"",P2434/O2434)</f>
        <v/>
      </c>
      <c r="R2434" s="34" t="str">
        <f aca="false">IF(Q2434="","",Q2434+N(H2434)*0.000000001)</f>
        <v/>
      </c>
      <c r="S2434" s="32" t="str">
        <f aca="false">IF(R2434="","",SUMPRODUCT((I$5:I$4004=I2434)*ISNUMBER(R$5:R$4004)*(R$5:R$4004&gt;R2434))+1)</f>
        <v/>
      </c>
      <c r="T2434" s="32" t="str">
        <f aca="false">IF(S2434="","",IF(S2434&lt;=Setup!$B$5,"🏆 WINNER",""))</f>
        <v/>
      </c>
      <c r="U2434" s="31" t="str">
        <f aca="false">IF(S2434="","",I2434&amp;"|"&amp;S2434)</f>
        <v/>
      </c>
    </row>
    <row r="2435" customFormat="false" ht="15" hidden="false" customHeight="false" outlineLevel="0" collapsed="false">
      <c r="A2435" s="24" t="n">
        <v>2431</v>
      </c>
      <c r="B2435" s="25" t="str">
        <f aca="false">IF(OR(C2435="",I2435="",G2435=""),"",IFERROR(VLOOKUP(I2435,Setup!$A$9:$B$11,2,0),"???")&amp;"-"&amp;G2435&amp;"-"&amp;TEXT(COUNTIFS(I$5:I2435,I2435,G$5:G2435,G2435),"0000"))</f>
        <v/>
      </c>
      <c r="C2435" s="26"/>
      <c r="D2435" s="26"/>
      <c r="E2435" s="27"/>
      <c r="F2435" s="27"/>
      <c r="G2435" s="24" t="str">
        <f aca="false">IF(F2435="","",IF(F2435&lt;=5,"A",IF(F2435&lt;=8,"B",IF(F2435&lt;=10,"C","D"))))</f>
        <v/>
      </c>
      <c r="H2435" s="28"/>
      <c r="I2435" s="27"/>
      <c r="J2435" s="26"/>
      <c r="K2435" s="27"/>
      <c r="L2435" s="27"/>
      <c r="M2435" s="27"/>
      <c r="N2435" s="27"/>
      <c r="O2435" s="24" t="str">
        <f aca="false">IF(G2435="","",VLOOKUP(G2435,Setup!$A$14:$C$17,3,0))</f>
        <v/>
      </c>
      <c r="P2435" s="27"/>
      <c r="Q2435" s="29" t="str">
        <f aca="false">IF(OR(P2435="",M2435&lt;&gt;"Paid",O2435=""),"",P2435/O2435)</f>
        <v/>
      </c>
      <c r="R2435" s="30" t="str">
        <f aca="false">IF(Q2435="","",Q2435+N(H2435)*0.000000001)</f>
        <v/>
      </c>
      <c r="S2435" s="25" t="str">
        <f aca="false">IF(R2435="","",SUMPRODUCT((I$5:I$4004=I2435)*ISNUMBER(R$5:R$4004)*(R$5:R$4004&gt;R2435))+1)</f>
        <v/>
      </c>
      <c r="T2435" s="25" t="str">
        <f aca="false">IF(S2435="","",IF(S2435&lt;=Setup!$B$5,"🏆 WINNER",""))</f>
        <v/>
      </c>
      <c r="U2435" s="24" t="str">
        <f aca="false">IF(S2435="","",I2435&amp;"|"&amp;S2435)</f>
        <v/>
      </c>
    </row>
    <row r="2436" customFormat="false" ht="15" hidden="false" customHeight="false" outlineLevel="0" collapsed="false">
      <c r="A2436" s="31" t="n">
        <v>2432</v>
      </c>
      <c r="B2436" s="32" t="str">
        <f aca="false">IF(OR(C2436="",I2436="",G2436=""),"",IFERROR(VLOOKUP(I2436,Setup!$A$9:$B$11,2,0),"???")&amp;"-"&amp;G2436&amp;"-"&amp;TEXT(COUNTIFS(I$5:I2436,I2436,G$5:G2436,G2436),"0000"))</f>
        <v/>
      </c>
      <c r="C2436" s="26"/>
      <c r="D2436" s="26"/>
      <c r="E2436" s="27"/>
      <c r="F2436" s="27"/>
      <c r="G2436" s="31" t="str">
        <f aca="false">IF(F2436="","",IF(F2436&lt;=5,"A",IF(F2436&lt;=8,"B",IF(F2436&lt;=10,"C","D"))))</f>
        <v/>
      </c>
      <c r="H2436" s="28"/>
      <c r="I2436" s="27"/>
      <c r="J2436" s="26"/>
      <c r="K2436" s="27"/>
      <c r="L2436" s="27"/>
      <c r="M2436" s="27"/>
      <c r="N2436" s="27"/>
      <c r="O2436" s="31" t="str">
        <f aca="false">IF(G2436="","",VLOOKUP(G2436,Setup!$A$14:$C$17,3,0))</f>
        <v/>
      </c>
      <c r="P2436" s="27"/>
      <c r="Q2436" s="33" t="str">
        <f aca="false">IF(OR(P2436="",M2436&lt;&gt;"Paid",O2436=""),"",P2436/O2436)</f>
        <v/>
      </c>
      <c r="R2436" s="34" t="str">
        <f aca="false">IF(Q2436="","",Q2436+N(H2436)*0.000000001)</f>
        <v/>
      </c>
      <c r="S2436" s="32" t="str">
        <f aca="false">IF(R2436="","",SUMPRODUCT((I$5:I$4004=I2436)*ISNUMBER(R$5:R$4004)*(R$5:R$4004&gt;R2436))+1)</f>
        <v/>
      </c>
      <c r="T2436" s="32" t="str">
        <f aca="false">IF(S2436="","",IF(S2436&lt;=Setup!$B$5,"🏆 WINNER",""))</f>
        <v/>
      </c>
      <c r="U2436" s="31" t="str">
        <f aca="false">IF(S2436="","",I2436&amp;"|"&amp;S2436)</f>
        <v/>
      </c>
    </row>
    <row r="2437" customFormat="false" ht="15" hidden="false" customHeight="false" outlineLevel="0" collapsed="false">
      <c r="A2437" s="24" t="n">
        <v>2433</v>
      </c>
      <c r="B2437" s="25" t="str">
        <f aca="false">IF(OR(C2437="",I2437="",G2437=""),"",IFERROR(VLOOKUP(I2437,Setup!$A$9:$B$11,2,0),"???")&amp;"-"&amp;G2437&amp;"-"&amp;TEXT(COUNTIFS(I$5:I2437,I2437,G$5:G2437,G2437),"0000"))</f>
        <v/>
      </c>
      <c r="C2437" s="26"/>
      <c r="D2437" s="26"/>
      <c r="E2437" s="27"/>
      <c r="F2437" s="27"/>
      <c r="G2437" s="24" t="str">
        <f aca="false">IF(F2437="","",IF(F2437&lt;=5,"A",IF(F2437&lt;=8,"B",IF(F2437&lt;=10,"C","D"))))</f>
        <v/>
      </c>
      <c r="H2437" s="28"/>
      <c r="I2437" s="27"/>
      <c r="J2437" s="26"/>
      <c r="K2437" s="27"/>
      <c r="L2437" s="27"/>
      <c r="M2437" s="27"/>
      <c r="N2437" s="27"/>
      <c r="O2437" s="24" t="str">
        <f aca="false">IF(G2437="","",VLOOKUP(G2437,Setup!$A$14:$C$17,3,0))</f>
        <v/>
      </c>
      <c r="P2437" s="27"/>
      <c r="Q2437" s="29" t="str">
        <f aca="false">IF(OR(P2437="",M2437&lt;&gt;"Paid",O2437=""),"",P2437/O2437)</f>
        <v/>
      </c>
      <c r="R2437" s="30" t="str">
        <f aca="false">IF(Q2437="","",Q2437+N(H2437)*0.000000001)</f>
        <v/>
      </c>
      <c r="S2437" s="25" t="str">
        <f aca="false">IF(R2437="","",SUMPRODUCT((I$5:I$4004=I2437)*ISNUMBER(R$5:R$4004)*(R$5:R$4004&gt;R2437))+1)</f>
        <v/>
      </c>
      <c r="T2437" s="25" t="str">
        <f aca="false">IF(S2437="","",IF(S2437&lt;=Setup!$B$5,"🏆 WINNER",""))</f>
        <v/>
      </c>
      <c r="U2437" s="24" t="str">
        <f aca="false">IF(S2437="","",I2437&amp;"|"&amp;S2437)</f>
        <v/>
      </c>
    </row>
    <row r="2438" customFormat="false" ht="15" hidden="false" customHeight="false" outlineLevel="0" collapsed="false">
      <c r="A2438" s="31" t="n">
        <v>2434</v>
      </c>
      <c r="B2438" s="32" t="str">
        <f aca="false">IF(OR(C2438="",I2438="",G2438=""),"",IFERROR(VLOOKUP(I2438,Setup!$A$9:$B$11,2,0),"???")&amp;"-"&amp;G2438&amp;"-"&amp;TEXT(COUNTIFS(I$5:I2438,I2438,G$5:G2438,G2438),"0000"))</f>
        <v/>
      </c>
      <c r="C2438" s="26"/>
      <c r="D2438" s="26"/>
      <c r="E2438" s="27"/>
      <c r="F2438" s="27"/>
      <c r="G2438" s="31" t="str">
        <f aca="false">IF(F2438="","",IF(F2438&lt;=5,"A",IF(F2438&lt;=8,"B",IF(F2438&lt;=10,"C","D"))))</f>
        <v/>
      </c>
      <c r="H2438" s="28"/>
      <c r="I2438" s="27"/>
      <c r="J2438" s="26"/>
      <c r="K2438" s="27"/>
      <c r="L2438" s="27"/>
      <c r="M2438" s="27"/>
      <c r="N2438" s="27"/>
      <c r="O2438" s="31" t="str">
        <f aca="false">IF(G2438="","",VLOOKUP(G2438,Setup!$A$14:$C$17,3,0))</f>
        <v/>
      </c>
      <c r="P2438" s="27"/>
      <c r="Q2438" s="33" t="str">
        <f aca="false">IF(OR(P2438="",M2438&lt;&gt;"Paid",O2438=""),"",P2438/O2438)</f>
        <v/>
      </c>
      <c r="R2438" s="34" t="str">
        <f aca="false">IF(Q2438="","",Q2438+N(H2438)*0.000000001)</f>
        <v/>
      </c>
      <c r="S2438" s="32" t="str">
        <f aca="false">IF(R2438="","",SUMPRODUCT((I$5:I$4004=I2438)*ISNUMBER(R$5:R$4004)*(R$5:R$4004&gt;R2438))+1)</f>
        <v/>
      </c>
      <c r="T2438" s="32" t="str">
        <f aca="false">IF(S2438="","",IF(S2438&lt;=Setup!$B$5,"🏆 WINNER",""))</f>
        <v/>
      </c>
      <c r="U2438" s="31" t="str">
        <f aca="false">IF(S2438="","",I2438&amp;"|"&amp;S2438)</f>
        <v/>
      </c>
    </row>
    <row r="2439" customFormat="false" ht="15" hidden="false" customHeight="false" outlineLevel="0" collapsed="false">
      <c r="A2439" s="24" t="n">
        <v>2435</v>
      </c>
      <c r="B2439" s="25" t="str">
        <f aca="false">IF(OR(C2439="",I2439="",G2439=""),"",IFERROR(VLOOKUP(I2439,Setup!$A$9:$B$11,2,0),"???")&amp;"-"&amp;G2439&amp;"-"&amp;TEXT(COUNTIFS(I$5:I2439,I2439,G$5:G2439,G2439),"0000"))</f>
        <v/>
      </c>
      <c r="C2439" s="26"/>
      <c r="D2439" s="26"/>
      <c r="E2439" s="27"/>
      <c r="F2439" s="27"/>
      <c r="G2439" s="24" t="str">
        <f aca="false">IF(F2439="","",IF(F2439&lt;=5,"A",IF(F2439&lt;=8,"B",IF(F2439&lt;=10,"C","D"))))</f>
        <v/>
      </c>
      <c r="H2439" s="28"/>
      <c r="I2439" s="27"/>
      <c r="J2439" s="26"/>
      <c r="K2439" s="27"/>
      <c r="L2439" s="27"/>
      <c r="M2439" s="27"/>
      <c r="N2439" s="27"/>
      <c r="O2439" s="24" t="str">
        <f aca="false">IF(G2439="","",VLOOKUP(G2439,Setup!$A$14:$C$17,3,0))</f>
        <v/>
      </c>
      <c r="P2439" s="27"/>
      <c r="Q2439" s="29" t="str">
        <f aca="false">IF(OR(P2439="",M2439&lt;&gt;"Paid",O2439=""),"",P2439/O2439)</f>
        <v/>
      </c>
      <c r="R2439" s="30" t="str">
        <f aca="false">IF(Q2439="","",Q2439+N(H2439)*0.000000001)</f>
        <v/>
      </c>
      <c r="S2439" s="25" t="str">
        <f aca="false">IF(R2439="","",SUMPRODUCT((I$5:I$4004=I2439)*ISNUMBER(R$5:R$4004)*(R$5:R$4004&gt;R2439))+1)</f>
        <v/>
      </c>
      <c r="T2439" s="25" t="str">
        <f aca="false">IF(S2439="","",IF(S2439&lt;=Setup!$B$5,"🏆 WINNER",""))</f>
        <v/>
      </c>
      <c r="U2439" s="24" t="str">
        <f aca="false">IF(S2439="","",I2439&amp;"|"&amp;S2439)</f>
        <v/>
      </c>
    </row>
    <row r="2440" customFormat="false" ht="15" hidden="false" customHeight="false" outlineLevel="0" collapsed="false">
      <c r="A2440" s="31" t="n">
        <v>2436</v>
      </c>
      <c r="B2440" s="32" t="str">
        <f aca="false">IF(OR(C2440="",I2440="",G2440=""),"",IFERROR(VLOOKUP(I2440,Setup!$A$9:$B$11,2,0),"???")&amp;"-"&amp;G2440&amp;"-"&amp;TEXT(COUNTIFS(I$5:I2440,I2440,G$5:G2440,G2440),"0000"))</f>
        <v/>
      </c>
      <c r="C2440" s="26"/>
      <c r="D2440" s="26"/>
      <c r="E2440" s="27"/>
      <c r="F2440" s="27"/>
      <c r="G2440" s="31" t="str">
        <f aca="false">IF(F2440="","",IF(F2440&lt;=5,"A",IF(F2440&lt;=8,"B",IF(F2440&lt;=10,"C","D"))))</f>
        <v/>
      </c>
      <c r="H2440" s="28"/>
      <c r="I2440" s="27"/>
      <c r="J2440" s="26"/>
      <c r="K2440" s="27"/>
      <c r="L2440" s="27"/>
      <c r="M2440" s="27"/>
      <c r="N2440" s="27"/>
      <c r="O2440" s="31" t="str">
        <f aca="false">IF(G2440="","",VLOOKUP(G2440,Setup!$A$14:$C$17,3,0))</f>
        <v/>
      </c>
      <c r="P2440" s="27"/>
      <c r="Q2440" s="33" t="str">
        <f aca="false">IF(OR(P2440="",M2440&lt;&gt;"Paid",O2440=""),"",P2440/O2440)</f>
        <v/>
      </c>
      <c r="R2440" s="34" t="str">
        <f aca="false">IF(Q2440="","",Q2440+N(H2440)*0.000000001)</f>
        <v/>
      </c>
      <c r="S2440" s="32" t="str">
        <f aca="false">IF(R2440="","",SUMPRODUCT((I$5:I$4004=I2440)*ISNUMBER(R$5:R$4004)*(R$5:R$4004&gt;R2440))+1)</f>
        <v/>
      </c>
      <c r="T2440" s="32" t="str">
        <f aca="false">IF(S2440="","",IF(S2440&lt;=Setup!$B$5,"🏆 WINNER",""))</f>
        <v/>
      </c>
      <c r="U2440" s="31" t="str">
        <f aca="false">IF(S2440="","",I2440&amp;"|"&amp;S2440)</f>
        <v/>
      </c>
    </row>
    <row r="2441" customFormat="false" ht="15" hidden="false" customHeight="false" outlineLevel="0" collapsed="false">
      <c r="A2441" s="24" t="n">
        <v>2437</v>
      </c>
      <c r="B2441" s="25" t="str">
        <f aca="false">IF(OR(C2441="",I2441="",G2441=""),"",IFERROR(VLOOKUP(I2441,Setup!$A$9:$B$11,2,0),"???")&amp;"-"&amp;G2441&amp;"-"&amp;TEXT(COUNTIFS(I$5:I2441,I2441,G$5:G2441,G2441),"0000"))</f>
        <v/>
      </c>
      <c r="C2441" s="26"/>
      <c r="D2441" s="26"/>
      <c r="E2441" s="27"/>
      <c r="F2441" s="27"/>
      <c r="G2441" s="24" t="str">
        <f aca="false">IF(F2441="","",IF(F2441&lt;=5,"A",IF(F2441&lt;=8,"B",IF(F2441&lt;=10,"C","D"))))</f>
        <v/>
      </c>
      <c r="H2441" s="28"/>
      <c r="I2441" s="27"/>
      <c r="J2441" s="26"/>
      <c r="K2441" s="27"/>
      <c r="L2441" s="27"/>
      <c r="M2441" s="27"/>
      <c r="N2441" s="27"/>
      <c r="O2441" s="24" t="str">
        <f aca="false">IF(G2441="","",VLOOKUP(G2441,Setup!$A$14:$C$17,3,0))</f>
        <v/>
      </c>
      <c r="P2441" s="27"/>
      <c r="Q2441" s="29" t="str">
        <f aca="false">IF(OR(P2441="",M2441&lt;&gt;"Paid",O2441=""),"",P2441/O2441)</f>
        <v/>
      </c>
      <c r="R2441" s="30" t="str">
        <f aca="false">IF(Q2441="","",Q2441+N(H2441)*0.000000001)</f>
        <v/>
      </c>
      <c r="S2441" s="25" t="str">
        <f aca="false">IF(R2441="","",SUMPRODUCT((I$5:I$4004=I2441)*ISNUMBER(R$5:R$4004)*(R$5:R$4004&gt;R2441))+1)</f>
        <v/>
      </c>
      <c r="T2441" s="25" t="str">
        <f aca="false">IF(S2441="","",IF(S2441&lt;=Setup!$B$5,"🏆 WINNER",""))</f>
        <v/>
      </c>
      <c r="U2441" s="24" t="str">
        <f aca="false">IF(S2441="","",I2441&amp;"|"&amp;S2441)</f>
        <v/>
      </c>
    </row>
    <row r="2442" customFormat="false" ht="15" hidden="false" customHeight="false" outlineLevel="0" collapsed="false">
      <c r="A2442" s="31" t="n">
        <v>2438</v>
      </c>
      <c r="B2442" s="32" t="str">
        <f aca="false">IF(OR(C2442="",I2442="",G2442=""),"",IFERROR(VLOOKUP(I2442,Setup!$A$9:$B$11,2,0),"???")&amp;"-"&amp;G2442&amp;"-"&amp;TEXT(COUNTIFS(I$5:I2442,I2442,G$5:G2442,G2442),"0000"))</f>
        <v/>
      </c>
      <c r="C2442" s="26"/>
      <c r="D2442" s="26"/>
      <c r="E2442" s="27"/>
      <c r="F2442" s="27"/>
      <c r="G2442" s="31" t="str">
        <f aca="false">IF(F2442="","",IF(F2442&lt;=5,"A",IF(F2442&lt;=8,"B",IF(F2442&lt;=10,"C","D"))))</f>
        <v/>
      </c>
      <c r="H2442" s="28"/>
      <c r="I2442" s="27"/>
      <c r="J2442" s="26"/>
      <c r="K2442" s="27"/>
      <c r="L2442" s="27"/>
      <c r="M2442" s="27"/>
      <c r="N2442" s="27"/>
      <c r="O2442" s="31" t="str">
        <f aca="false">IF(G2442="","",VLOOKUP(G2442,Setup!$A$14:$C$17,3,0))</f>
        <v/>
      </c>
      <c r="P2442" s="27"/>
      <c r="Q2442" s="33" t="str">
        <f aca="false">IF(OR(P2442="",M2442&lt;&gt;"Paid",O2442=""),"",P2442/O2442)</f>
        <v/>
      </c>
      <c r="R2442" s="34" t="str">
        <f aca="false">IF(Q2442="","",Q2442+N(H2442)*0.000000001)</f>
        <v/>
      </c>
      <c r="S2442" s="32" t="str">
        <f aca="false">IF(R2442="","",SUMPRODUCT((I$5:I$4004=I2442)*ISNUMBER(R$5:R$4004)*(R$5:R$4004&gt;R2442))+1)</f>
        <v/>
      </c>
      <c r="T2442" s="32" t="str">
        <f aca="false">IF(S2442="","",IF(S2442&lt;=Setup!$B$5,"🏆 WINNER",""))</f>
        <v/>
      </c>
      <c r="U2442" s="31" t="str">
        <f aca="false">IF(S2442="","",I2442&amp;"|"&amp;S2442)</f>
        <v/>
      </c>
    </row>
    <row r="2443" customFormat="false" ht="15" hidden="false" customHeight="false" outlineLevel="0" collapsed="false">
      <c r="A2443" s="24" t="n">
        <v>2439</v>
      </c>
      <c r="B2443" s="25" t="str">
        <f aca="false">IF(OR(C2443="",I2443="",G2443=""),"",IFERROR(VLOOKUP(I2443,Setup!$A$9:$B$11,2,0),"???")&amp;"-"&amp;G2443&amp;"-"&amp;TEXT(COUNTIFS(I$5:I2443,I2443,G$5:G2443,G2443),"0000"))</f>
        <v/>
      </c>
      <c r="C2443" s="26"/>
      <c r="D2443" s="26"/>
      <c r="E2443" s="27"/>
      <c r="F2443" s="27"/>
      <c r="G2443" s="24" t="str">
        <f aca="false">IF(F2443="","",IF(F2443&lt;=5,"A",IF(F2443&lt;=8,"B",IF(F2443&lt;=10,"C","D"))))</f>
        <v/>
      </c>
      <c r="H2443" s="28"/>
      <c r="I2443" s="27"/>
      <c r="J2443" s="26"/>
      <c r="K2443" s="27"/>
      <c r="L2443" s="27"/>
      <c r="M2443" s="27"/>
      <c r="N2443" s="27"/>
      <c r="O2443" s="24" t="str">
        <f aca="false">IF(G2443="","",VLOOKUP(G2443,Setup!$A$14:$C$17,3,0))</f>
        <v/>
      </c>
      <c r="P2443" s="27"/>
      <c r="Q2443" s="29" t="str">
        <f aca="false">IF(OR(P2443="",M2443&lt;&gt;"Paid",O2443=""),"",P2443/O2443)</f>
        <v/>
      </c>
      <c r="R2443" s="30" t="str">
        <f aca="false">IF(Q2443="","",Q2443+N(H2443)*0.000000001)</f>
        <v/>
      </c>
      <c r="S2443" s="25" t="str">
        <f aca="false">IF(R2443="","",SUMPRODUCT((I$5:I$4004=I2443)*ISNUMBER(R$5:R$4004)*(R$5:R$4004&gt;R2443))+1)</f>
        <v/>
      </c>
      <c r="T2443" s="25" t="str">
        <f aca="false">IF(S2443="","",IF(S2443&lt;=Setup!$B$5,"🏆 WINNER",""))</f>
        <v/>
      </c>
      <c r="U2443" s="24" t="str">
        <f aca="false">IF(S2443="","",I2443&amp;"|"&amp;S2443)</f>
        <v/>
      </c>
    </row>
    <row r="2444" customFormat="false" ht="15" hidden="false" customHeight="false" outlineLevel="0" collapsed="false">
      <c r="A2444" s="31" t="n">
        <v>2440</v>
      </c>
      <c r="B2444" s="32" t="str">
        <f aca="false">IF(OR(C2444="",I2444="",G2444=""),"",IFERROR(VLOOKUP(I2444,Setup!$A$9:$B$11,2,0),"???")&amp;"-"&amp;G2444&amp;"-"&amp;TEXT(COUNTIFS(I$5:I2444,I2444,G$5:G2444,G2444),"0000"))</f>
        <v/>
      </c>
      <c r="C2444" s="26"/>
      <c r="D2444" s="26"/>
      <c r="E2444" s="27"/>
      <c r="F2444" s="27"/>
      <c r="G2444" s="31" t="str">
        <f aca="false">IF(F2444="","",IF(F2444&lt;=5,"A",IF(F2444&lt;=8,"B",IF(F2444&lt;=10,"C","D"))))</f>
        <v/>
      </c>
      <c r="H2444" s="28"/>
      <c r="I2444" s="27"/>
      <c r="J2444" s="26"/>
      <c r="K2444" s="27"/>
      <c r="L2444" s="27"/>
      <c r="M2444" s="27"/>
      <c r="N2444" s="27"/>
      <c r="O2444" s="31" t="str">
        <f aca="false">IF(G2444="","",VLOOKUP(G2444,Setup!$A$14:$C$17,3,0))</f>
        <v/>
      </c>
      <c r="P2444" s="27"/>
      <c r="Q2444" s="33" t="str">
        <f aca="false">IF(OR(P2444="",M2444&lt;&gt;"Paid",O2444=""),"",P2444/O2444)</f>
        <v/>
      </c>
      <c r="R2444" s="34" t="str">
        <f aca="false">IF(Q2444="","",Q2444+N(H2444)*0.000000001)</f>
        <v/>
      </c>
      <c r="S2444" s="32" t="str">
        <f aca="false">IF(R2444="","",SUMPRODUCT((I$5:I$4004=I2444)*ISNUMBER(R$5:R$4004)*(R$5:R$4004&gt;R2444))+1)</f>
        <v/>
      </c>
      <c r="T2444" s="32" t="str">
        <f aca="false">IF(S2444="","",IF(S2444&lt;=Setup!$B$5,"🏆 WINNER",""))</f>
        <v/>
      </c>
      <c r="U2444" s="31" t="str">
        <f aca="false">IF(S2444="","",I2444&amp;"|"&amp;S2444)</f>
        <v/>
      </c>
    </row>
    <row r="2445" customFormat="false" ht="15" hidden="false" customHeight="false" outlineLevel="0" collapsed="false">
      <c r="A2445" s="24" t="n">
        <v>2441</v>
      </c>
      <c r="B2445" s="25" t="str">
        <f aca="false">IF(OR(C2445="",I2445="",G2445=""),"",IFERROR(VLOOKUP(I2445,Setup!$A$9:$B$11,2,0),"???")&amp;"-"&amp;G2445&amp;"-"&amp;TEXT(COUNTIFS(I$5:I2445,I2445,G$5:G2445,G2445),"0000"))</f>
        <v/>
      </c>
      <c r="C2445" s="26"/>
      <c r="D2445" s="26"/>
      <c r="E2445" s="27"/>
      <c r="F2445" s="27"/>
      <c r="G2445" s="24" t="str">
        <f aca="false">IF(F2445="","",IF(F2445&lt;=5,"A",IF(F2445&lt;=8,"B",IF(F2445&lt;=10,"C","D"))))</f>
        <v/>
      </c>
      <c r="H2445" s="28"/>
      <c r="I2445" s="27"/>
      <c r="J2445" s="26"/>
      <c r="K2445" s="27"/>
      <c r="L2445" s="27"/>
      <c r="M2445" s="27"/>
      <c r="N2445" s="27"/>
      <c r="O2445" s="24" t="str">
        <f aca="false">IF(G2445="","",VLOOKUP(G2445,Setup!$A$14:$C$17,3,0))</f>
        <v/>
      </c>
      <c r="P2445" s="27"/>
      <c r="Q2445" s="29" t="str">
        <f aca="false">IF(OR(P2445="",M2445&lt;&gt;"Paid",O2445=""),"",P2445/O2445)</f>
        <v/>
      </c>
      <c r="R2445" s="30" t="str">
        <f aca="false">IF(Q2445="","",Q2445+N(H2445)*0.000000001)</f>
        <v/>
      </c>
      <c r="S2445" s="25" t="str">
        <f aca="false">IF(R2445="","",SUMPRODUCT((I$5:I$4004=I2445)*ISNUMBER(R$5:R$4004)*(R$5:R$4004&gt;R2445))+1)</f>
        <v/>
      </c>
      <c r="T2445" s="25" t="str">
        <f aca="false">IF(S2445="","",IF(S2445&lt;=Setup!$B$5,"🏆 WINNER",""))</f>
        <v/>
      </c>
      <c r="U2445" s="24" t="str">
        <f aca="false">IF(S2445="","",I2445&amp;"|"&amp;S2445)</f>
        <v/>
      </c>
    </row>
    <row r="2446" customFormat="false" ht="15" hidden="false" customHeight="false" outlineLevel="0" collapsed="false">
      <c r="A2446" s="31" t="n">
        <v>2442</v>
      </c>
      <c r="B2446" s="32" t="str">
        <f aca="false">IF(OR(C2446="",I2446="",G2446=""),"",IFERROR(VLOOKUP(I2446,Setup!$A$9:$B$11,2,0),"???")&amp;"-"&amp;G2446&amp;"-"&amp;TEXT(COUNTIFS(I$5:I2446,I2446,G$5:G2446,G2446),"0000"))</f>
        <v/>
      </c>
      <c r="C2446" s="26"/>
      <c r="D2446" s="26"/>
      <c r="E2446" s="27"/>
      <c r="F2446" s="27"/>
      <c r="G2446" s="31" t="str">
        <f aca="false">IF(F2446="","",IF(F2446&lt;=5,"A",IF(F2446&lt;=8,"B",IF(F2446&lt;=10,"C","D"))))</f>
        <v/>
      </c>
      <c r="H2446" s="28"/>
      <c r="I2446" s="27"/>
      <c r="J2446" s="26"/>
      <c r="K2446" s="27"/>
      <c r="L2446" s="27"/>
      <c r="M2446" s="27"/>
      <c r="N2446" s="27"/>
      <c r="O2446" s="31" t="str">
        <f aca="false">IF(G2446="","",VLOOKUP(G2446,Setup!$A$14:$C$17,3,0))</f>
        <v/>
      </c>
      <c r="P2446" s="27"/>
      <c r="Q2446" s="33" t="str">
        <f aca="false">IF(OR(P2446="",M2446&lt;&gt;"Paid",O2446=""),"",P2446/O2446)</f>
        <v/>
      </c>
      <c r="R2446" s="34" t="str">
        <f aca="false">IF(Q2446="","",Q2446+N(H2446)*0.000000001)</f>
        <v/>
      </c>
      <c r="S2446" s="32" t="str">
        <f aca="false">IF(R2446="","",SUMPRODUCT((I$5:I$4004=I2446)*ISNUMBER(R$5:R$4004)*(R$5:R$4004&gt;R2446))+1)</f>
        <v/>
      </c>
      <c r="T2446" s="32" t="str">
        <f aca="false">IF(S2446="","",IF(S2446&lt;=Setup!$B$5,"🏆 WINNER",""))</f>
        <v/>
      </c>
      <c r="U2446" s="31" t="str">
        <f aca="false">IF(S2446="","",I2446&amp;"|"&amp;S2446)</f>
        <v/>
      </c>
    </row>
    <row r="2447" customFormat="false" ht="15" hidden="false" customHeight="false" outlineLevel="0" collapsed="false">
      <c r="A2447" s="24" t="n">
        <v>2443</v>
      </c>
      <c r="B2447" s="25" t="str">
        <f aca="false">IF(OR(C2447="",I2447="",G2447=""),"",IFERROR(VLOOKUP(I2447,Setup!$A$9:$B$11,2,0),"???")&amp;"-"&amp;G2447&amp;"-"&amp;TEXT(COUNTIFS(I$5:I2447,I2447,G$5:G2447,G2447),"0000"))</f>
        <v/>
      </c>
      <c r="C2447" s="26"/>
      <c r="D2447" s="26"/>
      <c r="E2447" s="27"/>
      <c r="F2447" s="27"/>
      <c r="G2447" s="24" t="str">
        <f aca="false">IF(F2447="","",IF(F2447&lt;=5,"A",IF(F2447&lt;=8,"B",IF(F2447&lt;=10,"C","D"))))</f>
        <v/>
      </c>
      <c r="H2447" s="28"/>
      <c r="I2447" s="27"/>
      <c r="J2447" s="26"/>
      <c r="K2447" s="27"/>
      <c r="L2447" s="27"/>
      <c r="M2447" s="27"/>
      <c r="N2447" s="27"/>
      <c r="O2447" s="24" t="str">
        <f aca="false">IF(G2447="","",VLOOKUP(G2447,Setup!$A$14:$C$17,3,0))</f>
        <v/>
      </c>
      <c r="P2447" s="27"/>
      <c r="Q2447" s="29" t="str">
        <f aca="false">IF(OR(P2447="",M2447&lt;&gt;"Paid",O2447=""),"",P2447/O2447)</f>
        <v/>
      </c>
      <c r="R2447" s="30" t="str">
        <f aca="false">IF(Q2447="","",Q2447+N(H2447)*0.000000001)</f>
        <v/>
      </c>
      <c r="S2447" s="25" t="str">
        <f aca="false">IF(R2447="","",SUMPRODUCT((I$5:I$4004=I2447)*ISNUMBER(R$5:R$4004)*(R$5:R$4004&gt;R2447))+1)</f>
        <v/>
      </c>
      <c r="T2447" s="25" t="str">
        <f aca="false">IF(S2447="","",IF(S2447&lt;=Setup!$B$5,"🏆 WINNER",""))</f>
        <v/>
      </c>
      <c r="U2447" s="24" t="str">
        <f aca="false">IF(S2447="","",I2447&amp;"|"&amp;S2447)</f>
        <v/>
      </c>
    </row>
    <row r="2448" customFormat="false" ht="15" hidden="false" customHeight="false" outlineLevel="0" collapsed="false">
      <c r="A2448" s="31" t="n">
        <v>2444</v>
      </c>
      <c r="B2448" s="32" t="str">
        <f aca="false">IF(OR(C2448="",I2448="",G2448=""),"",IFERROR(VLOOKUP(I2448,Setup!$A$9:$B$11,2,0),"???")&amp;"-"&amp;G2448&amp;"-"&amp;TEXT(COUNTIFS(I$5:I2448,I2448,G$5:G2448,G2448),"0000"))</f>
        <v/>
      </c>
      <c r="C2448" s="26"/>
      <c r="D2448" s="26"/>
      <c r="E2448" s="27"/>
      <c r="F2448" s="27"/>
      <c r="G2448" s="31" t="str">
        <f aca="false">IF(F2448="","",IF(F2448&lt;=5,"A",IF(F2448&lt;=8,"B",IF(F2448&lt;=10,"C","D"))))</f>
        <v/>
      </c>
      <c r="H2448" s="28"/>
      <c r="I2448" s="27"/>
      <c r="J2448" s="26"/>
      <c r="K2448" s="27"/>
      <c r="L2448" s="27"/>
      <c r="M2448" s="27"/>
      <c r="N2448" s="27"/>
      <c r="O2448" s="31" t="str">
        <f aca="false">IF(G2448="","",VLOOKUP(G2448,Setup!$A$14:$C$17,3,0))</f>
        <v/>
      </c>
      <c r="P2448" s="27"/>
      <c r="Q2448" s="33" t="str">
        <f aca="false">IF(OR(P2448="",M2448&lt;&gt;"Paid",O2448=""),"",P2448/O2448)</f>
        <v/>
      </c>
      <c r="R2448" s="34" t="str">
        <f aca="false">IF(Q2448="","",Q2448+N(H2448)*0.000000001)</f>
        <v/>
      </c>
      <c r="S2448" s="32" t="str">
        <f aca="false">IF(R2448="","",SUMPRODUCT((I$5:I$4004=I2448)*ISNUMBER(R$5:R$4004)*(R$5:R$4004&gt;R2448))+1)</f>
        <v/>
      </c>
      <c r="T2448" s="32" t="str">
        <f aca="false">IF(S2448="","",IF(S2448&lt;=Setup!$B$5,"🏆 WINNER",""))</f>
        <v/>
      </c>
      <c r="U2448" s="31" t="str">
        <f aca="false">IF(S2448="","",I2448&amp;"|"&amp;S2448)</f>
        <v/>
      </c>
    </row>
    <row r="2449" customFormat="false" ht="15" hidden="false" customHeight="false" outlineLevel="0" collapsed="false">
      <c r="A2449" s="24" t="n">
        <v>2445</v>
      </c>
      <c r="B2449" s="25" t="str">
        <f aca="false">IF(OR(C2449="",I2449="",G2449=""),"",IFERROR(VLOOKUP(I2449,Setup!$A$9:$B$11,2,0),"???")&amp;"-"&amp;G2449&amp;"-"&amp;TEXT(COUNTIFS(I$5:I2449,I2449,G$5:G2449,G2449),"0000"))</f>
        <v/>
      </c>
      <c r="C2449" s="26"/>
      <c r="D2449" s="26"/>
      <c r="E2449" s="27"/>
      <c r="F2449" s="27"/>
      <c r="G2449" s="24" t="str">
        <f aca="false">IF(F2449="","",IF(F2449&lt;=5,"A",IF(F2449&lt;=8,"B",IF(F2449&lt;=10,"C","D"))))</f>
        <v/>
      </c>
      <c r="H2449" s="28"/>
      <c r="I2449" s="27"/>
      <c r="J2449" s="26"/>
      <c r="K2449" s="27"/>
      <c r="L2449" s="27"/>
      <c r="M2449" s="27"/>
      <c r="N2449" s="27"/>
      <c r="O2449" s="24" t="str">
        <f aca="false">IF(G2449="","",VLOOKUP(G2449,Setup!$A$14:$C$17,3,0))</f>
        <v/>
      </c>
      <c r="P2449" s="27"/>
      <c r="Q2449" s="29" t="str">
        <f aca="false">IF(OR(P2449="",M2449&lt;&gt;"Paid",O2449=""),"",P2449/O2449)</f>
        <v/>
      </c>
      <c r="R2449" s="30" t="str">
        <f aca="false">IF(Q2449="","",Q2449+N(H2449)*0.000000001)</f>
        <v/>
      </c>
      <c r="S2449" s="25" t="str">
        <f aca="false">IF(R2449="","",SUMPRODUCT((I$5:I$4004=I2449)*ISNUMBER(R$5:R$4004)*(R$5:R$4004&gt;R2449))+1)</f>
        <v/>
      </c>
      <c r="T2449" s="25" t="str">
        <f aca="false">IF(S2449="","",IF(S2449&lt;=Setup!$B$5,"🏆 WINNER",""))</f>
        <v/>
      </c>
      <c r="U2449" s="24" t="str">
        <f aca="false">IF(S2449="","",I2449&amp;"|"&amp;S2449)</f>
        <v/>
      </c>
    </row>
    <row r="2450" customFormat="false" ht="15" hidden="false" customHeight="false" outlineLevel="0" collapsed="false">
      <c r="A2450" s="31" t="n">
        <v>2446</v>
      </c>
      <c r="B2450" s="32" t="str">
        <f aca="false">IF(OR(C2450="",I2450="",G2450=""),"",IFERROR(VLOOKUP(I2450,Setup!$A$9:$B$11,2,0),"???")&amp;"-"&amp;G2450&amp;"-"&amp;TEXT(COUNTIFS(I$5:I2450,I2450,G$5:G2450,G2450),"0000"))</f>
        <v/>
      </c>
      <c r="C2450" s="26"/>
      <c r="D2450" s="26"/>
      <c r="E2450" s="27"/>
      <c r="F2450" s="27"/>
      <c r="G2450" s="31" t="str">
        <f aca="false">IF(F2450="","",IF(F2450&lt;=5,"A",IF(F2450&lt;=8,"B",IF(F2450&lt;=10,"C","D"))))</f>
        <v/>
      </c>
      <c r="H2450" s="28"/>
      <c r="I2450" s="27"/>
      <c r="J2450" s="26"/>
      <c r="K2450" s="27"/>
      <c r="L2450" s="27"/>
      <c r="M2450" s="27"/>
      <c r="N2450" s="27"/>
      <c r="O2450" s="31" t="str">
        <f aca="false">IF(G2450="","",VLOOKUP(G2450,Setup!$A$14:$C$17,3,0))</f>
        <v/>
      </c>
      <c r="P2450" s="27"/>
      <c r="Q2450" s="33" t="str">
        <f aca="false">IF(OR(P2450="",M2450&lt;&gt;"Paid",O2450=""),"",P2450/O2450)</f>
        <v/>
      </c>
      <c r="R2450" s="34" t="str">
        <f aca="false">IF(Q2450="","",Q2450+N(H2450)*0.000000001)</f>
        <v/>
      </c>
      <c r="S2450" s="32" t="str">
        <f aca="false">IF(R2450="","",SUMPRODUCT((I$5:I$4004=I2450)*ISNUMBER(R$5:R$4004)*(R$5:R$4004&gt;R2450))+1)</f>
        <v/>
      </c>
      <c r="T2450" s="32" t="str">
        <f aca="false">IF(S2450="","",IF(S2450&lt;=Setup!$B$5,"🏆 WINNER",""))</f>
        <v/>
      </c>
      <c r="U2450" s="31" t="str">
        <f aca="false">IF(S2450="","",I2450&amp;"|"&amp;S2450)</f>
        <v/>
      </c>
    </row>
    <row r="2451" customFormat="false" ht="15" hidden="false" customHeight="false" outlineLevel="0" collapsed="false">
      <c r="A2451" s="24" t="n">
        <v>2447</v>
      </c>
      <c r="B2451" s="25" t="str">
        <f aca="false">IF(OR(C2451="",I2451="",G2451=""),"",IFERROR(VLOOKUP(I2451,Setup!$A$9:$B$11,2,0),"???")&amp;"-"&amp;G2451&amp;"-"&amp;TEXT(COUNTIFS(I$5:I2451,I2451,G$5:G2451,G2451),"0000"))</f>
        <v/>
      </c>
      <c r="C2451" s="26"/>
      <c r="D2451" s="26"/>
      <c r="E2451" s="27"/>
      <c r="F2451" s="27"/>
      <c r="G2451" s="24" t="str">
        <f aca="false">IF(F2451="","",IF(F2451&lt;=5,"A",IF(F2451&lt;=8,"B",IF(F2451&lt;=10,"C","D"))))</f>
        <v/>
      </c>
      <c r="H2451" s="28"/>
      <c r="I2451" s="27"/>
      <c r="J2451" s="26"/>
      <c r="K2451" s="27"/>
      <c r="L2451" s="27"/>
      <c r="M2451" s="27"/>
      <c r="N2451" s="27"/>
      <c r="O2451" s="24" t="str">
        <f aca="false">IF(G2451="","",VLOOKUP(G2451,Setup!$A$14:$C$17,3,0))</f>
        <v/>
      </c>
      <c r="P2451" s="27"/>
      <c r="Q2451" s="29" t="str">
        <f aca="false">IF(OR(P2451="",M2451&lt;&gt;"Paid",O2451=""),"",P2451/O2451)</f>
        <v/>
      </c>
      <c r="R2451" s="30" t="str">
        <f aca="false">IF(Q2451="","",Q2451+N(H2451)*0.000000001)</f>
        <v/>
      </c>
      <c r="S2451" s="25" t="str">
        <f aca="false">IF(R2451="","",SUMPRODUCT((I$5:I$4004=I2451)*ISNUMBER(R$5:R$4004)*(R$5:R$4004&gt;R2451))+1)</f>
        <v/>
      </c>
      <c r="T2451" s="25" t="str">
        <f aca="false">IF(S2451="","",IF(S2451&lt;=Setup!$B$5,"🏆 WINNER",""))</f>
        <v/>
      </c>
      <c r="U2451" s="24" t="str">
        <f aca="false">IF(S2451="","",I2451&amp;"|"&amp;S2451)</f>
        <v/>
      </c>
    </row>
    <row r="2452" customFormat="false" ht="15" hidden="false" customHeight="false" outlineLevel="0" collapsed="false">
      <c r="A2452" s="31" t="n">
        <v>2448</v>
      </c>
      <c r="B2452" s="32" t="str">
        <f aca="false">IF(OR(C2452="",I2452="",G2452=""),"",IFERROR(VLOOKUP(I2452,Setup!$A$9:$B$11,2,0),"???")&amp;"-"&amp;G2452&amp;"-"&amp;TEXT(COUNTIFS(I$5:I2452,I2452,G$5:G2452,G2452),"0000"))</f>
        <v/>
      </c>
      <c r="C2452" s="26"/>
      <c r="D2452" s="26"/>
      <c r="E2452" s="27"/>
      <c r="F2452" s="27"/>
      <c r="G2452" s="31" t="str">
        <f aca="false">IF(F2452="","",IF(F2452&lt;=5,"A",IF(F2452&lt;=8,"B",IF(F2452&lt;=10,"C","D"))))</f>
        <v/>
      </c>
      <c r="H2452" s="28"/>
      <c r="I2452" s="27"/>
      <c r="J2452" s="26"/>
      <c r="K2452" s="27"/>
      <c r="L2452" s="27"/>
      <c r="M2452" s="27"/>
      <c r="N2452" s="27"/>
      <c r="O2452" s="31" t="str">
        <f aca="false">IF(G2452="","",VLOOKUP(G2452,Setup!$A$14:$C$17,3,0))</f>
        <v/>
      </c>
      <c r="P2452" s="27"/>
      <c r="Q2452" s="33" t="str">
        <f aca="false">IF(OR(P2452="",M2452&lt;&gt;"Paid",O2452=""),"",P2452/O2452)</f>
        <v/>
      </c>
      <c r="R2452" s="34" t="str">
        <f aca="false">IF(Q2452="","",Q2452+N(H2452)*0.000000001)</f>
        <v/>
      </c>
      <c r="S2452" s="32" t="str">
        <f aca="false">IF(R2452="","",SUMPRODUCT((I$5:I$4004=I2452)*ISNUMBER(R$5:R$4004)*(R$5:R$4004&gt;R2452))+1)</f>
        <v/>
      </c>
      <c r="T2452" s="32" t="str">
        <f aca="false">IF(S2452="","",IF(S2452&lt;=Setup!$B$5,"🏆 WINNER",""))</f>
        <v/>
      </c>
      <c r="U2452" s="31" t="str">
        <f aca="false">IF(S2452="","",I2452&amp;"|"&amp;S2452)</f>
        <v/>
      </c>
    </row>
    <row r="2453" customFormat="false" ht="15" hidden="false" customHeight="false" outlineLevel="0" collapsed="false">
      <c r="A2453" s="24" t="n">
        <v>2449</v>
      </c>
      <c r="B2453" s="25" t="str">
        <f aca="false">IF(OR(C2453="",I2453="",G2453=""),"",IFERROR(VLOOKUP(I2453,Setup!$A$9:$B$11,2,0),"???")&amp;"-"&amp;G2453&amp;"-"&amp;TEXT(COUNTIFS(I$5:I2453,I2453,G$5:G2453,G2453),"0000"))</f>
        <v/>
      </c>
      <c r="C2453" s="26"/>
      <c r="D2453" s="26"/>
      <c r="E2453" s="27"/>
      <c r="F2453" s="27"/>
      <c r="G2453" s="24" t="str">
        <f aca="false">IF(F2453="","",IF(F2453&lt;=5,"A",IF(F2453&lt;=8,"B",IF(F2453&lt;=10,"C","D"))))</f>
        <v/>
      </c>
      <c r="H2453" s="28"/>
      <c r="I2453" s="27"/>
      <c r="J2453" s="26"/>
      <c r="K2453" s="27"/>
      <c r="L2453" s="27"/>
      <c r="M2453" s="27"/>
      <c r="N2453" s="27"/>
      <c r="O2453" s="24" t="str">
        <f aca="false">IF(G2453="","",VLOOKUP(G2453,Setup!$A$14:$C$17,3,0))</f>
        <v/>
      </c>
      <c r="P2453" s="27"/>
      <c r="Q2453" s="29" t="str">
        <f aca="false">IF(OR(P2453="",M2453&lt;&gt;"Paid",O2453=""),"",P2453/O2453)</f>
        <v/>
      </c>
      <c r="R2453" s="30" t="str">
        <f aca="false">IF(Q2453="","",Q2453+N(H2453)*0.000000001)</f>
        <v/>
      </c>
      <c r="S2453" s="25" t="str">
        <f aca="false">IF(R2453="","",SUMPRODUCT((I$5:I$4004=I2453)*ISNUMBER(R$5:R$4004)*(R$5:R$4004&gt;R2453))+1)</f>
        <v/>
      </c>
      <c r="T2453" s="25" t="str">
        <f aca="false">IF(S2453="","",IF(S2453&lt;=Setup!$B$5,"🏆 WINNER",""))</f>
        <v/>
      </c>
      <c r="U2453" s="24" t="str">
        <f aca="false">IF(S2453="","",I2453&amp;"|"&amp;S2453)</f>
        <v/>
      </c>
    </row>
    <row r="2454" customFormat="false" ht="15" hidden="false" customHeight="false" outlineLevel="0" collapsed="false">
      <c r="A2454" s="31" t="n">
        <v>2450</v>
      </c>
      <c r="B2454" s="32" t="str">
        <f aca="false">IF(OR(C2454="",I2454="",G2454=""),"",IFERROR(VLOOKUP(I2454,Setup!$A$9:$B$11,2,0),"???")&amp;"-"&amp;G2454&amp;"-"&amp;TEXT(COUNTIFS(I$5:I2454,I2454,G$5:G2454,G2454),"0000"))</f>
        <v/>
      </c>
      <c r="C2454" s="26"/>
      <c r="D2454" s="26"/>
      <c r="E2454" s="27"/>
      <c r="F2454" s="27"/>
      <c r="G2454" s="31" t="str">
        <f aca="false">IF(F2454="","",IF(F2454&lt;=5,"A",IF(F2454&lt;=8,"B",IF(F2454&lt;=10,"C","D"))))</f>
        <v/>
      </c>
      <c r="H2454" s="28"/>
      <c r="I2454" s="27"/>
      <c r="J2454" s="26"/>
      <c r="K2454" s="27"/>
      <c r="L2454" s="27"/>
      <c r="M2454" s="27"/>
      <c r="N2454" s="27"/>
      <c r="O2454" s="31" t="str">
        <f aca="false">IF(G2454="","",VLOOKUP(G2454,Setup!$A$14:$C$17,3,0))</f>
        <v/>
      </c>
      <c r="P2454" s="27"/>
      <c r="Q2454" s="33" t="str">
        <f aca="false">IF(OR(P2454="",M2454&lt;&gt;"Paid",O2454=""),"",P2454/O2454)</f>
        <v/>
      </c>
      <c r="R2454" s="34" t="str">
        <f aca="false">IF(Q2454="","",Q2454+N(H2454)*0.000000001)</f>
        <v/>
      </c>
      <c r="S2454" s="32" t="str">
        <f aca="false">IF(R2454="","",SUMPRODUCT((I$5:I$4004=I2454)*ISNUMBER(R$5:R$4004)*(R$5:R$4004&gt;R2454))+1)</f>
        <v/>
      </c>
      <c r="T2454" s="32" t="str">
        <f aca="false">IF(S2454="","",IF(S2454&lt;=Setup!$B$5,"🏆 WINNER",""))</f>
        <v/>
      </c>
      <c r="U2454" s="31" t="str">
        <f aca="false">IF(S2454="","",I2454&amp;"|"&amp;S2454)</f>
        <v/>
      </c>
    </row>
    <row r="2455" customFormat="false" ht="15" hidden="false" customHeight="false" outlineLevel="0" collapsed="false">
      <c r="A2455" s="24" t="n">
        <v>2451</v>
      </c>
      <c r="B2455" s="25" t="str">
        <f aca="false">IF(OR(C2455="",I2455="",G2455=""),"",IFERROR(VLOOKUP(I2455,Setup!$A$9:$B$11,2,0),"???")&amp;"-"&amp;G2455&amp;"-"&amp;TEXT(COUNTIFS(I$5:I2455,I2455,G$5:G2455,G2455),"0000"))</f>
        <v/>
      </c>
      <c r="C2455" s="26"/>
      <c r="D2455" s="26"/>
      <c r="E2455" s="27"/>
      <c r="F2455" s="27"/>
      <c r="G2455" s="24" t="str">
        <f aca="false">IF(F2455="","",IF(F2455&lt;=5,"A",IF(F2455&lt;=8,"B",IF(F2455&lt;=10,"C","D"))))</f>
        <v/>
      </c>
      <c r="H2455" s="28"/>
      <c r="I2455" s="27"/>
      <c r="J2455" s="26"/>
      <c r="K2455" s="27"/>
      <c r="L2455" s="27"/>
      <c r="M2455" s="27"/>
      <c r="N2455" s="27"/>
      <c r="O2455" s="24" t="str">
        <f aca="false">IF(G2455="","",VLOOKUP(G2455,Setup!$A$14:$C$17,3,0))</f>
        <v/>
      </c>
      <c r="P2455" s="27"/>
      <c r="Q2455" s="29" t="str">
        <f aca="false">IF(OR(P2455="",M2455&lt;&gt;"Paid",O2455=""),"",P2455/O2455)</f>
        <v/>
      </c>
      <c r="R2455" s="30" t="str">
        <f aca="false">IF(Q2455="","",Q2455+N(H2455)*0.000000001)</f>
        <v/>
      </c>
      <c r="S2455" s="25" t="str">
        <f aca="false">IF(R2455="","",SUMPRODUCT((I$5:I$4004=I2455)*ISNUMBER(R$5:R$4004)*(R$5:R$4004&gt;R2455))+1)</f>
        <v/>
      </c>
      <c r="T2455" s="25" t="str">
        <f aca="false">IF(S2455="","",IF(S2455&lt;=Setup!$B$5,"🏆 WINNER",""))</f>
        <v/>
      </c>
      <c r="U2455" s="24" t="str">
        <f aca="false">IF(S2455="","",I2455&amp;"|"&amp;S2455)</f>
        <v/>
      </c>
    </row>
    <row r="2456" customFormat="false" ht="15" hidden="false" customHeight="false" outlineLevel="0" collapsed="false">
      <c r="A2456" s="31" t="n">
        <v>2452</v>
      </c>
      <c r="B2456" s="32" t="str">
        <f aca="false">IF(OR(C2456="",I2456="",G2456=""),"",IFERROR(VLOOKUP(I2456,Setup!$A$9:$B$11,2,0),"???")&amp;"-"&amp;G2456&amp;"-"&amp;TEXT(COUNTIFS(I$5:I2456,I2456,G$5:G2456,G2456),"0000"))</f>
        <v/>
      </c>
      <c r="C2456" s="26"/>
      <c r="D2456" s="26"/>
      <c r="E2456" s="27"/>
      <c r="F2456" s="27"/>
      <c r="G2456" s="31" t="str">
        <f aca="false">IF(F2456="","",IF(F2456&lt;=5,"A",IF(F2456&lt;=8,"B",IF(F2456&lt;=10,"C","D"))))</f>
        <v/>
      </c>
      <c r="H2456" s="28"/>
      <c r="I2456" s="27"/>
      <c r="J2456" s="26"/>
      <c r="K2456" s="27"/>
      <c r="L2456" s="27"/>
      <c r="M2456" s="27"/>
      <c r="N2456" s="27"/>
      <c r="O2456" s="31" t="str">
        <f aca="false">IF(G2456="","",VLOOKUP(G2456,Setup!$A$14:$C$17,3,0))</f>
        <v/>
      </c>
      <c r="P2456" s="27"/>
      <c r="Q2456" s="33" t="str">
        <f aca="false">IF(OR(P2456="",M2456&lt;&gt;"Paid",O2456=""),"",P2456/O2456)</f>
        <v/>
      </c>
      <c r="R2456" s="34" t="str">
        <f aca="false">IF(Q2456="","",Q2456+N(H2456)*0.000000001)</f>
        <v/>
      </c>
      <c r="S2456" s="32" t="str">
        <f aca="false">IF(R2456="","",SUMPRODUCT((I$5:I$4004=I2456)*ISNUMBER(R$5:R$4004)*(R$5:R$4004&gt;R2456))+1)</f>
        <v/>
      </c>
      <c r="T2456" s="32" t="str">
        <f aca="false">IF(S2456="","",IF(S2456&lt;=Setup!$B$5,"🏆 WINNER",""))</f>
        <v/>
      </c>
      <c r="U2456" s="31" t="str">
        <f aca="false">IF(S2456="","",I2456&amp;"|"&amp;S2456)</f>
        <v/>
      </c>
    </row>
    <row r="2457" customFormat="false" ht="15" hidden="false" customHeight="false" outlineLevel="0" collapsed="false">
      <c r="A2457" s="24" t="n">
        <v>2453</v>
      </c>
      <c r="B2457" s="25" t="str">
        <f aca="false">IF(OR(C2457="",I2457="",G2457=""),"",IFERROR(VLOOKUP(I2457,Setup!$A$9:$B$11,2,0),"???")&amp;"-"&amp;G2457&amp;"-"&amp;TEXT(COUNTIFS(I$5:I2457,I2457,G$5:G2457,G2457),"0000"))</f>
        <v/>
      </c>
      <c r="C2457" s="26"/>
      <c r="D2457" s="26"/>
      <c r="E2457" s="27"/>
      <c r="F2457" s="27"/>
      <c r="G2457" s="24" t="str">
        <f aca="false">IF(F2457="","",IF(F2457&lt;=5,"A",IF(F2457&lt;=8,"B",IF(F2457&lt;=10,"C","D"))))</f>
        <v/>
      </c>
      <c r="H2457" s="28"/>
      <c r="I2457" s="27"/>
      <c r="J2457" s="26"/>
      <c r="K2457" s="27"/>
      <c r="L2457" s="27"/>
      <c r="M2457" s="27"/>
      <c r="N2457" s="27"/>
      <c r="O2457" s="24" t="str">
        <f aca="false">IF(G2457="","",VLOOKUP(G2457,Setup!$A$14:$C$17,3,0))</f>
        <v/>
      </c>
      <c r="P2457" s="27"/>
      <c r="Q2457" s="29" t="str">
        <f aca="false">IF(OR(P2457="",M2457&lt;&gt;"Paid",O2457=""),"",P2457/O2457)</f>
        <v/>
      </c>
      <c r="R2457" s="30" t="str">
        <f aca="false">IF(Q2457="","",Q2457+N(H2457)*0.000000001)</f>
        <v/>
      </c>
      <c r="S2457" s="25" t="str">
        <f aca="false">IF(R2457="","",SUMPRODUCT((I$5:I$4004=I2457)*ISNUMBER(R$5:R$4004)*(R$5:R$4004&gt;R2457))+1)</f>
        <v/>
      </c>
      <c r="T2457" s="25" t="str">
        <f aca="false">IF(S2457="","",IF(S2457&lt;=Setup!$B$5,"🏆 WINNER",""))</f>
        <v/>
      </c>
      <c r="U2457" s="24" t="str">
        <f aca="false">IF(S2457="","",I2457&amp;"|"&amp;S2457)</f>
        <v/>
      </c>
    </row>
    <row r="2458" customFormat="false" ht="15" hidden="false" customHeight="false" outlineLevel="0" collapsed="false">
      <c r="A2458" s="31" t="n">
        <v>2454</v>
      </c>
      <c r="B2458" s="32" t="str">
        <f aca="false">IF(OR(C2458="",I2458="",G2458=""),"",IFERROR(VLOOKUP(I2458,Setup!$A$9:$B$11,2,0),"???")&amp;"-"&amp;G2458&amp;"-"&amp;TEXT(COUNTIFS(I$5:I2458,I2458,G$5:G2458,G2458),"0000"))</f>
        <v/>
      </c>
      <c r="C2458" s="26"/>
      <c r="D2458" s="26"/>
      <c r="E2458" s="27"/>
      <c r="F2458" s="27"/>
      <c r="G2458" s="31" t="str">
        <f aca="false">IF(F2458="","",IF(F2458&lt;=5,"A",IF(F2458&lt;=8,"B",IF(F2458&lt;=10,"C","D"))))</f>
        <v/>
      </c>
      <c r="H2458" s="28"/>
      <c r="I2458" s="27"/>
      <c r="J2458" s="26"/>
      <c r="K2458" s="27"/>
      <c r="L2458" s="27"/>
      <c r="M2458" s="27"/>
      <c r="N2458" s="27"/>
      <c r="O2458" s="31" t="str">
        <f aca="false">IF(G2458="","",VLOOKUP(G2458,Setup!$A$14:$C$17,3,0))</f>
        <v/>
      </c>
      <c r="P2458" s="27"/>
      <c r="Q2458" s="33" t="str">
        <f aca="false">IF(OR(P2458="",M2458&lt;&gt;"Paid",O2458=""),"",P2458/O2458)</f>
        <v/>
      </c>
      <c r="R2458" s="34" t="str">
        <f aca="false">IF(Q2458="","",Q2458+N(H2458)*0.000000001)</f>
        <v/>
      </c>
      <c r="S2458" s="32" t="str">
        <f aca="false">IF(R2458="","",SUMPRODUCT((I$5:I$4004=I2458)*ISNUMBER(R$5:R$4004)*(R$5:R$4004&gt;R2458))+1)</f>
        <v/>
      </c>
      <c r="T2458" s="32" t="str">
        <f aca="false">IF(S2458="","",IF(S2458&lt;=Setup!$B$5,"🏆 WINNER",""))</f>
        <v/>
      </c>
      <c r="U2458" s="31" t="str">
        <f aca="false">IF(S2458="","",I2458&amp;"|"&amp;S2458)</f>
        <v/>
      </c>
    </row>
    <row r="2459" customFormat="false" ht="15" hidden="false" customHeight="false" outlineLevel="0" collapsed="false">
      <c r="A2459" s="24" t="n">
        <v>2455</v>
      </c>
      <c r="B2459" s="25" t="str">
        <f aca="false">IF(OR(C2459="",I2459="",G2459=""),"",IFERROR(VLOOKUP(I2459,Setup!$A$9:$B$11,2,0),"???")&amp;"-"&amp;G2459&amp;"-"&amp;TEXT(COUNTIFS(I$5:I2459,I2459,G$5:G2459,G2459),"0000"))</f>
        <v/>
      </c>
      <c r="C2459" s="26"/>
      <c r="D2459" s="26"/>
      <c r="E2459" s="27"/>
      <c r="F2459" s="27"/>
      <c r="G2459" s="24" t="str">
        <f aca="false">IF(F2459="","",IF(F2459&lt;=5,"A",IF(F2459&lt;=8,"B",IF(F2459&lt;=10,"C","D"))))</f>
        <v/>
      </c>
      <c r="H2459" s="28"/>
      <c r="I2459" s="27"/>
      <c r="J2459" s="26"/>
      <c r="K2459" s="27"/>
      <c r="L2459" s="27"/>
      <c r="M2459" s="27"/>
      <c r="N2459" s="27"/>
      <c r="O2459" s="24" t="str">
        <f aca="false">IF(G2459="","",VLOOKUP(G2459,Setup!$A$14:$C$17,3,0))</f>
        <v/>
      </c>
      <c r="P2459" s="27"/>
      <c r="Q2459" s="29" t="str">
        <f aca="false">IF(OR(P2459="",M2459&lt;&gt;"Paid",O2459=""),"",P2459/O2459)</f>
        <v/>
      </c>
      <c r="R2459" s="30" t="str">
        <f aca="false">IF(Q2459="","",Q2459+N(H2459)*0.000000001)</f>
        <v/>
      </c>
      <c r="S2459" s="25" t="str">
        <f aca="false">IF(R2459="","",SUMPRODUCT((I$5:I$4004=I2459)*ISNUMBER(R$5:R$4004)*(R$5:R$4004&gt;R2459))+1)</f>
        <v/>
      </c>
      <c r="T2459" s="25" t="str">
        <f aca="false">IF(S2459="","",IF(S2459&lt;=Setup!$B$5,"🏆 WINNER",""))</f>
        <v/>
      </c>
      <c r="U2459" s="24" t="str">
        <f aca="false">IF(S2459="","",I2459&amp;"|"&amp;S2459)</f>
        <v/>
      </c>
    </row>
    <row r="2460" customFormat="false" ht="15" hidden="false" customHeight="false" outlineLevel="0" collapsed="false">
      <c r="A2460" s="31" t="n">
        <v>2456</v>
      </c>
      <c r="B2460" s="32" t="str">
        <f aca="false">IF(OR(C2460="",I2460="",G2460=""),"",IFERROR(VLOOKUP(I2460,Setup!$A$9:$B$11,2,0),"???")&amp;"-"&amp;G2460&amp;"-"&amp;TEXT(COUNTIFS(I$5:I2460,I2460,G$5:G2460,G2460),"0000"))</f>
        <v/>
      </c>
      <c r="C2460" s="26"/>
      <c r="D2460" s="26"/>
      <c r="E2460" s="27"/>
      <c r="F2460" s="27"/>
      <c r="G2460" s="31" t="str">
        <f aca="false">IF(F2460="","",IF(F2460&lt;=5,"A",IF(F2460&lt;=8,"B",IF(F2460&lt;=10,"C","D"))))</f>
        <v/>
      </c>
      <c r="H2460" s="28"/>
      <c r="I2460" s="27"/>
      <c r="J2460" s="26"/>
      <c r="K2460" s="27"/>
      <c r="L2460" s="27"/>
      <c r="M2460" s="27"/>
      <c r="N2460" s="27"/>
      <c r="O2460" s="31" t="str">
        <f aca="false">IF(G2460="","",VLOOKUP(G2460,Setup!$A$14:$C$17,3,0))</f>
        <v/>
      </c>
      <c r="P2460" s="27"/>
      <c r="Q2460" s="33" t="str">
        <f aca="false">IF(OR(P2460="",M2460&lt;&gt;"Paid",O2460=""),"",P2460/O2460)</f>
        <v/>
      </c>
      <c r="R2460" s="34" t="str">
        <f aca="false">IF(Q2460="","",Q2460+N(H2460)*0.000000001)</f>
        <v/>
      </c>
      <c r="S2460" s="32" t="str">
        <f aca="false">IF(R2460="","",SUMPRODUCT((I$5:I$4004=I2460)*ISNUMBER(R$5:R$4004)*(R$5:R$4004&gt;R2460))+1)</f>
        <v/>
      </c>
      <c r="T2460" s="32" t="str">
        <f aca="false">IF(S2460="","",IF(S2460&lt;=Setup!$B$5,"🏆 WINNER",""))</f>
        <v/>
      </c>
      <c r="U2460" s="31" t="str">
        <f aca="false">IF(S2460="","",I2460&amp;"|"&amp;S2460)</f>
        <v/>
      </c>
    </row>
    <row r="2461" customFormat="false" ht="15" hidden="false" customHeight="false" outlineLevel="0" collapsed="false">
      <c r="A2461" s="24" t="n">
        <v>2457</v>
      </c>
      <c r="B2461" s="25" t="str">
        <f aca="false">IF(OR(C2461="",I2461="",G2461=""),"",IFERROR(VLOOKUP(I2461,Setup!$A$9:$B$11,2,0),"???")&amp;"-"&amp;G2461&amp;"-"&amp;TEXT(COUNTIFS(I$5:I2461,I2461,G$5:G2461,G2461),"0000"))</f>
        <v/>
      </c>
      <c r="C2461" s="26"/>
      <c r="D2461" s="26"/>
      <c r="E2461" s="27"/>
      <c r="F2461" s="27"/>
      <c r="G2461" s="24" t="str">
        <f aca="false">IF(F2461="","",IF(F2461&lt;=5,"A",IF(F2461&lt;=8,"B",IF(F2461&lt;=10,"C","D"))))</f>
        <v/>
      </c>
      <c r="H2461" s="28"/>
      <c r="I2461" s="27"/>
      <c r="J2461" s="26"/>
      <c r="K2461" s="27"/>
      <c r="L2461" s="27"/>
      <c r="M2461" s="27"/>
      <c r="N2461" s="27"/>
      <c r="O2461" s="24" t="str">
        <f aca="false">IF(G2461="","",VLOOKUP(G2461,Setup!$A$14:$C$17,3,0))</f>
        <v/>
      </c>
      <c r="P2461" s="27"/>
      <c r="Q2461" s="29" t="str">
        <f aca="false">IF(OR(P2461="",M2461&lt;&gt;"Paid",O2461=""),"",P2461/O2461)</f>
        <v/>
      </c>
      <c r="R2461" s="30" t="str">
        <f aca="false">IF(Q2461="","",Q2461+N(H2461)*0.000000001)</f>
        <v/>
      </c>
      <c r="S2461" s="25" t="str">
        <f aca="false">IF(R2461="","",SUMPRODUCT((I$5:I$4004=I2461)*ISNUMBER(R$5:R$4004)*(R$5:R$4004&gt;R2461))+1)</f>
        <v/>
      </c>
      <c r="T2461" s="25" t="str">
        <f aca="false">IF(S2461="","",IF(S2461&lt;=Setup!$B$5,"🏆 WINNER",""))</f>
        <v/>
      </c>
      <c r="U2461" s="24" t="str">
        <f aca="false">IF(S2461="","",I2461&amp;"|"&amp;S2461)</f>
        <v/>
      </c>
    </row>
    <row r="2462" customFormat="false" ht="15" hidden="false" customHeight="false" outlineLevel="0" collapsed="false">
      <c r="A2462" s="31" t="n">
        <v>2458</v>
      </c>
      <c r="B2462" s="32" t="str">
        <f aca="false">IF(OR(C2462="",I2462="",G2462=""),"",IFERROR(VLOOKUP(I2462,Setup!$A$9:$B$11,2,0),"???")&amp;"-"&amp;G2462&amp;"-"&amp;TEXT(COUNTIFS(I$5:I2462,I2462,G$5:G2462,G2462),"0000"))</f>
        <v/>
      </c>
      <c r="C2462" s="26"/>
      <c r="D2462" s="26"/>
      <c r="E2462" s="27"/>
      <c r="F2462" s="27"/>
      <c r="G2462" s="31" t="str">
        <f aca="false">IF(F2462="","",IF(F2462&lt;=5,"A",IF(F2462&lt;=8,"B",IF(F2462&lt;=10,"C","D"))))</f>
        <v/>
      </c>
      <c r="H2462" s="28"/>
      <c r="I2462" s="27"/>
      <c r="J2462" s="26"/>
      <c r="K2462" s="27"/>
      <c r="L2462" s="27"/>
      <c r="M2462" s="27"/>
      <c r="N2462" s="27"/>
      <c r="O2462" s="31" t="str">
        <f aca="false">IF(G2462="","",VLOOKUP(G2462,Setup!$A$14:$C$17,3,0))</f>
        <v/>
      </c>
      <c r="P2462" s="27"/>
      <c r="Q2462" s="33" t="str">
        <f aca="false">IF(OR(P2462="",M2462&lt;&gt;"Paid",O2462=""),"",P2462/O2462)</f>
        <v/>
      </c>
      <c r="R2462" s="34" t="str">
        <f aca="false">IF(Q2462="","",Q2462+N(H2462)*0.000000001)</f>
        <v/>
      </c>
      <c r="S2462" s="32" t="str">
        <f aca="false">IF(R2462="","",SUMPRODUCT((I$5:I$4004=I2462)*ISNUMBER(R$5:R$4004)*(R$5:R$4004&gt;R2462))+1)</f>
        <v/>
      </c>
      <c r="T2462" s="32" t="str">
        <f aca="false">IF(S2462="","",IF(S2462&lt;=Setup!$B$5,"🏆 WINNER",""))</f>
        <v/>
      </c>
      <c r="U2462" s="31" t="str">
        <f aca="false">IF(S2462="","",I2462&amp;"|"&amp;S2462)</f>
        <v/>
      </c>
    </row>
    <row r="2463" customFormat="false" ht="15" hidden="false" customHeight="false" outlineLevel="0" collapsed="false">
      <c r="A2463" s="24" t="n">
        <v>2459</v>
      </c>
      <c r="B2463" s="25" t="str">
        <f aca="false">IF(OR(C2463="",I2463="",G2463=""),"",IFERROR(VLOOKUP(I2463,Setup!$A$9:$B$11,2,0),"???")&amp;"-"&amp;G2463&amp;"-"&amp;TEXT(COUNTIFS(I$5:I2463,I2463,G$5:G2463,G2463),"0000"))</f>
        <v/>
      </c>
      <c r="C2463" s="26"/>
      <c r="D2463" s="26"/>
      <c r="E2463" s="27"/>
      <c r="F2463" s="27"/>
      <c r="G2463" s="24" t="str">
        <f aca="false">IF(F2463="","",IF(F2463&lt;=5,"A",IF(F2463&lt;=8,"B",IF(F2463&lt;=10,"C","D"))))</f>
        <v/>
      </c>
      <c r="H2463" s="28"/>
      <c r="I2463" s="27"/>
      <c r="J2463" s="26"/>
      <c r="K2463" s="27"/>
      <c r="L2463" s="27"/>
      <c r="M2463" s="27"/>
      <c r="N2463" s="27"/>
      <c r="O2463" s="24" t="str">
        <f aca="false">IF(G2463="","",VLOOKUP(G2463,Setup!$A$14:$C$17,3,0))</f>
        <v/>
      </c>
      <c r="P2463" s="27"/>
      <c r="Q2463" s="29" t="str">
        <f aca="false">IF(OR(P2463="",M2463&lt;&gt;"Paid",O2463=""),"",P2463/O2463)</f>
        <v/>
      </c>
      <c r="R2463" s="30" t="str">
        <f aca="false">IF(Q2463="","",Q2463+N(H2463)*0.000000001)</f>
        <v/>
      </c>
      <c r="S2463" s="25" t="str">
        <f aca="false">IF(R2463="","",SUMPRODUCT((I$5:I$4004=I2463)*ISNUMBER(R$5:R$4004)*(R$5:R$4004&gt;R2463))+1)</f>
        <v/>
      </c>
      <c r="T2463" s="25" t="str">
        <f aca="false">IF(S2463="","",IF(S2463&lt;=Setup!$B$5,"🏆 WINNER",""))</f>
        <v/>
      </c>
      <c r="U2463" s="24" t="str">
        <f aca="false">IF(S2463="","",I2463&amp;"|"&amp;S2463)</f>
        <v/>
      </c>
    </row>
    <row r="2464" customFormat="false" ht="15" hidden="false" customHeight="false" outlineLevel="0" collapsed="false">
      <c r="A2464" s="31" t="n">
        <v>2460</v>
      </c>
      <c r="B2464" s="32" t="str">
        <f aca="false">IF(OR(C2464="",I2464="",G2464=""),"",IFERROR(VLOOKUP(I2464,Setup!$A$9:$B$11,2,0),"???")&amp;"-"&amp;G2464&amp;"-"&amp;TEXT(COUNTIFS(I$5:I2464,I2464,G$5:G2464,G2464),"0000"))</f>
        <v/>
      </c>
      <c r="C2464" s="26"/>
      <c r="D2464" s="26"/>
      <c r="E2464" s="27"/>
      <c r="F2464" s="27"/>
      <c r="G2464" s="31" t="str">
        <f aca="false">IF(F2464="","",IF(F2464&lt;=5,"A",IF(F2464&lt;=8,"B",IF(F2464&lt;=10,"C","D"))))</f>
        <v/>
      </c>
      <c r="H2464" s="28"/>
      <c r="I2464" s="27"/>
      <c r="J2464" s="26"/>
      <c r="K2464" s="27"/>
      <c r="L2464" s="27"/>
      <c r="M2464" s="27"/>
      <c r="N2464" s="27"/>
      <c r="O2464" s="31" t="str">
        <f aca="false">IF(G2464="","",VLOOKUP(G2464,Setup!$A$14:$C$17,3,0))</f>
        <v/>
      </c>
      <c r="P2464" s="27"/>
      <c r="Q2464" s="33" t="str">
        <f aca="false">IF(OR(P2464="",M2464&lt;&gt;"Paid",O2464=""),"",P2464/O2464)</f>
        <v/>
      </c>
      <c r="R2464" s="34" t="str">
        <f aca="false">IF(Q2464="","",Q2464+N(H2464)*0.000000001)</f>
        <v/>
      </c>
      <c r="S2464" s="32" t="str">
        <f aca="false">IF(R2464="","",SUMPRODUCT((I$5:I$4004=I2464)*ISNUMBER(R$5:R$4004)*(R$5:R$4004&gt;R2464))+1)</f>
        <v/>
      </c>
      <c r="T2464" s="32" t="str">
        <f aca="false">IF(S2464="","",IF(S2464&lt;=Setup!$B$5,"🏆 WINNER",""))</f>
        <v/>
      </c>
      <c r="U2464" s="31" t="str">
        <f aca="false">IF(S2464="","",I2464&amp;"|"&amp;S2464)</f>
        <v/>
      </c>
    </row>
    <row r="2465" customFormat="false" ht="15" hidden="false" customHeight="false" outlineLevel="0" collapsed="false">
      <c r="A2465" s="24" t="n">
        <v>2461</v>
      </c>
      <c r="B2465" s="25" t="str">
        <f aca="false">IF(OR(C2465="",I2465="",G2465=""),"",IFERROR(VLOOKUP(I2465,Setup!$A$9:$B$11,2,0),"???")&amp;"-"&amp;G2465&amp;"-"&amp;TEXT(COUNTIFS(I$5:I2465,I2465,G$5:G2465,G2465),"0000"))</f>
        <v/>
      </c>
      <c r="C2465" s="26"/>
      <c r="D2465" s="26"/>
      <c r="E2465" s="27"/>
      <c r="F2465" s="27"/>
      <c r="G2465" s="24" t="str">
        <f aca="false">IF(F2465="","",IF(F2465&lt;=5,"A",IF(F2465&lt;=8,"B",IF(F2465&lt;=10,"C","D"))))</f>
        <v/>
      </c>
      <c r="H2465" s="28"/>
      <c r="I2465" s="27"/>
      <c r="J2465" s="26"/>
      <c r="K2465" s="27"/>
      <c r="L2465" s="27"/>
      <c r="M2465" s="27"/>
      <c r="N2465" s="27"/>
      <c r="O2465" s="24" t="str">
        <f aca="false">IF(G2465="","",VLOOKUP(G2465,Setup!$A$14:$C$17,3,0))</f>
        <v/>
      </c>
      <c r="P2465" s="27"/>
      <c r="Q2465" s="29" t="str">
        <f aca="false">IF(OR(P2465="",M2465&lt;&gt;"Paid",O2465=""),"",P2465/O2465)</f>
        <v/>
      </c>
      <c r="R2465" s="30" t="str">
        <f aca="false">IF(Q2465="","",Q2465+N(H2465)*0.000000001)</f>
        <v/>
      </c>
      <c r="S2465" s="25" t="str">
        <f aca="false">IF(R2465="","",SUMPRODUCT((I$5:I$4004=I2465)*ISNUMBER(R$5:R$4004)*(R$5:R$4004&gt;R2465))+1)</f>
        <v/>
      </c>
      <c r="T2465" s="25" t="str">
        <f aca="false">IF(S2465="","",IF(S2465&lt;=Setup!$B$5,"🏆 WINNER",""))</f>
        <v/>
      </c>
      <c r="U2465" s="24" t="str">
        <f aca="false">IF(S2465="","",I2465&amp;"|"&amp;S2465)</f>
        <v/>
      </c>
    </row>
    <row r="2466" customFormat="false" ht="15" hidden="false" customHeight="false" outlineLevel="0" collapsed="false">
      <c r="A2466" s="31" t="n">
        <v>2462</v>
      </c>
      <c r="B2466" s="32" t="str">
        <f aca="false">IF(OR(C2466="",I2466="",G2466=""),"",IFERROR(VLOOKUP(I2466,Setup!$A$9:$B$11,2,0),"???")&amp;"-"&amp;G2466&amp;"-"&amp;TEXT(COUNTIFS(I$5:I2466,I2466,G$5:G2466,G2466),"0000"))</f>
        <v/>
      </c>
      <c r="C2466" s="26"/>
      <c r="D2466" s="26"/>
      <c r="E2466" s="27"/>
      <c r="F2466" s="27"/>
      <c r="G2466" s="31" t="str">
        <f aca="false">IF(F2466="","",IF(F2466&lt;=5,"A",IF(F2466&lt;=8,"B",IF(F2466&lt;=10,"C","D"))))</f>
        <v/>
      </c>
      <c r="H2466" s="28"/>
      <c r="I2466" s="27"/>
      <c r="J2466" s="26"/>
      <c r="K2466" s="27"/>
      <c r="L2466" s="27"/>
      <c r="M2466" s="27"/>
      <c r="N2466" s="27"/>
      <c r="O2466" s="31" t="str">
        <f aca="false">IF(G2466="","",VLOOKUP(G2466,Setup!$A$14:$C$17,3,0))</f>
        <v/>
      </c>
      <c r="P2466" s="27"/>
      <c r="Q2466" s="33" t="str">
        <f aca="false">IF(OR(P2466="",M2466&lt;&gt;"Paid",O2466=""),"",P2466/O2466)</f>
        <v/>
      </c>
      <c r="R2466" s="34" t="str">
        <f aca="false">IF(Q2466="","",Q2466+N(H2466)*0.000000001)</f>
        <v/>
      </c>
      <c r="S2466" s="32" t="str">
        <f aca="false">IF(R2466="","",SUMPRODUCT((I$5:I$4004=I2466)*ISNUMBER(R$5:R$4004)*(R$5:R$4004&gt;R2466))+1)</f>
        <v/>
      </c>
      <c r="T2466" s="32" t="str">
        <f aca="false">IF(S2466="","",IF(S2466&lt;=Setup!$B$5,"🏆 WINNER",""))</f>
        <v/>
      </c>
      <c r="U2466" s="31" t="str">
        <f aca="false">IF(S2466="","",I2466&amp;"|"&amp;S2466)</f>
        <v/>
      </c>
    </row>
    <row r="2467" customFormat="false" ht="15" hidden="false" customHeight="false" outlineLevel="0" collapsed="false">
      <c r="A2467" s="24" t="n">
        <v>2463</v>
      </c>
      <c r="B2467" s="25" t="str">
        <f aca="false">IF(OR(C2467="",I2467="",G2467=""),"",IFERROR(VLOOKUP(I2467,Setup!$A$9:$B$11,2,0),"???")&amp;"-"&amp;G2467&amp;"-"&amp;TEXT(COUNTIFS(I$5:I2467,I2467,G$5:G2467,G2467),"0000"))</f>
        <v/>
      </c>
      <c r="C2467" s="26"/>
      <c r="D2467" s="26"/>
      <c r="E2467" s="27"/>
      <c r="F2467" s="27"/>
      <c r="G2467" s="24" t="str">
        <f aca="false">IF(F2467="","",IF(F2467&lt;=5,"A",IF(F2467&lt;=8,"B",IF(F2467&lt;=10,"C","D"))))</f>
        <v/>
      </c>
      <c r="H2467" s="28"/>
      <c r="I2467" s="27"/>
      <c r="J2467" s="26"/>
      <c r="K2467" s="27"/>
      <c r="L2467" s="27"/>
      <c r="M2467" s="27"/>
      <c r="N2467" s="27"/>
      <c r="O2467" s="24" t="str">
        <f aca="false">IF(G2467="","",VLOOKUP(G2467,Setup!$A$14:$C$17,3,0))</f>
        <v/>
      </c>
      <c r="P2467" s="27"/>
      <c r="Q2467" s="29" t="str">
        <f aca="false">IF(OR(P2467="",M2467&lt;&gt;"Paid",O2467=""),"",P2467/O2467)</f>
        <v/>
      </c>
      <c r="R2467" s="30" t="str">
        <f aca="false">IF(Q2467="","",Q2467+N(H2467)*0.000000001)</f>
        <v/>
      </c>
      <c r="S2467" s="25" t="str">
        <f aca="false">IF(R2467="","",SUMPRODUCT((I$5:I$4004=I2467)*ISNUMBER(R$5:R$4004)*(R$5:R$4004&gt;R2467))+1)</f>
        <v/>
      </c>
      <c r="T2467" s="25" t="str">
        <f aca="false">IF(S2467="","",IF(S2467&lt;=Setup!$B$5,"🏆 WINNER",""))</f>
        <v/>
      </c>
      <c r="U2467" s="24" t="str">
        <f aca="false">IF(S2467="","",I2467&amp;"|"&amp;S2467)</f>
        <v/>
      </c>
    </row>
    <row r="2468" customFormat="false" ht="15" hidden="false" customHeight="false" outlineLevel="0" collapsed="false">
      <c r="A2468" s="31" t="n">
        <v>2464</v>
      </c>
      <c r="B2468" s="32" t="str">
        <f aca="false">IF(OR(C2468="",I2468="",G2468=""),"",IFERROR(VLOOKUP(I2468,Setup!$A$9:$B$11,2,0),"???")&amp;"-"&amp;G2468&amp;"-"&amp;TEXT(COUNTIFS(I$5:I2468,I2468,G$5:G2468,G2468),"0000"))</f>
        <v/>
      </c>
      <c r="C2468" s="26"/>
      <c r="D2468" s="26"/>
      <c r="E2468" s="27"/>
      <c r="F2468" s="27"/>
      <c r="G2468" s="31" t="str">
        <f aca="false">IF(F2468="","",IF(F2468&lt;=5,"A",IF(F2468&lt;=8,"B",IF(F2468&lt;=10,"C","D"))))</f>
        <v/>
      </c>
      <c r="H2468" s="28"/>
      <c r="I2468" s="27"/>
      <c r="J2468" s="26"/>
      <c r="K2468" s="27"/>
      <c r="L2468" s="27"/>
      <c r="M2468" s="27"/>
      <c r="N2468" s="27"/>
      <c r="O2468" s="31" t="str">
        <f aca="false">IF(G2468="","",VLOOKUP(G2468,Setup!$A$14:$C$17,3,0))</f>
        <v/>
      </c>
      <c r="P2468" s="27"/>
      <c r="Q2468" s="33" t="str">
        <f aca="false">IF(OR(P2468="",M2468&lt;&gt;"Paid",O2468=""),"",P2468/O2468)</f>
        <v/>
      </c>
      <c r="R2468" s="34" t="str">
        <f aca="false">IF(Q2468="","",Q2468+N(H2468)*0.000000001)</f>
        <v/>
      </c>
      <c r="S2468" s="32" t="str">
        <f aca="false">IF(R2468="","",SUMPRODUCT((I$5:I$4004=I2468)*ISNUMBER(R$5:R$4004)*(R$5:R$4004&gt;R2468))+1)</f>
        <v/>
      </c>
      <c r="T2468" s="32" t="str">
        <f aca="false">IF(S2468="","",IF(S2468&lt;=Setup!$B$5,"🏆 WINNER",""))</f>
        <v/>
      </c>
      <c r="U2468" s="31" t="str">
        <f aca="false">IF(S2468="","",I2468&amp;"|"&amp;S2468)</f>
        <v/>
      </c>
    </row>
    <row r="2469" customFormat="false" ht="15" hidden="false" customHeight="false" outlineLevel="0" collapsed="false">
      <c r="A2469" s="24" t="n">
        <v>2465</v>
      </c>
      <c r="B2469" s="25" t="str">
        <f aca="false">IF(OR(C2469="",I2469="",G2469=""),"",IFERROR(VLOOKUP(I2469,Setup!$A$9:$B$11,2,0),"???")&amp;"-"&amp;G2469&amp;"-"&amp;TEXT(COUNTIFS(I$5:I2469,I2469,G$5:G2469,G2469),"0000"))</f>
        <v/>
      </c>
      <c r="C2469" s="26"/>
      <c r="D2469" s="26"/>
      <c r="E2469" s="27"/>
      <c r="F2469" s="27"/>
      <c r="G2469" s="24" t="str">
        <f aca="false">IF(F2469="","",IF(F2469&lt;=5,"A",IF(F2469&lt;=8,"B",IF(F2469&lt;=10,"C","D"))))</f>
        <v/>
      </c>
      <c r="H2469" s="28"/>
      <c r="I2469" s="27"/>
      <c r="J2469" s="26"/>
      <c r="K2469" s="27"/>
      <c r="L2469" s="27"/>
      <c r="M2469" s="27"/>
      <c r="N2469" s="27"/>
      <c r="O2469" s="24" t="str">
        <f aca="false">IF(G2469="","",VLOOKUP(G2469,Setup!$A$14:$C$17,3,0))</f>
        <v/>
      </c>
      <c r="P2469" s="27"/>
      <c r="Q2469" s="29" t="str">
        <f aca="false">IF(OR(P2469="",M2469&lt;&gt;"Paid",O2469=""),"",P2469/O2469)</f>
        <v/>
      </c>
      <c r="R2469" s="30" t="str">
        <f aca="false">IF(Q2469="","",Q2469+N(H2469)*0.000000001)</f>
        <v/>
      </c>
      <c r="S2469" s="25" t="str">
        <f aca="false">IF(R2469="","",SUMPRODUCT((I$5:I$4004=I2469)*ISNUMBER(R$5:R$4004)*(R$5:R$4004&gt;R2469))+1)</f>
        <v/>
      </c>
      <c r="T2469" s="25" t="str">
        <f aca="false">IF(S2469="","",IF(S2469&lt;=Setup!$B$5,"🏆 WINNER",""))</f>
        <v/>
      </c>
      <c r="U2469" s="24" t="str">
        <f aca="false">IF(S2469="","",I2469&amp;"|"&amp;S2469)</f>
        <v/>
      </c>
    </row>
    <row r="2470" customFormat="false" ht="15" hidden="false" customHeight="false" outlineLevel="0" collapsed="false">
      <c r="A2470" s="31" t="n">
        <v>2466</v>
      </c>
      <c r="B2470" s="32" t="str">
        <f aca="false">IF(OR(C2470="",I2470="",G2470=""),"",IFERROR(VLOOKUP(I2470,Setup!$A$9:$B$11,2,0),"???")&amp;"-"&amp;G2470&amp;"-"&amp;TEXT(COUNTIFS(I$5:I2470,I2470,G$5:G2470,G2470),"0000"))</f>
        <v/>
      </c>
      <c r="C2470" s="26"/>
      <c r="D2470" s="26"/>
      <c r="E2470" s="27"/>
      <c r="F2470" s="27"/>
      <c r="G2470" s="31" t="str">
        <f aca="false">IF(F2470="","",IF(F2470&lt;=5,"A",IF(F2470&lt;=8,"B",IF(F2470&lt;=10,"C","D"))))</f>
        <v/>
      </c>
      <c r="H2470" s="28"/>
      <c r="I2470" s="27"/>
      <c r="J2470" s="26"/>
      <c r="K2470" s="27"/>
      <c r="L2470" s="27"/>
      <c r="M2470" s="27"/>
      <c r="N2470" s="27"/>
      <c r="O2470" s="31" t="str">
        <f aca="false">IF(G2470="","",VLOOKUP(G2470,Setup!$A$14:$C$17,3,0))</f>
        <v/>
      </c>
      <c r="P2470" s="27"/>
      <c r="Q2470" s="33" t="str">
        <f aca="false">IF(OR(P2470="",M2470&lt;&gt;"Paid",O2470=""),"",P2470/O2470)</f>
        <v/>
      </c>
      <c r="R2470" s="34" t="str">
        <f aca="false">IF(Q2470="","",Q2470+N(H2470)*0.000000001)</f>
        <v/>
      </c>
      <c r="S2470" s="32" t="str">
        <f aca="false">IF(R2470="","",SUMPRODUCT((I$5:I$4004=I2470)*ISNUMBER(R$5:R$4004)*(R$5:R$4004&gt;R2470))+1)</f>
        <v/>
      </c>
      <c r="T2470" s="32" t="str">
        <f aca="false">IF(S2470="","",IF(S2470&lt;=Setup!$B$5,"🏆 WINNER",""))</f>
        <v/>
      </c>
      <c r="U2470" s="31" t="str">
        <f aca="false">IF(S2470="","",I2470&amp;"|"&amp;S2470)</f>
        <v/>
      </c>
    </row>
    <row r="2471" customFormat="false" ht="15" hidden="false" customHeight="false" outlineLevel="0" collapsed="false">
      <c r="A2471" s="24" t="n">
        <v>2467</v>
      </c>
      <c r="B2471" s="25" t="str">
        <f aca="false">IF(OR(C2471="",I2471="",G2471=""),"",IFERROR(VLOOKUP(I2471,Setup!$A$9:$B$11,2,0),"???")&amp;"-"&amp;G2471&amp;"-"&amp;TEXT(COUNTIFS(I$5:I2471,I2471,G$5:G2471,G2471),"0000"))</f>
        <v/>
      </c>
      <c r="C2471" s="26"/>
      <c r="D2471" s="26"/>
      <c r="E2471" s="27"/>
      <c r="F2471" s="27"/>
      <c r="G2471" s="24" t="str">
        <f aca="false">IF(F2471="","",IF(F2471&lt;=5,"A",IF(F2471&lt;=8,"B",IF(F2471&lt;=10,"C","D"))))</f>
        <v/>
      </c>
      <c r="H2471" s="28"/>
      <c r="I2471" s="27"/>
      <c r="J2471" s="26"/>
      <c r="K2471" s="27"/>
      <c r="L2471" s="27"/>
      <c r="M2471" s="27"/>
      <c r="N2471" s="27"/>
      <c r="O2471" s="24" t="str">
        <f aca="false">IF(G2471="","",VLOOKUP(G2471,Setup!$A$14:$C$17,3,0))</f>
        <v/>
      </c>
      <c r="P2471" s="27"/>
      <c r="Q2471" s="29" t="str">
        <f aca="false">IF(OR(P2471="",M2471&lt;&gt;"Paid",O2471=""),"",P2471/O2471)</f>
        <v/>
      </c>
      <c r="R2471" s="30" t="str">
        <f aca="false">IF(Q2471="","",Q2471+N(H2471)*0.000000001)</f>
        <v/>
      </c>
      <c r="S2471" s="25" t="str">
        <f aca="false">IF(R2471="","",SUMPRODUCT((I$5:I$4004=I2471)*ISNUMBER(R$5:R$4004)*(R$5:R$4004&gt;R2471))+1)</f>
        <v/>
      </c>
      <c r="T2471" s="25" t="str">
        <f aca="false">IF(S2471="","",IF(S2471&lt;=Setup!$B$5,"🏆 WINNER",""))</f>
        <v/>
      </c>
      <c r="U2471" s="24" t="str">
        <f aca="false">IF(S2471="","",I2471&amp;"|"&amp;S2471)</f>
        <v/>
      </c>
    </row>
    <row r="2472" customFormat="false" ht="15" hidden="false" customHeight="false" outlineLevel="0" collapsed="false">
      <c r="A2472" s="31" t="n">
        <v>2468</v>
      </c>
      <c r="B2472" s="32" t="str">
        <f aca="false">IF(OR(C2472="",I2472="",G2472=""),"",IFERROR(VLOOKUP(I2472,Setup!$A$9:$B$11,2,0),"???")&amp;"-"&amp;G2472&amp;"-"&amp;TEXT(COUNTIFS(I$5:I2472,I2472,G$5:G2472,G2472),"0000"))</f>
        <v/>
      </c>
      <c r="C2472" s="26"/>
      <c r="D2472" s="26"/>
      <c r="E2472" s="27"/>
      <c r="F2472" s="27"/>
      <c r="G2472" s="31" t="str">
        <f aca="false">IF(F2472="","",IF(F2472&lt;=5,"A",IF(F2472&lt;=8,"B",IF(F2472&lt;=10,"C","D"))))</f>
        <v/>
      </c>
      <c r="H2472" s="28"/>
      <c r="I2472" s="27"/>
      <c r="J2472" s="26"/>
      <c r="K2472" s="27"/>
      <c r="L2472" s="27"/>
      <c r="M2472" s="27"/>
      <c r="N2472" s="27"/>
      <c r="O2472" s="31" t="str">
        <f aca="false">IF(G2472="","",VLOOKUP(G2472,Setup!$A$14:$C$17,3,0))</f>
        <v/>
      </c>
      <c r="P2472" s="27"/>
      <c r="Q2472" s="33" t="str">
        <f aca="false">IF(OR(P2472="",M2472&lt;&gt;"Paid",O2472=""),"",P2472/O2472)</f>
        <v/>
      </c>
      <c r="R2472" s="34" t="str">
        <f aca="false">IF(Q2472="","",Q2472+N(H2472)*0.000000001)</f>
        <v/>
      </c>
      <c r="S2472" s="32" t="str">
        <f aca="false">IF(R2472="","",SUMPRODUCT((I$5:I$4004=I2472)*ISNUMBER(R$5:R$4004)*(R$5:R$4004&gt;R2472))+1)</f>
        <v/>
      </c>
      <c r="T2472" s="32" t="str">
        <f aca="false">IF(S2472="","",IF(S2472&lt;=Setup!$B$5,"🏆 WINNER",""))</f>
        <v/>
      </c>
      <c r="U2472" s="31" t="str">
        <f aca="false">IF(S2472="","",I2472&amp;"|"&amp;S2472)</f>
        <v/>
      </c>
    </row>
    <row r="2473" customFormat="false" ht="15" hidden="false" customHeight="false" outlineLevel="0" collapsed="false">
      <c r="A2473" s="24" t="n">
        <v>2469</v>
      </c>
      <c r="B2473" s="25" t="str">
        <f aca="false">IF(OR(C2473="",I2473="",G2473=""),"",IFERROR(VLOOKUP(I2473,Setup!$A$9:$B$11,2,0),"???")&amp;"-"&amp;G2473&amp;"-"&amp;TEXT(COUNTIFS(I$5:I2473,I2473,G$5:G2473,G2473),"0000"))</f>
        <v/>
      </c>
      <c r="C2473" s="26"/>
      <c r="D2473" s="26"/>
      <c r="E2473" s="27"/>
      <c r="F2473" s="27"/>
      <c r="G2473" s="24" t="str">
        <f aca="false">IF(F2473="","",IF(F2473&lt;=5,"A",IF(F2473&lt;=8,"B",IF(F2473&lt;=10,"C","D"))))</f>
        <v/>
      </c>
      <c r="H2473" s="28"/>
      <c r="I2473" s="27"/>
      <c r="J2473" s="26"/>
      <c r="K2473" s="27"/>
      <c r="L2473" s="27"/>
      <c r="M2473" s="27"/>
      <c r="N2473" s="27"/>
      <c r="O2473" s="24" t="str">
        <f aca="false">IF(G2473="","",VLOOKUP(G2473,Setup!$A$14:$C$17,3,0))</f>
        <v/>
      </c>
      <c r="P2473" s="27"/>
      <c r="Q2473" s="29" t="str">
        <f aca="false">IF(OR(P2473="",M2473&lt;&gt;"Paid",O2473=""),"",P2473/O2473)</f>
        <v/>
      </c>
      <c r="R2473" s="30" t="str">
        <f aca="false">IF(Q2473="","",Q2473+N(H2473)*0.000000001)</f>
        <v/>
      </c>
      <c r="S2473" s="25" t="str">
        <f aca="false">IF(R2473="","",SUMPRODUCT((I$5:I$4004=I2473)*ISNUMBER(R$5:R$4004)*(R$5:R$4004&gt;R2473))+1)</f>
        <v/>
      </c>
      <c r="T2473" s="25" t="str">
        <f aca="false">IF(S2473="","",IF(S2473&lt;=Setup!$B$5,"🏆 WINNER",""))</f>
        <v/>
      </c>
      <c r="U2473" s="24" t="str">
        <f aca="false">IF(S2473="","",I2473&amp;"|"&amp;S2473)</f>
        <v/>
      </c>
    </row>
    <row r="2474" customFormat="false" ht="15" hidden="false" customHeight="false" outlineLevel="0" collapsed="false">
      <c r="A2474" s="31" t="n">
        <v>2470</v>
      </c>
      <c r="B2474" s="32" t="str">
        <f aca="false">IF(OR(C2474="",I2474="",G2474=""),"",IFERROR(VLOOKUP(I2474,Setup!$A$9:$B$11,2,0),"???")&amp;"-"&amp;G2474&amp;"-"&amp;TEXT(COUNTIFS(I$5:I2474,I2474,G$5:G2474,G2474),"0000"))</f>
        <v/>
      </c>
      <c r="C2474" s="26"/>
      <c r="D2474" s="26"/>
      <c r="E2474" s="27"/>
      <c r="F2474" s="27"/>
      <c r="G2474" s="31" t="str">
        <f aca="false">IF(F2474="","",IF(F2474&lt;=5,"A",IF(F2474&lt;=8,"B",IF(F2474&lt;=10,"C","D"))))</f>
        <v/>
      </c>
      <c r="H2474" s="28"/>
      <c r="I2474" s="27"/>
      <c r="J2474" s="26"/>
      <c r="K2474" s="27"/>
      <c r="L2474" s="27"/>
      <c r="M2474" s="27"/>
      <c r="N2474" s="27"/>
      <c r="O2474" s="31" t="str">
        <f aca="false">IF(G2474="","",VLOOKUP(G2474,Setup!$A$14:$C$17,3,0))</f>
        <v/>
      </c>
      <c r="P2474" s="27"/>
      <c r="Q2474" s="33" t="str">
        <f aca="false">IF(OR(P2474="",M2474&lt;&gt;"Paid",O2474=""),"",P2474/O2474)</f>
        <v/>
      </c>
      <c r="R2474" s="34" t="str">
        <f aca="false">IF(Q2474="","",Q2474+N(H2474)*0.000000001)</f>
        <v/>
      </c>
      <c r="S2474" s="32" t="str">
        <f aca="false">IF(R2474="","",SUMPRODUCT((I$5:I$4004=I2474)*ISNUMBER(R$5:R$4004)*(R$5:R$4004&gt;R2474))+1)</f>
        <v/>
      </c>
      <c r="T2474" s="32" t="str">
        <f aca="false">IF(S2474="","",IF(S2474&lt;=Setup!$B$5,"🏆 WINNER",""))</f>
        <v/>
      </c>
      <c r="U2474" s="31" t="str">
        <f aca="false">IF(S2474="","",I2474&amp;"|"&amp;S2474)</f>
        <v/>
      </c>
    </row>
    <row r="2475" customFormat="false" ht="15" hidden="false" customHeight="false" outlineLevel="0" collapsed="false">
      <c r="A2475" s="24" t="n">
        <v>2471</v>
      </c>
      <c r="B2475" s="25" t="str">
        <f aca="false">IF(OR(C2475="",I2475="",G2475=""),"",IFERROR(VLOOKUP(I2475,Setup!$A$9:$B$11,2,0),"???")&amp;"-"&amp;G2475&amp;"-"&amp;TEXT(COUNTIFS(I$5:I2475,I2475,G$5:G2475,G2475),"0000"))</f>
        <v/>
      </c>
      <c r="C2475" s="26"/>
      <c r="D2475" s="26"/>
      <c r="E2475" s="27"/>
      <c r="F2475" s="27"/>
      <c r="G2475" s="24" t="str">
        <f aca="false">IF(F2475="","",IF(F2475&lt;=5,"A",IF(F2475&lt;=8,"B",IF(F2475&lt;=10,"C","D"))))</f>
        <v/>
      </c>
      <c r="H2475" s="28"/>
      <c r="I2475" s="27"/>
      <c r="J2475" s="26"/>
      <c r="K2475" s="27"/>
      <c r="L2475" s="27"/>
      <c r="M2475" s="27"/>
      <c r="N2475" s="27"/>
      <c r="O2475" s="24" t="str">
        <f aca="false">IF(G2475="","",VLOOKUP(G2475,Setup!$A$14:$C$17,3,0))</f>
        <v/>
      </c>
      <c r="P2475" s="27"/>
      <c r="Q2475" s="29" t="str">
        <f aca="false">IF(OR(P2475="",M2475&lt;&gt;"Paid",O2475=""),"",P2475/O2475)</f>
        <v/>
      </c>
      <c r="R2475" s="30" t="str">
        <f aca="false">IF(Q2475="","",Q2475+N(H2475)*0.000000001)</f>
        <v/>
      </c>
      <c r="S2475" s="25" t="str">
        <f aca="false">IF(R2475="","",SUMPRODUCT((I$5:I$4004=I2475)*ISNUMBER(R$5:R$4004)*(R$5:R$4004&gt;R2475))+1)</f>
        <v/>
      </c>
      <c r="T2475" s="25" t="str">
        <f aca="false">IF(S2475="","",IF(S2475&lt;=Setup!$B$5,"🏆 WINNER",""))</f>
        <v/>
      </c>
      <c r="U2475" s="24" t="str">
        <f aca="false">IF(S2475="","",I2475&amp;"|"&amp;S2475)</f>
        <v/>
      </c>
    </row>
    <row r="2476" customFormat="false" ht="15" hidden="false" customHeight="false" outlineLevel="0" collapsed="false">
      <c r="A2476" s="31" t="n">
        <v>2472</v>
      </c>
      <c r="B2476" s="32" t="str">
        <f aca="false">IF(OR(C2476="",I2476="",G2476=""),"",IFERROR(VLOOKUP(I2476,Setup!$A$9:$B$11,2,0),"???")&amp;"-"&amp;G2476&amp;"-"&amp;TEXT(COUNTIFS(I$5:I2476,I2476,G$5:G2476,G2476),"0000"))</f>
        <v/>
      </c>
      <c r="C2476" s="26"/>
      <c r="D2476" s="26"/>
      <c r="E2476" s="27"/>
      <c r="F2476" s="27"/>
      <c r="G2476" s="31" t="str">
        <f aca="false">IF(F2476="","",IF(F2476&lt;=5,"A",IF(F2476&lt;=8,"B",IF(F2476&lt;=10,"C","D"))))</f>
        <v/>
      </c>
      <c r="H2476" s="28"/>
      <c r="I2476" s="27"/>
      <c r="J2476" s="26"/>
      <c r="K2476" s="27"/>
      <c r="L2476" s="27"/>
      <c r="M2476" s="27"/>
      <c r="N2476" s="27"/>
      <c r="O2476" s="31" t="str">
        <f aca="false">IF(G2476="","",VLOOKUP(G2476,Setup!$A$14:$C$17,3,0))</f>
        <v/>
      </c>
      <c r="P2476" s="27"/>
      <c r="Q2476" s="33" t="str">
        <f aca="false">IF(OR(P2476="",M2476&lt;&gt;"Paid",O2476=""),"",P2476/O2476)</f>
        <v/>
      </c>
      <c r="R2476" s="34" t="str">
        <f aca="false">IF(Q2476="","",Q2476+N(H2476)*0.000000001)</f>
        <v/>
      </c>
      <c r="S2476" s="32" t="str">
        <f aca="false">IF(R2476="","",SUMPRODUCT((I$5:I$4004=I2476)*ISNUMBER(R$5:R$4004)*(R$5:R$4004&gt;R2476))+1)</f>
        <v/>
      </c>
      <c r="T2476" s="32" t="str">
        <f aca="false">IF(S2476="","",IF(S2476&lt;=Setup!$B$5,"🏆 WINNER",""))</f>
        <v/>
      </c>
      <c r="U2476" s="31" t="str">
        <f aca="false">IF(S2476="","",I2476&amp;"|"&amp;S2476)</f>
        <v/>
      </c>
    </row>
    <row r="2477" customFormat="false" ht="15" hidden="false" customHeight="false" outlineLevel="0" collapsed="false">
      <c r="A2477" s="24" t="n">
        <v>2473</v>
      </c>
      <c r="B2477" s="25" t="str">
        <f aca="false">IF(OR(C2477="",I2477="",G2477=""),"",IFERROR(VLOOKUP(I2477,Setup!$A$9:$B$11,2,0),"???")&amp;"-"&amp;G2477&amp;"-"&amp;TEXT(COUNTIFS(I$5:I2477,I2477,G$5:G2477,G2477),"0000"))</f>
        <v/>
      </c>
      <c r="C2477" s="26"/>
      <c r="D2477" s="26"/>
      <c r="E2477" s="27"/>
      <c r="F2477" s="27"/>
      <c r="G2477" s="24" t="str">
        <f aca="false">IF(F2477="","",IF(F2477&lt;=5,"A",IF(F2477&lt;=8,"B",IF(F2477&lt;=10,"C","D"))))</f>
        <v/>
      </c>
      <c r="H2477" s="28"/>
      <c r="I2477" s="27"/>
      <c r="J2477" s="26"/>
      <c r="K2477" s="27"/>
      <c r="L2477" s="27"/>
      <c r="M2477" s="27"/>
      <c r="N2477" s="27"/>
      <c r="O2477" s="24" t="str">
        <f aca="false">IF(G2477="","",VLOOKUP(G2477,Setup!$A$14:$C$17,3,0))</f>
        <v/>
      </c>
      <c r="P2477" s="27"/>
      <c r="Q2477" s="29" t="str">
        <f aca="false">IF(OR(P2477="",M2477&lt;&gt;"Paid",O2477=""),"",P2477/O2477)</f>
        <v/>
      </c>
      <c r="R2477" s="30" t="str">
        <f aca="false">IF(Q2477="","",Q2477+N(H2477)*0.000000001)</f>
        <v/>
      </c>
      <c r="S2477" s="25" t="str">
        <f aca="false">IF(R2477="","",SUMPRODUCT((I$5:I$4004=I2477)*ISNUMBER(R$5:R$4004)*(R$5:R$4004&gt;R2477))+1)</f>
        <v/>
      </c>
      <c r="T2477" s="25" t="str">
        <f aca="false">IF(S2477="","",IF(S2477&lt;=Setup!$B$5,"🏆 WINNER",""))</f>
        <v/>
      </c>
      <c r="U2477" s="24" t="str">
        <f aca="false">IF(S2477="","",I2477&amp;"|"&amp;S2477)</f>
        <v/>
      </c>
    </row>
    <row r="2478" customFormat="false" ht="15" hidden="false" customHeight="false" outlineLevel="0" collapsed="false">
      <c r="A2478" s="31" t="n">
        <v>2474</v>
      </c>
      <c r="B2478" s="32" t="str">
        <f aca="false">IF(OR(C2478="",I2478="",G2478=""),"",IFERROR(VLOOKUP(I2478,Setup!$A$9:$B$11,2,0),"???")&amp;"-"&amp;G2478&amp;"-"&amp;TEXT(COUNTIFS(I$5:I2478,I2478,G$5:G2478,G2478),"0000"))</f>
        <v/>
      </c>
      <c r="C2478" s="26"/>
      <c r="D2478" s="26"/>
      <c r="E2478" s="27"/>
      <c r="F2478" s="27"/>
      <c r="G2478" s="31" t="str">
        <f aca="false">IF(F2478="","",IF(F2478&lt;=5,"A",IF(F2478&lt;=8,"B",IF(F2478&lt;=10,"C","D"))))</f>
        <v/>
      </c>
      <c r="H2478" s="28"/>
      <c r="I2478" s="27"/>
      <c r="J2478" s="26"/>
      <c r="K2478" s="27"/>
      <c r="L2478" s="27"/>
      <c r="M2478" s="27"/>
      <c r="N2478" s="27"/>
      <c r="O2478" s="31" t="str">
        <f aca="false">IF(G2478="","",VLOOKUP(G2478,Setup!$A$14:$C$17,3,0))</f>
        <v/>
      </c>
      <c r="P2478" s="27"/>
      <c r="Q2478" s="33" t="str">
        <f aca="false">IF(OR(P2478="",M2478&lt;&gt;"Paid",O2478=""),"",P2478/O2478)</f>
        <v/>
      </c>
      <c r="R2478" s="34" t="str">
        <f aca="false">IF(Q2478="","",Q2478+N(H2478)*0.000000001)</f>
        <v/>
      </c>
      <c r="S2478" s="32" t="str">
        <f aca="false">IF(R2478="","",SUMPRODUCT((I$5:I$4004=I2478)*ISNUMBER(R$5:R$4004)*(R$5:R$4004&gt;R2478))+1)</f>
        <v/>
      </c>
      <c r="T2478" s="32" t="str">
        <f aca="false">IF(S2478="","",IF(S2478&lt;=Setup!$B$5,"🏆 WINNER",""))</f>
        <v/>
      </c>
      <c r="U2478" s="31" t="str">
        <f aca="false">IF(S2478="","",I2478&amp;"|"&amp;S2478)</f>
        <v/>
      </c>
    </row>
    <row r="2479" customFormat="false" ht="15" hidden="false" customHeight="false" outlineLevel="0" collapsed="false">
      <c r="A2479" s="24" t="n">
        <v>2475</v>
      </c>
      <c r="B2479" s="25" t="str">
        <f aca="false">IF(OR(C2479="",I2479="",G2479=""),"",IFERROR(VLOOKUP(I2479,Setup!$A$9:$B$11,2,0),"???")&amp;"-"&amp;G2479&amp;"-"&amp;TEXT(COUNTIFS(I$5:I2479,I2479,G$5:G2479,G2479),"0000"))</f>
        <v/>
      </c>
      <c r="C2479" s="26"/>
      <c r="D2479" s="26"/>
      <c r="E2479" s="27"/>
      <c r="F2479" s="27"/>
      <c r="G2479" s="24" t="str">
        <f aca="false">IF(F2479="","",IF(F2479&lt;=5,"A",IF(F2479&lt;=8,"B",IF(F2479&lt;=10,"C","D"))))</f>
        <v/>
      </c>
      <c r="H2479" s="28"/>
      <c r="I2479" s="27"/>
      <c r="J2479" s="26"/>
      <c r="K2479" s="27"/>
      <c r="L2479" s="27"/>
      <c r="M2479" s="27"/>
      <c r="N2479" s="27"/>
      <c r="O2479" s="24" t="str">
        <f aca="false">IF(G2479="","",VLOOKUP(G2479,Setup!$A$14:$C$17,3,0))</f>
        <v/>
      </c>
      <c r="P2479" s="27"/>
      <c r="Q2479" s="29" t="str">
        <f aca="false">IF(OR(P2479="",M2479&lt;&gt;"Paid",O2479=""),"",P2479/O2479)</f>
        <v/>
      </c>
      <c r="R2479" s="30" t="str">
        <f aca="false">IF(Q2479="","",Q2479+N(H2479)*0.000000001)</f>
        <v/>
      </c>
      <c r="S2479" s="25" t="str">
        <f aca="false">IF(R2479="","",SUMPRODUCT((I$5:I$4004=I2479)*ISNUMBER(R$5:R$4004)*(R$5:R$4004&gt;R2479))+1)</f>
        <v/>
      </c>
      <c r="T2479" s="25" t="str">
        <f aca="false">IF(S2479="","",IF(S2479&lt;=Setup!$B$5,"🏆 WINNER",""))</f>
        <v/>
      </c>
      <c r="U2479" s="24" t="str">
        <f aca="false">IF(S2479="","",I2479&amp;"|"&amp;S2479)</f>
        <v/>
      </c>
    </row>
    <row r="2480" customFormat="false" ht="15" hidden="false" customHeight="false" outlineLevel="0" collapsed="false">
      <c r="A2480" s="31" t="n">
        <v>2476</v>
      </c>
      <c r="B2480" s="32" t="str">
        <f aca="false">IF(OR(C2480="",I2480="",G2480=""),"",IFERROR(VLOOKUP(I2480,Setup!$A$9:$B$11,2,0),"???")&amp;"-"&amp;G2480&amp;"-"&amp;TEXT(COUNTIFS(I$5:I2480,I2480,G$5:G2480,G2480),"0000"))</f>
        <v/>
      </c>
      <c r="C2480" s="26"/>
      <c r="D2480" s="26"/>
      <c r="E2480" s="27"/>
      <c r="F2480" s="27"/>
      <c r="G2480" s="31" t="str">
        <f aca="false">IF(F2480="","",IF(F2480&lt;=5,"A",IF(F2480&lt;=8,"B",IF(F2480&lt;=10,"C","D"))))</f>
        <v/>
      </c>
      <c r="H2480" s="28"/>
      <c r="I2480" s="27"/>
      <c r="J2480" s="26"/>
      <c r="K2480" s="27"/>
      <c r="L2480" s="27"/>
      <c r="M2480" s="27"/>
      <c r="N2480" s="27"/>
      <c r="O2480" s="31" t="str">
        <f aca="false">IF(G2480="","",VLOOKUP(G2480,Setup!$A$14:$C$17,3,0))</f>
        <v/>
      </c>
      <c r="P2480" s="27"/>
      <c r="Q2480" s="33" t="str">
        <f aca="false">IF(OR(P2480="",M2480&lt;&gt;"Paid",O2480=""),"",P2480/O2480)</f>
        <v/>
      </c>
      <c r="R2480" s="34" t="str">
        <f aca="false">IF(Q2480="","",Q2480+N(H2480)*0.000000001)</f>
        <v/>
      </c>
      <c r="S2480" s="32" t="str">
        <f aca="false">IF(R2480="","",SUMPRODUCT((I$5:I$4004=I2480)*ISNUMBER(R$5:R$4004)*(R$5:R$4004&gt;R2480))+1)</f>
        <v/>
      </c>
      <c r="T2480" s="32" t="str">
        <f aca="false">IF(S2480="","",IF(S2480&lt;=Setup!$B$5,"🏆 WINNER",""))</f>
        <v/>
      </c>
      <c r="U2480" s="31" t="str">
        <f aca="false">IF(S2480="","",I2480&amp;"|"&amp;S2480)</f>
        <v/>
      </c>
    </row>
    <row r="2481" customFormat="false" ht="15" hidden="false" customHeight="false" outlineLevel="0" collapsed="false">
      <c r="A2481" s="24" t="n">
        <v>2477</v>
      </c>
      <c r="B2481" s="25" t="str">
        <f aca="false">IF(OR(C2481="",I2481="",G2481=""),"",IFERROR(VLOOKUP(I2481,Setup!$A$9:$B$11,2,0),"???")&amp;"-"&amp;G2481&amp;"-"&amp;TEXT(COUNTIFS(I$5:I2481,I2481,G$5:G2481,G2481),"0000"))</f>
        <v/>
      </c>
      <c r="C2481" s="26"/>
      <c r="D2481" s="26"/>
      <c r="E2481" s="27"/>
      <c r="F2481" s="27"/>
      <c r="G2481" s="24" t="str">
        <f aca="false">IF(F2481="","",IF(F2481&lt;=5,"A",IF(F2481&lt;=8,"B",IF(F2481&lt;=10,"C","D"))))</f>
        <v/>
      </c>
      <c r="H2481" s="28"/>
      <c r="I2481" s="27"/>
      <c r="J2481" s="26"/>
      <c r="K2481" s="27"/>
      <c r="L2481" s="27"/>
      <c r="M2481" s="27"/>
      <c r="N2481" s="27"/>
      <c r="O2481" s="24" t="str">
        <f aca="false">IF(G2481="","",VLOOKUP(G2481,Setup!$A$14:$C$17,3,0))</f>
        <v/>
      </c>
      <c r="P2481" s="27"/>
      <c r="Q2481" s="29" t="str">
        <f aca="false">IF(OR(P2481="",M2481&lt;&gt;"Paid",O2481=""),"",P2481/O2481)</f>
        <v/>
      </c>
      <c r="R2481" s="30" t="str">
        <f aca="false">IF(Q2481="","",Q2481+N(H2481)*0.000000001)</f>
        <v/>
      </c>
      <c r="S2481" s="25" t="str">
        <f aca="false">IF(R2481="","",SUMPRODUCT((I$5:I$4004=I2481)*ISNUMBER(R$5:R$4004)*(R$5:R$4004&gt;R2481))+1)</f>
        <v/>
      </c>
      <c r="T2481" s="25" t="str">
        <f aca="false">IF(S2481="","",IF(S2481&lt;=Setup!$B$5,"🏆 WINNER",""))</f>
        <v/>
      </c>
      <c r="U2481" s="24" t="str">
        <f aca="false">IF(S2481="","",I2481&amp;"|"&amp;S2481)</f>
        <v/>
      </c>
    </row>
    <row r="2482" customFormat="false" ht="15" hidden="false" customHeight="false" outlineLevel="0" collapsed="false">
      <c r="A2482" s="31" t="n">
        <v>2478</v>
      </c>
      <c r="B2482" s="32" t="str">
        <f aca="false">IF(OR(C2482="",I2482="",G2482=""),"",IFERROR(VLOOKUP(I2482,Setup!$A$9:$B$11,2,0),"???")&amp;"-"&amp;G2482&amp;"-"&amp;TEXT(COUNTIFS(I$5:I2482,I2482,G$5:G2482,G2482),"0000"))</f>
        <v/>
      </c>
      <c r="C2482" s="26"/>
      <c r="D2482" s="26"/>
      <c r="E2482" s="27"/>
      <c r="F2482" s="27"/>
      <c r="G2482" s="31" t="str">
        <f aca="false">IF(F2482="","",IF(F2482&lt;=5,"A",IF(F2482&lt;=8,"B",IF(F2482&lt;=10,"C","D"))))</f>
        <v/>
      </c>
      <c r="H2482" s="28"/>
      <c r="I2482" s="27"/>
      <c r="J2482" s="26"/>
      <c r="K2482" s="27"/>
      <c r="L2482" s="27"/>
      <c r="M2482" s="27"/>
      <c r="N2482" s="27"/>
      <c r="O2482" s="31" t="str">
        <f aca="false">IF(G2482="","",VLOOKUP(G2482,Setup!$A$14:$C$17,3,0))</f>
        <v/>
      </c>
      <c r="P2482" s="27"/>
      <c r="Q2482" s="33" t="str">
        <f aca="false">IF(OR(P2482="",M2482&lt;&gt;"Paid",O2482=""),"",P2482/O2482)</f>
        <v/>
      </c>
      <c r="R2482" s="34" t="str">
        <f aca="false">IF(Q2482="","",Q2482+N(H2482)*0.000000001)</f>
        <v/>
      </c>
      <c r="S2482" s="32" t="str">
        <f aca="false">IF(R2482="","",SUMPRODUCT((I$5:I$4004=I2482)*ISNUMBER(R$5:R$4004)*(R$5:R$4004&gt;R2482))+1)</f>
        <v/>
      </c>
      <c r="T2482" s="32" t="str">
        <f aca="false">IF(S2482="","",IF(S2482&lt;=Setup!$B$5,"🏆 WINNER",""))</f>
        <v/>
      </c>
      <c r="U2482" s="31" t="str">
        <f aca="false">IF(S2482="","",I2482&amp;"|"&amp;S2482)</f>
        <v/>
      </c>
    </row>
    <row r="2483" customFormat="false" ht="15" hidden="false" customHeight="false" outlineLevel="0" collapsed="false">
      <c r="A2483" s="24" t="n">
        <v>2479</v>
      </c>
      <c r="B2483" s="25" t="str">
        <f aca="false">IF(OR(C2483="",I2483="",G2483=""),"",IFERROR(VLOOKUP(I2483,Setup!$A$9:$B$11,2,0),"???")&amp;"-"&amp;G2483&amp;"-"&amp;TEXT(COUNTIFS(I$5:I2483,I2483,G$5:G2483,G2483),"0000"))</f>
        <v/>
      </c>
      <c r="C2483" s="26"/>
      <c r="D2483" s="26"/>
      <c r="E2483" s="27"/>
      <c r="F2483" s="27"/>
      <c r="G2483" s="24" t="str">
        <f aca="false">IF(F2483="","",IF(F2483&lt;=5,"A",IF(F2483&lt;=8,"B",IF(F2483&lt;=10,"C","D"))))</f>
        <v/>
      </c>
      <c r="H2483" s="28"/>
      <c r="I2483" s="27"/>
      <c r="J2483" s="26"/>
      <c r="K2483" s="27"/>
      <c r="L2483" s="27"/>
      <c r="M2483" s="27"/>
      <c r="N2483" s="27"/>
      <c r="O2483" s="24" t="str">
        <f aca="false">IF(G2483="","",VLOOKUP(G2483,Setup!$A$14:$C$17,3,0))</f>
        <v/>
      </c>
      <c r="P2483" s="27"/>
      <c r="Q2483" s="29" t="str">
        <f aca="false">IF(OR(P2483="",M2483&lt;&gt;"Paid",O2483=""),"",P2483/O2483)</f>
        <v/>
      </c>
      <c r="R2483" s="30" t="str">
        <f aca="false">IF(Q2483="","",Q2483+N(H2483)*0.000000001)</f>
        <v/>
      </c>
      <c r="S2483" s="25" t="str">
        <f aca="false">IF(R2483="","",SUMPRODUCT((I$5:I$4004=I2483)*ISNUMBER(R$5:R$4004)*(R$5:R$4004&gt;R2483))+1)</f>
        <v/>
      </c>
      <c r="T2483" s="25" t="str">
        <f aca="false">IF(S2483="","",IF(S2483&lt;=Setup!$B$5,"🏆 WINNER",""))</f>
        <v/>
      </c>
      <c r="U2483" s="24" t="str">
        <f aca="false">IF(S2483="","",I2483&amp;"|"&amp;S2483)</f>
        <v/>
      </c>
    </row>
    <row r="2484" customFormat="false" ht="15" hidden="false" customHeight="false" outlineLevel="0" collapsed="false">
      <c r="A2484" s="31" t="n">
        <v>2480</v>
      </c>
      <c r="B2484" s="32" t="str">
        <f aca="false">IF(OR(C2484="",I2484="",G2484=""),"",IFERROR(VLOOKUP(I2484,Setup!$A$9:$B$11,2,0),"???")&amp;"-"&amp;G2484&amp;"-"&amp;TEXT(COUNTIFS(I$5:I2484,I2484,G$5:G2484,G2484),"0000"))</f>
        <v/>
      </c>
      <c r="C2484" s="26"/>
      <c r="D2484" s="26"/>
      <c r="E2484" s="27"/>
      <c r="F2484" s="27"/>
      <c r="G2484" s="31" t="str">
        <f aca="false">IF(F2484="","",IF(F2484&lt;=5,"A",IF(F2484&lt;=8,"B",IF(F2484&lt;=10,"C","D"))))</f>
        <v/>
      </c>
      <c r="H2484" s="28"/>
      <c r="I2484" s="27"/>
      <c r="J2484" s="26"/>
      <c r="K2484" s="27"/>
      <c r="L2484" s="27"/>
      <c r="M2484" s="27"/>
      <c r="N2484" s="27"/>
      <c r="O2484" s="31" t="str">
        <f aca="false">IF(G2484="","",VLOOKUP(G2484,Setup!$A$14:$C$17,3,0))</f>
        <v/>
      </c>
      <c r="P2484" s="27"/>
      <c r="Q2484" s="33" t="str">
        <f aca="false">IF(OR(P2484="",M2484&lt;&gt;"Paid",O2484=""),"",P2484/O2484)</f>
        <v/>
      </c>
      <c r="R2484" s="34" t="str">
        <f aca="false">IF(Q2484="","",Q2484+N(H2484)*0.000000001)</f>
        <v/>
      </c>
      <c r="S2484" s="32" t="str">
        <f aca="false">IF(R2484="","",SUMPRODUCT((I$5:I$4004=I2484)*ISNUMBER(R$5:R$4004)*(R$5:R$4004&gt;R2484))+1)</f>
        <v/>
      </c>
      <c r="T2484" s="32" t="str">
        <f aca="false">IF(S2484="","",IF(S2484&lt;=Setup!$B$5,"🏆 WINNER",""))</f>
        <v/>
      </c>
      <c r="U2484" s="31" t="str">
        <f aca="false">IF(S2484="","",I2484&amp;"|"&amp;S2484)</f>
        <v/>
      </c>
    </row>
    <row r="2485" customFormat="false" ht="15" hidden="false" customHeight="false" outlineLevel="0" collapsed="false">
      <c r="A2485" s="24" t="n">
        <v>2481</v>
      </c>
      <c r="B2485" s="25" t="str">
        <f aca="false">IF(OR(C2485="",I2485="",G2485=""),"",IFERROR(VLOOKUP(I2485,Setup!$A$9:$B$11,2,0),"???")&amp;"-"&amp;G2485&amp;"-"&amp;TEXT(COUNTIFS(I$5:I2485,I2485,G$5:G2485,G2485),"0000"))</f>
        <v/>
      </c>
      <c r="C2485" s="26"/>
      <c r="D2485" s="26"/>
      <c r="E2485" s="27"/>
      <c r="F2485" s="27"/>
      <c r="G2485" s="24" t="str">
        <f aca="false">IF(F2485="","",IF(F2485&lt;=5,"A",IF(F2485&lt;=8,"B",IF(F2485&lt;=10,"C","D"))))</f>
        <v/>
      </c>
      <c r="H2485" s="28"/>
      <c r="I2485" s="27"/>
      <c r="J2485" s="26"/>
      <c r="K2485" s="27"/>
      <c r="L2485" s="27"/>
      <c r="M2485" s="27"/>
      <c r="N2485" s="27"/>
      <c r="O2485" s="24" t="str">
        <f aca="false">IF(G2485="","",VLOOKUP(G2485,Setup!$A$14:$C$17,3,0))</f>
        <v/>
      </c>
      <c r="P2485" s="27"/>
      <c r="Q2485" s="29" t="str">
        <f aca="false">IF(OR(P2485="",M2485&lt;&gt;"Paid",O2485=""),"",P2485/O2485)</f>
        <v/>
      </c>
      <c r="R2485" s="30" t="str">
        <f aca="false">IF(Q2485="","",Q2485+N(H2485)*0.000000001)</f>
        <v/>
      </c>
      <c r="S2485" s="25" t="str">
        <f aca="false">IF(R2485="","",SUMPRODUCT((I$5:I$4004=I2485)*ISNUMBER(R$5:R$4004)*(R$5:R$4004&gt;R2485))+1)</f>
        <v/>
      </c>
      <c r="T2485" s="25" t="str">
        <f aca="false">IF(S2485="","",IF(S2485&lt;=Setup!$B$5,"🏆 WINNER",""))</f>
        <v/>
      </c>
      <c r="U2485" s="24" t="str">
        <f aca="false">IF(S2485="","",I2485&amp;"|"&amp;S2485)</f>
        <v/>
      </c>
    </row>
    <row r="2486" customFormat="false" ht="15" hidden="false" customHeight="false" outlineLevel="0" collapsed="false">
      <c r="A2486" s="31" t="n">
        <v>2482</v>
      </c>
      <c r="B2486" s="32" t="str">
        <f aca="false">IF(OR(C2486="",I2486="",G2486=""),"",IFERROR(VLOOKUP(I2486,Setup!$A$9:$B$11,2,0),"???")&amp;"-"&amp;G2486&amp;"-"&amp;TEXT(COUNTIFS(I$5:I2486,I2486,G$5:G2486,G2486),"0000"))</f>
        <v/>
      </c>
      <c r="C2486" s="26"/>
      <c r="D2486" s="26"/>
      <c r="E2486" s="27"/>
      <c r="F2486" s="27"/>
      <c r="G2486" s="31" t="str">
        <f aca="false">IF(F2486="","",IF(F2486&lt;=5,"A",IF(F2486&lt;=8,"B",IF(F2486&lt;=10,"C","D"))))</f>
        <v/>
      </c>
      <c r="H2486" s="28"/>
      <c r="I2486" s="27"/>
      <c r="J2486" s="26"/>
      <c r="K2486" s="27"/>
      <c r="L2486" s="27"/>
      <c r="M2486" s="27"/>
      <c r="N2486" s="27"/>
      <c r="O2486" s="31" t="str">
        <f aca="false">IF(G2486="","",VLOOKUP(G2486,Setup!$A$14:$C$17,3,0))</f>
        <v/>
      </c>
      <c r="P2486" s="27"/>
      <c r="Q2486" s="33" t="str">
        <f aca="false">IF(OR(P2486="",M2486&lt;&gt;"Paid",O2486=""),"",P2486/O2486)</f>
        <v/>
      </c>
      <c r="R2486" s="34" t="str">
        <f aca="false">IF(Q2486="","",Q2486+N(H2486)*0.000000001)</f>
        <v/>
      </c>
      <c r="S2486" s="32" t="str">
        <f aca="false">IF(R2486="","",SUMPRODUCT((I$5:I$4004=I2486)*ISNUMBER(R$5:R$4004)*(R$5:R$4004&gt;R2486))+1)</f>
        <v/>
      </c>
      <c r="T2486" s="32" t="str">
        <f aca="false">IF(S2486="","",IF(S2486&lt;=Setup!$B$5,"🏆 WINNER",""))</f>
        <v/>
      </c>
      <c r="U2486" s="31" t="str">
        <f aca="false">IF(S2486="","",I2486&amp;"|"&amp;S2486)</f>
        <v/>
      </c>
    </row>
    <row r="2487" customFormat="false" ht="15" hidden="false" customHeight="false" outlineLevel="0" collapsed="false">
      <c r="A2487" s="24" t="n">
        <v>2483</v>
      </c>
      <c r="B2487" s="25" t="str">
        <f aca="false">IF(OR(C2487="",I2487="",G2487=""),"",IFERROR(VLOOKUP(I2487,Setup!$A$9:$B$11,2,0),"???")&amp;"-"&amp;G2487&amp;"-"&amp;TEXT(COUNTIFS(I$5:I2487,I2487,G$5:G2487,G2487),"0000"))</f>
        <v/>
      </c>
      <c r="C2487" s="26"/>
      <c r="D2487" s="26"/>
      <c r="E2487" s="27"/>
      <c r="F2487" s="27"/>
      <c r="G2487" s="24" t="str">
        <f aca="false">IF(F2487="","",IF(F2487&lt;=5,"A",IF(F2487&lt;=8,"B",IF(F2487&lt;=10,"C","D"))))</f>
        <v/>
      </c>
      <c r="H2487" s="28"/>
      <c r="I2487" s="27"/>
      <c r="J2487" s="26"/>
      <c r="K2487" s="27"/>
      <c r="L2487" s="27"/>
      <c r="M2487" s="27"/>
      <c r="N2487" s="27"/>
      <c r="O2487" s="24" t="str">
        <f aca="false">IF(G2487="","",VLOOKUP(G2487,Setup!$A$14:$C$17,3,0))</f>
        <v/>
      </c>
      <c r="P2487" s="27"/>
      <c r="Q2487" s="29" t="str">
        <f aca="false">IF(OR(P2487="",M2487&lt;&gt;"Paid",O2487=""),"",P2487/O2487)</f>
        <v/>
      </c>
      <c r="R2487" s="30" t="str">
        <f aca="false">IF(Q2487="","",Q2487+N(H2487)*0.000000001)</f>
        <v/>
      </c>
      <c r="S2487" s="25" t="str">
        <f aca="false">IF(R2487="","",SUMPRODUCT((I$5:I$4004=I2487)*ISNUMBER(R$5:R$4004)*(R$5:R$4004&gt;R2487))+1)</f>
        <v/>
      </c>
      <c r="T2487" s="25" t="str">
        <f aca="false">IF(S2487="","",IF(S2487&lt;=Setup!$B$5,"🏆 WINNER",""))</f>
        <v/>
      </c>
      <c r="U2487" s="24" t="str">
        <f aca="false">IF(S2487="","",I2487&amp;"|"&amp;S2487)</f>
        <v/>
      </c>
    </row>
    <row r="2488" customFormat="false" ht="15" hidden="false" customHeight="false" outlineLevel="0" collapsed="false">
      <c r="A2488" s="31" t="n">
        <v>2484</v>
      </c>
      <c r="B2488" s="32" t="str">
        <f aca="false">IF(OR(C2488="",I2488="",G2488=""),"",IFERROR(VLOOKUP(I2488,Setup!$A$9:$B$11,2,0),"???")&amp;"-"&amp;G2488&amp;"-"&amp;TEXT(COUNTIFS(I$5:I2488,I2488,G$5:G2488,G2488),"0000"))</f>
        <v/>
      </c>
      <c r="C2488" s="26"/>
      <c r="D2488" s="26"/>
      <c r="E2488" s="27"/>
      <c r="F2488" s="27"/>
      <c r="G2488" s="31" t="str">
        <f aca="false">IF(F2488="","",IF(F2488&lt;=5,"A",IF(F2488&lt;=8,"B",IF(F2488&lt;=10,"C","D"))))</f>
        <v/>
      </c>
      <c r="H2488" s="28"/>
      <c r="I2488" s="27"/>
      <c r="J2488" s="26"/>
      <c r="K2488" s="27"/>
      <c r="L2488" s="27"/>
      <c r="M2488" s="27"/>
      <c r="N2488" s="27"/>
      <c r="O2488" s="31" t="str">
        <f aca="false">IF(G2488="","",VLOOKUP(G2488,Setup!$A$14:$C$17,3,0))</f>
        <v/>
      </c>
      <c r="P2488" s="27"/>
      <c r="Q2488" s="33" t="str">
        <f aca="false">IF(OR(P2488="",M2488&lt;&gt;"Paid",O2488=""),"",P2488/O2488)</f>
        <v/>
      </c>
      <c r="R2488" s="34" t="str">
        <f aca="false">IF(Q2488="","",Q2488+N(H2488)*0.000000001)</f>
        <v/>
      </c>
      <c r="S2488" s="32" t="str">
        <f aca="false">IF(R2488="","",SUMPRODUCT((I$5:I$4004=I2488)*ISNUMBER(R$5:R$4004)*(R$5:R$4004&gt;R2488))+1)</f>
        <v/>
      </c>
      <c r="T2488" s="32" t="str">
        <f aca="false">IF(S2488="","",IF(S2488&lt;=Setup!$B$5,"🏆 WINNER",""))</f>
        <v/>
      </c>
      <c r="U2488" s="31" t="str">
        <f aca="false">IF(S2488="","",I2488&amp;"|"&amp;S2488)</f>
        <v/>
      </c>
    </row>
    <row r="2489" customFormat="false" ht="15" hidden="false" customHeight="false" outlineLevel="0" collapsed="false">
      <c r="A2489" s="24" t="n">
        <v>2485</v>
      </c>
      <c r="B2489" s="25" t="str">
        <f aca="false">IF(OR(C2489="",I2489="",G2489=""),"",IFERROR(VLOOKUP(I2489,Setup!$A$9:$B$11,2,0),"???")&amp;"-"&amp;G2489&amp;"-"&amp;TEXT(COUNTIFS(I$5:I2489,I2489,G$5:G2489,G2489),"0000"))</f>
        <v/>
      </c>
      <c r="C2489" s="26"/>
      <c r="D2489" s="26"/>
      <c r="E2489" s="27"/>
      <c r="F2489" s="27"/>
      <c r="G2489" s="24" t="str">
        <f aca="false">IF(F2489="","",IF(F2489&lt;=5,"A",IF(F2489&lt;=8,"B",IF(F2489&lt;=10,"C","D"))))</f>
        <v/>
      </c>
      <c r="H2489" s="28"/>
      <c r="I2489" s="27"/>
      <c r="J2489" s="26"/>
      <c r="K2489" s="27"/>
      <c r="L2489" s="27"/>
      <c r="M2489" s="27"/>
      <c r="N2489" s="27"/>
      <c r="O2489" s="24" t="str">
        <f aca="false">IF(G2489="","",VLOOKUP(G2489,Setup!$A$14:$C$17,3,0))</f>
        <v/>
      </c>
      <c r="P2489" s="27"/>
      <c r="Q2489" s="29" t="str">
        <f aca="false">IF(OR(P2489="",M2489&lt;&gt;"Paid",O2489=""),"",P2489/O2489)</f>
        <v/>
      </c>
      <c r="R2489" s="30" t="str">
        <f aca="false">IF(Q2489="","",Q2489+N(H2489)*0.000000001)</f>
        <v/>
      </c>
      <c r="S2489" s="25" t="str">
        <f aca="false">IF(R2489="","",SUMPRODUCT((I$5:I$4004=I2489)*ISNUMBER(R$5:R$4004)*(R$5:R$4004&gt;R2489))+1)</f>
        <v/>
      </c>
      <c r="T2489" s="25" t="str">
        <f aca="false">IF(S2489="","",IF(S2489&lt;=Setup!$B$5,"🏆 WINNER",""))</f>
        <v/>
      </c>
      <c r="U2489" s="24" t="str">
        <f aca="false">IF(S2489="","",I2489&amp;"|"&amp;S2489)</f>
        <v/>
      </c>
    </row>
    <row r="2490" customFormat="false" ht="15" hidden="false" customHeight="false" outlineLevel="0" collapsed="false">
      <c r="A2490" s="31" t="n">
        <v>2486</v>
      </c>
      <c r="B2490" s="32" t="str">
        <f aca="false">IF(OR(C2490="",I2490="",G2490=""),"",IFERROR(VLOOKUP(I2490,Setup!$A$9:$B$11,2,0),"???")&amp;"-"&amp;G2490&amp;"-"&amp;TEXT(COUNTIFS(I$5:I2490,I2490,G$5:G2490,G2490),"0000"))</f>
        <v/>
      </c>
      <c r="C2490" s="26"/>
      <c r="D2490" s="26"/>
      <c r="E2490" s="27"/>
      <c r="F2490" s="27"/>
      <c r="G2490" s="31" t="str">
        <f aca="false">IF(F2490="","",IF(F2490&lt;=5,"A",IF(F2490&lt;=8,"B",IF(F2490&lt;=10,"C","D"))))</f>
        <v/>
      </c>
      <c r="H2490" s="28"/>
      <c r="I2490" s="27"/>
      <c r="J2490" s="26"/>
      <c r="K2490" s="27"/>
      <c r="L2490" s="27"/>
      <c r="M2490" s="27"/>
      <c r="N2490" s="27"/>
      <c r="O2490" s="31" t="str">
        <f aca="false">IF(G2490="","",VLOOKUP(G2490,Setup!$A$14:$C$17,3,0))</f>
        <v/>
      </c>
      <c r="P2490" s="27"/>
      <c r="Q2490" s="33" t="str">
        <f aca="false">IF(OR(P2490="",M2490&lt;&gt;"Paid",O2490=""),"",P2490/O2490)</f>
        <v/>
      </c>
      <c r="R2490" s="34" t="str">
        <f aca="false">IF(Q2490="","",Q2490+N(H2490)*0.000000001)</f>
        <v/>
      </c>
      <c r="S2490" s="32" t="str">
        <f aca="false">IF(R2490="","",SUMPRODUCT((I$5:I$4004=I2490)*ISNUMBER(R$5:R$4004)*(R$5:R$4004&gt;R2490))+1)</f>
        <v/>
      </c>
      <c r="T2490" s="32" t="str">
        <f aca="false">IF(S2490="","",IF(S2490&lt;=Setup!$B$5,"🏆 WINNER",""))</f>
        <v/>
      </c>
      <c r="U2490" s="31" t="str">
        <f aca="false">IF(S2490="","",I2490&amp;"|"&amp;S2490)</f>
        <v/>
      </c>
    </row>
    <row r="2491" customFormat="false" ht="15" hidden="false" customHeight="false" outlineLevel="0" collapsed="false">
      <c r="A2491" s="24" t="n">
        <v>2487</v>
      </c>
      <c r="B2491" s="25" t="str">
        <f aca="false">IF(OR(C2491="",I2491="",G2491=""),"",IFERROR(VLOOKUP(I2491,Setup!$A$9:$B$11,2,0),"???")&amp;"-"&amp;G2491&amp;"-"&amp;TEXT(COUNTIFS(I$5:I2491,I2491,G$5:G2491,G2491),"0000"))</f>
        <v/>
      </c>
      <c r="C2491" s="26"/>
      <c r="D2491" s="26"/>
      <c r="E2491" s="27"/>
      <c r="F2491" s="27"/>
      <c r="G2491" s="24" t="str">
        <f aca="false">IF(F2491="","",IF(F2491&lt;=5,"A",IF(F2491&lt;=8,"B",IF(F2491&lt;=10,"C","D"))))</f>
        <v/>
      </c>
      <c r="H2491" s="28"/>
      <c r="I2491" s="27"/>
      <c r="J2491" s="26"/>
      <c r="K2491" s="27"/>
      <c r="L2491" s="27"/>
      <c r="M2491" s="27"/>
      <c r="N2491" s="27"/>
      <c r="O2491" s="24" t="str">
        <f aca="false">IF(G2491="","",VLOOKUP(G2491,Setup!$A$14:$C$17,3,0))</f>
        <v/>
      </c>
      <c r="P2491" s="27"/>
      <c r="Q2491" s="29" t="str">
        <f aca="false">IF(OR(P2491="",M2491&lt;&gt;"Paid",O2491=""),"",P2491/O2491)</f>
        <v/>
      </c>
      <c r="R2491" s="30" t="str">
        <f aca="false">IF(Q2491="","",Q2491+N(H2491)*0.000000001)</f>
        <v/>
      </c>
      <c r="S2491" s="25" t="str">
        <f aca="false">IF(R2491="","",SUMPRODUCT((I$5:I$4004=I2491)*ISNUMBER(R$5:R$4004)*(R$5:R$4004&gt;R2491))+1)</f>
        <v/>
      </c>
      <c r="T2491" s="25" t="str">
        <f aca="false">IF(S2491="","",IF(S2491&lt;=Setup!$B$5,"🏆 WINNER",""))</f>
        <v/>
      </c>
      <c r="U2491" s="24" t="str">
        <f aca="false">IF(S2491="","",I2491&amp;"|"&amp;S2491)</f>
        <v/>
      </c>
    </row>
    <row r="2492" customFormat="false" ht="15" hidden="false" customHeight="false" outlineLevel="0" collapsed="false">
      <c r="A2492" s="31" t="n">
        <v>2488</v>
      </c>
      <c r="B2492" s="32" t="str">
        <f aca="false">IF(OR(C2492="",I2492="",G2492=""),"",IFERROR(VLOOKUP(I2492,Setup!$A$9:$B$11,2,0),"???")&amp;"-"&amp;G2492&amp;"-"&amp;TEXT(COUNTIFS(I$5:I2492,I2492,G$5:G2492,G2492),"0000"))</f>
        <v/>
      </c>
      <c r="C2492" s="26"/>
      <c r="D2492" s="26"/>
      <c r="E2492" s="27"/>
      <c r="F2492" s="27"/>
      <c r="G2492" s="31" t="str">
        <f aca="false">IF(F2492="","",IF(F2492&lt;=5,"A",IF(F2492&lt;=8,"B",IF(F2492&lt;=10,"C","D"))))</f>
        <v/>
      </c>
      <c r="H2492" s="28"/>
      <c r="I2492" s="27"/>
      <c r="J2492" s="26"/>
      <c r="K2492" s="27"/>
      <c r="L2492" s="27"/>
      <c r="M2492" s="27"/>
      <c r="N2492" s="27"/>
      <c r="O2492" s="31" t="str">
        <f aca="false">IF(G2492="","",VLOOKUP(G2492,Setup!$A$14:$C$17,3,0))</f>
        <v/>
      </c>
      <c r="P2492" s="27"/>
      <c r="Q2492" s="33" t="str">
        <f aca="false">IF(OR(P2492="",M2492&lt;&gt;"Paid",O2492=""),"",P2492/O2492)</f>
        <v/>
      </c>
      <c r="R2492" s="34" t="str">
        <f aca="false">IF(Q2492="","",Q2492+N(H2492)*0.000000001)</f>
        <v/>
      </c>
      <c r="S2492" s="32" t="str">
        <f aca="false">IF(R2492="","",SUMPRODUCT((I$5:I$4004=I2492)*ISNUMBER(R$5:R$4004)*(R$5:R$4004&gt;R2492))+1)</f>
        <v/>
      </c>
      <c r="T2492" s="32" t="str">
        <f aca="false">IF(S2492="","",IF(S2492&lt;=Setup!$B$5,"🏆 WINNER",""))</f>
        <v/>
      </c>
      <c r="U2492" s="31" t="str">
        <f aca="false">IF(S2492="","",I2492&amp;"|"&amp;S2492)</f>
        <v/>
      </c>
    </row>
    <row r="2493" customFormat="false" ht="15" hidden="false" customHeight="false" outlineLevel="0" collapsed="false">
      <c r="A2493" s="24" t="n">
        <v>2489</v>
      </c>
      <c r="B2493" s="25" t="str">
        <f aca="false">IF(OR(C2493="",I2493="",G2493=""),"",IFERROR(VLOOKUP(I2493,Setup!$A$9:$B$11,2,0),"???")&amp;"-"&amp;G2493&amp;"-"&amp;TEXT(COUNTIFS(I$5:I2493,I2493,G$5:G2493,G2493),"0000"))</f>
        <v/>
      </c>
      <c r="C2493" s="26"/>
      <c r="D2493" s="26"/>
      <c r="E2493" s="27"/>
      <c r="F2493" s="27"/>
      <c r="G2493" s="24" t="str">
        <f aca="false">IF(F2493="","",IF(F2493&lt;=5,"A",IF(F2493&lt;=8,"B",IF(F2493&lt;=10,"C","D"))))</f>
        <v/>
      </c>
      <c r="H2493" s="28"/>
      <c r="I2493" s="27"/>
      <c r="J2493" s="26"/>
      <c r="K2493" s="27"/>
      <c r="L2493" s="27"/>
      <c r="M2493" s="27"/>
      <c r="N2493" s="27"/>
      <c r="O2493" s="24" t="str">
        <f aca="false">IF(G2493="","",VLOOKUP(G2493,Setup!$A$14:$C$17,3,0))</f>
        <v/>
      </c>
      <c r="P2493" s="27"/>
      <c r="Q2493" s="29" t="str">
        <f aca="false">IF(OR(P2493="",M2493&lt;&gt;"Paid",O2493=""),"",P2493/O2493)</f>
        <v/>
      </c>
      <c r="R2493" s="30" t="str">
        <f aca="false">IF(Q2493="","",Q2493+N(H2493)*0.000000001)</f>
        <v/>
      </c>
      <c r="S2493" s="25" t="str">
        <f aca="false">IF(R2493="","",SUMPRODUCT((I$5:I$4004=I2493)*ISNUMBER(R$5:R$4004)*(R$5:R$4004&gt;R2493))+1)</f>
        <v/>
      </c>
      <c r="T2493" s="25" t="str">
        <f aca="false">IF(S2493="","",IF(S2493&lt;=Setup!$B$5,"🏆 WINNER",""))</f>
        <v/>
      </c>
      <c r="U2493" s="24" t="str">
        <f aca="false">IF(S2493="","",I2493&amp;"|"&amp;S2493)</f>
        <v/>
      </c>
    </row>
    <row r="2494" customFormat="false" ht="15" hidden="false" customHeight="false" outlineLevel="0" collapsed="false">
      <c r="A2494" s="31" t="n">
        <v>2490</v>
      </c>
      <c r="B2494" s="32" t="str">
        <f aca="false">IF(OR(C2494="",I2494="",G2494=""),"",IFERROR(VLOOKUP(I2494,Setup!$A$9:$B$11,2,0),"???")&amp;"-"&amp;G2494&amp;"-"&amp;TEXT(COUNTIFS(I$5:I2494,I2494,G$5:G2494,G2494),"0000"))</f>
        <v/>
      </c>
      <c r="C2494" s="26"/>
      <c r="D2494" s="26"/>
      <c r="E2494" s="27"/>
      <c r="F2494" s="27"/>
      <c r="G2494" s="31" t="str">
        <f aca="false">IF(F2494="","",IF(F2494&lt;=5,"A",IF(F2494&lt;=8,"B",IF(F2494&lt;=10,"C","D"))))</f>
        <v/>
      </c>
      <c r="H2494" s="28"/>
      <c r="I2494" s="27"/>
      <c r="J2494" s="26"/>
      <c r="K2494" s="27"/>
      <c r="L2494" s="27"/>
      <c r="M2494" s="27"/>
      <c r="N2494" s="27"/>
      <c r="O2494" s="31" t="str">
        <f aca="false">IF(G2494="","",VLOOKUP(G2494,Setup!$A$14:$C$17,3,0))</f>
        <v/>
      </c>
      <c r="P2494" s="27"/>
      <c r="Q2494" s="33" t="str">
        <f aca="false">IF(OR(P2494="",M2494&lt;&gt;"Paid",O2494=""),"",P2494/O2494)</f>
        <v/>
      </c>
      <c r="R2494" s="34" t="str">
        <f aca="false">IF(Q2494="","",Q2494+N(H2494)*0.000000001)</f>
        <v/>
      </c>
      <c r="S2494" s="32" t="str">
        <f aca="false">IF(R2494="","",SUMPRODUCT((I$5:I$4004=I2494)*ISNUMBER(R$5:R$4004)*(R$5:R$4004&gt;R2494))+1)</f>
        <v/>
      </c>
      <c r="T2494" s="32" t="str">
        <f aca="false">IF(S2494="","",IF(S2494&lt;=Setup!$B$5,"🏆 WINNER",""))</f>
        <v/>
      </c>
      <c r="U2494" s="31" t="str">
        <f aca="false">IF(S2494="","",I2494&amp;"|"&amp;S2494)</f>
        <v/>
      </c>
    </row>
    <row r="2495" customFormat="false" ht="15" hidden="false" customHeight="false" outlineLevel="0" collapsed="false">
      <c r="A2495" s="24" t="n">
        <v>2491</v>
      </c>
      <c r="B2495" s="25" t="str">
        <f aca="false">IF(OR(C2495="",I2495="",G2495=""),"",IFERROR(VLOOKUP(I2495,Setup!$A$9:$B$11,2,0),"???")&amp;"-"&amp;G2495&amp;"-"&amp;TEXT(COUNTIFS(I$5:I2495,I2495,G$5:G2495,G2495),"0000"))</f>
        <v/>
      </c>
      <c r="C2495" s="26"/>
      <c r="D2495" s="26"/>
      <c r="E2495" s="27"/>
      <c r="F2495" s="27"/>
      <c r="G2495" s="24" t="str">
        <f aca="false">IF(F2495="","",IF(F2495&lt;=5,"A",IF(F2495&lt;=8,"B",IF(F2495&lt;=10,"C","D"))))</f>
        <v/>
      </c>
      <c r="H2495" s="28"/>
      <c r="I2495" s="27"/>
      <c r="J2495" s="26"/>
      <c r="K2495" s="27"/>
      <c r="L2495" s="27"/>
      <c r="M2495" s="27"/>
      <c r="N2495" s="27"/>
      <c r="O2495" s="24" t="str">
        <f aca="false">IF(G2495="","",VLOOKUP(G2495,Setup!$A$14:$C$17,3,0))</f>
        <v/>
      </c>
      <c r="P2495" s="27"/>
      <c r="Q2495" s="29" t="str">
        <f aca="false">IF(OR(P2495="",M2495&lt;&gt;"Paid",O2495=""),"",P2495/O2495)</f>
        <v/>
      </c>
      <c r="R2495" s="30" t="str">
        <f aca="false">IF(Q2495="","",Q2495+N(H2495)*0.000000001)</f>
        <v/>
      </c>
      <c r="S2495" s="25" t="str">
        <f aca="false">IF(R2495="","",SUMPRODUCT((I$5:I$4004=I2495)*ISNUMBER(R$5:R$4004)*(R$5:R$4004&gt;R2495))+1)</f>
        <v/>
      </c>
      <c r="T2495" s="25" t="str">
        <f aca="false">IF(S2495="","",IF(S2495&lt;=Setup!$B$5,"🏆 WINNER",""))</f>
        <v/>
      </c>
      <c r="U2495" s="24" t="str">
        <f aca="false">IF(S2495="","",I2495&amp;"|"&amp;S2495)</f>
        <v/>
      </c>
    </row>
    <row r="2496" customFormat="false" ht="15" hidden="false" customHeight="false" outlineLevel="0" collapsed="false">
      <c r="A2496" s="31" t="n">
        <v>2492</v>
      </c>
      <c r="B2496" s="32" t="str">
        <f aca="false">IF(OR(C2496="",I2496="",G2496=""),"",IFERROR(VLOOKUP(I2496,Setup!$A$9:$B$11,2,0),"???")&amp;"-"&amp;G2496&amp;"-"&amp;TEXT(COUNTIFS(I$5:I2496,I2496,G$5:G2496,G2496),"0000"))</f>
        <v/>
      </c>
      <c r="C2496" s="26"/>
      <c r="D2496" s="26"/>
      <c r="E2496" s="27"/>
      <c r="F2496" s="27"/>
      <c r="G2496" s="31" t="str">
        <f aca="false">IF(F2496="","",IF(F2496&lt;=5,"A",IF(F2496&lt;=8,"B",IF(F2496&lt;=10,"C","D"))))</f>
        <v/>
      </c>
      <c r="H2496" s="28"/>
      <c r="I2496" s="27"/>
      <c r="J2496" s="26"/>
      <c r="K2496" s="27"/>
      <c r="L2496" s="27"/>
      <c r="M2496" s="27"/>
      <c r="N2496" s="27"/>
      <c r="O2496" s="31" t="str">
        <f aca="false">IF(G2496="","",VLOOKUP(G2496,Setup!$A$14:$C$17,3,0))</f>
        <v/>
      </c>
      <c r="P2496" s="27"/>
      <c r="Q2496" s="33" t="str">
        <f aca="false">IF(OR(P2496="",M2496&lt;&gt;"Paid",O2496=""),"",P2496/O2496)</f>
        <v/>
      </c>
      <c r="R2496" s="34" t="str">
        <f aca="false">IF(Q2496="","",Q2496+N(H2496)*0.000000001)</f>
        <v/>
      </c>
      <c r="S2496" s="32" t="str">
        <f aca="false">IF(R2496="","",SUMPRODUCT((I$5:I$4004=I2496)*ISNUMBER(R$5:R$4004)*(R$5:R$4004&gt;R2496))+1)</f>
        <v/>
      </c>
      <c r="T2496" s="32" t="str">
        <f aca="false">IF(S2496="","",IF(S2496&lt;=Setup!$B$5,"🏆 WINNER",""))</f>
        <v/>
      </c>
      <c r="U2496" s="31" t="str">
        <f aca="false">IF(S2496="","",I2496&amp;"|"&amp;S2496)</f>
        <v/>
      </c>
    </row>
    <row r="2497" customFormat="false" ht="15" hidden="false" customHeight="false" outlineLevel="0" collapsed="false">
      <c r="A2497" s="24" t="n">
        <v>2493</v>
      </c>
      <c r="B2497" s="25" t="str">
        <f aca="false">IF(OR(C2497="",I2497="",G2497=""),"",IFERROR(VLOOKUP(I2497,Setup!$A$9:$B$11,2,0),"???")&amp;"-"&amp;G2497&amp;"-"&amp;TEXT(COUNTIFS(I$5:I2497,I2497,G$5:G2497,G2497),"0000"))</f>
        <v/>
      </c>
      <c r="C2497" s="26"/>
      <c r="D2497" s="26"/>
      <c r="E2497" s="27"/>
      <c r="F2497" s="27"/>
      <c r="G2497" s="24" t="str">
        <f aca="false">IF(F2497="","",IF(F2497&lt;=5,"A",IF(F2497&lt;=8,"B",IF(F2497&lt;=10,"C","D"))))</f>
        <v/>
      </c>
      <c r="H2497" s="28"/>
      <c r="I2497" s="27"/>
      <c r="J2497" s="26"/>
      <c r="K2497" s="27"/>
      <c r="L2497" s="27"/>
      <c r="M2497" s="27"/>
      <c r="N2497" s="27"/>
      <c r="O2497" s="24" t="str">
        <f aca="false">IF(G2497="","",VLOOKUP(G2497,Setup!$A$14:$C$17,3,0))</f>
        <v/>
      </c>
      <c r="P2497" s="27"/>
      <c r="Q2497" s="29" t="str">
        <f aca="false">IF(OR(P2497="",M2497&lt;&gt;"Paid",O2497=""),"",P2497/O2497)</f>
        <v/>
      </c>
      <c r="R2497" s="30" t="str">
        <f aca="false">IF(Q2497="","",Q2497+N(H2497)*0.000000001)</f>
        <v/>
      </c>
      <c r="S2497" s="25" t="str">
        <f aca="false">IF(R2497="","",SUMPRODUCT((I$5:I$4004=I2497)*ISNUMBER(R$5:R$4004)*(R$5:R$4004&gt;R2497))+1)</f>
        <v/>
      </c>
      <c r="T2497" s="25" t="str">
        <f aca="false">IF(S2497="","",IF(S2497&lt;=Setup!$B$5,"🏆 WINNER",""))</f>
        <v/>
      </c>
      <c r="U2497" s="24" t="str">
        <f aca="false">IF(S2497="","",I2497&amp;"|"&amp;S2497)</f>
        <v/>
      </c>
    </row>
    <row r="2498" customFormat="false" ht="15" hidden="false" customHeight="false" outlineLevel="0" collapsed="false">
      <c r="A2498" s="31" t="n">
        <v>2494</v>
      </c>
      <c r="B2498" s="32" t="str">
        <f aca="false">IF(OR(C2498="",I2498="",G2498=""),"",IFERROR(VLOOKUP(I2498,Setup!$A$9:$B$11,2,0),"???")&amp;"-"&amp;G2498&amp;"-"&amp;TEXT(COUNTIFS(I$5:I2498,I2498,G$5:G2498,G2498),"0000"))</f>
        <v/>
      </c>
      <c r="C2498" s="26"/>
      <c r="D2498" s="26"/>
      <c r="E2498" s="27"/>
      <c r="F2498" s="27"/>
      <c r="G2498" s="31" t="str">
        <f aca="false">IF(F2498="","",IF(F2498&lt;=5,"A",IF(F2498&lt;=8,"B",IF(F2498&lt;=10,"C","D"))))</f>
        <v/>
      </c>
      <c r="H2498" s="28"/>
      <c r="I2498" s="27"/>
      <c r="J2498" s="26"/>
      <c r="K2498" s="27"/>
      <c r="L2498" s="27"/>
      <c r="M2498" s="27"/>
      <c r="N2498" s="27"/>
      <c r="O2498" s="31" t="str">
        <f aca="false">IF(G2498="","",VLOOKUP(G2498,Setup!$A$14:$C$17,3,0))</f>
        <v/>
      </c>
      <c r="P2498" s="27"/>
      <c r="Q2498" s="33" t="str">
        <f aca="false">IF(OR(P2498="",M2498&lt;&gt;"Paid",O2498=""),"",P2498/O2498)</f>
        <v/>
      </c>
      <c r="R2498" s="34" t="str">
        <f aca="false">IF(Q2498="","",Q2498+N(H2498)*0.000000001)</f>
        <v/>
      </c>
      <c r="S2498" s="32" t="str">
        <f aca="false">IF(R2498="","",SUMPRODUCT((I$5:I$4004=I2498)*ISNUMBER(R$5:R$4004)*(R$5:R$4004&gt;R2498))+1)</f>
        <v/>
      </c>
      <c r="T2498" s="32" t="str">
        <f aca="false">IF(S2498="","",IF(S2498&lt;=Setup!$B$5,"🏆 WINNER",""))</f>
        <v/>
      </c>
      <c r="U2498" s="31" t="str">
        <f aca="false">IF(S2498="","",I2498&amp;"|"&amp;S2498)</f>
        <v/>
      </c>
    </row>
    <row r="2499" customFormat="false" ht="15" hidden="false" customHeight="false" outlineLevel="0" collapsed="false">
      <c r="A2499" s="24" t="n">
        <v>2495</v>
      </c>
      <c r="B2499" s="25" t="str">
        <f aca="false">IF(OR(C2499="",I2499="",G2499=""),"",IFERROR(VLOOKUP(I2499,Setup!$A$9:$B$11,2,0),"???")&amp;"-"&amp;G2499&amp;"-"&amp;TEXT(COUNTIFS(I$5:I2499,I2499,G$5:G2499,G2499),"0000"))</f>
        <v/>
      </c>
      <c r="C2499" s="26"/>
      <c r="D2499" s="26"/>
      <c r="E2499" s="27"/>
      <c r="F2499" s="27"/>
      <c r="G2499" s="24" t="str">
        <f aca="false">IF(F2499="","",IF(F2499&lt;=5,"A",IF(F2499&lt;=8,"B",IF(F2499&lt;=10,"C","D"))))</f>
        <v/>
      </c>
      <c r="H2499" s="28"/>
      <c r="I2499" s="27"/>
      <c r="J2499" s="26"/>
      <c r="K2499" s="27"/>
      <c r="L2499" s="27"/>
      <c r="M2499" s="27"/>
      <c r="N2499" s="27"/>
      <c r="O2499" s="24" t="str">
        <f aca="false">IF(G2499="","",VLOOKUP(G2499,Setup!$A$14:$C$17,3,0))</f>
        <v/>
      </c>
      <c r="P2499" s="27"/>
      <c r="Q2499" s="29" t="str">
        <f aca="false">IF(OR(P2499="",M2499&lt;&gt;"Paid",O2499=""),"",P2499/O2499)</f>
        <v/>
      </c>
      <c r="R2499" s="30" t="str">
        <f aca="false">IF(Q2499="","",Q2499+N(H2499)*0.000000001)</f>
        <v/>
      </c>
      <c r="S2499" s="25" t="str">
        <f aca="false">IF(R2499="","",SUMPRODUCT((I$5:I$4004=I2499)*ISNUMBER(R$5:R$4004)*(R$5:R$4004&gt;R2499))+1)</f>
        <v/>
      </c>
      <c r="T2499" s="25" t="str">
        <f aca="false">IF(S2499="","",IF(S2499&lt;=Setup!$B$5,"🏆 WINNER",""))</f>
        <v/>
      </c>
      <c r="U2499" s="24" t="str">
        <f aca="false">IF(S2499="","",I2499&amp;"|"&amp;S2499)</f>
        <v/>
      </c>
    </row>
    <row r="2500" customFormat="false" ht="15" hidden="false" customHeight="false" outlineLevel="0" collapsed="false">
      <c r="A2500" s="31" t="n">
        <v>2496</v>
      </c>
      <c r="B2500" s="32" t="str">
        <f aca="false">IF(OR(C2500="",I2500="",G2500=""),"",IFERROR(VLOOKUP(I2500,Setup!$A$9:$B$11,2,0),"???")&amp;"-"&amp;G2500&amp;"-"&amp;TEXT(COUNTIFS(I$5:I2500,I2500,G$5:G2500,G2500),"0000"))</f>
        <v/>
      </c>
      <c r="C2500" s="26"/>
      <c r="D2500" s="26"/>
      <c r="E2500" s="27"/>
      <c r="F2500" s="27"/>
      <c r="G2500" s="31" t="str">
        <f aca="false">IF(F2500="","",IF(F2500&lt;=5,"A",IF(F2500&lt;=8,"B",IF(F2500&lt;=10,"C","D"))))</f>
        <v/>
      </c>
      <c r="H2500" s="28"/>
      <c r="I2500" s="27"/>
      <c r="J2500" s="26"/>
      <c r="K2500" s="27"/>
      <c r="L2500" s="27"/>
      <c r="M2500" s="27"/>
      <c r="N2500" s="27"/>
      <c r="O2500" s="31" t="str">
        <f aca="false">IF(G2500="","",VLOOKUP(G2500,Setup!$A$14:$C$17,3,0))</f>
        <v/>
      </c>
      <c r="P2500" s="27"/>
      <c r="Q2500" s="33" t="str">
        <f aca="false">IF(OR(P2500="",M2500&lt;&gt;"Paid",O2500=""),"",P2500/O2500)</f>
        <v/>
      </c>
      <c r="R2500" s="34" t="str">
        <f aca="false">IF(Q2500="","",Q2500+N(H2500)*0.000000001)</f>
        <v/>
      </c>
      <c r="S2500" s="32" t="str">
        <f aca="false">IF(R2500="","",SUMPRODUCT((I$5:I$4004=I2500)*ISNUMBER(R$5:R$4004)*(R$5:R$4004&gt;R2500))+1)</f>
        <v/>
      </c>
      <c r="T2500" s="32" t="str">
        <f aca="false">IF(S2500="","",IF(S2500&lt;=Setup!$B$5,"🏆 WINNER",""))</f>
        <v/>
      </c>
      <c r="U2500" s="31" t="str">
        <f aca="false">IF(S2500="","",I2500&amp;"|"&amp;S2500)</f>
        <v/>
      </c>
    </row>
    <row r="2501" customFormat="false" ht="15" hidden="false" customHeight="false" outlineLevel="0" collapsed="false">
      <c r="A2501" s="24" t="n">
        <v>2497</v>
      </c>
      <c r="B2501" s="25" t="str">
        <f aca="false">IF(OR(C2501="",I2501="",G2501=""),"",IFERROR(VLOOKUP(I2501,Setup!$A$9:$B$11,2,0),"???")&amp;"-"&amp;G2501&amp;"-"&amp;TEXT(COUNTIFS(I$5:I2501,I2501,G$5:G2501,G2501),"0000"))</f>
        <v/>
      </c>
      <c r="C2501" s="26"/>
      <c r="D2501" s="26"/>
      <c r="E2501" s="27"/>
      <c r="F2501" s="27"/>
      <c r="G2501" s="24" t="str">
        <f aca="false">IF(F2501="","",IF(F2501&lt;=5,"A",IF(F2501&lt;=8,"B",IF(F2501&lt;=10,"C","D"))))</f>
        <v/>
      </c>
      <c r="H2501" s="28"/>
      <c r="I2501" s="27"/>
      <c r="J2501" s="26"/>
      <c r="K2501" s="27"/>
      <c r="L2501" s="27"/>
      <c r="M2501" s="27"/>
      <c r="N2501" s="27"/>
      <c r="O2501" s="24" t="str">
        <f aca="false">IF(G2501="","",VLOOKUP(G2501,Setup!$A$14:$C$17,3,0))</f>
        <v/>
      </c>
      <c r="P2501" s="27"/>
      <c r="Q2501" s="29" t="str">
        <f aca="false">IF(OR(P2501="",M2501&lt;&gt;"Paid",O2501=""),"",P2501/O2501)</f>
        <v/>
      </c>
      <c r="R2501" s="30" t="str">
        <f aca="false">IF(Q2501="","",Q2501+N(H2501)*0.000000001)</f>
        <v/>
      </c>
      <c r="S2501" s="25" t="str">
        <f aca="false">IF(R2501="","",SUMPRODUCT((I$5:I$4004=I2501)*ISNUMBER(R$5:R$4004)*(R$5:R$4004&gt;R2501))+1)</f>
        <v/>
      </c>
      <c r="T2501" s="25" t="str">
        <f aca="false">IF(S2501="","",IF(S2501&lt;=Setup!$B$5,"🏆 WINNER",""))</f>
        <v/>
      </c>
      <c r="U2501" s="24" t="str">
        <f aca="false">IF(S2501="","",I2501&amp;"|"&amp;S2501)</f>
        <v/>
      </c>
    </row>
    <row r="2502" customFormat="false" ht="15" hidden="false" customHeight="false" outlineLevel="0" collapsed="false">
      <c r="A2502" s="31" t="n">
        <v>2498</v>
      </c>
      <c r="B2502" s="32" t="str">
        <f aca="false">IF(OR(C2502="",I2502="",G2502=""),"",IFERROR(VLOOKUP(I2502,Setup!$A$9:$B$11,2,0),"???")&amp;"-"&amp;G2502&amp;"-"&amp;TEXT(COUNTIFS(I$5:I2502,I2502,G$5:G2502,G2502),"0000"))</f>
        <v/>
      </c>
      <c r="C2502" s="26"/>
      <c r="D2502" s="26"/>
      <c r="E2502" s="27"/>
      <c r="F2502" s="27"/>
      <c r="G2502" s="31" t="str">
        <f aca="false">IF(F2502="","",IF(F2502&lt;=5,"A",IF(F2502&lt;=8,"B",IF(F2502&lt;=10,"C","D"))))</f>
        <v/>
      </c>
      <c r="H2502" s="28"/>
      <c r="I2502" s="27"/>
      <c r="J2502" s="26"/>
      <c r="K2502" s="27"/>
      <c r="L2502" s="27"/>
      <c r="M2502" s="27"/>
      <c r="N2502" s="27"/>
      <c r="O2502" s="31" t="str">
        <f aca="false">IF(G2502="","",VLOOKUP(G2502,Setup!$A$14:$C$17,3,0))</f>
        <v/>
      </c>
      <c r="P2502" s="27"/>
      <c r="Q2502" s="33" t="str">
        <f aca="false">IF(OR(P2502="",M2502&lt;&gt;"Paid",O2502=""),"",P2502/O2502)</f>
        <v/>
      </c>
      <c r="R2502" s="34" t="str">
        <f aca="false">IF(Q2502="","",Q2502+N(H2502)*0.000000001)</f>
        <v/>
      </c>
      <c r="S2502" s="32" t="str">
        <f aca="false">IF(R2502="","",SUMPRODUCT((I$5:I$4004=I2502)*ISNUMBER(R$5:R$4004)*(R$5:R$4004&gt;R2502))+1)</f>
        <v/>
      </c>
      <c r="T2502" s="32" t="str">
        <f aca="false">IF(S2502="","",IF(S2502&lt;=Setup!$B$5,"🏆 WINNER",""))</f>
        <v/>
      </c>
      <c r="U2502" s="31" t="str">
        <f aca="false">IF(S2502="","",I2502&amp;"|"&amp;S2502)</f>
        <v/>
      </c>
    </row>
    <row r="2503" customFormat="false" ht="15" hidden="false" customHeight="false" outlineLevel="0" collapsed="false">
      <c r="A2503" s="24" t="n">
        <v>2499</v>
      </c>
      <c r="B2503" s="25" t="str">
        <f aca="false">IF(OR(C2503="",I2503="",G2503=""),"",IFERROR(VLOOKUP(I2503,Setup!$A$9:$B$11,2,0),"???")&amp;"-"&amp;G2503&amp;"-"&amp;TEXT(COUNTIFS(I$5:I2503,I2503,G$5:G2503,G2503),"0000"))</f>
        <v/>
      </c>
      <c r="C2503" s="26"/>
      <c r="D2503" s="26"/>
      <c r="E2503" s="27"/>
      <c r="F2503" s="27"/>
      <c r="G2503" s="24" t="str">
        <f aca="false">IF(F2503="","",IF(F2503&lt;=5,"A",IF(F2503&lt;=8,"B",IF(F2503&lt;=10,"C","D"))))</f>
        <v/>
      </c>
      <c r="H2503" s="28"/>
      <c r="I2503" s="27"/>
      <c r="J2503" s="26"/>
      <c r="K2503" s="27"/>
      <c r="L2503" s="27"/>
      <c r="M2503" s="27"/>
      <c r="N2503" s="27"/>
      <c r="O2503" s="24" t="str">
        <f aca="false">IF(G2503="","",VLOOKUP(G2503,Setup!$A$14:$C$17,3,0))</f>
        <v/>
      </c>
      <c r="P2503" s="27"/>
      <c r="Q2503" s="29" t="str">
        <f aca="false">IF(OR(P2503="",M2503&lt;&gt;"Paid",O2503=""),"",P2503/O2503)</f>
        <v/>
      </c>
      <c r="R2503" s="30" t="str">
        <f aca="false">IF(Q2503="","",Q2503+N(H2503)*0.000000001)</f>
        <v/>
      </c>
      <c r="S2503" s="25" t="str">
        <f aca="false">IF(R2503="","",SUMPRODUCT((I$5:I$4004=I2503)*ISNUMBER(R$5:R$4004)*(R$5:R$4004&gt;R2503))+1)</f>
        <v/>
      </c>
      <c r="T2503" s="25" t="str">
        <f aca="false">IF(S2503="","",IF(S2503&lt;=Setup!$B$5,"🏆 WINNER",""))</f>
        <v/>
      </c>
      <c r="U2503" s="24" t="str">
        <f aca="false">IF(S2503="","",I2503&amp;"|"&amp;S2503)</f>
        <v/>
      </c>
    </row>
    <row r="2504" customFormat="false" ht="15" hidden="false" customHeight="false" outlineLevel="0" collapsed="false">
      <c r="A2504" s="31" t="n">
        <v>2500</v>
      </c>
      <c r="B2504" s="32" t="str">
        <f aca="false">IF(OR(C2504="",I2504="",G2504=""),"",IFERROR(VLOOKUP(I2504,Setup!$A$9:$B$11,2,0),"???")&amp;"-"&amp;G2504&amp;"-"&amp;TEXT(COUNTIFS(I$5:I2504,I2504,G$5:G2504,G2504),"0000"))</f>
        <v/>
      </c>
      <c r="C2504" s="26"/>
      <c r="D2504" s="26"/>
      <c r="E2504" s="27"/>
      <c r="F2504" s="27"/>
      <c r="G2504" s="31" t="str">
        <f aca="false">IF(F2504="","",IF(F2504&lt;=5,"A",IF(F2504&lt;=8,"B",IF(F2504&lt;=10,"C","D"))))</f>
        <v/>
      </c>
      <c r="H2504" s="28"/>
      <c r="I2504" s="27"/>
      <c r="J2504" s="26"/>
      <c r="K2504" s="27"/>
      <c r="L2504" s="27"/>
      <c r="M2504" s="27"/>
      <c r="N2504" s="27"/>
      <c r="O2504" s="31" t="str">
        <f aca="false">IF(G2504="","",VLOOKUP(G2504,Setup!$A$14:$C$17,3,0))</f>
        <v/>
      </c>
      <c r="P2504" s="27"/>
      <c r="Q2504" s="33" t="str">
        <f aca="false">IF(OR(P2504="",M2504&lt;&gt;"Paid",O2504=""),"",P2504/O2504)</f>
        <v/>
      </c>
      <c r="R2504" s="34" t="str">
        <f aca="false">IF(Q2504="","",Q2504+N(H2504)*0.000000001)</f>
        <v/>
      </c>
      <c r="S2504" s="32" t="str">
        <f aca="false">IF(R2504="","",SUMPRODUCT((I$5:I$4004=I2504)*ISNUMBER(R$5:R$4004)*(R$5:R$4004&gt;R2504))+1)</f>
        <v/>
      </c>
      <c r="T2504" s="32" t="str">
        <f aca="false">IF(S2504="","",IF(S2504&lt;=Setup!$B$5,"🏆 WINNER",""))</f>
        <v/>
      </c>
      <c r="U2504" s="31" t="str">
        <f aca="false">IF(S2504="","",I2504&amp;"|"&amp;S2504)</f>
        <v/>
      </c>
    </row>
    <row r="2505" customFormat="false" ht="15" hidden="false" customHeight="false" outlineLevel="0" collapsed="false">
      <c r="A2505" s="24" t="n">
        <v>2501</v>
      </c>
      <c r="B2505" s="25" t="str">
        <f aca="false">IF(OR(C2505="",I2505="",G2505=""),"",IFERROR(VLOOKUP(I2505,Setup!$A$9:$B$11,2,0),"???")&amp;"-"&amp;G2505&amp;"-"&amp;TEXT(COUNTIFS(I$5:I2505,I2505,G$5:G2505,G2505),"0000"))</f>
        <v/>
      </c>
      <c r="C2505" s="26"/>
      <c r="D2505" s="26"/>
      <c r="E2505" s="27"/>
      <c r="F2505" s="27"/>
      <c r="G2505" s="24" t="str">
        <f aca="false">IF(F2505="","",IF(F2505&lt;=5,"A",IF(F2505&lt;=8,"B",IF(F2505&lt;=10,"C","D"))))</f>
        <v/>
      </c>
      <c r="H2505" s="28"/>
      <c r="I2505" s="27"/>
      <c r="J2505" s="26"/>
      <c r="K2505" s="27"/>
      <c r="L2505" s="27"/>
      <c r="M2505" s="27"/>
      <c r="N2505" s="27"/>
      <c r="O2505" s="24" t="str">
        <f aca="false">IF(G2505="","",VLOOKUP(G2505,Setup!$A$14:$C$17,3,0))</f>
        <v/>
      </c>
      <c r="P2505" s="27"/>
      <c r="Q2505" s="29" t="str">
        <f aca="false">IF(OR(P2505="",M2505&lt;&gt;"Paid",O2505=""),"",P2505/O2505)</f>
        <v/>
      </c>
      <c r="R2505" s="30" t="str">
        <f aca="false">IF(Q2505="","",Q2505+N(H2505)*0.000000001)</f>
        <v/>
      </c>
      <c r="S2505" s="25" t="str">
        <f aca="false">IF(R2505="","",SUMPRODUCT((I$5:I$4004=I2505)*ISNUMBER(R$5:R$4004)*(R$5:R$4004&gt;R2505))+1)</f>
        <v/>
      </c>
      <c r="T2505" s="25" t="str">
        <f aca="false">IF(S2505="","",IF(S2505&lt;=Setup!$B$5,"🏆 WINNER",""))</f>
        <v/>
      </c>
      <c r="U2505" s="24" t="str">
        <f aca="false">IF(S2505="","",I2505&amp;"|"&amp;S2505)</f>
        <v/>
      </c>
    </row>
    <row r="2506" customFormat="false" ht="15" hidden="false" customHeight="false" outlineLevel="0" collapsed="false">
      <c r="A2506" s="31" t="n">
        <v>2502</v>
      </c>
      <c r="B2506" s="32" t="str">
        <f aca="false">IF(OR(C2506="",I2506="",G2506=""),"",IFERROR(VLOOKUP(I2506,Setup!$A$9:$B$11,2,0),"???")&amp;"-"&amp;G2506&amp;"-"&amp;TEXT(COUNTIFS(I$5:I2506,I2506,G$5:G2506,G2506),"0000"))</f>
        <v/>
      </c>
      <c r="C2506" s="26"/>
      <c r="D2506" s="26"/>
      <c r="E2506" s="27"/>
      <c r="F2506" s="27"/>
      <c r="G2506" s="31" t="str">
        <f aca="false">IF(F2506="","",IF(F2506&lt;=5,"A",IF(F2506&lt;=8,"B",IF(F2506&lt;=10,"C","D"))))</f>
        <v/>
      </c>
      <c r="H2506" s="28"/>
      <c r="I2506" s="27"/>
      <c r="J2506" s="26"/>
      <c r="K2506" s="27"/>
      <c r="L2506" s="27"/>
      <c r="M2506" s="27"/>
      <c r="N2506" s="27"/>
      <c r="O2506" s="31" t="str">
        <f aca="false">IF(G2506="","",VLOOKUP(G2506,Setup!$A$14:$C$17,3,0))</f>
        <v/>
      </c>
      <c r="P2506" s="27"/>
      <c r="Q2506" s="33" t="str">
        <f aca="false">IF(OR(P2506="",M2506&lt;&gt;"Paid",O2506=""),"",P2506/O2506)</f>
        <v/>
      </c>
      <c r="R2506" s="34" t="str">
        <f aca="false">IF(Q2506="","",Q2506+N(H2506)*0.000000001)</f>
        <v/>
      </c>
      <c r="S2506" s="32" t="str">
        <f aca="false">IF(R2506="","",SUMPRODUCT((I$5:I$4004=I2506)*ISNUMBER(R$5:R$4004)*(R$5:R$4004&gt;R2506))+1)</f>
        <v/>
      </c>
      <c r="T2506" s="32" t="str">
        <f aca="false">IF(S2506="","",IF(S2506&lt;=Setup!$B$5,"🏆 WINNER",""))</f>
        <v/>
      </c>
      <c r="U2506" s="31" t="str">
        <f aca="false">IF(S2506="","",I2506&amp;"|"&amp;S2506)</f>
        <v/>
      </c>
    </row>
    <row r="2507" customFormat="false" ht="15" hidden="false" customHeight="false" outlineLevel="0" collapsed="false">
      <c r="A2507" s="24" t="n">
        <v>2503</v>
      </c>
      <c r="B2507" s="25" t="str">
        <f aca="false">IF(OR(C2507="",I2507="",G2507=""),"",IFERROR(VLOOKUP(I2507,Setup!$A$9:$B$11,2,0),"???")&amp;"-"&amp;G2507&amp;"-"&amp;TEXT(COUNTIFS(I$5:I2507,I2507,G$5:G2507,G2507),"0000"))</f>
        <v/>
      </c>
      <c r="C2507" s="26"/>
      <c r="D2507" s="26"/>
      <c r="E2507" s="27"/>
      <c r="F2507" s="27"/>
      <c r="G2507" s="24" t="str">
        <f aca="false">IF(F2507="","",IF(F2507&lt;=5,"A",IF(F2507&lt;=8,"B",IF(F2507&lt;=10,"C","D"))))</f>
        <v/>
      </c>
      <c r="H2507" s="28"/>
      <c r="I2507" s="27"/>
      <c r="J2507" s="26"/>
      <c r="K2507" s="27"/>
      <c r="L2507" s="27"/>
      <c r="M2507" s="27"/>
      <c r="N2507" s="27"/>
      <c r="O2507" s="24" t="str">
        <f aca="false">IF(G2507="","",VLOOKUP(G2507,Setup!$A$14:$C$17,3,0))</f>
        <v/>
      </c>
      <c r="P2507" s="27"/>
      <c r="Q2507" s="29" t="str">
        <f aca="false">IF(OR(P2507="",M2507&lt;&gt;"Paid",O2507=""),"",P2507/O2507)</f>
        <v/>
      </c>
      <c r="R2507" s="30" t="str">
        <f aca="false">IF(Q2507="","",Q2507+N(H2507)*0.000000001)</f>
        <v/>
      </c>
      <c r="S2507" s="25" t="str">
        <f aca="false">IF(R2507="","",SUMPRODUCT((I$5:I$4004=I2507)*ISNUMBER(R$5:R$4004)*(R$5:R$4004&gt;R2507))+1)</f>
        <v/>
      </c>
      <c r="T2507" s="25" t="str">
        <f aca="false">IF(S2507="","",IF(S2507&lt;=Setup!$B$5,"🏆 WINNER",""))</f>
        <v/>
      </c>
      <c r="U2507" s="24" t="str">
        <f aca="false">IF(S2507="","",I2507&amp;"|"&amp;S2507)</f>
        <v/>
      </c>
    </row>
    <row r="2508" customFormat="false" ht="15" hidden="false" customHeight="false" outlineLevel="0" collapsed="false">
      <c r="A2508" s="31" t="n">
        <v>2504</v>
      </c>
      <c r="B2508" s="32" t="str">
        <f aca="false">IF(OR(C2508="",I2508="",G2508=""),"",IFERROR(VLOOKUP(I2508,Setup!$A$9:$B$11,2,0),"???")&amp;"-"&amp;G2508&amp;"-"&amp;TEXT(COUNTIFS(I$5:I2508,I2508,G$5:G2508,G2508),"0000"))</f>
        <v/>
      </c>
      <c r="C2508" s="26"/>
      <c r="D2508" s="26"/>
      <c r="E2508" s="27"/>
      <c r="F2508" s="27"/>
      <c r="G2508" s="31" t="str">
        <f aca="false">IF(F2508="","",IF(F2508&lt;=5,"A",IF(F2508&lt;=8,"B",IF(F2508&lt;=10,"C","D"))))</f>
        <v/>
      </c>
      <c r="H2508" s="28"/>
      <c r="I2508" s="27"/>
      <c r="J2508" s="26"/>
      <c r="K2508" s="27"/>
      <c r="L2508" s="27"/>
      <c r="M2508" s="27"/>
      <c r="N2508" s="27"/>
      <c r="O2508" s="31" t="str">
        <f aca="false">IF(G2508="","",VLOOKUP(G2508,Setup!$A$14:$C$17,3,0))</f>
        <v/>
      </c>
      <c r="P2508" s="27"/>
      <c r="Q2508" s="33" t="str">
        <f aca="false">IF(OR(P2508="",M2508&lt;&gt;"Paid",O2508=""),"",P2508/O2508)</f>
        <v/>
      </c>
      <c r="R2508" s="34" t="str">
        <f aca="false">IF(Q2508="","",Q2508+N(H2508)*0.000000001)</f>
        <v/>
      </c>
      <c r="S2508" s="32" t="str">
        <f aca="false">IF(R2508="","",SUMPRODUCT((I$5:I$4004=I2508)*ISNUMBER(R$5:R$4004)*(R$5:R$4004&gt;R2508))+1)</f>
        <v/>
      </c>
      <c r="T2508" s="32" t="str">
        <f aca="false">IF(S2508="","",IF(S2508&lt;=Setup!$B$5,"🏆 WINNER",""))</f>
        <v/>
      </c>
      <c r="U2508" s="31" t="str">
        <f aca="false">IF(S2508="","",I2508&amp;"|"&amp;S2508)</f>
        <v/>
      </c>
    </row>
    <row r="2509" customFormat="false" ht="15" hidden="false" customHeight="false" outlineLevel="0" collapsed="false">
      <c r="A2509" s="24" t="n">
        <v>2505</v>
      </c>
      <c r="B2509" s="25" t="str">
        <f aca="false">IF(OR(C2509="",I2509="",G2509=""),"",IFERROR(VLOOKUP(I2509,Setup!$A$9:$B$11,2,0),"???")&amp;"-"&amp;G2509&amp;"-"&amp;TEXT(COUNTIFS(I$5:I2509,I2509,G$5:G2509,G2509),"0000"))</f>
        <v/>
      </c>
      <c r="C2509" s="26"/>
      <c r="D2509" s="26"/>
      <c r="E2509" s="27"/>
      <c r="F2509" s="27"/>
      <c r="G2509" s="24" t="str">
        <f aca="false">IF(F2509="","",IF(F2509&lt;=5,"A",IF(F2509&lt;=8,"B",IF(F2509&lt;=10,"C","D"))))</f>
        <v/>
      </c>
      <c r="H2509" s="28"/>
      <c r="I2509" s="27"/>
      <c r="J2509" s="26"/>
      <c r="K2509" s="27"/>
      <c r="L2509" s="27"/>
      <c r="M2509" s="27"/>
      <c r="N2509" s="27"/>
      <c r="O2509" s="24" t="str">
        <f aca="false">IF(G2509="","",VLOOKUP(G2509,Setup!$A$14:$C$17,3,0))</f>
        <v/>
      </c>
      <c r="P2509" s="27"/>
      <c r="Q2509" s="29" t="str">
        <f aca="false">IF(OR(P2509="",M2509&lt;&gt;"Paid",O2509=""),"",P2509/O2509)</f>
        <v/>
      </c>
      <c r="R2509" s="30" t="str">
        <f aca="false">IF(Q2509="","",Q2509+N(H2509)*0.000000001)</f>
        <v/>
      </c>
      <c r="S2509" s="25" t="str">
        <f aca="false">IF(R2509="","",SUMPRODUCT((I$5:I$4004=I2509)*ISNUMBER(R$5:R$4004)*(R$5:R$4004&gt;R2509))+1)</f>
        <v/>
      </c>
      <c r="T2509" s="25" t="str">
        <f aca="false">IF(S2509="","",IF(S2509&lt;=Setup!$B$5,"🏆 WINNER",""))</f>
        <v/>
      </c>
      <c r="U2509" s="24" t="str">
        <f aca="false">IF(S2509="","",I2509&amp;"|"&amp;S2509)</f>
        <v/>
      </c>
    </row>
    <row r="2510" customFormat="false" ht="15" hidden="false" customHeight="false" outlineLevel="0" collapsed="false">
      <c r="A2510" s="31" t="n">
        <v>2506</v>
      </c>
      <c r="B2510" s="32" t="str">
        <f aca="false">IF(OR(C2510="",I2510="",G2510=""),"",IFERROR(VLOOKUP(I2510,Setup!$A$9:$B$11,2,0),"???")&amp;"-"&amp;G2510&amp;"-"&amp;TEXT(COUNTIFS(I$5:I2510,I2510,G$5:G2510,G2510),"0000"))</f>
        <v/>
      </c>
      <c r="C2510" s="26"/>
      <c r="D2510" s="26"/>
      <c r="E2510" s="27"/>
      <c r="F2510" s="27"/>
      <c r="G2510" s="31" t="str">
        <f aca="false">IF(F2510="","",IF(F2510&lt;=5,"A",IF(F2510&lt;=8,"B",IF(F2510&lt;=10,"C","D"))))</f>
        <v/>
      </c>
      <c r="H2510" s="28"/>
      <c r="I2510" s="27"/>
      <c r="J2510" s="26"/>
      <c r="K2510" s="27"/>
      <c r="L2510" s="27"/>
      <c r="M2510" s="27"/>
      <c r="N2510" s="27"/>
      <c r="O2510" s="31" t="str">
        <f aca="false">IF(G2510="","",VLOOKUP(G2510,Setup!$A$14:$C$17,3,0))</f>
        <v/>
      </c>
      <c r="P2510" s="27"/>
      <c r="Q2510" s="33" t="str">
        <f aca="false">IF(OR(P2510="",M2510&lt;&gt;"Paid",O2510=""),"",P2510/O2510)</f>
        <v/>
      </c>
      <c r="R2510" s="34" t="str">
        <f aca="false">IF(Q2510="","",Q2510+N(H2510)*0.000000001)</f>
        <v/>
      </c>
      <c r="S2510" s="32" t="str">
        <f aca="false">IF(R2510="","",SUMPRODUCT((I$5:I$4004=I2510)*ISNUMBER(R$5:R$4004)*(R$5:R$4004&gt;R2510))+1)</f>
        <v/>
      </c>
      <c r="T2510" s="32" t="str">
        <f aca="false">IF(S2510="","",IF(S2510&lt;=Setup!$B$5,"🏆 WINNER",""))</f>
        <v/>
      </c>
      <c r="U2510" s="31" t="str">
        <f aca="false">IF(S2510="","",I2510&amp;"|"&amp;S2510)</f>
        <v/>
      </c>
    </row>
    <row r="2511" customFormat="false" ht="15" hidden="false" customHeight="false" outlineLevel="0" collapsed="false">
      <c r="A2511" s="24" t="n">
        <v>2507</v>
      </c>
      <c r="B2511" s="25" t="str">
        <f aca="false">IF(OR(C2511="",I2511="",G2511=""),"",IFERROR(VLOOKUP(I2511,Setup!$A$9:$B$11,2,0),"???")&amp;"-"&amp;G2511&amp;"-"&amp;TEXT(COUNTIFS(I$5:I2511,I2511,G$5:G2511,G2511),"0000"))</f>
        <v/>
      </c>
      <c r="C2511" s="26"/>
      <c r="D2511" s="26"/>
      <c r="E2511" s="27"/>
      <c r="F2511" s="27"/>
      <c r="G2511" s="24" t="str">
        <f aca="false">IF(F2511="","",IF(F2511&lt;=5,"A",IF(F2511&lt;=8,"B",IF(F2511&lt;=10,"C","D"))))</f>
        <v/>
      </c>
      <c r="H2511" s="28"/>
      <c r="I2511" s="27"/>
      <c r="J2511" s="26"/>
      <c r="K2511" s="27"/>
      <c r="L2511" s="27"/>
      <c r="M2511" s="27"/>
      <c r="N2511" s="27"/>
      <c r="O2511" s="24" t="str">
        <f aca="false">IF(G2511="","",VLOOKUP(G2511,Setup!$A$14:$C$17,3,0))</f>
        <v/>
      </c>
      <c r="P2511" s="27"/>
      <c r="Q2511" s="29" t="str">
        <f aca="false">IF(OR(P2511="",M2511&lt;&gt;"Paid",O2511=""),"",P2511/O2511)</f>
        <v/>
      </c>
      <c r="R2511" s="30" t="str">
        <f aca="false">IF(Q2511="","",Q2511+N(H2511)*0.000000001)</f>
        <v/>
      </c>
      <c r="S2511" s="25" t="str">
        <f aca="false">IF(R2511="","",SUMPRODUCT((I$5:I$4004=I2511)*ISNUMBER(R$5:R$4004)*(R$5:R$4004&gt;R2511))+1)</f>
        <v/>
      </c>
      <c r="T2511" s="25" t="str">
        <f aca="false">IF(S2511="","",IF(S2511&lt;=Setup!$B$5,"🏆 WINNER",""))</f>
        <v/>
      </c>
      <c r="U2511" s="24" t="str">
        <f aca="false">IF(S2511="","",I2511&amp;"|"&amp;S2511)</f>
        <v/>
      </c>
    </row>
    <row r="2512" customFormat="false" ht="15" hidden="false" customHeight="false" outlineLevel="0" collapsed="false">
      <c r="A2512" s="31" t="n">
        <v>2508</v>
      </c>
      <c r="B2512" s="32" t="str">
        <f aca="false">IF(OR(C2512="",I2512="",G2512=""),"",IFERROR(VLOOKUP(I2512,Setup!$A$9:$B$11,2,0),"???")&amp;"-"&amp;G2512&amp;"-"&amp;TEXT(COUNTIFS(I$5:I2512,I2512,G$5:G2512,G2512),"0000"))</f>
        <v/>
      </c>
      <c r="C2512" s="26"/>
      <c r="D2512" s="26"/>
      <c r="E2512" s="27"/>
      <c r="F2512" s="27"/>
      <c r="G2512" s="31" t="str">
        <f aca="false">IF(F2512="","",IF(F2512&lt;=5,"A",IF(F2512&lt;=8,"B",IF(F2512&lt;=10,"C","D"))))</f>
        <v/>
      </c>
      <c r="H2512" s="28"/>
      <c r="I2512" s="27"/>
      <c r="J2512" s="26"/>
      <c r="K2512" s="27"/>
      <c r="L2512" s="27"/>
      <c r="M2512" s="27"/>
      <c r="N2512" s="27"/>
      <c r="O2512" s="31" t="str">
        <f aca="false">IF(G2512="","",VLOOKUP(G2512,Setup!$A$14:$C$17,3,0))</f>
        <v/>
      </c>
      <c r="P2512" s="27"/>
      <c r="Q2512" s="33" t="str">
        <f aca="false">IF(OR(P2512="",M2512&lt;&gt;"Paid",O2512=""),"",P2512/O2512)</f>
        <v/>
      </c>
      <c r="R2512" s="34" t="str">
        <f aca="false">IF(Q2512="","",Q2512+N(H2512)*0.000000001)</f>
        <v/>
      </c>
      <c r="S2512" s="32" t="str">
        <f aca="false">IF(R2512="","",SUMPRODUCT((I$5:I$4004=I2512)*ISNUMBER(R$5:R$4004)*(R$5:R$4004&gt;R2512))+1)</f>
        <v/>
      </c>
      <c r="T2512" s="32" t="str">
        <f aca="false">IF(S2512="","",IF(S2512&lt;=Setup!$B$5,"🏆 WINNER",""))</f>
        <v/>
      </c>
      <c r="U2512" s="31" t="str">
        <f aca="false">IF(S2512="","",I2512&amp;"|"&amp;S2512)</f>
        <v/>
      </c>
    </row>
    <row r="2513" customFormat="false" ht="15" hidden="false" customHeight="false" outlineLevel="0" collapsed="false">
      <c r="A2513" s="24" t="n">
        <v>2509</v>
      </c>
      <c r="B2513" s="25" t="str">
        <f aca="false">IF(OR(C2513="",I2513="",G2513=""),"",IFERROR(VLOOKUP(I2513,Setup!$A$9:$B$11,2,0),"???")&amp;"-"&amp;G2513&amp;"-"&amp;TEXT(COUNTIFS(I$5:I2513,I2513,G$5:G2513,G2513),"0000"))</f>
        <v/>
      </c>
      <c r="C2513" s="26"/>
      <c r="D2513" s="26"/>
      <c r="E2513" s="27"/>
      <c r="F2513" s="27"/>
      <c r="G2513" s="24" t="str">
        <f aca="false">IF(F2513="","",IF(F2513&lt;=5,"A",IF(F2513&lt;=8,"B",IF(F2513&lt;=10,"C","D"))))</f>
        <v/>
      </c>
      <c r="H2513" s="28"/>
      <c r="I2513" s="27"/>
      <c r="J2513" s="26"/>
      <c r="K2513" s="27"/>
      <c r="L2513" s="27"/>
      <c r="M2513" s="27"/>
      <c r="N2513" s="27"/>
      <c r="O2513" s="24" t="str">
        <f aca="false">IF(G2513="","",VLOOKUP(G2513,Setup!$A$14:$C$17,3,0))</f>
        <v/>
      </c>
      <c r="P2513" s="27"/>
      <c r="Q2513" s="29" t="str">
        <f aca="false">IF(OR(P2513="",M2513&lt;&gt;"Paid",O2513=""),"",P2513/O2513)</f>
        <v/>
      </c>
      <c r="R2513" s="30" t="str">
        <f aca="false">IF(Q2513="","",Q2513+N(H2513)*0.000000001)</f>
        <v/>
      </c>
      <c r="S2513" s="25" t="str">
        <f aca="false">IF(R2513="","",SUMPRODUCT((I$5:I$4004=I2513)*ISNUMBER(R$5:R$4004)*(R$5:R$4004&gt;R2513))+1)</f>
        <v/>
      </c>
      <c r="T2513" s="25" t="str">
        <f aca="false">IF(S2513="","",IF(S2513&lt;=Setup!$B$5,"🏆 WINNER",""))</f>
        <v/>
      </c>
      <c r="U2513" s="24" t="str">
        <f aca="false">IF(S2513="","",I2513&amp;"|"&amp;S2513)</f>
        <v/>
      </c>
    </row>
    <row r="2514" customFormat="false" ht="15" hidden="false" customHeight="false" outlineLevel="0" collapsed="false">
      <c r="A2514" s="31" t="n">
        <v>2510</v>
      </c>
      <c r="B2514" s="32" t="str">
        <f aca="false">IF(OR(C2514="",I2514="",G2514=""),"",IFERROR(VLOOKUP(I2514,Setup!$A$9:$B$11,2,0),"???")&amp;"-"&amp;G2514&amp;"-"&amp;TEXT(COUNTIFS(I$5:I2514,I2514,G$5:G2514,G2514),"0000"))</f>
        <v/>
      </c>
      <c r="C2514" s="26"/>
      <c r="D2514" s="26"/>
      <c r="E2514" s="27"/>
      <c r="F2514" s="27"/>
      <c r="G2514" s="31" t="str">
        <f aca="false">IF(F2514="","",IF(F2514&lt;=5,"A",IF(F2514&lt;=8,"B",IF(F2514&lt;=10,"C","D"))))</f>
        <v/>
      </c>
      <c r="H2514" s="28"/>
      <c r="I2514" s="27"/>
      <c r="J2514" s="26"/>
      <c r="K2514" s="27"/>
      <c r="L2514" s="27"/>
      <c r="M2514" s="27"/>
      <c r="N2514" s="27"/>
      <c r="O2514" s="31" t="str">
        <f aca="false">IF(G2514="","",VLOOKUP(G2514,Setup!$A$14:$C$17,3,0))</f>
        <v/>
      </c>
      <c r="P2514" s="27"/>
      <c r="Q2514" s="33" t="str">
        <f aca="false">IF(OR(P2514="",M2514&lt;&gt;"Paid",O2514=""),"",P2514/O2514)</f>
        <v/>
      </c>
      <c r="R2514" s="34" t="str">
        <f aca="false">IF(Q2514="","",Q2514+N(H2514)*0.000000001)</f>
        <v/>
      </c>
      <c r="S2514" s="32" t="str">
        <f aca="false">IF(R2514="","",SUMPRODUCT((I$5:I$4004=I2514)*ISNUMBER(R$5:R$4004)*(R$5:R$4004&gt;R2514))+1)</f>
        <v/>
      </c>
      <c r="T2514" s="32" t="str">
        <f aca="false">IF(S2514="","",IF(S2514&lt;=Setup!$B$5,"🏆 WINNER",""))</f>
        <v/>
      </c>
      <c r="U2514" s="31" t="str">
        <f aca="false">IF(S2514="","",I2514&amp;"|"&amp;S2514)</f>
        <v/>
      </c>
    </row>
    <row r="2515" customFormat="false" ht="15" hidden="false" customHeight="false" outlineLevel="0" collapsed="false">
      <c r="A2515" s="24" t="n">
        <v>2511</v>
      </c>
      <c r="B2515" s="25" t="str">
        <f aca="false">IF(OR(C2515="",I2515="",G2515=""),"",IFERROR(VLOOKUP(I2515,Setup!$A$9:$B$11,2,0),"???")&amp;"-"&amp;G2515&amp;"-"&amp;TEXT(COUNTIFS(I$5:I2515,I2515,G$5:G2515,G2515),"0000"))</f>
        <v/>
      </c>
      <c r="C2515" s="26"/>
      <c r="D2515" s="26"/>
      <c r="E2515" s="27"/>
      <c r="F2515" s="27"/>
      <c r="G2515" s="24" t="str">
        <f aca="false">IF(F2515="","",IF(F2515&lt;=5,"A",IF(F2515&lt;=8,"B",IF(F2515&lt;=10,"C","D"))))</f>
        <v/>
      </c>
      <c r="H2515" s="28"/>
      <c r="I2515" s="27"/>
      <c r="J2515" s="26"/>
      <c r="K2515" s="27"/>
      <c r="L2515" s="27"/>
      <c r="M2515" s="27"/>
      <c r="N2515" s="27"/>
      <c r="O2515" s="24" t="str">
        <f aca="false">IF(G2515="","",VLOOKUP(G2515,Setup!$A$14:$C$17,3,0))</f>
        <v/>
      </c>
      <c r="P2515" s="27"/>
      <c r="Q2515" s="29" t="str">
        <f aca="false">IF(OR(P2515="",M2515&lt;&gt;"Paid",O2515=""),"",P2515/O2515)</f>
        <v/>
      </c>
      <c r="R2515" s="30" t="str">
        <f aca="false">IF(Q2515="","",Q2515+N(H2515)*0.000000001)</f>
        <v/>
      </c>
      <c r="S2515" s="25" t="str">
        <f aca="false">IF(R2515="","",SUMPRODUCT((I$5:I$4004=I2515)*ISNUMBER(R$5:R$4004)*(R$5:R$4004&gt;R2515))+1)</f>
        <v/>
      </c>
      <c r="T2515" s="25" t="str">
        <f aca="false">IF(S2515="","",IF(S2515&lt;=Setup!$B$5,"🏆 WINNER",""))</f>
        <v/>
      </c>
      <c r="U2515" s="24" t="str">
        <f aca="false">IF(S2515="","",I2515&amp;"|"&amp;S2515)</f>
        <v/>
      </c>
    </row>
    <row r="2516" customFormat="false" ht="15" hidden="false" customHeight="false" outlineLevel="0" collapsed="false">
      <c r="A2516" s="31" t="n">
        <v>2512</v>
      </c>
      <c r="B2516" s="32" t="str">
        <f aca="false">IF(OR(C2516="",I2516="",G2516=""),"",IFERROR(VLOOKUP(I2516,Setup!$A$9:$B$11,2,0),"???")&amp;"-"&amp;G2516&amp;"-"&amp;TEXT(COUNTIFS(I$5:I2516,I2516,G$5:G2516,G2516),"0000"))</f>
        <v/>
      </c>
      <c r="C2516" s="26"/>
      <c r="D2516" s="26"/>
      <c r="E2516" s="27"/>
      <c r="F2516" s="27"/>
      <c r="G2516" s="31" t="str">
        <f aca="false">IF(F2516="","",IF(F2516&lt;=5,"A",IF(F2516&lt;=8,"B",IF(F2516&lt;=10,"C","D"))))</f>
        <v/>
      </c>
      <c r="H2516" s="28"/>
      <c r="I2516" s="27"/>
      <c r="J2516" s="26"/>
      <c r="K2516" s="27"/>
      <c r="L2516" s="27"/>
      <c r="M2516" s="27"/>
      <c r="N2516" s="27"/>
      <c r="O2516" s="31" t="str">
        <f aca="false">IF(G2516="","",VLOOKUP(G2516,Setup!$A$14:$C$17,3,0))</f>
        <v/>
      </c>
      <c r="P2516" s="27"/>
      <c r="Q2516" s="33" t="str">
        <f aca="false">IF(OR(P2516="",M2516&lt;&gt;"Paid",O2516=""),"",P2516/O2516)</f>
        <v/>
      </c>
      <c r="R2516" s="34" t="str">
        <f aca="false">IF(Q2516="","",Q2516+N(H2516)*0.000000001)</f>
        <v/>
      </c>
      <c r="S2516" s="32" t="str">
        <f aca="false">IF(R2516="","",SUMPRODUCT((I$5:I$4004=I2516)*ISNUMBER(R$5:R$4004)*(R$5:R$4004&gt;R2516))+1)</f>
        <v/>
      </c>
      <c r="T2516" s="32" t="str">
        <f aca="false">IF(S2516="","",IF(S2516&lt;=Setup!$B$5,"🏆 WINNER",""))</f>
        <v/>
      </c>
      <c r="U2516" s="31" t="str">
        <f aca="false">IF(S2516="","",I2516&amp;"|"&amp;S2516)</f>
        <v/>
      </c>
    </row>
    <row r="2517" customFormat="false" ht="15" hidden="false" customHeight="false" outlineLevel="0" collapsed="false">
      <c r="A2517" s="24" t="n">
        <v>2513</v>
      </c>
      <c r="B2517" s="25" t="str">
        <f aca="false">IF(OR(C2517="",I2517="",G2517=""),"",IFERROR(VLOOKUP(I2517,Setup!$A$9:$B$11,2,0),"???")&amp;"-"&amp;G2517&amp;"-"&amp;TEXT(COUNTIFS(I$5:I2517,I2517,G$5:G2517,G2517),"0000"))</f>
        <v/>
      </c>
      <c r="C2517" s="26"/>
      <c r="D2517" s="26"/>
      <c r="E2517" s="27"/>
      <c r="F2517" s="27"/>
      <c r="G2517" s="24" t="str">
        <f aca="false">IF(F2517="","",IF(F2517&lt;=5,"A",IF(F2517&lt;=8,"B",IF(F2517&lt;=10,"C","D"))))</f>
        <v/>
      </c>
      <c r="H2517" s="28"/>
      <c r="I2517" s="27"/>
      <c r="J2517" s="26"/>
      <c r="K2517" s="27"/>
      <c r="L2517" s="27"/>
      <c r="M2517" s="27"/>
      <c r="N2517" s="27"/>
      <c r="O2517" s="24" t="str">
        <f aca="false">IF(G2517="","",VLOOKUP(G2517,Setup!$A$14:$C$17,3,0))</f>
        <v/>
      </c>
      <c r="P2517" s="27"/>
      <c r="Q2517" s="29" t="str">
        <f aca="false">IF(OR(P2517="",M2517&lt;&gt;"Paid",O2517=""),"",P2517/O2517)</f>
        <v/>
      </c>
      <c r="R2517" s="30" t="str">
        <f aca="false">IF(Q2517="","",Q2517+N(H2517)*0.000000001)</f>
        <v/>
      </c>
      <c r="S2517" s="25" t="str">
        <f aca="false">IF(R2517="","",SUMPRODUCT((I$5:I$4004=I2517)*ISNUMBER(R$5:R$4004)*(R$5:R$4004&gt;R2517))+1)</f>
        <v/>
      </c>
      <c r="T2517" s="25" t="str">
        <f aca="false">IF(S2517="","",IF(S2517&lt;=Setup!$B$5,"🏆 WINNER",""))</f>
        <v/>
      </c>
      <c r="U2517" s="24" t="str">
        <f aca="false">IF(S2517="","",I2517&amp;"|"&amp;S2517)</f>
        <v/>
      </c>
    </row>
    <row r="2518" customFormat="false" ht="15" hidden="false" customHeight="false" outlineLevel="0" collapsed="false">
      <c r="A2518" s="31" t="n">
        <v>2514</v>
      </c>
      <c r="B2518" s="32" t="str">
        <f aca="false">IF(OR(C2518="",I2518="",G2518=""),"",IFERROR(VLOOKUP(I2518,Setup!$A$9:$B$11,2,0),"???")&amp;"-"&amp;G2518&amp;"-"&amp;TEXT(COUNTIFS(I$5:I2518,I2518,G$5:G2518,G2518),"0000"))</f>
        <v/>
      </c>
      <c r="C2518" s="26"/>
      <c r="D2518" s="26"/>
      <c r="E2518" s="27"/>
      <c r="F2518" s="27"/>
      <c r="G2518" s="31" t="str">
        <f aca="false">IF(F2518="","",IF(F2518&lt;=5,"A",IF(F2518&lt;=8,"B",IF(F2518&lt;=10,"C","D"))))</f>
        <v/>
      </c>
      <c r="H2518" s="28"/>
      <c r="I2518" s="27"/>
      <c r="J2518" s="26"/>
      <c r="K2518" s="27"/>
      <c r="L2518" s="27"/>
      <c r="M2518" s="27"/>
      <c r="N2518" s="27"/>
      <c r="O2518" s="31" t="str">
        <f aca="false">IF(G2518="","",VLOOKUP(G2518,Setup!$A$14:$C$17,3,0))</f>
        <v/>
      </c>
      <c r="P2518" s="27"/>
      <c r="Q2518" s="33" t="str">
        <f aca="false">IF(OR(P2518="",M2518&lt;&gt;"Paid",O2518=""),"",P2518/O2518)</f>
        <v/>
      </c>
      <c r="R2518" s="34" t="str">
        <f aca="false">IF(Q2518="","",Q2518+N(H2518)*0.000000001)</f>
        <v/>
      </c>
      <c r="S2518" s="32" t="str">
        <f aca="false">IF(R2518="","",SUMPRODUCT((I$5:I$4004=I2518)*ISNUMBER(R$5:R$4004)*(R$5:R$4004&gt;R2518))+1)</f>
        <v/>
      </c>
      <c r="T2518" s="32" t="str">
        <f aca="false">IF(S2518="","",IF(S2518&lt;=Setup!$B$5,"🏆 WINNER",""))</f>
        <v/>
      </c>
      <c r="U2518" s="31" t="str">
        <f aca="false">IF(S2518="","",I2518&amp;"|"&amp;S2518)</f>
        <v/>
      </c>
    </row>
    <row r="2519" customFormat="false" ht="15" hidden="false" customHeight="false" outlineLevel="0" collapsed="false">
      <c r="A2519" s="24" t="n">
        <v>2515</v>
      </c>
      <c r="B2519" s="25" t="str">
        <f aca="false">IF(OR(C2519="",I2519="",G2519=""),"",IFERROR(VLOOKUP(I2519,Setup!$A$9:$B$11,2,0),"???")&amp;"-"&amp;G2519&amp;"-"&amp;TEXT(COUNTIFS(I$5:I2519,I2519,G$5:G2519,G2519),"0000"))</f>
        <v/>
      </c>
      <c r="C2519" s="26"/>
      <c r="D2519" s="26"/>
      <c r="E2519" s="27"/>
      <c r="F2519" s="27"/>
      <c r="G2519" s="24" t="str">
        <f aca="false">IF(F2519="","",IF(F2519&lt;=5,"A",IF(F2519&lt;=8,"B",IF(F2519&lt;=10,"C","D"))))</f>
        <v/>
      </c>
      <c r="H2519" s="28"/>
      <c r="I2519" s="27"/>
      <c r="J2519" s="26"/>
      <c r="K2519" s="27"/>
      <c r="L2519" s="27"/>
      <c r="M2519" s="27"/>
      <c r="N2519" s="27"/>
      <c r="O2519" s="24" t="str">
        <f aca="false">IF(G2519="","",VLOOKUP(G2519,Setup!$A$14:$C$17,3,0))</f>
        <v/>
      </c>
      <c r="P2519" s="27"/>
      <c r="Q2519" s="29" t="str">
        <f aca="false">IF(OR(P2519="",M2519&lt;&gt;"Paid",O2519=""),"",P2519/O2519)</f>
        <v/>
      </c>
      <c r="R2519" s="30" t="str">
        <f aca="false">IF(Q2519="","",Q2519+N(H2519)*0.000000001)</f>
        <v/>
      </c>
      <c r="S2519" s="25" t="str">
        <f aca="false">IF(R2519="","",SUMPRODUCT((I$5:I$4004=I2519)*ISNUMBER(R$5:R$4004)*(R$5:R$4004&gt;R2519))+1)</f>
        <v/>
      </c>
      <c r="T2519" s="25" t="str">
        <f aca="false">IF(S2519="","",IF(S2519&lt;=Setup!$B$5,"🏆 WINNER",""))</f>
        <v/>
      </c>
      <c r="U2519" s="24" t="str">
        <f aca="false">IF(S2519="","",I2519&amp;"|"&amp;S2519)</f>
        <v/>
      </c>
    </row>
    <row r="2520" customFormat="false" ht="15" hidden="false" customHeight="false" outlineLevel="0" collapsed="false">
      <c r="A2520" s="31" t="n">
        <v>2516</v>
      </c>
      <c r="B2520" s="32" t="str">
        <f aca="false">IF(OR(C2520="",I2520="",G2520=""),"",IFERROR(VLOOKUP(I2520,Setup!$A$9:$B$11,2,0),"???")&amp;"-"&amp;G2520&amp;"-"&amp;TEXT(COUNTIFS(I$5:I2520,I2520,G$5:G2520,G2520),"0000"))</f>
        <v/>
      </c>
      <c r="C2520" s="26"/>
      <c r="D2520" s="26"/>
      <c r="E2520" s="27"/>
      <c r="F2520" s="27"/>
      <c r="G2520" s="31" t="str">
        <f aca="false">IF(F2520="","",IF(F2520&lt;=5,"A",IF(F2520&lt;=8,"B",IF(F2520&lt;=10,"C","D"))))</f>
        <v/>
      </c>
      <c r="H2520" s="28"/>
      <c r="I2520" s="27"/>
      <c r="J2520" s="26"/>
      <c r="K2520" s="27"/>
      <c r="L2520" s="27"/>
      <c r="M2520" s="27"/>
      <c r="N2520" s="27"/>
      <c r="O2520" s="31" t="str">
        <f aca="false">IF(G2520="","",VLOOKUP(G2520,Setup!$A$14:$C$17,3,0))</f>
        <v/>
      </c>
      <c r="P2520" s="27"/>
      <c r="Q2520" s="33" t="str">
        <f aca="false">IF(OR(P2520="",M2520&lt;&gt;"Paid",O2520=""),"",P2520/O2520)</f>
        <v/>
      </c>
      <c r="R2520" s="34" t="str">
        <f aca="false">IF(Q2520="","",Q2520+N(H2520)*0.000000001)</f>
        <v/>
      </c>
      <c r="S2520" s="32" t="str">
        <f aca="false">IF(R2520="","",SUMPRODUCT((I$5:I$4004=I2520)*ISNUMBER(R$5:R$4004)*(R$5:R$4004&gt;R2520))+1)</f>
        <v/>
      </c>
      <c r="T2520" s="32" t="str">
        <f aca="false">IF(S2520="","",IF(S2520&lt;=Setup!$B$5,"🏆 WINNER",""))</f>
        <v/>
      </c>
      <c r="U2520" s="31" t="str">
        <f aca="false">IF(S2520="","",I2520&amp;"|"&amp;S2520)</f>
        <v/>
      </c>
    </row>
    <row r="2521" customFormat="false" ht="15" hidden="false" customHeight="false" outlineLevel="0" collapsed="false">
      <c r="A2521" s="24" t="n">
        <v>2517</v>
      </c>
      <c r="B2521" s="25" t="str">
        <f aca="false">IF(OR(C2521="",I2521="",G2521=""),"",IFERROR(VLOOKUP(I2521,Setup!$A$9:$B$11,2,0),"???")&amp;"-"&amp;G2521&amp;"-"&amp;TEXT(COUNTIFS(I$5:I2521,I2521,G$5:G2521,G2521),"0000"))</f>
        <v/>
      </c>
      <c r="C2521" s="26"/>
      <c r="D2521" s="26"/>
      <c r="E2521" s="27"/>
      <c r="F2521" s="27"/>
      <c r="G2521" s="24" t="str">
        <f aca="false">IF(F2521="","",IF(F2521&lt;=5,"A",IF(F2521&lt;=8,"B",IF(F2521&lt;=10,"C","D"))))</f>
        <v/>
      </c>
      <c r="H2521" s="28"/>
      <c r="I2521" s="27"/>
      <c r="J2521" s="26"/>
      <c r="K2521" s="27"/>
      <c r="L2521" s="27"/>
      <c r="M2521" s="27"/>
      <c r="N2521" s="27"/>
      <c r="O2521" s="24" t="str">
        <f aca="false">IF(G2521="","",VLOOKUP(G2521,Setup!$A$14:$C$17,3,0))</f>
        <v/>
      </c>
      <c r="P2521" s="27"/>
      <c r="Q2521" s="29" t="str">
        <f aca="false">IF(OR(P2521="",M2521&lt;&gt;"Paid",O2521=""),"",P2521/O2521)</f>
        <v/>
      </c>
      <c r="R2521" s="30" t="str">
        <f aca="false">IF(Q2521="","",Q2521+N(H2521)*0.000000001)</f>
        <v/>
      </c>
      <c r="S2521" s="25" t="str">
        <f aca="false">IF(R2521="","",SUMPRODUCT((I$5:I$4004=I2521)*ISNUMBER(R$5:R$4004)*(R$5:R$4004&gt;R2521))+1)</f>
        <v/>
      </c>
      <c r="T2521" s="25" t="str">
        <f aca="false">IF(S2521="","",IF(S2521&lt;=Setup!$B$5,"🏆 WINNER",""))</f>
        <v/>
      </c>
      <c r="U2521" s="24" t="str">
        <f aca="false">IF(S2521="","",I2521&amp;"|"&amp;S2521)</f>
        <v/>
      </c>
    </row>
    <row r="2522" customFormat="false" ht="15" hidden="false" customHeight="false" outlineLevel="0" collapsed="false">
      <c r="A2522" s="31" t="n">
        <v>2518</v>
      </c>
      <c r="B2522" s="32" t="str">
        <f aca="false">IF(OR(C2522="",I2522="",G2522=""),"",IFERROR(VLOOKUP(I2522,Setup!$A$9:$B$11,2,0),"???")&amp;"-"&amp;G2522&amp;"-"&amp;TEXT(COUNTIFS(I$5:I2522,I2522,G$5:G2522,G2522),"0000"))</f>
        <v/>
      </c>
      <c r="C2522" s="26"/>
      <c r="D2522" s="26"/>
      <c r="E2522" s="27"/>
      <c r="F2522" s="27"/>
      <c r="G2522" s="31" t="str">
        <f aca="false">IF(F2522="","",IF(F2522&lt;=5,"A",IF(F2522&lt;=8,"B",IF(F2522&lt;=10,"C","D"))))</f>
        <v/>
      </c>
      <c r="H2522" s="28"/>
      <c r="I2522" s="27"/>
      <c r="J2522" s="26"/>
      <c r="K2522" s="27"/>
      <c r="L2522" s="27"/>
      <c r="M2522" s="27"/>
      <c r="N2522" s="27"/>
      <c r="O2522" s="31" t="str">
        <f aca="false">IF(G2522="","",VLOOKUP(G2522,Setup!$A$14:$C$17,3,0))</f>
        <v/>
      </c>
      <c r="P2522" s="27"/>
      <c r="Q2522" s="33" t="str">
        <f aca="false">IF(OR(P2522="",M2522&lt;&gt;"Paid",O2522=""),"",P2522/O2522)</f>
        <v/>
      </c>
      <c r="R2522" s="34" t="str">
        <f aca="false">IF(Q2522="","",Q2522+N(H2522)*0.000000001)</f>
        <v/>
      </c>
      <c r="S2522" s="32" t="str">
        <f aca="false">IF(R2522="","",SUMPRODUCT((I$5:I$4004=I2522)*ISNUMBER(R$5:R$4004)*(R$5:R$4004&gt;R2522))+1)</f>
        <v/>
      </c>
      <c r="T2522" s="32" t="str">
        <f aca="false">IF(S2522="","",IF(S2522&lt;=Setup!$B$5,"🏆 WINNER",""))</f>
        <v/>
      </c>
      <c r="U2522" s="31" t="str">
        <f aca="false">IF(S2522="","",I2522&amp;"|"&amp;S2522)</f>
        <v/>
      </c>
    </row>
    <row r="2523" customFormat="false" ht="15" hidden="false" customHeight="false" outlineLevel="0" collapsed="false">
      <c r="A2523" s="24" t="n">
        <v>2519</v>
      </c>
      <c r="B2523" s="25" t="str">
        <f aca="false">IF(OR(C2523="",I2523="",G2523=""),"",IFERROR(VLOOKUP(I2523,Setup!$A$9:$B$11,2,0),"???")&amp;"-"&amp;G2523&amp;"-"&amp;TEXT(COUNTIFS(I$5:I2523,I2523,G$5:G2523,G2523),"0000"))</f>
        <v/>
      </c>
      <c r="C2523" s="26"/>
      <c r="D2523" s="26"/>
      <c r="E2523" s="27"/>
      <c r="F2523" s="27"/>
      <c r="G2523" s="24" t="str">
        <f aca="false">IF(F2523="","",IF(F2523&lt;=5,"A",IF(F2523&lt;=8,"B",IF(F2523&lt;=10,"C","D"))))</f>
        <v/>
      </c>
      <c r="H2523" s="28"/>
      <c r="I2523" s="27"/>
      <c r="J2523" s="26"/>
      <c r="K2523" s="27"/>
      <c r="L2523" s="27"/>
      <c r="M2523" s="27"/>
      <c r="N2523" s="27"/>
      <c r="O2523" s="24" t="str">
        <f aca="false">IF(G2523="","",VLOOKUP(G2523,Setup!$A$14:$C$17,3,0))</f>
        <v/>
      </c>
      <c r="P2523" s="27"/>
      <c r="Q2523" s="29" t="str">
        <f aca="false">IF(OR(P2523="",M2523&lt;&gt;"Paid",O2523=""),"",P2523/O2523)</f>
        <v/>
      </c>
      <c r="R2523" s="30" t="str">
        <f aca="false">IF(Q2523="","",Q2523+N(H2523)*0.000000001)</f>
        <v/>
      </c>
      <c r="S2523" s="25" t="str">
        <f aca="false">IF(R2523="","",SUMPRODUCT((I$5:I$4004=I2523)*ISNUMBER(R$5:R$4004)*(R$5:R$4004&gt;R2523))+1)</f>
        <v/>
      </c>
      <c r="T2523" s="25" t="str">
        <f aca="false">IF(S2523="","",IF(S2523&lt;=Setup!$B$5,"🏆 WINNER",""))</f>
        <v/>
      </c>
      <c r="U2523" s="24" t="str">
        <f aca="false">IF(S2523="","",I2523&amp;"|"&amp;S2523)</f>
        <v/>
      </c>
    </row>
    <row r="2524" customFormat="false" ht="15" hidden="false" customHeight="false" outlineLevel="0" collapsed="false">
      <c r="A2524" s="31" t="n">
        <v>2520</v>
      </c>
      <c r="B2524" s="32" t="str">
        <f aca="false">IF(OR(C2524="",I2524="",G2524=""),"",IFERROR(VLOOKUP(I2524,Setup!$A$9:$B$11,2,0),"???")&amp;"-"&amp;G2524&amp;"-"&amp;TEXT(COUNTIFS(I$5:I2524,I2524,G$5:G2524,G2524),"0000"))</f>
        <v/>
      </c>
      <c r="C2524" s="26"/>
      <c r="D2524" s="26"/>
      <c r="E2524" s="27"/>
      <c r="F2524" s="27"/>
      <c r="G2524" s="31" t="str">
        <f aca="false">IF(F2524="","",IF(F2524&lt;=5,"A",IF(F2524&lt;=8,"B",IF(F2524&lt;=10,"C","D"))))</f>
        <v/>
      </c>
      <c r="H2524" s="28"/>
      <c r="I2524" s="27"/>
      <c r="J2524" s="26"/>
      <c r="K2524" s="27"/>
      <c r="L2524" s="27"/>
      <c r="M2524" s="27"/>
      <c r="N2524" s="27"/>
      <c r="O2524" s="31" t="str">
        <f aca="false">IF(G2524="","",VLOOKUP(G2524,Setup!$A$14:$C$17,3,0))</f>
        <v/>
      </c>
      <c r="P2524" s="27"/>
      <c r="Q2524" s="33" t="str">
        <f aca="false">IF(OR(P2524="",M2524&lt;&gt;"Paid",O2524=""),"",P2524/O2524)</f>
        <v/>
      </c>
      <c r="R2524" s="34" t="str">
        <f aca="false">IF(Q2524="","",Q2524+N(H2524)*0.000000001)</f>
        <v/>
      </c>
      <c r="S2524" s="32" t="str">
        <f aca="false">IF(R2524="","",SUMPRODUCT((I$5:I$4004=I2524)*ISNUMBER(R$5:R$4004)*(R$5:R$4004&gt;R2524))+1)</f>
        <v/>
      </c>
      <c r="T2524" s="32" t="str">
        <f aca="false">IF(S2524="","",IF(S2524&lt;=Setup!$B$5,"🏆 WINNER",""))</f>
        <v/>
      </c>
      <c r="U2524" s="31" t="str">
        <f aca="false">IF(S2524="","",I2524&amp;"|"&amp;S2524)</f>
        <v/>
      </c>
    </row>
    <row r="2525" customFormat="false" ht="15" hidden="false" customHeight="false" outlineLevel="0" collapsed="false">
      <c r="A2525" s="24" t="n">
        <v>2521</v>
      </c>
      <c r="B2525" s="25" t="str">
        <f aca="false">IF(OR(C2525="",I2525="",G2525=""),"",IFERROR(VLOOKUP(I2525,Setup!$A$9:$B$11,2,0),"???")&amp;"-"&amp;G2525&amp;"-"&amp;TEXT(COUNTIFS(I$5:I2525,I2525,G$5:G2525,G2525),"0000"))</f>
        <v/>
      </c>
      <c r="C2525" s="26"/>
      <c r="D2525" s="26"/>
      <c r="E2525" s="27"/>
      <c r="F2525" s="27"/>
      <c r="G2525" s="24" t="str">
        <f aca="false">IF(F2525="","",IF(F2525&lt;=5,"A",IF(F2525&lt;=8,"B",IF(F2525&lt;=10,"C","D"))))</f>
        <v/>
      </c>
      <c r="H2525" s="28"/>
      <c r="I2525" s="27"/>
      <c r="J2525" s="26"/>
      <c r="K2525" s="27"/>
      <c r="L2525" s="27"/>
      <c r="M2525" s="27"/>
      <c r="N2525" s="27"/>
      <c r="O2525" s="24" t="str">
        <f aca="false">IF(G2525="","",VLOOKUP(G2525,Setup!$A$14:$C$17,3,0))</f>
        <v/>
      </c>
      <c r="P2525" s="27"/>
      <c r="Q2525" s="29" t="str">
        <f aca="false">IF(OR(P2525="",M2525&lt;&gt;"Paid",O2525=""),"",P2525/O2525)</f>
        <v/>
      </c>
      <c r="R2525" s="30" t="str">
        <f aca="false">IF(Q2525="","",Q2525+N(H2525)*0.000000001)</f>
        <v/>
      </c>
      <c r="S2525" s="25" t="str">
        <f aca="false">IF(R2525="","",SUMPRODUCT((I$5:I$4004=I2525)*ISNUMBER(R$5:R$4004)*(R$5:R$4004&gt;R2525))+1)</f>
        <v/>
      </c>
      <c r="T2525" s="25" t="str">
        <f aca="false">IF(S2525="","",IF(S2525&lt;=Setup!$B$5,"🏆 WINNER",""))</f>
        <v/>
      </c>
      <c r="U2525" s="24" t="str">
        <f aca="false">IF(S2525="","",I2525&amp;"|"&amp;S2525)</f>
        <v/>
      </c>
    </row>
    <row r="2526" customFormat="false" ht="15" hidden="false" customHeight="false" outlineLevel="0" collapsed="false">
      <c r="A2526" s="31" t="n">
        <v>2522</v>
      </c>
      <c r="B2526" s="32" t="str">
        <f aca="false">IF(OR(C2526="",I2526="",G2526=""),"",IFERROR(VLOOKUP(I2526,Setup!$A$9:$B$11,2,0),"???")&amp;"-"&amp;G2526&amp;"-"&amp;TEXT(COUNTIFS(I$5:I2526,I2526,G$5:G2526,G2526),"0000"))</f>
        <v/>
      </c>
      <c r="C2526" s="26"/>
      <c r="D2526" s="26"/>
      <c r="E2526" s="27"/>
      <c r="F2526" s="27"/>
      <c r="G2526" s="31" t="str">
        <f aca="false">IF(F2526="","",IF(F2526&lt;=5,"A",IF(F2526&lt;=8,"B",IF(F2526&lt;=10,"C","D"))))</f>
        <v/>
      </c>
      <c r="H2526" s="28"/>
      <c r="I2526" s="27"/>
      <c r="J2526" s="26"/>
      <c r="K2526" s="27"/>
      <c r="L2526" s="27"/>
      <c r="M2526" s="27"/>
      <c r="N2526" s="27"/>
      <c r="O2526" s="31" t="str">
        <f aca="false">IF(G2526="","",VLOOKUP(G2526,Setup!$A$14:$C$17,3,0))</f>
        <v/>
      </c>
      <c r="P2526" s="27"/>
      <c r="Q2526" s="33" t="str">
        <f aca="false">IF(OR(P2526="",M2526&lt;&gt;"Paid",O2526=""),"",P2526/O2526)</f>
        <v/>
      </c>
      <c r="R2526" s="34" t="str">
        <f aca="false">IF(Q2526="","",Q2526+N(H2526)*0.000000001)</f>
        <v/>
      </c>
      <c r="S2526" s="32" t="str">
        <f aca="false">IF(R2526="","",SUMPRODUCT((I$5:I$4004=I2526)*ISNUMBER(R$5:R$4004)*(R$5:R$4004&gt;R2526))+1)</f>
        <v/>
      </c>
      <c r="T2526" s="32" t="str">
        <f aca="false">IF(S2526="","",IF(S2526&lt;=Setup!$B$5,"🏆 WINNER",""))</f>
        <v/>
      </c>
      <c r="U2526" s="31" t="str">
        <f aca="false">IF(S2526="","",I2526&amp;"|"&amp;S2526)</f>
        <v/>
      </c>
    </row>
    <row r="2527" customFormat="false" ht="15" hidden="false" customHeight="false" outlineLevel="0" collapsed="false">
      <c r="A2527" s="24" t="n">
        <v>2523</v>
      </c>
      <c r="B2527" s="25" t="str">
        <f aca="false">IF(OR(C2527="",I2527="",G2527=""),"",IFERROR(VLOOKUP(I2527,Setup!$A$9:$B$11,2,0),"???")&amp;"-"&amp;G2527&amp;"-"&amp;TEXT(COUNTIFS(I$5:I2527,I2527,G$5:G2527,G2527),"0000"))</f>
        <v/>
      </c>
      <c r="C2527" s="26"/>
      <c r="D2527" s="26"/>
      <c r="E2527" s="27"/>
      <c r="F2527" s="27"/>
      <c r="G2527" s="24" t="str">
        <f aca="false">IF(F2527="","",IF(F2527&lt;=5,"A",IF(F2527&lt;=8,"B",IF(F2527&lt;=10,"C","D"))))</f>
        <v/>
      </c>
      <c r="H2527" s="28"/>
      <c r="I2527" s="27"/>
      <c r="J2527" s="26"/>
      <c r="K2527" s="27"/>
      <c r="L2527" s="27"/>
      <c r="M2527" s="27"/>
      <c r="N2527" s="27"/>
      <c r="O2527" s="24" t="str">
        <f aca="false">IF(G2527="","",VLOOKUP(G2527,Setup!$A$14:$C$17,3,0))</f>
        <v/>
      </c>
      <c r="P2527" s="27"/>
      <c r="Q2527" s="29" t="str">
        <f aca="false">IF(OR(P2527="",M2527&lt;&gt;"Paid",O2527=""),"",P2527/O2527)</f>
        <v/>
      </c>
      <c r="R2527" s="30" t="str">
        <f aca="false">IF(Q2527="","",Q2527+N(H2527)*0.000000001)</f>
        <v/>
      </c>
      <c r="S2527" s="25" t="str">
        <f aca="false">IF(R2527="","",SUMPRODUCT((I$5:I$4004=I2527)*ISNUMBER(R$5:R$4004)*(R$5:R$4004&gt;R2527))+1)</f>
        <v/>
      </c>
      <c r="T2527" s="25" t="str">
        <f aca="false">IF(S2527="","",IF(S2527&lt;=Setup!$B$5,"🏆 WINNER",""))</f>
        <v/>
      </c>
      <c r="U2527" s="24" t="str">
        <f aca="false">IF(S2527="","",I2527&amp;"|"&amp;S2527)</f>
        <v/>
      </c>
    </row>
    <row r="2528" customFormat="false" ht="15" hidden="false" customHeight="false" outlineLevel="0" collapsed="false">
      <c r="A2528" s="31" t="n">
        <v>2524</v>
      </c>
      <c r="B2528" s="32" t="str">
        <f aca="false">IF(OR(C2528="",I2528="",G2528=""),"",IFERROR(VLOOKUP(I2528,Setup!$A$9:$B$11,2,0),"???")&amp;"-"&amp;G2528&amp;"-"&amp;TEXT(COUNTIFS(I$5:I2528,I2528,G$5:G2528,G2528),"0000"))</f>
        <v/>
      </c>
      <c r="C2528" s="26"/>
      <c r="D2528" s="26"/>
      <c r="E2528" s="27"/>
      <c r="F2528" s="27"/>
      <c r="G2528" s="31" t="str">
        <f aca="false">IF(F2528="","",IF(F2528&lt;=5,"A",IF(F2528&lt;=8,"B",IF(F2528&lt;=10,"C","D"))))</f>
        <v/>
      </c>
      <c r="H2528" s="28"/>
      <c r="I2528" s="27"/>
      <c r="J2528" s="26"/>
      <c r="K2528" s="27"/>
      <c r="L2528" s="27"/>
      <c r="M2528" s="27"/>
      <c r="N2528" s="27"/>
      <c r="O2528" s="31" t="str">
        <f aca="false">IF(G2528="","",VLOOKUP(G2528,Setup!$A$14:$C$17,3,0))</f>
        <v/>
      </c>
      <c r="P2528" s="27"/>
      <c r="Q2528" s="33" t="str">
        <f aca="false">IF(OR(P2528="",M2528&lt;&gt;"Paid",O2528=""),"",P2528/O2528)</f>
        <v/>
      </c>
      <c r="R2528" s="34" t="str">
        <f aca="false">IF(Q2528="","",Q2528+N(H2528)*0.000000001)</f>
        <v/>
      </c>
      <c r="S2528" s="32" t="str">
        <f aca="false">IF(R2528="","",SUMPRODUCT((I$5:I$4004=I2528)*ISNUMBER(R$5:R$4004)*(R$5:R$4004&gt;R2528))+1)</f>
        <v/>
      </c>
      <c r="T2528" s="32" t="str">
        <f aca="false">IF(S2528="","",IF(S2528&lt;=Setup!$B$5,"🏆 WINNER",""))</f>
        <v/>
      </c>
      <c r="U2528" s="31" t="str">
        <f aca="false">IF(S2528="","",I2528&amp;"|"&amp;S2528)</f>
        <v/>
      </c>
    </row>
    <row r="2529" customFormat="false" ht="15" hidden="false" customHeight="false" outlineLevel="0" collapsed="false">
      <c r="A2529" s="24" t="n">
        <v>2525</v>
      </c>
      <c r="B2529" s="25" t="str">
        <f aca="false">IF(OR(C2529="",I2529="",G2529=""),"",IFERROR(VLOOKUP(I2529,Setup!$A$9:$B$11,2,0),"???")&amp;"-"&amp;G2529&amp;"-"&amp;TEXT(COUNTIFS(I$5:I2529,I2529,G$5:G2529,G2529),"0000"))</f>
        <v/>
      </c>
      <c r="C2529" s="26"/>
      <c r="D2529" s="26"/>
      <c r="E2529" s="27"/>
      <c r="F2529" s="27"/>
      <c r="G2529" s="24" t="str">
        <f aca="false">IF(F2529="","",IF(F2529&lt;=5,"A",IF(F2529&lt;=8,"B",IF(F2529&lt;=10,"C","D"))))</f>
        <v/>
      </c>
      <c r="H2529" s="28"/>
      <c r="I2529" s="27"/>
      <c r="J2529" s="26"/>
      <c r="K2529" s="27"/>
      <c r="L2529" s="27"/>
      <c r="M2529" s="27"/>
      <c r="N2529" s="27"/>
      <c r="O2529" s="24" t="str">
        <f aca="false">IF(G2529="","",VLOOKUP(G2529,Setup!$A$14:$C$17,3,0))</f>
        <v/>
      </c>
      <c r="P2529" s="27"/>
      <c r="Q2529" s="29" t="str">
        <f aca="false">IF(OR(P2529="",M2529&lt;&gt;"Paid",O2529=""),"",P2529/O2529)</f>
        <v/>
      </c>
      <c r="R2529" s="30" t="str">
        <f aca="false">IF(Q2529="","",Q2529+N(H2529)*0.000000001)</f>
        <v/>
      </c>
      <c r="S2529" s="25" t="str">
        <f aca="false">IF(R2529="","",SUMPRODUCT((I$5:I$4004=I2529)*ISNUMBER(R$5:R$4004)*(R$5:R$4004&gt;R2529))+1)</f>
        <v/>
      </c>
      <c r="T2529" s="25" t="str">
        <f aca="false">IF(S2529="","",IF(S2529&lt;=Setup!$B$5,"🏆 WINNER",""))</f>
        <v/>
      </c>
      <c r="U2529" s="24" t="str">
        <f aca="false">IF(S2529="","",I2529&amp;"|"&amp;S2529)</f>
        <v/>
      </c>
    </row>
    <row r="2530" customFormat="false" ht="15" hidden="false" customHeight="false" outlineLevel="0" collapsed="false">
      <c r="A2530" s="31" t="n">
        <v>2526</v>
      </c>
      <c r="B2530" s="32" t="str">
        <f aca="false">IF(OR(C2530="",I2530="",G2530=""),"",IFERROR(VLOOKUP(I2530,Setup!$A$9:$B$11,2,0),"???")&amp;"-"&amp;G2530&amp;"-"&amp;TEXT(COUNTIFS(I$5:I2530,I2530,G$5:G2530,G2530),"0000"))</f>
        <v/>
      </c>
      <c r="C2530" s="26"/>
      <c r="D2530" s="26"/>
      <c r="E2530" s="27"/>
      <c r="F2530" s="27"/>
      <c r="G2530" s="31" t="str">
        <f aca="false">IF(F2530="","",IF(F2530&lt;=5,"A",IF(F2530&lt;=8,"B",IF(F2530&lt;=10,"C","D"))))</f>
        <v/>
      </c>
      <c r="H2530" s="28"/>
      <c r="I2530" s="27"/>
      <c r="J2530" s="26"/>
      <c r="K2530" s="27"/>
      <c r="L2530" s="27"/>
      <c r="M2530" s="27"/>
      <c r="N2530" s="27"/>
      <c r="O2530" s="31" t="str">
        <f aca="false">IF(G2530="","",VLOOKUP(G2530,Setup!$A$14:$C$17,3,0))</f>
        <v/>
      </c>
      <c r="P2530" s="27"/>
      <c r="Q2530" s="33" t="str">
        <f aca="false">IF(OR(P2530="",M2530&lt;&gt;"Paid",O2530=""),"",P2530/O2530)</f>
        <v/>
      </c>
      <c r="R2530" s="34" t="str">
        <f aca="false">IF(Q2530="","",Q2530+N(H2530)*0.000000001)</f>
        <v/>
      </c>
      <c r="S2530" s="32" t="str">
        <f aca="false">IF(R2530="","",SUMPRODUCT((I$5:I$4004=I2530)*ISNUMBER(R$5:R$4004)*(R$5:R$4004&gt;R2530))+1)</f>
        <v/>
      </c>
      <c r="T2530" s="32" t="str">
        <f aca="false">IF(S2530="","",IF(S2530&lt;=Setup!$B$5,"🏆 WINNER",""))</f>
        <v/>
      </c>
      <c r="U2530" s="31" t="str">
        <f aca="false">IF(S2530="","",I2530&amp;"|"&amp;S2530)</f>
        <v/>
      </c>
    </row>
    <row r="2531" customFormat="false" ht="15" hidden="false" customHeight="false" outlineLevel="0" collapsed="false">
      <c r="A2531" s="24" t="n">
        <v>2527</v>
      </c>
      <c r="B2531" s="25" t="str">
        <f aca="false">IF(OR(C2531="",I2531="",G2531=""),"",IFERROR(VLOOKUP(I2531,Setup!$A$9:$B$11,2,0),"???")&amp;"-"&amp;G2531&amp;"-"&amp;TEXT(COUNTIFS(I$5:I2531,I2531,G$5:G2531,G2531),"0000"))</f>
        <v/>
      </c>
      <c r="C2531" s="26"/>
      <c r="D2531" s="26"/>
      <c r="E2531" s="27"/>
      <c r="F2531" s="27"/>
      <c r="G2531" s="24" t="str">
        <f aca="false">IF(F2531="","",IF(F2531&lt;=5,"A",IF(F2531&lt;=8,"B",IF(F2531&lt;=10,"C","D"))))</f>
        <v/>
      </c>
      <c r="H2531" s="28"/>
      <c r="I2531" s="27"/>
      <c r="J2531" s="26"/>
      <c r="K2531" s="27"/>
      <c r="L2531" s="27"/>
      <c r="M2531" s="27"/>
      <c r="N2531" s="27"/>
      <c r="O2531" s="24" t="str">
        <f aca="false">IF(G2531="","",VLOOKUP(G2531,Setup!$A$14:$C$17,3,0))</f>
        <v/>
      </c>
      <c r="P2531" s="27"/>
      <c r="Q2531" s="29" t="str">
        <f aca="false">IF(OR(P2531="",M2531&lt;&gt;"Paid",O2531=""),"",P2531/O2531)</f>
        <v/>
      </c>
      <c r="R2531" s="30" t="str">
        <f aca="false">IF(Q2531="","",Q2531+N(H2531)*0.000000001)</f>
        <v/>
      </c>
      <c r="S2531" s="25" t="str">
        <f aca="false">IF(R2531="","",SUMPRODUCT((I$5:I$4004=I2531)*ISNUMBER(R$5:R$4004)*(R$5:R$4004&gt;R2531))+1)</f>
        <v/>
      </c>
      <c r="T2531" s="25" t="str">
        <f aca="false">IF(S2531="","",IF(S2531&lt;=Setup!$B$5,"🏆 WINNER",""))</f>
        <v/>
      </c>
      <c r="U2531" s="24" t="str">
        <f aca="false">IF(S2531="","",I2531&amp;"|"&amp;S2531)</f>
        <v/>
      </c>
    </row>
    <row r="2532" customFormat="false" ht="15" hidden="false" customHeight="false" outlineLevel="0" collapsed="false">
      <c r="A2532" s="31" t="n">
        <v>2528</v>
      </c>
      <c r="B2532" s="32" t="str">
        <f aca="false">IF(OR(C2532="",I2532="",G2532=""),"",IFERROR(VLOOKUP(I2532,Setup!$A$9:$B$11,2,0),"???")&amp;"-"&amp;G2532&amp;"-"&amp;TEXT(COUNTIFS(I$5:I2532,I2532,G$5:G2532,G2532),"0000"))</f>
        <v/>
      </c>
      <c r="C2532" s="26"/>
      <c r="D2532" s="26"/>
      <c r="E2532" s="27"/>
      <c r="F2532" s="27"/>
      <c r="G2532" s="31" t="str">
        <f aca="false">IF(F2532="","",IF(F2532&lt;=5,"A",IF(F2532&lt;=8,"B",IF(F2532&lt;=10,"C","D"))))</f>
        <v/>
      </c>
      <c r="H2532" s="28"/>
      <c r="I2532" s="27"/>
      <c r="J2532" s="26"/>
      <c r="K2532" s="27"/>
      <c r="L2532" s="27"/>
      <c r="M2532" s="27"/>
      <c r="N2532" s="27"/>
      <c r="O2532" s="31" t="str">
        <f aca="false">IF(G2532="","",VLOOKUP(G2532,Setup!$A$14:$C$17,3,0))</f>
        <v/>
      </c>
      <c r="P2532" s="27"/>
      <c r="Q2532" s="33" t="str">
        <f aca="false">IF(OR(P2532="",M2532&lt;&gt;"Paid",O2532=""),"",P2532/O2532)</f>
        <v/>
      </c>
      <c r="R2532" s="34" t="str">
        <f aca="false">IF(Q2532="","",Q2532+N(H2532)*0.000000001)</f>
        <v/>
      </c>
      <c r="S2532" s="32" t="str">
        <f aca="false">IF(R2532="","",SUMPRODUCT((I$5:I$4004=I2532)*ISNUMBER(R$5:R$4004)*(R$5:R$4004&gt;R2532))+1)</f>
        <v/>
      </c>
      <c r="T2532" s="32" t="str">
        <f aca="false">IF(S2532="","",IF(S2532&lt;=Setup!$B$5,"🏆 WINNER",""))</f>
        <v/>
      </c>
      <c r="U2532" s="31" t="str">
        <f aca="false">IF(S2532="","",I2532&amp;"|"&amp;S2532)</f>
        <v/>
      </c>
    </row>
    <row r="2533" customFormat="false" ht="15" hidden="false" customHeight="false" outlineLevel="0" collapsed="false">
      <c r="A2533" s="24" t="n">
        <v>2529</v>
      </c>
      <c r="B2533" s="25" t="str">
        <f aca="false">IF(OR(C2533="",I2533="",G2533=""),"",IFERROR(VLOOKUP(I2533,Setup!$A$9:$B$11,2,0),"???")&amp;"-"&amp;G2533&amp;"-"&amp;TEXT(COUNTIFS(I$5:I2533,I2533,G$5:G2533,G2533),"0000"))</f>
        <v/>
      </c>
      <c r="C2533" s="26"/>
      <c r="D2533" s="26"/>
      <c r="E2533" s="27"/>
      <c r="F2533" s="27"/>
      <c r="G2533" s="24" t="str">
        <f aca="false">IF(F2533="","",IF(F2533&lt;=5,"A",IF(F2533&lt;=8,"B",IF(F2533&lt;=10,"C","D"))))</f>
        <v/>
      </c>
      <c r="H2533" s="28"/>
      <c r="I2533" s="27"/>
      <c r="J2533" s="26"/>
      <c r="K2533" s="27"/>
      <c r="L2533" s="27"/>
      <c r="M2533" s="27"/>
      <c r="N2533" s="27"/>
      <c r="O2533" s="24" t="str">
        <f aca="false">IF(G2533="","",VLOOKUP(G2533,Setup!$A$14:$C$17,3,0))</f>
        <v/>
      </c>
      <c r="P2533" s="27"/>
      <c r="Q2533" s="29" t="str">
        <f aca="false">IF(OR(P2533="",M2533&lt;&gt;"Paid",O2533=""),"",P2533/O2533)</f>
        <v/>
      </c>
      <c r="R2533" s="30" t="str">
        <f aca="false">IF(Q2533="","",Q2533+N(H2533)*0.000000001)</f>
        <v/>
      </c>
      <c r="S2533" s="25" t="str">
        <f aca="false">IF(R2533="","",SUMPRODUCT((I$5:I$4004=I2533)*ISNUMBER(R$5:R$4004)*(R$5:R$4004&gt;R2533))+1)</f>
        <v/>
      </c>
      <c r="T2533" s="25" t="str">
        <f aca="false">IF(S2533="","",IF(S2533&lt;=Setup!$B$5,"🏆 WINNER",""))</f>
        <v/>
      </c>
      <c r="U2533" s="24" t="str">
        <f aca="false">IF(S2533="","",I2533&amp;"|"&amp;S2533)</f>
        <v/>
      </c>
    </row>
    <row r="2534" customFormat="false" ht="15" hidden="false" customHeight="false" outlineLevel="0" collapsed="false">
      <c r="A2534" s="31" t="n">
        <v>2530</v>
      </c>
      <c r="B2534" s="32" t="str">
        <f aca="false">IF(OR(C2534="",I2534="",G2534=""),"",IFERROR(VLOOKUP(I2534,Setup!$A$9:$B$11,2,0),"???")&amp;"-"&amp;G2534&amp;"-"&amp;TEXT(COUNTIFS(I$5:I2534,I2534,G$5:G2534,G2534),"0000"))</f>
        <v/>
      </c>
      <c r="C2534" s="26"/>
      <c r="D2534" s="26"/>
      <c r="E2534" s="27"/>
      <c r="F2534" s="27"/>
      <c r="G2534" s="31" t="str">
        <f aca="false">IF(F2534="","",IF(F2534&lt;=5,"A",IF(F2534&lt;=8,"B",IF(F2534&lt;=10,"C","D"))))</f>
        <v/>
      </c>
      <c r="H2534" s="28"/>
      <c r="I2534" s="27"/>
      <c r="J2534" s="26"/>
      <c r="K2534" s="27"/>
      <c r="L2534" s="27"/>
      <c r="M2534" s="27"/>
      <c r="N2534" s="27"/>
      <c r="O2534" s="31" t="str">
        <f aca="false">IF(G2534="","",VLOOKUP(G2534,Setup!$A$14:$C$17,3,0))</f>
        <v/>
      </c>
      <c r="P2534" s="27"/>
      <c r="Q2534" s="33" t="str">
        <f aca="false">IF(OR(P2534="",M2534&lt;&gt;"Paid",O2534=""),"",P2534/O2534)</f>
        <v/>
      </c>
      <c r="R2534" s="34" t="str">
        <f aca="false">IF(Q2534="","",Q2534+N(H2534)*0.000000001)</f>
        <v/>
      </c>
      <c r="S2534" s="32" t="str">
        <f aca="false">IF(R2534="","",SUMPRODUCT((I$5:I$4004=I2534)*ISNUMBER(R$5:R$4004)*(R$5:R$4004&gt;R2534))+1)</f>
        <v/>
      </c>
      <c r="T2534" s="32" t="str">
        <f aca="false">IF(S2534="","",IF(S2534&lt;=Setup!$B$5,"🏆 WINNER",""))</f>
        <v/>
      </c>
      <c r="U2534" s="31" t="str">
        <f aca="false">IF(S2534="","",I2534&amp;"|"&amp;S2534)</f>
        <v/>
      </c>
    </row>
    <row r="2535" customFormat="false" ht="15" hidden="false" customHeight="false" outlineLevel="0" collapsed="false">
      <c r="A2535" s="24" t="n">
        <v>2531</v>
      </c>
      <c r="B2535" s="25" t="str">
        <f aca="false">IF(OR(C2535="",I2535="",G2535=""),"",IFERROR(VLOOKUP(I2535,Setup!$A$9:$B$11,2,0),"???")&amp;"-"&amp;G2535&amp;"-"&amp;TEXT(COUNTIFS(I$5:I2535,I2535,G$5:G2535,G2535),"0000"))</f>
        <v/>
      </c>
      <c r="C2535" s="26"/>
      <c r="D2535" s="26"/>
      <c r="E2535" s="27"/>
      <c r="F2535" s="27"/>
      <c r="G2535" s="24" t="str">
        <f aca="false">IF(F2535="","",IF(F2535&lt;=5,"A",IF(F2535&lt;=8,"B",IF(F2535&lt;=10,"C","D"))))</f>
        <v/>
      </c>
      <c r="H2535" s="28"/>
      <c r="I2535" s="27"/>
      <c r="J2535" s="26"/>
      <c r="K2535" s="27"/>
      <c r="L2535" s="27"/>
      <c r="M2535" s="27"/>
      <c r="N2535" s="27"/>
      <c r="O2535" s="24" t="str">
        <f aca="false">IF(G2535="","",VLOOKUP(G2535,Setup!$A$14:$C$17,3,0))</f>
        <v/>
      </c>
      <c r="P2535" s="27"/>
      <c r="Q2535" s="29" t="str">
        <f aca="false">IF(OR(P2535="",M2535&lt;&gt;"Paid",O2535=""),"",P2535/O2535)</f>
        <v/>
      </c>
      <c r="R2535" s="30" t="str">
        <f aca="false">IF(Q2535="","",Q2535+N(H2535)*0.000000001)</f>
        <v/>
      </c>
      <c r="S2535" s="25" t="str">
        <f aca="false">IF(R2535="","",SUMPRODUCT((I$5:I$4004=I2535)*ISNUMBER(R$5:R$4004)*(R$5:R$4004&gt;R2535))+1)</f>
        <v/>
      </c>
      <c r="T2535" s="25" t="str">
        <f aca="false">IF(S2535="","",IF(S2535&lt;=Setup!$B$5,"🏆 WINNER",""))</f>
        <v/>
      </c>
      <c r="U2535" s="24" t="str">
        <f aca="false">IF(S2535="","",I2535&amp;"|"&amp;S2535)</f>
        <v/>
      </c>
    </row>
    <row r="2536" customFormat="false" ht="15" hidden="false" customHeight="false" outlineLevel="0" collapsed="false">
      <c r="A2536" s="31" t="n">
        <v>2532</v>
      </c>
      <c r="B2536" s="32" t="str">
        <f aca="false">IF(OR(C2536="",I2536="",G2536=""),"",IFERROR(VLOOKUP(I2536,Setup!$A$9:$B$11,2,0),"???")&amp;"-"&amp;G2536&amp;"-"&amp;TEXT(COUNTIFS(I$5:I2536,I2536,G$5:G2536,G2536),"0000"))</f>
        <v/>
      </c>
      <c r="C2536" s="26"/>
      <c r="D2536" s="26"/>
      <c r="E2536" s="27"/>
      <c r="F2536" s="27"/>
      <c r="G2536" s="31" t="str">
        <f aca="false">IF(F2536="","",IF(F2536&lt;=5,"A",IF(F2536&lt;=8,"B",IF(F2536&lt;=10,"C","D"))))</f>
        <v/>
      </c>
      <c r="H2536" s="28"/>
      <c r="I2536" s="27"/>
      <c r="J2536" s="26"/>
      <c r="K2536" s="27"/>
      <c r="L2536" s="27"/>
      <c r="M2536" s="27"/>
      <c r="N2536" s="27"/>
      <c r="O2536" s="31" t="str">
        <f aca="false">IF(G2536="","",VLOOKUP(G2536,Setup!$A$14:$C$17,3,0))</f>
        <v/>
      </c>
      <c r="P2536" s="27"/>
      <c r="Q2536" s="33" t="str">
        <f aca="false">IF(OR(P2536="",M2536&lt;&gt;"Paid",O2536=""),"",P2536/O2536)</f>
        <v/>
      </c>
      <c r="R2536" s="34" t="str">
        <f aca="false">IF(Q2536="","",Q2536+N(H2536)*0.000000001)</f>
        <v/>
      </c>
      <c r="S2536" s="32" t="str">
        <f aca="false">IF(R2536="","",SUMPRODUCT((I$5:I$4004=I2536)*ISNUMBER(R$5:R$4004)*(R$5:R$4004&gt;R2536))+1)</f>
        <v/>
      </c>
      <c r="T2536" s="32" t="str">
        <f aca="false">IF(S2536="","",IF(S2536&lt;=Setup!$B$5,"🏆 WINNER",""))</f>
        <v/>
      </c>
      <c r="U2536" s="31" t="str">
        <f aca="false">IF(S2536="","",I2536&amp;"|"&amp;S2536)</f>
        <v/>
      </c>
    </row>
    <row r="2537" customFormat="false" ht="15" hidden="false" customHeight="false" outlineLevel="0" collapsed="false">
      <c r="A2537" s="24" t="n">
        <v>2533</v>
      </c>
      <c r="B2537" s="25" t="str">
        <f aca="false">IF(OR(C2537="",I2537="",G2537=""),"",IFERROR(VLOOKUP(I2537,Setup!$A$9:$B$11,2,0),"???")&amp;"-"&amp;G2537&amp;"-"&amp;TEXT(COUNTIFS(I$5:I2537,I2537,G$5:G2537,G2537),"0000"))</f>
        <v/>
      </c>
      <c r="C2537" s="26"/>
      <c r="D2537" s="26"/>
      <c r="E2537" s="27"/>
      <c r="F2537" s="27"/>
      <c r="G2537" s="24" t="str">
        <f aca="false">IF(F2537="","",IF(F2537&lt;=5,"A",IF(F2537&lt;=8,"B",IF(F2537&lt;=10,"C","D"))))</f>
        <v/>
      </c>
      <c r="H2537" s="28"/>
      <c r="I2537" s="27"/>
      <c r="J2537" s="26"/>
      <c r="K2537" s="27"/>
      <c r="L2537" s="27"/>
      <c r="M2537" s="27"/>
      <c r="N2537" s="27"/>
      <c r="O2537" s="24" t="str">
        <f aca="false">IF(G2537="","",VLOOKUP(G2537,Setup!$A$14:$C$17,3,0))</f>
        <v/>
      </c>
      <c r="P2537" s="27"/>
      <c r="Q2537" s="29" t="str">
        <f aca="false">IF(OR(P2537="",M2537&lt;&gt;"Paid",O2537=""),"",P2537/O2537)</f>
        <v/>
      </c>
      <c r="R2537" s="30" t="str">
        <f aca="false">IF(Q2537="","",Q2537+N(H2537)*0.000000001)</f>
        <v/>
      </c>
      <c r="S2537" s="25" t="str">
        <f aca="false">IF(R2537="","",SUMPRODUCT((I$5:I$4004=I2537)*ISNUMBER(R$5:R$4004)*(R$5:R$4004&gt;R2537))+1)</f>
        <v/>
      </c>
      <c r="T2537" s="25" t="str">
        <f aca="false">IF(S2537="","",IF(S2537&lt;=Setup!$B$5,"🏆 WINNER",""))</f>
        <v/>
      </c>
      <c r="U2537" s="24" t="str">
        <f aca="false">IF(S2537="","",I2537&amp;"|"&amp;S2537)</f>
        <v/>
      </c>
    </row>
    <row r="2538" customFormat="false" ht="15" hidden="false" customHeight="false" outlineLevel="0" collapsed="false">
      <c r="A2538" s="31" t="n">
        <v>2534</v>
      </c>
      <c r="B2538" s="32" t="str">
        <f aca="false">IF(OR(C2538="",I2538="",G2538=""),"",IFERROR(VLOOKUP(I2538,Setup!$A$9:$B$11,2,0),"???")&amp;"-"&amp;G2538&amp;"-"&amp;TEXT(COUNTIFS(I$5:I2538,I2538,G$5:G2538,G2538),"0000"))</f>
        <v/>
      </c>
      <c r="C2538" s="26"/>
      <c r="D2538" s="26"/>
      <c r="E2538" s="27"/>
      <c r="F2538" s="27"/>
      <c r="G2538" s="31" t="str">
        <f aca="false">IF(F2538="","",IF(F2538&lt;=5,"A",IF(F2538&lt;=8,"B",IF(F2538&lt;=10,"C","D"))))</f>
        <v/>
      </c>
      <c r="H2538" s="28"/>
      <c r="I2538" s="27"/>
      <c r="J2538" s="26"/>
      <c r="K2538" s="27"/>
      <c r="L2538" s="27"/>
      <c r="M2538" s="27"/>
      <c r="N2538" s="27"/>
      <c r="O2538" s="31" t="str">
        <f aca="false">IF(G2538="","",VLOOKUP(G2538,Setup!$A$14:$C$17,3,0))</f>
        <v/>
      </c>
      <c r="P2538" s="27"/>
      <c r="Q2538" s="33" t="str">
        <f aca="false">IF(OR(P2538="",M2538&lt;&gt;"Paid",O2538=""),"",P2538/O2538)</f>
        <v/>
      </c>
      <c r="R2538" s="34" t="str">
        <f aca="false">IF(Q2538="","",Q2538+N(H2538)*0.000000001)</f>
        <v/>
      </c>
      <c r="S2538" s="32" t="str">
        <f aca="false">IF(R2538="","",SUMPRODUCT((I$5:I$4004=I2538)*ISNUMBER(R$5:R$4004)*(R$5:R$4004&gt;R2538))+1)</f>
        <v/>
      </c>
      <c r="T2538" s="32" t="str">
        <f aca="false">IF(S2538="","",IF(S2538&lt;=Setup!$B$5,"🏆 WINNER",""))</f>
        <v/>
      </c>
      <c r="U2538" s="31" t="str">
        <f aca="false">IF(S2538="","",I2538&amp;"|"&amp;S2538)</f>
        <v/>
      </c>
    </row>
    <row r="2539" customFormat="false" ht="15" hidden="false" customHeight="false" outlineLevel="0" collapsed="false">
      <c r="A2539" s="24" t="n">
        <v>2535</v>
      </c>
      <c r="B2539" s="25" t="str">
        <f aca="false">IF(OR(C2539="",I2539="",G2539=""),"",IFERROR(VLOOKUP(I2539,Setup!$A$9:$B$11,2,0),"???")&amp;"-"&amp;G2539&amp;"-"&amp;TEXT(COUNTIFS(I$5:I2539,I2539,G$5:G2539,G2539),"0000"))</f>
        <v/>
      </c>
      <c r="C2539" s="26"/>
      <c r="D2539" s="26"/>
      <c r="E2539" s="27"/>
      <c r="F2539" s="27"/>
      <c r="G2539" s="24" t="str">
        <f aca="false">IF(F2539="","",IF(F2539&lt;=5,"A",IF(F2539&lt;=8,"B",IF(F2539&lt;=10,"C","D"))))</f>
        <v/>
      </c>
      <c r="H2539" s="28"/>
      <c r="I2539" s="27"/>
      <c r="J2539" s="26"/>
      <c r="K2539" s="27"/>
      <c r="L2539" s="27"/>
      <c r="M2539" s="27"/>
      <c r="N2539" s="27"/>
      <c r="O2539" s="24" t="str">
        <f aca="false">IF(G2539="","",VLOOKUP(G2539,Setup!$A$14:$C$17,3,0))</f>
        <v/>
      </c>
      <c r="P2539" s="27"/>
      <c r="Q2539" s="29" t="str">
        <f aca="false">IF(OR(P2539="",M2539&lt;&gt;"Paid",O2539=""),"",P2539/O2539)</f>
        <v/>
      </c>
      <c r="R2539" s="30" t="str">
        <f aca="false">IF(Q2539="","",Q2539+N(H2539)*0.000000001)</f>
        <v/>
      </c>
      <c r="S2539" s="25" t="str">
        <f aca="false">IF(R2539="","",SUMPRODUCT((I$5:I$4004=I2539)*ISNUMBER(R$5:R$4004)*(R$5:R$4004&gt;R2539))+1)</f>
        <v/>
      </c>
      <c r="T2539" s="25" t="str">
        <f aca="false">IF(S2539="","",IF(S2539&lt;=Setup!$B$5,"🏆 WINNER",""))</f>
        <v/>
      </c>
      <c r="U2539" s="24" t="str">
        <f aca="false">IF(S2539="","",I2539&amp;"|"&amp;S2539)</f>
        <v/>
      </c>
    </row>
    <row r="2540" customFormat="false" ht="15" hidden="false" customHeight="false" outlineLevel="0" collapsed="false">
      <c r="A2540" s="31" t="n">
        <v>2536</v>
      </c>
      <c r="B2540" s="32" t="str">
        <f aca="false">IF(OR(C2540="",I2540="",G2540=""),"",IFERROR(VLOOKUP(I2540,Setup!$A$9:$B$11,2,0),"???")&amp;"-"&amp;G2540&amp;"-"&amp;TEXT(COUNTIFS(I$5:I2540,I2540,G$5:G2540,G2540),"0000"))</f>
        <v/>
      </c>
      <c r="C2540" s="26"/>
      <c r="D2540" s="26"/>
      <c r="E2540" s="27"/>
      <c r="F2540" s="27"/>
      <c r="G2540" s="31" t="str">
        <f aca="false">IF(F2540="","",IF(F2540&lt;=5,"A",IF(F2540&lt;=8,"B",IF(F2540&lt;=10,"C","D"))))</f>
        <v/>
      </c>
      <c r="H2540" s="28"/>
      <c r="I2540" s="27"/>
      <c r="J2540" s="26"/>
      <c r="K2540" s="27"/>
      <c r="L2540" s="27"/>
      <c r="M2540" s="27"/>
      <c r="N2540" s="27"/>
      <c r="O2540" s="31" t="str">
        <f aca="false">IF(G2540="","",VLOOKUP(G2540,Setup!$A$14:$C$17,3,0))</f>
        <v/>
      </c>
      <c r="P2540" s="27"/>
      <c r="Q2540" s="33" t="str">
        <f aca="false">IF(OR(P2540="",M2540&lt;&gt;"Paid",O2540=""),"",P2540/O2540)</f>
        <v/>
      </c>
      <c r="R2540" s="34" t="str">
        <f aca="false">IF(Q2540="","",Q2540+N(H2540)*0.000000001)</f>
        <v/>
      </c>
      <c r="S2540" s="32" t="str">
        <f aca="false">IF(R2540="","",SUMPRODUCT((I$5:I$4004=I2540)*ISNUMBER(R$5:R$4004)*(R$5:R$4004&gt;R2540))+1)</f>
        <v/>
      </c>
      <c r="T2540" s="32" t="str">
        <f aca="false">IF(S2540="","",IF(S2540&lt;=Setup!$B$5,"🏆 WINNER",""))</f>
        <v/>
      </c>
      <c r="U2540" s="31" t="str">
        <f aca="false">IF(S2540="","",I2540&amp;"|"&amp;S2540)</f>
        <v/>
      </c>
    </row>
    <row r="2541" customFormat="false" ht="15" hidden="false" customHeight="false" outlineLevel="0" collapsed="false">
      <c r="A2541" s="24" t="n">
        <v>2537</v>
      </c>
      <c r="B2541" s="25" t="str">
        <f aca="false">IF(OR(C2541="",I2541="",G2541=""),"",IFERROR(VLOOKUP(I2541,Setup!$A$9:$B$11,2,0),"???")&amp;"-"&amp;G2541&amp;"-"&amp;TEXT(COUNTIFS(I$5:I2541,I2541,G$5:G2541,G2541),"0000"))</f>
        <v/>
      </c>
      <c r="C2541" s="26"/>
      <c r="D2541" s="26"/>
      <c r="E2541" s="27"/>
      <c r="F2541" s="27"/>
      <c r="G2541" s="24" t="str">
        <f aca="false">IF(F2541="","",IF(F2541&lt;=5,"A",IF(F2541&lt;=8,"B",IF(F2541&lt;=10,"C","D"))))</f>
        <v/>
      </c>
      <c r="H2541" s="28"/>
      <c r="I2541" s="27"/>
      <c r="J2541" s="26"/>
      <c r="K2541" s="27"/>
      <c r="L2541" s="27"/>
      <c r="M2541" s="27"/>
      <c r="N2541" s="27"/>
      <c r="O2541" s="24" t="str">
        <f aca="false">IF(G2541="","",VLOOKUP(G2541,Setup!$A$14:$C$17,3,0))</f>
        <v/>
      </c>
      <c r="P2541" s="27"/>
      <c r="Q2541" s="29" t="str">
        <f aca="false">IF(OR(P2541="",M2541&lt;&gt;"Paid",O2541=""),"",P2541/O2541)</f>
        <v/>
      </c>
      <c r="R2541" s="30" t="str">
        <f aca="false">IF(Q2541="","",Q2541+N(H2541)*0.000000001)</f>
        <v/>
      </c>
      <c r="S2541" s="25" t="str">
        <f aca="false">IF(R2541="","",SUMPRODUCT((I$5:I$4004=I2541)*ISNUMBER(R$5:R$4004)*(R$5:R$4004&gt;R2541))+1)</f>
        <v/>
      </c>
      <c r="T2541" s="25" t="str">
        <f aca="false">IF(S2541="","",IF(S2541&lt;=Setup!$B$5,"🏆 WINNER",""))</f>
        <v/>
      </c>
      <c r="U2541" s="24" t="str">
        <f aca="false">IF(S2541="","",I2541&amp;"|"&amp;S2541)</f>
        <v/>
      </c>
    </row>
    <row r="2542" customFormat="false" ht="15" hidden="false" customHeight="false" outlineLevel="0" collapsed="false">
      <c r="A2542" s="31" t="n">
        <v>2538</v>
      </c>
      <c r="B2542" s="32" t="str">
        <f aca="false">IF(OR(C2542="",I2542="",G2542=""),"",IFERROR(VLOOKUP(I2542,Setup!$A$9:$B$11,2,0),"???")&amp;"-"&amp;G2542&amp;"-"&amp;TEXT(COUNTIFS(I$5:I2542,I2542,G$5:G2542,G2542),"0000"))</f>
        <v/>
      </c>
      <c r="C2542" s="26"/>
      <c r="D2542" s="26"/>
      <c r="E2542" s="27"/>
      <c r="F2542" s="27"/>
      <c r="G2542" s="31" t="str">
        <f aca="false">IF(F2542="","",IF(F2542&lt;=5,"A",IF(F2542&lt;=8,"B",IF(F2542&lt;=10,"C","D"))))</f>
        <v/>
      </c>
      <c r="H2542" s="28"/>
      <c r="I2542" s="27"/>
      <c r="J2542" s="26"/>
      <c r="K2542" s="27"/>
      <c r="L2542" s="27"/>
      <c r="M2542" s="27"/>
      <c r="N2542" s="27"/>
      <c r="O2542" s="31" t="str">
        <f aca="false">IF(G2542="","",VLOOKUP(G2542,Setup!$A$14:$C$17,3,0))</f>
        <v/>
      </c>
      <c r="P2542" s="27"/>
      <c r="Q2542" s="33" t="str">
        <f aca="false">IF(OR(P2542="",M2542&lt;&gt;"Paid",O2542=""),"",P2542/O2542)</f>
        <v/>
      </c>
      <c r="R2542" s="34" t="str">
        <f aca="false">IF(Q2542="","",Q2542+N(H2542)*0.000000001)</f>
        <v/>
      </c>
      <c r="S2542" s="32" t="str">
        <f aca="false">IF(R2542="","",SUMPRODUCT((I$5:I$4004=I2542)*ISNUMBER(R$5:R$4004)*(R$5:R$4004&gt;R2542))+1)</f>
        <v/>
      </c>
      <c r="T2542" s="32" t="str">
        <f aca="false">IF(S2542="","",IF(S2542&lt;=Setup!$B$5,"🏆 WINNER",""))</f>
        <v/>
      </c>
      <c r="U2542" s="31" t="str">
        <f aca="false">IF(S2542="","",I2542&amp;"|"&amp;S2542)</f>
        <v/>
      </c>
    </row>
    <row r="2543" customFormat="false" ht="15" hidden="false" customHeight="false" outlineLevel="0" collapsed="false">
      <c r="A2543" s="24" t="n">
        <v>2539</v>
      </c>
      <c r="B2543" s="25" t="str">
        <f aca="false">IF(OR(C2543="",I2543="",G2543=""),"",IFERROR(VLOOKUP(I2543,Setup!$A$9:$B$11,2,0),"???")&amp;"-"&amp;G2543&amp;"-"&amp;TEXT(COUNTIFS(I$5:I2543,I2543,G$5:G2543,G2543),"0000"))</f>
        <v/>
      </c>
      <c r="C2543" s="26"/>
      <c r="D2543" s="26"/>
      <c r="E2543" s="27"/>
      <c r="F2543" s="27"/>
      <c r="G2543" s="24" t="str">
        <f aca="false">IF(F2543="","",IF(F2543&lt;=5,"A",IF(F2543&lt;=8,"B",IF(F2543&lt;=10,"C","D"))))</f>
        <v/>
      </c>
      <c r="H2543" s="28"/>
      <c r="I2543" s="27"/>
      <c r="J2543" s="26"/>
      <c r="K2543" s="27"/>
      <c r="L2543" s="27"/>
      <c r="M2543" s="27"/>
      <c r="N2543" s="27"/>
      <c r="O2543" s="24" t="str">
        <f aca="false">IF(G2543="","",VLOOKUP(G2543,Setup!$A$14:$C$17,3,0))</f>
        <v/>
      </c>
      <c r="P2543" s="27"/>
      <c r="Q2543" s="29" t="str">
        <f aca="false">IF(OR(P2543="",M2543&lt;&gt;"Paid",O2543=""),"",P2543/O2543)</f>
        <v/>
      </c>
      <c r="R2543" s="30" t="str">
        <f aca="false">IF(Q2543="","",Q2543+N(H2543)*0.000000001)</f>
        <v/>
      </c>
      <c r="S2543" s="25" t="str">
        <f aca="false">IF(R2543="","",SUMPRODUCT((I$5:I$4004=I2543)*ISNUMBER(R$5:R$4004)*(R$5:R$4004&gt;R2543))+1)</f>
        <v/>
      </c>
      <c r="T2543" s="25" t="str">
        <f aca="false">IF(S2543="","",IF(S2543&lt;=Setup!$B$5,"🏆 WINNER",""))</f>
        <v/>
      </c>
      <c r="U2543" s="24" t="str">
        <f aca="false">IF(S2543="","",I2543&amp;"|"&amp;S2543)</f>
        <v/>
      </c>
    </row>
    <row r="2544" customFormat="false" ht="15" hidden="false" customHeight="false" outlineLevel="0" collapsed="false">
      <c r="A2544" s="31" t="n">
        <v>2540</v>
      </c>
      <c r="B2544" s="32" t="str">
        <f aca="false">IF(OR(C2544="",I2544="",G2544=""),"",IFERROR(VLOOKUP(I2544,Setup!$A$9:$B$11,2,0),"???")&amp;"-"&amp;G2544&amp;"-"&amp;TEXT(COUNTIFS(I$5:I2544,I2544,G$5:G2544,G2544),"0000"))</f>
        <v/>
      </c>
      <c r="C2544" s="26"/>
      <c r="D2544" s="26"/>
      <c r="E2544" s="27"/>
      <c r="F2544" s="27"/>
      <c r="G2544" s="31" t="str">
        <f aca="false">IF(F2544="","",IF(F2544&lt;=5,"A",IF(F2544&lt;=8,"B",IF(F2544&lt;=10,"C","D"))))</f>
        <v/>
      </c>
      <c r="H2544" s="28"/>
      <c r="I2544" s="27"/>
      <c r="J2544" s="26"/>
      <c r="K2544" s="27"/>
      <c r="L2544" s="27"/>
      <c r="M2544" s="27"/>
      <c r="N2544" s="27"/>
      <c r="O2544" s="31" t="str">
        <f aca="false">IF(G2544="","",VLOOKUP(G2544,Setup!$A$14:$C$17,3,0))</f>
        <v/>
      </c>
      <c r="P2544" s="27"/>
      <c r="Q2544" s="33" t="str">
        <f aca="false">IF(OR(P2544="",M2544&lt;&gt;"Paid",O2544=""),"",P2544/O2544)</f>
        <v/>
      </c>
      <c r="R2544" s="34" t="str">
        <f aca="false">IF(Q2544="","",Q2544+N(H2544)*0.000000001)</f>
        <v/>
      </c>
      <c r="S2544" s="32" t="str">
        <f aca="false">IF(R2544="","",SUMPRODUCT((I$5:I$4004=I2544)*ISNUMBER(R$5:R$4004)*(R$5:R$4004&gt;R2544))+1)</f>
        <v/>
      </c>
      <c r="T2544" s="32" t="str">
        <f aca="false">IF(S2544="","",IF(S2544&lt;=Setup!$B$5,"🏆 WINNER",""))</f>
        <v/>
      </c>
      <c r="U2544" s="31" t="str">
        <f aca="false">IF(S2544="","",I2544&amp;"|"&amp;S2544)</f>
        <v/>
      </c>
    </row>
    <row r="2545" customFormat="false" ht="15" hidden="false" customHeight="false" outlineLevel="0" collapsed="false">
      <c r="A2545" s="24" t="n">
        <v>2541</v>
      </c>
      <c r="B2545" s="25" t="str">
        <f aca="false">IF(OR(C2545="",I2545="",G2545=""),"",IFERROR(VLOOKUP(I2545,Setup!$A$9:$B$11,2,0),"???")&amp;"-"&amp;G2545&amp;"-"&amp;TEXT(COUNTIFS(I$5:I2545,I2545,G$5:G2545,G2545),"0000"))</f>
        <v/>
      </c>
      <c r="C2545" s="26"/>
      <c r="D2545" s="26"/>
      <c r="E2545" s="27"/>
      <c r="F2545" s="27"/>
      <c r="G2545" s="24" t="str">
        <f aca="false">IF(F2545="","",IF(F2545&lt;=5,"A",IF(F2545&lt;=8,"B",IF(F2545&lt;=10,"C","D"))))</f>
        <v/>
      </c>
      <c r="H2545" s="28"/>
      <c r="I2545" s="27"/>
      <c r="J2545" s="26"/>
      <c r="K2545" s="27"/>
      <c r="L2545" s="27"/>
      <c r="M2545" s="27"/>
      <c r="N2545" s="27"/>
      <c r="O2545" s="24" t="str">
        <f aca="false">IF(G2545="","",VLOOKUP(G2545,Setup!$A$14:$C$17,3,0))</f>
        <v/>
      </c>
      <c r="P2545" s="27"/>
      <c r="Q2545" s="29" t="str">
        <f aca="false">IF(OR(P2545="",M2545&lt;&gt;"Paid",O2545=""),"",P2545/O2545)</f>
        <v/>
      </c>
      <c r="R2545" s="30" t="str">
        <f aca="false">IF(Q2545="","",Q2545+N(H2545)*0.000000001)</f>
        <v/>
      </c>
      <c r="S2545" s="25" t="str">
        <f aca="false">IF(R2545="","",SUMPRODUCT((I$5:I$4004=I2545)*ISNUMBER(R$5:R$4004)*(R$5:R$4004&gt;R2545))+1)</f>
        <v/>
      </c>
      <c r="T2545" s="25" t="str">
        <f aca="false">IF(S2545="","",IF(S2545&lt;=Setup!$B$5,"🏆 WINNER",""))</f>
        <v/>
      </c>
      <c r="U2545" s="24" t="str">
        <f aca="false">IF(S2545="","",I2545&amp;"|"&amp;S2545)</f>
        <v/>
      </c>
    </row>
    <row r="2546" customFormat="false" ht="15" hidden="false" customHeight="false" outlineLevel="0" collapsed="false">
      <c r="A2546" s="31" t="n">
        <v>2542</v>
      </c>
      <c r="B2546" s="32" t="str">
        <f aca="false">IF(OR(C2546="",I2546="",G2546=""),"",IFERROR(VLOOKUP(I2546,Setup!$A$9:$B$11,2,0),"???")&amp;"-"&amp;G2546&amp;"-"&amp;TEXT(COUNTIFS(I$5:I2546,I2546,G$5:G2546,G2546),"0000"))</f>
        <v/>
      </c>
      <c r="C2546" s="26"/>
      <c r="D2546" s="26"/>
      <c r="E2546" s="27"/>
      <c r="F2546" s="27"/>
      <c r="G2546" s="31" t="str">
        <f aca="false">IF(F2546="","",IF(F2546&lt;=5,"A",IF(F2546&lt;=8,"B",IF(F2546&lt;=10,"C","D"))))</f>
        <v/>
      </c>
      <c r="H2546" s="28"/>
      <c r="I2546" s="27"/>
      <c r="J2546" s="26"/>
      <c r="K2546" s="27"/>
      <c r="L2546" s="27"/>
      <c r="M2546" s="27"/>
      <c r="N2546" s="27"/>
      <c r="O2546" s="31" t="str">
        <f aca="false">IF(G2546="","",VLOOKUP(G2546,Setup!$A$14:$C$17,3,0))</f>
        <v/>
      </c>
      <c r="P2546" s="27"/>
      <c r="Q2546" s="33" t="str">
        <f aca="false">IF(OR(P2546="",M2546&lt;&gt;"Paid",O2546=""),"",P2546/O2546)</f>
        <v/>
      </c>
      <c r="R2546" s="34" t="str">
        <f aca="false">IF(Q2546="","",Q2546+N(H2546)*0.000000001)</f>
        <v/>
      </c>
      <c r="S2546" s="32" t="str">
        <f aca="false">IF(R2546="","",SUMPRODUCT((I$5:I$4004=I2546)*ISNUMBER(R$5:R$4004)*(R$5:R$4004&gt;R2546))+1)</f>
        <v/>
      </c>
      <c r="T2546" s="32" t="str">
        <f aca="false">IF(S2546="","",IF(S2546&lt;=Setup!$B$5,"🏆 WINNER",""))</f>
        <v/>
      </c>
      <c r="U2546" s="31" t="str">
        <f aca="false">IF(S2546="","",I2546&amp;"|"&amp;S2546)</f>
        <v/>
      </c>
    </row>
    <row r="2547" customFormat="false" ht="15" hidden="false" customHeight="false" outlineLevel="0" collapsed="false">
      <c r="A2547" s="24" t="n">
        <v>2543</v>
      </c>
      <c r="B2547" s="25" t="str">
        <f aca="false">IF(OR(C2547="",I2547="",G2547=""),"",IFERROR(VLOOKUP(I2547,Setup!$A$9:$B$11,2,0),"???")&amp;"-"&amp;G2547&amp;"-"&amp;TEXT(COUNTIFS(I$5:I2547,I2547,G$5:G2547,G2547),"0000"))</f>
        <v/>
      </c>
      <c r="C2547" s="26"/>
      <c r="D2547" s="26"/>
      <c r="E2547" s="27"/>
      <c r="F2547" s="27"/>
      <c r="G2547" s="24" t="str">
        <f aca="false">IF(F2547="","",IF(F2547&lt;=5,"A",IF(F2547&lt;=8,"B",IF(F2547&lt;=10,"C","D"))))</f>
        <v/>
      </c>
      <c r="H2547" s="28"/>
      <c r="I2547" s="27"/>
      <c r="J2547" s="26"/>
      <c r="K2547" s="27"/>
      <c r="L2547" s="27"/>
      <c r="M2547" s="27"/>
      <c r="N2547" s="27"/>
      <c r="O2547" s="24" t="str">
        <f aca="false">IF(G2547="","",VLOOKUP(G2547,Setup!$A$14:$C$17,3,0))</f>
        <v/>
      </c>
      <c r="P2547" s="27"/>
      <c r="Q2547" s="29" t="str">
        <f aca="false">IF(OR(P2547="",M2547&lt;&gt;"Paid",O2547=""),"",P2547/O2547)</f>
        <v/>
      </c>
      <c r="R2547" s="30" t="str">
        <f aca="false">IF(Q2547="","",Q2547+N(H2547)*0.000000001)</f>
        <v/>
      </c>
      <c r="S2547" s="25" t="str">
        <f aca="false">IF(R2547="","",SUMPRODUCT((I$5:I$4004=I2547)*ISNUMBER(R$5:R$4004)*(R$5:R$4004&gt;R2547))+1)</f>
        <v/>
      </c>
      <c r="T2547" s="25" t="str">
        <f aca="false">IF(S2547="","",IF(S2547&lt;=Setup!$B$5,"🏆 WINNER",""))</f>
        <v/>
      </c>
      <c r="U2547" s="24" t="str">
        <f aca="false">IF(S2547="","",I2547&amp;"|"&amp;S2547)</f>
        <v/>
      </c>
    </row>
    <row r="2548" customFormat="false" ht="15" hidden="false" customHeight="false" outlineLevel="0" collapsed="false">
      <c r="A2548" s="31" t="n">
        <v>2544</v>
      </c>
      <c r="B2548" s="32" t="str">
        <f aca="false">IF(OR(C2548="",I2548="",G2548=""),"",IFERROR(VLOOKUP(I2548,Setup!$A$9:$B$11,2,0),"???")&amp;"-"&amp;G2548&amp;"-"&amp;TEXT(COUNTIFS(I$5:I2548,I2548,G$5:G2548,G2548),"0000"))</f>
        <v/>
      </c>
      <c r="C2548" s="26"/>
      <c r="D2548" s="26"/>
      <c r="E2548" s="27"/>
      <c r="F2548" s="27"/>
      <c r="G2548" s="31" t="str">
        <f aca="false">IF(F2548="","",IF(F2548&lt;=5,"A",IF(F2548&lt;=8,"B",IF(F2548&lt;=10,"C","D"))))</f>
        <v/>
      </c>
      <c r="H2548" s="28"/>
      <c r="I2548" s="27"/>
      <c r="J2548" s="26"/>
      <c r="K2548" s="27"/>
      <c r="L2548" s="27"/>
      <c r="M2548" s="27"/>
      <c r="N2548" s="27"/>
      <c r="O2548" s="31" t="str">
        <f aca="false">IF(G2548="","",VLOOKUP(G2548,Setup!$A$14:$C$17,3,0))</f>
        <v/>
      </c>
      <c r="P2548" s="27"/>
      <c r="Q2548" s="33" t="str">
        <f aca="false">IF(OR(P2548="",M2548&lt;&gt;"Paid",O2548=""),"",P2548/O2548)</f>
        <v/>
      </c>
      <c r="R2548" s="34" t="str">
        <f aca="false">IF(Q2548="","",Q2548+N(H2548)*0.000000001)</f>
        <v/>
      </c>
      <c r="S2548" s="32" t="str">
        <f aca="false">IF(R2548="","",SUMPRODUCT((I$5:I$4004=I2548)*ISNUMBER(R$5:R$4004)*(R$5:R$4004&gt;R2548))+1)</f>
        <v/>
      </c>
      <c r="T2548" s="32" t="str">
        <f aca="false">IF(S2548="","",IF(S2548&lt;=Setup!$B$5,"🏆 WINNER",""))</f>
        <v/>
      </c>
      <c r="U2548" s="31" t="str">
        <f aca="false">IF(S2548="","",I2548&amp;"|"&amp;S2548)</f>
        <v/>
      </c>
    </row>
    <row r="2549" customFormat="false" ht="15" hidden="false" customHeight="false" outlineLevel="0" collapsed="false">
      <c r="A2549" s="24" t="n">
        <v>2545</v>
      </c>
      <c r="B2549" s="25" t="str">
        <f aca="false">IF(OR(C2549="",I2549="",G2549=""),"",IFERROR(VLOOKUP(I2549,Setup!$A$9:$B$11,2,0),"???")&amp;"-"&amp;G2549&amp;"-"&amp;TEXT(COUNTIFS(I$5:I2549,I2549,G$5:G2549,G2549),"0000"))</f>
        <v/>
      </c>
      <c r="C2549" s="26"/>
      <c r="D2549" s="26"/>
      <c r="E2549" s="27"/>
      <c r="F2549" s="27"/>
      <c r="G2549" s="24" t="str">
        <f aca="false">IF(F2549="","",IF(F2549&lt;=5,"A",IF(F2549&lt;=8,"B",IF(F2549&lt;=10,"C","D"))))</f>
        <v/>
      </c>
      <c r="H2549" s="28"/>
      <c r="I2549" s="27"/>
      <c r="J2549" s="26"/>
      <c r="K2549" s="27"/>
      <c r="L2549" s="27"/>
      <c r="M2549" s="27"/>
      <c r="N2549" s="27"/>
      <c r="O2549" s="24" t="str">
        <f aca="false">IF(G2549="","",VLOOKUP(G2549,Setup!$A$14:$C$17,3,0))</f>
        <v/>
      </c>
      <c r="P2549" s="27"/>
      <c r="Q2549" s="29" t="str">
        <f aca="false">IF(OR(P2549="",M2549&lt;&gt;"Paid",O2549=""),"",P2549/O2549)</f>
        <v/>
      </c>
      <c r="R2549" s="30" t="str">
        <f aca="false">IF(Q2549="","",Q2549+N(H2549)*0.000000001)</f>
        <v/>
      </c>
      <c r="S2549" s="25" t="str">
        <f aca="false">IF(R2549="","",SUMPRODUCT((I$5:I$4004=I2549)*ISNUMBER(R$5:R$4004)*(R$5:R$4004&gt;R2549))+1)</f>
        <v/>
      </c>
      <c r="T2549" s="25" t="str">
        <f aca="false">IF(S2549="","",IF(S2549&lt;=Setup!$B$5,"🏆 WINNER",""))</f>
        <v/>
      </c>
      <c r="U2549" s="24" t="str">
        <f aca="false">IF(S2549="","",I2549&amp;"|"&amp;S2549)</f>
        <v/>
      </c>
    </row>
    <row r="2550" customFormat="false" ht="15" hidden="false" customHeight="false" outlineLevel="0" collapsed="false">
      <c r="A2550" s="31" t="n">
        <v>2546</v>
      </c>
      <c r="B2550" s="32" t="str">
        <f aca="false">IF(OR(C2550="",I2550="",G2550=""),"",IFERROR(VLOOKUP(I2550,Setup!$A$9:$B$11,2,0),"???")&amp;"-"&amp;G2550&amp;"-"&amp;TEXT(COUNTIFS(I$5:I2550,I2550,G$5:G2550,G2550),"0000"))</f>
        <v/>
      </c>
      <c r="C2550" s="26"/>
      <c r="D2550" s="26"/>
      <c r="E2550" s="27"/>
      <c r="F2550" s="27"/>
      <c r="G2550" s="31" t="str">
        <f aca="false">IF(F2550="","",IF(F2550&lt;=5,"A",IF(F2550&lt;=8,"B",IF(F2550&lt;=10,"C","D"))))</f>
        <v/>
      </c>
      <c r="H2550" s="28"/>
      <c r="I2550" s="27"/>
      <c r="J2550" s="26"/>
      <c r="K2550" s="27"/>
      <c r="L2550" s="27"/>
      <c r="M2550" s="27"/>
      <c r="N2550" s="27"/>
      <c r="O2550" s="31" t="str">
        <f aca="false">IF(G2550="","",VLOOKUP(G2550,Setup!$A$14:$C$17,3,0))</f>
        <v/>
      </c>
      <c r="P2550" s="27"/>
      <c r="Q2550" s="33" t="str">
        <f aca="false">IF(OR(P2550="",M2550&lt;&gt;"Paid",O2550=""),"",P2550/O2550)</f>
        <v/>
      </c>
      <c r="R2550" s="34" t="str">
        <f aca="false">IF(Q2550="","",Q2550+N(H2550)*0.000000001)</f>
        <v/>
      </c>
      <c r="S2550" s="32" t="str">
        <f aca="false">IF(R2550="","",SUMPRODUCT((I$5:I$4004=I2550)*ISNUMBER(R$5:R$4004)*(R$5:R$4004&gt;R2550))+1)</f>
        <v/>
      </c>
      <c r="T2550" s="32" t="str">
        <f aca="false">IF(S2550="","",IF(S2550&lt;=Setup!$B$5,"🏆 WINNER",""))</f>
        <v/>
      </c>
      <c r="U2550" s="31" t="str">
        <f aca="false">IF(S2550="","",I2550&amp;"|"&amp;S2550)</f>
        <v/>
      </c>
    </row>
    <row r="2551" customFormat="false" ht="15" hidden="false" customHeight="false" outlineLevel="0" collapsed="false">
      <c r="A2551" s="24" t="n">
        <v>2547</v>
      </c>
      <c r="B2551" s="25" t="str">
        <f aca="false">IF(OR(C2551="",I2551="",G2551=""),"",IFERROR(VLOOKUP(I2551,Setup!$A$9:$B$11,2,0),"???")&amp;"-"&amp;G2551&amp;"-"&amp;TEXT(COUNTIFS(I$5:I2551,I2551,G$5:G2551,G2551),"0000"))</f>
        <v/>
      </c>
      <c r="C2551" s="26"/>
      <c r="D2551" s="26"/>
      <c r="E2551" s="27"/>
      <c r="F2551" s="27"/>
      <c r="G2551" s="24" t="str">
        <f aca="false">IF(F2551="","",IF(F2551&lt;=5,"A",IF(F2551&lt;=8,"B",IF(F2551&lt;=10,"C","D"))))</f>
        <v/>
      </c>
      <c r="H2551" s="28"/>
      <c r="I2551" s="27"/>
      <c r="J2551" s="26"/>
      <c r="K2551" s="27"/>
      <c r="L2551" s="27"/>
      <c r="M2551" s="27"/>
      <c r="N2551" s="27"/>
      <c r="O2551" s="24" t="str">
        <f aca="false">IF(G2551="","",VLOOKUP(G2551,Setup!$A$14:$C$17,3,0))</f>
        <v/>
      </c>
      <c r="P2551" s="27"/>
      <c r="Q2551" s="29" t="str">
        <f aca="false">IF(OR(P2551="",M2551&lt;&gt;"Paid",O2551=""),"",P2551/O2551)</f>
        <v/>
      </c>
      <c r="R2551" s="30" t="str">
        <f aca="false">IF(Q2551="","",Q2551+N(H2551)*0.000000001)</f>
        <v/>
      </c>
      <c r="S2551" s="25" t="str">
        <f aca="false">IF(R2551="","",SUMPRODUCT((I$5:I$4004=I2551)*ISNUMBER(R$5:R$4004)*(R$5:R$4004&gt;R2551))+1)</f>
        <v/>
      </c>
      <c r="T2551" s="25" t="str">
        <f aca="false">IF(S2551="","",IF(S2551&lt;=Setup!$B$5,"🏆 WINNER",""))</f>
        <v/>
      </c>
      <c r="U2551" s="24" t="str">
        <f aca="false">IF(S2551="","",I2551&amp;"|"&amp;S2551)</f>
        <v/>
      </c>
    </row>
    <row r="2552" customFormat="false" ht="15" hidden="false" customHeight="false" outlineLevel="0" collapsed="false">
      <c r="A2552" s="31" t="n">
        <v>2548</v>
      </c>
      <c r="B2552" s="32" t="str">
        <f aca="false">IF(OR(C2552="",I2552="",G2552=""),"",IFERROR(VLOOKUP(I2552,Setup!$A$9:$B$11,2,0),"???")&amp;"-"&amp;G2552&amp;"-"&amp;TEXT(COUNTIFS(I$5:I2552,I2552,G$5:G2552,G2552),"0000"))</f>
        <v/>
      </c>
      <c r="C2552" s="26"/>
      <c r="D2552" s="26"/>
      <c r="E2552" s="27"/>
      <c r="F2552" s="27"/>
      <c r="G2552" s="31" t="str">
        <f aca="false">IF(F2552="","",IF(F2552&lt;=5,"A",IF(F2552&lt;=8,"B",IF(F2552&lt;=10,"C","D"))))</f>
        <v/>
      </c>
      <c r="H2552" s="28"/>
      <c r="I2552" s="27"/>
      <c r="J2552" s="26"/>
      <c r="K2552" s="27"/>
      <c r="L2552" s="27"/>
      <c r="M2552" s="27"/>
      <c r="N2552" s="27"/>
      <c r="O2552" s="31" t="str">
        <f aca="false">IF(G2552="","",VLOOKUP(G2552,Setup!$A$14:$C$17,3,0))</f>
        <v/>
      </c>
      <c r="P2552" s="27"/>
      <c r="Q2552" s="33" t="str">
        <f aca="false">IF(OR(P2552="",M2552&lt;&gt;"Paid",O2552=""),"",P2552/O2552)</f>
        <v/>
      </c>
      <c r="R2552" s="34" t="str">
        <f aca="false">IF(Q2552="","",Q2552+N(H2552)*0.000000001)</f>
        <v/>
      </c>
      <c r="S2552" s="32" t="str">
        <f aca="false">IF(R2552="","",SUMPRODUCT((I$5:I$4004=I2552)*ISNUMBER(R$5:R$4004)*(R$5:R$4004&gt;R2552))+1)</f>
        <v/>
      </c>
      <c r="T2552" s="32" t="str">
        <f aca="false">IF(S2552="","",IF(S2552&lt;=Setup!$B$5,"🏆 WINNER",""))</f>
        <v/>
      </c>
      <c r="U2552" s="31" t="str">
        <f aca="false">IF(S2552="","",I2552&amp;"|"&amp;S2552)</f>
        <v/>
      </c>
    </row>
    <row r="2553" customFormat="false" ht="15" hidden="false" customHeight="false" outlineLevel="0" collapsed="false">
      <c r="A2553" s="24" t="n">
        <v>2549</v>
      </c>
      <c r="B2553" s="25" t="str">
        <f aca="false">IF(OR(C2553="",I2553="",G2553=""),"",IFERROR(VLOOKUP(I2553,Setup!$A$9:$B$11,2,0),"???")&amp;"-"&amp;G2553&amp;"-"&amp;TEXT(COUNTIFS(I$5:I2553,I2553,G$5:G2553,G2553),"0000"))</f>
        <v/>
      </c>
      <c r="C2553" s="26"/>
      <c r="D2553" s="26"/>
      <c r="E2553" s="27"/>
      <c r="F2553" s="27"/>
      <c r="G2553" s="24" t="str">
        <f aca="false">IF(F2553="","",IF(F2553&lt;=5,"A",IF(F2553&lt;=8,"B",IF(F2553&lt;=10,"C","D"))))</f>
        <v/>
      </c>
      <c r="H2553" s="28"/>
      <c r="I2553" s="27"/>
      <c r="J2553" s="26"/>
      <c r="K2553" s="27"/>
      <c r="L2553" s="27"/>
      <c r="M2553" s="27"/>
      <c r="N2553" s="27"/>
      <c r="O2553" s="24" t="str">
        <f aca="false">IF(G2553="","",VLOOKUP(G2553,Setup!$A$14:$C$17,3,0))</f>
        <v/>
      </c>
      <c r="P2553" s="27"/>
      <c r="Q2553" s="29" t="str">
        <f aca="false">IF(OR(P2553="",M2553&lt;&gt;"Paid",O2553=""),"",P2553/O2553)</f>
        <v/>
      </c>
      <c r="R2553" s="30" t="str">
        <f aca="false">IF(Q2553="","",Q2553+N(H2553)*0.000000001)</f>
        <v/>
      </c>
      <c r="S2553" s="25" t="str">
        <f aca="false">IF(R2553="","",SUMPRODUCT((I$5:I$4004=I2553)*ISNUMBER(R$5:R$4004)*(R$5:R$4004&gt;R2553))+1)</f>
        <v/>
      </c>
      <c r="T2553" s="25" t="str">
        <f aca="false">IF(S2553="","",IF(S2553&lt;=Setup!$B$5,"🏆 WINNER",""))</f>
        <v/>
      </c>
      <c r="U2553" s="24" t="str">
        <f aca="false">IF(S2553="","",I2553&amp;"|"&amp;S2553)</f>
        <v/>
      </c>
    </row>
    <row r="2554" customFormat="false" ht="15" hidden="false" customHeight="false" outlineLevel="0" collapsed="false">
      <c r="A2554" s="31" t="n">
        <v>2550</v>
      </c>
      <c r="B2554" s="32" t="str">
        <f aca="false">IF(OR(C2554="",I2554="",G2554=""),"",IFERROR(VLOOKUP(I2554,Setup!$A$9:$B$11,2,0),"???")&amp;"-"&amp;G2554&amp;"-"&amp;TEXT(COUNTIFS(I$5:I2554,I2554,G$5:G2554,G2554),"0000"))</f>
        <v/>
      </c>
      <c r="C2554" s="26"/>
      <c r="D2554" s="26"/>
      <c r="E2554" s="27"/>
      <c r="F2554" s="27"/>
      <c r="G2554" s="31" t="str">
        <f aca="false">IF(F2554="","",IF(F2554&lt;=5,"A",IF(F2554&lt;=8,"B",IF(F2554&lt;=10,"C","D"))))</f>
        <v/>
      </c>
      <c r="H2554" s="28"/>
      <c r="I2554" s="27"/>
      <c r="J2554" s="26"/>
      <c r="K2554" s="27"/>
      <c r="L2554" s="27"/>
      <c r="M2554" s="27"/>
      <c r="N2554" s="27"/>
      <c r="O2554" s="31" t="str">
        <f aca="false">IF(G2554="","",VLOOKUP(G2554,Setup!$A$14:$C$17,3,0))</f>
        <v/>
      </c>
      <c r="P2554" s="27"/>
      <c r="Q2554" s="33" t="str">
        <f aca="false">IF(OR(P2554="",M2554&lt;&gt;"Paid",O2554=""),"",P2554/O2554)</f>
        <v/>
      </c>
      <c r="R2554" s="34" t="str">
        <f aca="false">IF(Q2554="","",Q2554+N(H2554)*0.000000001)</f>
        <v/>
      </c>
      <c r="S2554" s="32" t="str">
        <f aca="false">IF(R2554="","",SUMPRODUCT((I$5:I$4004=I2554)*ISNUMBER(R$5:R$4004)*(R$5:R$4004&gt;R2554))+1)</f>
        <v/>
      </c>
      <c r="T2554" s="32" t="str">
        <f aca="false">IF(S2554="","",IF(S2554&lt;=Setup!$B$5,"🏆 WINNER",""))</f>
        <v/>
      </c>
      <c r="U2554" s="31" t="str">
        <f aca="false">IF(S2554="","",I2554&amp;"|"&amp;S2554)</f>
        <v/>
      </c>
    </row>
    <row r="2555" customFormat="false" ht="15" hidden="false" customHeight="false" outlineLevel="0" collapsed="false">
      <c r="A2555" s="24" t="n">
        <v>2551</v>
      </c>
      <c r="B2555" s="25" t="str">
        <f aca="false">IF(OR(C2555="",I2555="",G2555=""),"",IFERROR(VLOOKUP(I2555,Setup!$A$9:$B$11,2,0),"???")&amp;"-"&amp;G2555&amp;"-"&amp;TEXT(COUNTIFS(I$5:I2555,I2555,G$5:G2555,G2555),"0000"))</f>
        <v/>
      </c>
      <c r="C2555" s="26"/>
      <c r="D2555" s="26"/>
      <c r="E2555" s="27"/>
      <c r="F2555" s="27"/>
      <c r="G2555" s="24" t="str">
        <f aca="false">IF(F2555="","",IF(F2555&lt;=5,"A",IF(F2555&lt;=8,"B",IF(F2555&lt;=10,"C","D"))))</f>
        <v/>
      </c>
      <c r="H2555" s="28"/>
      <c r="I2555" s="27"/>
      <c r="J2555" s="26"/>
      <c r="K2555" s="27"/>
      <c r="L2555" s="27"/>
      <c r="M2555" s="27"/>
      <c r="N2555" s="27"/>
      <c r="O2555" s="24" t="str">
        <f aca="false">IF(G2555="","",VLOOKUP(G2555,Setup!$A$14:$C$17,3,0))</f>
        <v/>
      </c>
      <c r="P2555" s="27"/>
      <c r="Q2555" s="29" t="str">
        <f aca="false">IF(OR(P2555="",M2555&lt;&gt;"Paid",O2555=""),"",P2555/O2555)</f>
        <v/>
      </c>
      <c r="R2555" s="30" t="str">
        <f aca="false">IF(Q2555="","",Q2555+N(H2555)*0.000000001)</f>
        <v/>
      </c>
      <c r="S2555" s="25" t="str">
        <f aca="false">IF(R2555="","",SUMPRODUCT((I$5:I$4004=I2555)*ISNUMBER(R$5:R$4004)*(R$5:R$4004&gt;R2555))+1)</f>
        <v/>
      </c>
      <c r="T2555" s="25" t="str">
        <f aca="false">IF(S2555="","",IF(S2555&lt;=Setup!$B$5,"🏆 WINNER",""))</f>
        <v/>
      </c>
      <c r="U2555" s="24" t="str">
        <f aca="false">IF(S2555="","",I2555&amp;"|"&amp;S2555)</f>
        <v/>
      </c>
    </row>
    <row r="2556" customFormat="false" ht="15" hidden="false" customHeight="false" outlineLevel="0" collapsed="false">
      <c r="A2556" s="31" t="n">
        <v>2552</v>
      </c>
      <c r="B2556" s="32" t="str">
        <f aca="false">IF(OR(C2556="",I2556="",G2556=""),"",IFERROR(VLOOKUP(I2556,Setup!$A$9:$B$11,2,0),"???")&amp;"-"&amp;G2556&amp;"-"&amp;TEXT(COUNTIFS(I$5:I2556,I2556,G$5:G2556,G2556),"0000"))</f>
        <v/>
      </c>
      <c r="C2556" s="26"/>
      <c r="D2556" s="26"/>
      <c r="E2556" s="27"/>
      <c r="F2556" s="27"/>
      <c r="G2556" s="31" t="str">
        <f aca="false">IF(F2556="","",IF(F2556&lt;=5,"A",IF(F2556&lt;=8,"B",IF(F2556&lt;=10,"C","D"))))</f>
        <v/>
      </c>
      <c r="H2556" s="28"/>
      <c r="I2556" s="27"/>
      <c r="J2556" s="26"/>
      <c r="K2556" s="27"/>
      <c r="L2556" s="27"/>
      <c r="M2556" s="27"/>
      <c r="N2556" s="27"/>
      <c r="O2556" s="31" t="str">
        <f aca="false">IF(G2556="","",VLOOKUP(G2556,Setup!$A$14:$C$17,3,0))</f>
        <v/>
      </c>
      <c r="P2556" s="27"/>
      <c r="Q2556" s="33" t="str">
        <f aca="false">IF(OR(P2556="",M2556&lt;&gt;"Paid",O2556=""),"",P2556/O2556)</f>
        <v/>
      </c>
      <c r="R2556" s="34" t="str">
        <f aca="false">IF(Q2556="","",Q2556+N(H2556)*0.000000001)</f>
        <v/>
      </c>
      <c r="S2556" s="32" t="str">
        <f aca="false">IF(R2556="","",SUMPRODUCT((I$5:I$4004=I2556)*ISNUMBER(R$5:R$4004)*(R$5:R$4004&gt;R2556))+1)</f>
        <v/>
      </c>
      <c r="T2556" s="32" t="str">
        <f aca="false">IF(S2556="","",IF(S2556&lt;=Setup!$B$5,"🏆 WINNER",""))</f>
        <v/>
      </c>
      <c r="U2556" s="31" t="str">
        <f aca="false">IF(S2556="","",I2556&amp;"|"&amp;S2556)</f>
        <v/>
      </c>
    </row>
    <row r="2557" customFormat="false" ht="15" hidden="false" customHeight="false" outlineLevel="0" collapsed="false">
      <c r="A2557" s="24" t="n">
        <v>2553</v>
      </c>
      <c r="B2557" s="25" t="str">
        <f aca="false">IF(OR(C2557="",I2557="",G2557=""),"",IFERROR(VLOOKUP(I2557,Setup!$A$9:$B$11,2,0),"???")&amp;"-"&amp;G2557&amp;"-"&amp;TEXT(COUNTIFS(I$5:I2557,I2557,G$5:G2557,G2557),"0000"))</f>
        <v/>
      </c>
      <c r="C2557" s="26"/>
      <c r="D2557" s="26"/>
      <c r="E2557" s="27"/>
      <c r="F2557" s="27"/>
      <c r="G2557" s="24" t="str">
        <f aca="false">IF(F2557="","",IF(F2557&lt;=5,"A",IF(F2557&lt;=8,"B",IF(F2557&lt;=10,"C","D"))))</f>
        <v/>
      </c>
      <c r="H2557" s="28"/>
      <c r="I2557" s="27"/>
      <c r="J2557" s="26"/>
      <c r="K2557" s="27"/>
      <c r="L2557" s="27"/>
      <c r="M2557" s="27"/>
      <c r="N2557" s="27"/>
      <c r="O2557" s="24" t="str">
        <f aca="false">IF(G2557="","",VLOOKUP(G2557,Setup!$A$14:$C$17,3,0))</f>
        <v/>
      </c>
      <c r="P2557" s="27"/>
      <c r="Q2557" s="29" t="str">
        <f aca="false">IF(OR(P2557="",M2557&lt;&gt;"Paid",O2557=""),"",P2557/O2557)</f>
        <v/>
      </c>
      <c r="R2557" s="30" t="str">
        <f aca="false">IF(Q2557="","",Q2557+N(H2557)*0.000000001)</f>
        <v/>
      </c>
      <c r="S2557" s="25" t="str">
        <f aca="false">IF(R2557="","",SUMPRODUCT((I$5:I$4004=I2557)*ISNUMBER(R$5:R$4004)*(R$5:R$4004&gt;R2557))+1)</f>
        <v/>
      </c>
      <c r="T2557" s="25" t="str">
        <f aca="false">IF(S2557="","",IF(S2557&lt;=Setup!$B$5,"🏆 WINNER",""))</f>
        <v/>
      </c>
      <c r="U2557" s="24" t="str">
        <f aca="false">IF(S2557="","",I2557&amp;"|"&amp;S2557)</f>
        <v/>
      </c>
    </row>
    <row r="2558" customFormat="false" ht="15" hidden="false" customHeight="false" outlineLevel="0" collapsed="false">
      <c r="A2558" s="31" t="n">
        <v>2554</v>
      </c>
      <c r="B2558" s="32" t="str">
        <f aca="false">IF(OR(C2558="",I2558="",G2558=""),"",IFERROR(VLOOKUP(I2558,Setup!$A$9:$B$11,2,0),"???")&amp;"-"&amp;G2558&amp;"-"&amp;TEXT(COUNTIFS(I$5:I2558,I2558,G$5:G2558,G2558),"0000"))</f>
        <v/>
      </c>
      <c r="C2558" s="26"/>
      <c r="D2558" s="26"/>
      <c r="E2558" s="27"/>
      <c r="F2558" s="27"/>
      <c r="G2558" s="31" t="str">
        <f aca="false">IF(F2558="","",IF(F2558&lt;=5,"A",IF(F2558&lt;=8,"B",IF(F2558&lt;=10,"C","D"))))</f>
        <v/>
      </c>
      <c r="H2558" s="28"/>
      <c r="I2558" s="27"/>
      <c r="J2558" s="26"/>
      <c r="K2558" s="27"/>
      <c r="L2558" s="27"/>
      <c r="M2558" s="27"/>
      <c r="N2558" s="27"/>
      <c r="O2558" s="31" t="str">
        <f aca="false">IF(G2558="","",VLOOKUP(G2558,Setup!$A$14:$C$17,3,0))</f>
        <v/>
      </c>
      <c r="P2558" s="27"/>
      <c r="Q2558" s="33" t="str">
        <f aca="false">IF(OR(P2558="",M2558&lt;&gt;"Paid",O2558=""),"",P2558/O2558)</f>
        <v/>
      </c>
      <c r="R2558" s="34" t="str">
        <f aca="false">IF(Q2558="","",Q2558+N(H2558)*0.000000001)</f>
        <v/>
      </c>
      <c r="S2558" s="32" t="str">
        <f aca="false">IF(R2558="","",SUMPRODUCT((I$5:I$4004=I2558)*ISNUMBER(R$5:R$4004)*(R$5:R$4004&gt;R2558))+1)</f>
        <v/>
      </c>
      <c r="T2558" s="32" t="str">
        <f aca="false">IF(S2558="","",IF(S2558&lt;=Setup!$B$5,"🏆 WINNER",""))</f>
        <v/>
      </c>
      <c r="U2558" s="31" t="str">
        <f aca="false">IF(S2558="","",I2558&amp;"|"&amp;S2558)</f>
        <v/>
      </c>
    </row>
    <row r="2559" customFormat="false" ht="15" hidden="false" customHeight="false" outlineLevel="0" collapsed="false">
      <c r="A2559" s="24" t="n">
        <v>2555</v>
      </c>
      <c r="B2559" s="25" t="str">
        <f aca="false">IF(OR(C2559="",I2559="",G2559=""),"",IFERROR(VLOOKUP(I2559,Setup!$A$9:$B$11,2,0),"???")&amp;"-"&amp;G2559&amp;"-"&amp;TEXT(COUNTIFS(I$5:I2559,I2559,G$5:G2559,G2559),"0000"))</f>
        <v/>
      </c>
      <c r="C2559" s="26"/>
      <c r="D2559" s="26"/>
      <c r="E2559" s="27"/>
      <c r="F2559" s="27"/>
      <c r="G2559" s="24" t="str">
        <f aca="false">IF(F2559="","",IF(F2559&lt;=5,"A",IF(F2559&lt;=8,"B",IF(F2559&lt;=10,"C","D"))))</f>
        <v/>
      </c>
      <c r="H2559" s="28"/>
      <c r="I2559" s="27"/>
      <c r="J2559" s="26"/>
      <c r="K2559" s="27"/>
      <c r="L2559" s="27"/>
      <c r="M2559" s="27"/>
      <c r="N2559" s="27"/>
      <c r="O2559" s="24" t="str">
        <f aca="false">IF(G2559="","",VLOOKUP(G2559,Setup!$A$14:$C$17,3,0))</f>
        <v/>
      </c>
      <c r="P2559" s="27"/>
      <c r="Q2559" s="29" t="str">
        <f aca="false">IF(OR(P2559="",M2559&lt;&gt;"Paid",O2559=""),"",P2559/O2559)</f>
        <v/>
      </c>
      <c r="R2559" s="30" t="str">
        <f aca="false">IF(Q2559="","",Q2559+N(H2559)*0.000000001)</f>
        <v/>
      </c>
      <c r="S2559" s="25" t="str">
        <f aca="false">IF(R2559="","",SUMPRODUCT((I$5:I$4004=I2559)*ISNUMBER(R$5:R$4004)*(R$5:R$4004&gt;R2559))+1)</f>
        <v/>
      </c>
      <c r="T2559" s="25" t="str">
        <f aca="false">IF(S2559="","",IF(S2559&lt;=Setup!$B$5,"🏆 WINNER",""))</f>
        <v/>
      </c>
      <c r="U2559" s="24" t="str">
        <f aca="false">IF(S2559="","",I2559&amp;"|"&amp;S2559)</f>
        <v/>
      </c>
    </row>
    <row r="2560" customFormat="false" ht="15" hidden="false" customHeight="false" outlineLevel="0" collapsed="false">
      <c r="A2560" s="31" t="n">
        <v>2556</v>
      </c>
      <c r="B2560" s="32" t="str">
        <f aca="false">IF(OR(C2560="",I2560="",G2560=""),"",IFERROR(VLOOKUP(I2560,Setup!$A$9:$B$11,2,0),"???")&amp;"-"&amp;G2560&amp;"-"&amp;TEXT(COUNTIFS(I$5:I2560,I2560,G$5:G2560,G2560),"0000"))</f>
        <v/>
      </c>
      <c r="C2560" s="26"/>
      <c r="D2560" s="26"/>
      <c r="E2560" s="27"/>
      <c r="F2560" s="27"/>
      <c r="G2560" s="31" t="str">
        <f aca="false">IF(F2560="","",IF(F2560&lt;=5,"A",IF(F2560&lt;=8,"B",IF(F2560&lt;=10,"C","D"))))</f>
        <v/>
      </c>
      <c r="H2560" s="28"/>
      <c r="I2560" s="27"/>
      <c r="J2560" s="26"/>
      <c r="K2560" s="27"/>
      <c r="L2560" s="27"/>
      <c r="M2560" s="27"/>
      <c r="N2560" s="27"/>
      <c r="O2560" s="31" t="str">
        <f aca="false">IF(G2560="","",VLOOKUP(G2560,Setup!$A$14:$C$17,3,0))</f>
        <v/>
      </c>
      <c r="P2560" s="27"/>
      <c r="Q2560" s="33" t="str">
        <f aca="false">IF(OR(P2560="",M2560&lt;&gt;"Paid",O2560=""),"",P2560/O2560)</f>
        <v/>
      </c>
      <c r="R2560" s="34" t="str">
        <f aca="false">IF(Q2560="","",Q2560+N(H2560)*0.000000001)</f>
        <v/>
      </c>
      <c r="S2560" s="32" t="str">
        <f aca="false">IF(R2560="","",SUMPRODUCT((I$5:I$4004=I2560)*ISNUMBER(R$5:R$4004)*(R$5:R$4004&gt;R2560))+1)</f>
        <v/>
      </c>
      <c r="T2560" s="32" t="str">
        <f aca="false">IF(S2560="","",IF(S2560&lt;=Setup!$B$5,"🏆 WINNER",""))</f>
        <v/>
      </c>
      <c r="U2560" s="31" t="str">
        <f aca="false">IF(S2560="","",I2560&amp;"|"&amp;S2560)</f>
        <v/>
      </c>
    </row>
    <row r="2561" customFormat="false" ht="15" hidden="false" customHeight="false" outlineLevel="0" collapsed="false">
      <c r="A2561" s="24" t="n">
        <v>2557</v>
      </c>
      <c r="B2561" s="25" t="str">
        <f aca="false">IF(OR(C2561="",I2561="",G2561=""),"",IFERROR(VLOOKUP(I2561,Setup!$A$9:$B$11,2,0),"???")&amp;"-"&amp;G2561&amp;"-"&amp;TEXT(COUNTIFS(I$5:I2561,I2561,G$5:G2561,G2561),"0000"))</f>
        <v/>
      </c>
      <c r="C2561" s="26"/>
      <c r="D2561" s="26"/>
      <c r="E2561" s="27"/>
      <c r="F2561" s="27"/>
      <c r="G2561" s="24" t="str">
        <f aca="false">IF(F2561="","",IF(F2561&lt;=5,"A",IF(F2561&lt;=8,"B",IF(F2561&lt;=10,"C","D"))))</f>
        <v/>
      </c>
      <c r="H2561" s="28"/>
      <c r="I2561" s="27"/>
      <c r="J2561" s="26"/>
      <c r="K2561" s="27"/>
      <c r="L2561" s="27"/>
      <c r="M2561" s="27"/>
      <c r="N2561" s="27"/>
      <c r="O2561" s="24" t="str">
        <f aca="false">IF(G2561="","",VLOOKUP(G2561,Setup!$A$14:$C$17,3,0))</f>
        <v/>
      </c>
      <c r="P2561" s="27"/>
      <c r="Q2561" s="29" t="str">
        <f aca="false">IF(OR(P2561="",M2561&lt;&gt;"Paid",O2561=""),"",P2561/O2561)</f>
        <v/>
      </c>
      <c r="R2561" s="30" t="str">
        <f aca="false">IF(Q2561="","",Q2561+N(H2561)*0.000000001)</f>
        <v/>
      </c>
      <c r="S2561" s="25" t="str">
        <f aca="false">IF(R2561="","",SUMPRODUCT((I$5:I$4004=I2561)*ISNUMBER(R$5:R$4004)*(R$5:R$4004&gt;R2561))+1)</f>
        <v/>
      </c>
      <c r="T2561" s="25" t="str">
        <f aca="false">IF(S2561="","",IF(S2561&lt;=Setup!$B$5,"🏆 WINNER",""))</f>
        <v/>
      </c>
      <c r="U2561" s="24" t="str">
        <f aca="false">IF(S2561="","",I2561&amp;"|"&amp;S2561)</f>
        <v/>
      </c>
    </row>
    <row r="2562" customFormat="false" ht="15" hidden="false" customHeight="false" outlineLevel="0" collapsed="false">
      <c r="A2562" s="31" t="n">
        <v>2558</v>
      </c>
      <c r="B2562" s="32" t="str">
        <f aca="false">IF(OR(C2562="",I2562="",G2562=""),"",IFERROR(VLOOKUP(I2562,Setup!$A$9:$B$11,2,0),"???")&amp;"-"&amp;G2562&amp;"-"&amp;TEXT(COUNTIFS(I$5:I2562,I2562,G$5:G2562,G2562),"0000"))</f>
        <v/>
      </c>
      <c r="C2562" s="26"/>
      <c r="D2562" s="26"/>
      <c r="E2562" s="27"/>
      <c r="F2562" s="27"/>
      <c r="G2562" s="31" t="str">
        <f aca="false">IF(F2562="","",IF(F2562&lt;=5,"A",IF(F2562&lt;=8,"B",IF(F2562&lt;=10,"C","D"))))</f>
        <v/>
      </c>
      <c r="H2562" s="28"/>
      <c r="I2562" s="27"/>
      <c r="J2562" s="26"/>
      <c r="K2562" s="27"/>
      <c r="L2562" s="27"/>
      <c r="M2562" s="27"/>
      <c r="N2562" s="27"/>
      <c r="O2562" s="31" t="str">
        <f aca="false">IF(G2562="","",VLOOKUP(G2562,Setup!$A$14:$C$17,3,0))</f>
        <v/>
      </c>
      <c r="P2562" s="27"/>
      <c r="Q2562" s="33" t="str">
        <f aca="false">IF(OR(P2562="",M2562&lt;&gt;"Paid",O2562=""),"",P2562/O2562)</f>
        <v/>
      </c>
      <c r="R2562" s="34" t="str">
        <f aca="false">IF(Q2562="","",Q2562+N(H2562)*0.000000001)</f>
        <v/>
      </c>
      <c r="S2562" s="32" t="str">
        <f aca="false">IF(R2562="","",SUMPRODUCT((I$5:I$4004=I2562)*ISNUMBER(R$5:R$4004)*(R$5:R$4004&gt;R2562))+1)</f>
        <v/>
      </c>
      <c r="T2562" s="32" t="str">
        <f aca="false">IF(S2562="","",IF(S2562&lt;=Setup!$B$5,"🏆 WINNER",""))</f>
        <v/>
      </c>
      <c r="U2562" s="31" t="str">
        <f aca="false">IF(S2562="","",I2562&amp;"|"&amp;S2562)</f>
        <v/>
      </c>
    </row>
    <row r="2563" customFormat="false" ht="15" hidden="false" customHeight="false" outlineLevel="0" collapsed="false">
      <c r="A2563" s="24" t="n">
        <v>2559</v>
      </c>
      <c r="B2563" s="25" t="str">
        <f aca="false">IF(OR(C2563="",I2563="",G2563=""),"",IFERROR(VLOOKUP(I2563,Setup!$A$9:$B$11,2,0),"???")&amp;"-"&amp;G2563&amp;"-"&amp;TEXT(COUNTIFS(I$5:I2563,I2563,G$5:G2563,G2563),"0000"))</f>
        <v/>
      </c>
      <c r="C2563" s="26"/>
      <c r="D2563" s="26"/>
      <c r="E2563" s="27"/>
      <c r="F2563" s="27"/>
      <c r="G2563" s="24" t="str">
        <f aca="false">IF(F2563="","",IF(F2563&lt;=5,"A",IF(F2563&lt;=8,"B",IF(F2563&lt;=10,"C","D"))))</f>
        <v/>
      </c>
      <c r="H2563" s="28"/>
      <c r="I2563" s="27"/>
      <c r="J2563" s="26"/>
      <c r="K2563" s="27"/>
      <c r="L2563" s="27"/>
      <c r="M2563" s="27"/>
      <c r="N2563" s="27"/>
      <c r="O2563" s="24" t="str">
        <f aca="false">IF(G2563="","",VLOOKUP(G2563,Setup!$A$14:$C$17,3,0))</f>
        <v/>
      </c>
      <c r="P2563" s="27"/>
      <c r="Q2563" s="29" t="str">
        <f aca="false">IF(OR(P2563="",M2563&lt;&gt;"Paid",O2563=""),"",P2563/O2563)</f>
        <v/>
      </c>
      <c r="R2563" s="30" t="str">
        <f aca="false">IF(Q2563="","",Q2563+N(H2563)*0.000000001)</f>
        <v/>
      </c>
      <c r="S2563" s="25" t="str">
        <f aca="false">IF(R2563="","",SUMPRODUCT((I$5:I$4004=I2563)*ISNUMBER(R$5:R$4004)*(R$5:R$4004&gt;R2563))+1)</f>
        <v/>
      </c>
      <c r="T2563" s="25" t="str">
        <f aca="false">IF(S2563="","",IF(S2563&lt;=Setup!$B$5,"🏆 WINNER",""))</f>
        <v/>
      </c>
      <c r="U2563" s="24" t="str">
        <f aca="false">IF(S2563="","",I2563&amp;"|"&amp;S2563)</f>
        <v/>
      </c>
    </row>
    <row r="2564" customFormat="false" ht="15" hidden="false" customHeight="false" outlineLevel="0" collapsed="false">
      <c r="A2564" s="31" t="n">
        <v>2560</v>
      </c>
      <c r="B2564" s="32" t="str">
        <f aca="false">IF(OR(C2564="",I2564="",G2564=""),"",IFERROR(VLOOKUP(I2564,Setup!$A$9:$B$11,2,0),"???")&amp;"-"&amp;G2564&amp;"-"&amp;TEXT(COUNTIFS(I$5:I2564,I2564,G$5:G2564,G2564),"0000"))</f>
        <v/>
      </c>
      <c r="C2564" s="26"/>
      <c r="D2564" s="26"/>
      <c r="E2564" s="27"/>
      <c r="F2564" s="27"/>
      <c r="G2564" s="31" t="str">
        <f aca="false">IF(F2564="","",IF(F2564&lt;=5,"A",IF(F2564&lt;=8,"B",IF(F2564&lt;=10,"C","D"))))</f>
        <v/>
      </c>
      <c r="H2564" s="28"/>
      <c r="I2564" s="27"/>
      <c r="J2564" s="26"/>
      <c r="K2564" s="27"/>
      <c r="L2564" s="27"/>
      <c r="M2564" s="27"/>
      <c r="N2564" s="27"/>
      <c r="O2564" s="31" t="str">
        <f aca="false">IF(G2564="","",VLOOKUP(G2564,Setup!$A$14:$C$17,3,0))</f>
        <v/>
      </c>
      <c r="P2564" s="27"/>
      <c r="Q2564" s="33" t="str">
        <f aca="false">IF(OR(P2564="",M2564&lt;&gt;"Paid",O2564=""),"",P2564/O2564)</f>
        <v/>
      </c>
      <c r="R2564" s="34" t="str">
        <f aca="false">IF(Q2564="","",Q2564+N(H2564)*0.000000001)</f>
        <v/>
      </c>
      <c r="S2564" s="32" t="str">
        <f aca="false">IF(R2564="","",SUMPRODUCT((I$5:I$4004=I2564)*ISNUMBER(R$5:R$4004)*(R$5:R$4004&gt;R2564))+1)</f>
        <v/>
      </c>
      <c r="T2564" s="32" t="str">
        <f aca="false">IF(S2564="","",IF(S2564&lt;=Setup!$B$5,"🏆 WINNER",""))</f>
        <v/>
      </c>
      <c r="U2564" s="31" t="str">
        <f aca="false">IF(S2564="","",I2564&amp;"|"&amp;S2564)</f>
        <v/>
      </c>
    </row>
    <row r="2565" customFormat="false" ht="15" hidden="false" customHeight="false" outlineLevel="0" collapsed="false">
      <c r="A2565" s="24" t="n">
        <v>2561</v>
      </c>
      <c r="B2565" s="25" t="str">
        <f aca="false">IF(OR(C2565="",I2565="",G2565=""),"",IFERROR(VLOOKUP(I2565,Setup!$A$9:$B$11,2,0),"???")&amp;"-"&amp;G2565&amp;"-"&amp;TEXT(COUNTIFS(I$5:I2565,I2565,G$5:G2565,G2565),"0000"))</f>
        <v/>
      </c>
      <c r="C2565" s="26"/>
      <c r="D2565" s="26"/>
      <c r="E2565" s="27"/>
      <c r="F2565" s="27"/>
      <c r="G2565" s="24" t="str">
        <f aca="false">IF(F2565="","",IF(F2565&lt;=5,"A",IF(F2565&lt;=8,"B",IF(F2565&lt;=10,"C","D"))))</f>
        <v/>
      </c>
      <c r="H2565" s="28"/>
      <c r="I2565" s="27"/>
      <c r="J2565" s="26"/>
      <c r="K2565" s="27"/>
      <c r="L2565" s="27"/>
      <c r="M2565" s="27"/>
      <c r="N2565" s="27"/>
      <c r="O2565" s="24" t="str">
        <f aca="false">IF(G2565="","",VLOOKUP(G2565,Setup!$A$14:$C$17,3,0))</f>
        <v/>
      </c>
      <c r="P2565" s="27"/>
      <c r="Q2565" s="29" t="str">
        <f aca="false">IF(OR(P2565="",M2565&lt;&gt;"Paid",O2565=""),"",P2565/O2565)</f>
        <v/>
      </c>
      <c r="R2565" s="30" t="str">
        <f aca="false">IF(Q2565="","",Q2565+N(H2565)*0.000000001)</f>
        <v/>
      </c>
      <c r="S2565" s="25" t="str">
        <f aca="false">IF(R2565="","",SUMPRODUCT((I$5:I$4004=I2565)*ISNUMBER(R$5:R$4004)*(R$5:R$4004&gt;R2565))+1)</f>
        <v/>
      </c>
      <c r="T2565" s="25" t="str">
        <f aca="false">IF(S2565="","",IF(S2565&lt;=Setup!$B$5,"🏆 WINNER",""))</f>
        <v/>
      </c>
      <c r="U2565" s="24" t="str">
        <f aca="false">IF(S2565="","",I2565&amp;"|"&amp;S2565)</f>
        <v/>
      </c>
    </row>
    <row r="2566" customFormat="false" ht="15" hidden="false" customHeight="false" outlineLevel="0" collapsed="false">
      <c r="A2566" s="31" t="n">
        <v>2562</v>
      </c>
      <c r="B2566" s="32" t="str">
        <f aca="false">IF(OR(C2566="",I2566="",G2566=""),"",IFERROR(VLOOKUP(I2566,Setup!$A$9:$B$11,2,0),"???")&amp;"-"&amp;G2566&amp;"-"&amp;TEXT(COUNTIFS(I$5:I2566,I2566,G$5:G2566,G2566),"0000"))</f>
        <v/>
      </c>
      <c r="C2566" s="26"/>
      <c r="D2566" s="26"/>
      <c r="E2566" s="27"/>
      <c r="F2566" s="27"/>
      <c r="G2566" s="31" t="str">
        <f aca="false">IF(F2566="","",IF(F2566&lt;=5,"A",IF(F2566&lt;=8,"B",IF(F2566&lt;=10,"C","D"))))</f>
        <v/>
      </c>
      <c r="H2566" s="28"/>
      <c r="I2566" s="27"/>
      <c r="J2566" s="26"/>
      <c r="K2566" s="27"/>
      <c r="L2566" s="27"/>
      <c r="M2566" s="27"/>
      <c r="N2566" s="27"/>
      <c r="O2566" s="31" t="str">
        <f aca="false">IF(G2566="","",VLOOKUP(G2566,Setup!$A$14:$C$17,3,0))</f>
        <v/>
      </c>
      <c r="P2566" s="27"/>
      <c r="Q2566" s="33" t="str">
        <f aca="false">IF(OR(P2566="",M2566&lt;&gt;"Paid",O2566=""),"",P2566/O2566)</f>
        <v/>
      </c>
      <c r="R2566" s="34" t="str">
        <f aca="false">IF(Q2566="","",Q2566+N(H2566)*0.000000001)</f>
        <v/>
      </c>
      <c r="S2566" s="32" t="str">
        <f aca="false">IF(R2566="","",SUMPRODUCT((I$5:I$4004=I2566)*ISNUMBER(R$5:R$4004)*(R$5:R$4004&gt;R2566))+1)</f>
        <v/>
      </c>
      <c r="T2566" s="32" t="str">
        <f aca="false">IF(S2566="","",IF(S2566&lt;=Setup!$B$5,"🏆 WINNER",""))</f>
        <v/>
      </c>
      <c r="U2566" s="31" t="str">
        <f aca="false">IF(S2566="","",I2566&amp;"|"&amp;S2566)</f>
        <v/>
      </c>
    </row>
    <row r="2567" customFormat="false" ht="15" hidden="false" customHeight="false" outlineLevel="0" collapsed="false">
      <c r="A2567" s="24" t="n">
        <v>2563</v>
      </c>
      <c r="B2567" s="25" t="str">
        <f aca="false">IF(OR(C2567="",I2567="",G2567=""),"",IFERROR(VLOOKUP(I2567,Setup!$A$9:$B$11,2,0),"???")&amp;"-"&amp;G2567&amp;"-"&amp;TEXT(COUNTIFS(I$5:I2567,I2567,G$5:G2567,G2567),"0000"))</f>
        <v/>
      </c>
      <c r="C2567" s="26"/>
      <c r="D2567" s="26"/>
      <c r="E2567" s="27"/>
      <c r="F2567" s="27"/>
      <c r="G2567" s="24" t="str">
        <f aca="false">IF(F2567="","",IF(F2567&lt;=5,"A",IF(F2567&lt;=8,"B",IF(F2567&lt;=10,"C","D"))))</f>
        <v/>
      </c>
      <c r="H2567" s="28"/>
      <c r="I2567" s="27"/>
      <c r="J2567" s="26"/>
      <c r="K2567" s="27"/>
      <c r="L2567" s="27"/>
      <c r="M2567" s="27"/>
      <c r="N2567" s="27"/>
      <c r="O2567" s="24" t="str">
        <f aca="false">IF(G2567="","",VLOOKUP(G2567,Setup!$A$14:$C$17,3,0))</f>
        <v/>
      </c>
      <c r="P2567" s="27"/>
      <c r="Q2567" s="29" t="str">
        <f aca="false">IF(OR(P2567="",M2567&lt;&gt;"Paid",O2567=""),"",P2567/O2567)</f>
        <v/>
      </c>
      <c r="R2567" s="30" t="str">
        <f aca="false">IF(Q2567="","",Q2567+N(H2567)*0.000000001)</f>
        <v/>
      </c>
      <c r="S2567" s="25" t="str">
        <f aca="false">IF(R2567="","",SUMPRODUCT((I$5:I$4004=I2567)*ISNUMBER(R$5:R$4004)*(R$5:R$4004&gt;R2567))+1)</f>
        <v/>
      </c>
      <c r="T2567" s="25" t="str">
        <f aca="false">IF(S2567="","",IF(S2567&lt;=Setup!$B$5,"🏆 WINNER",""))</f>
        <v/>
      </c>
      <c r="U2567" s="24" t="str">
        <f aca="false">IF(S2567="","",I2567&amp;"|"&amp;S2567)</f>
        <v/>
      </c>
    </row>
    <row r="2568" customFormat="false" ht="15" hidden="false" customHeight="false" outlineLevel="0" collapsed="false">
      <c r="A2568" s="31" t="n">
        <v>2564</v>
      </c>
      <c r="B2568" s="32" t="str">
        <f aca="false">IF(OR(C2568="",I2568="",G2568=""),"",IFERROR(VLOOKUP(I2568,Setup!$A$9:$B$11,2,0),"???")&amp;"-"&amp;G2568&amp;"-"&amp;TEXT(COUNTIFS(I$5:I2568,I2568,G$5:G2568,G2568),"0000"))</f>
        <v/>
      </c>
      <c r="C2568" s="26"/>
      <c r="D2568" s="26"/>
      <c r="E2568" s="27"/>
      <c r="F2568" s="27"/>
      <c r="G2568" s="31" t="str">
        <f aca="false">IF(F2568="","",IF(F2568&lt;=5,"A",IF(F2568&lt;=8,"B",IF(F2568&lt;=10,"C","D"))))</f>
        <v/>
      </c>
      <c r="H2568" s="28"/>
      <c r="I2568" s="27"/>
      <c r="J2568" s="26"/>
      <c r="K2568" s="27"/>
      <c r="L2568" s="27"/>
      <c r="M2568" s="27"/>
      <c r="N2568" s="27"/>
      <c r="O2568" s="31" t="str">
        <f aca="false">IF(G2568="","",VLOOKUP(G2568,Setup!$A$14:$C$17,3,0))</f>
        <v/>
      </c>
      <c r="P2568" s="27"/>
      <c r="Q2568" s="33" t="str">
        <f aca="false">IF(OR(P2568="",M2568&lt;&gt;"Paid",O2568=""),"",P2568/O2568)</f>
        <v/>
      </c>
      <c r="R2568" s="34" t="str">
        <f aca="false">IF(Q2568="","",Q2568+N(H2568)*0.000000001)</f>
        <v/>
      </c>
      <c r="S2568" s="32" t="str">
        <f aca="false">IF(R2568="","",SUMPRODUCT((I$5:I$4004=I2568)*ISNUMBER(R$5:R$4004)*(R$5:R$4004&gt;R2568))+1)</f>
        <v/>
      </c>
      <c r="T2568" s="32" t="str">
        <f aca="false">IF(S2568="","",IF(S2568&lt;=Setup!$B$5,"🏆 WINNER",""))</f>
        <v/>
      </c>
      <c r="U2568" s="31" t="str">
        <f aca="false">IF(S2568="","",I2568&amp;"|"&amp;S2568)</f>
        <v/>
      </c>
    </row>
    <row r="2569" customFormat="false" ht="15" hidden="false" customHeight="false" outlineLevel="0" collapsed="false">
      <c r="A2569" s="24" t="n">
        <v>2565</v>
      </c>
      <c r="B2569" s="25" t="str">
        <f aca="false">IF(OR(C2569="",I2569="",G2569=""),"",IFERROR(VLOOKUP(I2569,Setup!$A$9:$B$11,2,0),"???")&amp;"-"&amp;G2569&amp;"-"&amp;TEXT(COUNTIFS(I$5:I2569,I2569,G$5:G2569,G2569),"0000"))</f>
        <v/>
      </c>
      <c r="C2569" s="26"/>
      <c r="D2569" s="26"/>
      <c r="E2569" s="27"/>
      <c r="F2569" s="27"/>
      <c r="G2569" s="24" t="str">
        <f aca="false">IF(F2569="","",IF(F2569&lt;=5,"A",IF(F2569&lt;=8,"B",IF(F2569&lt;=10,"C","D"))))</f>
        <v/>
      </c>
      <c r="H2569" s="28"/>
      <c r="I2569" s="27"/>
      <c r="J2569" s="26"/>
      <c r="K2569" s="27"/>
      <c r="L2569" s="27"/>
      <c r="M2569" s="27"/>
      <c r="N2569" s="27"/>
      <c r="O2569" s="24" t="str">
        <f aca="false">IF(G2569="","",VLOOKUP(G2569,Setup!$A$14:$C$17,3,0))</f>
        <v/>
      </c>
      <c r="P2569" s="27"/>
      <c r="Q2569" s="29" t="str">
        <f aca="false">IF(OR(P2569="",M2569&lt;&gt;"Paid",O2569=""),"",P2569/O2569)</f>
        <v/>
      </c>
      <c r="R2569" s="30" t="str">
        <f aca="false">IF(Q2569="","",Q2569+N(H2569)*0.000000001)</f>
        <v/>
      </c>
      <c r="S2569" s="25" t="str">
        <f aca="false">IF(R2569="","",SUMPRODUCT((I$5:I$4004=I2569)*ISNUMBER(R$5:R$4004)*(R$5:R$4004&gt;R2569))+1)</f>
        <v/>
      </c>
      <c r="T2569" s="25" t="str">
        <f aca="false">IF(S2569="","",IF(S2569&lt;=Setup!$B$5,"🏆 WINNER",""))</f>
        <v/>
      </c>
      <c r="U2569" s="24" t="str">
        <f aca="false">IF(S2569="","",I2569&amp;"|"&amp;S2569)</f>
        <v/>
      </c>
    </row>
    <row r="2570" customFormat="false" ht="15" hidden="false" customHeight="false" outlineLevel="0" collapsed="false">
      <c r="A2570" s="31" t="n">
        <v>2566</v>
      </c>
      <c r="B2570" s="32" t="str">
        <f aca="false">IF(OR(C2570="",I2570="",G2570=""),"",IFERROR(VLOOKUP(I2570,Setup!$A$9:$B$11,2,0),"???")&amp;"-"&amp;G2570&amp;"-"&amp;TEXT(COUNTIFS(I$5:I2570,I2570,G$5:G2570,G2570),"0000"))</f>
        <v/>
      </c>
      <c r="C2570" s="26"/>
      <c r="D2570" s="26"/>
      <c r="E2570" s="27"/>
      <c r="F2570" s="27"/>
      <c r="G2570" s="31" t="str">
        <f aca="false">IF(F2570="","",IF(F2570&lt;=5,"A",IF(F2570&lt;=8,"B",IF(F2570&lt;=10,"C","D"))))</f>
        <v/>
      </c>
      <c r="H2570" s="28"/>
      <c r="I2570" s="27"/>
      <c r="J2570" s="26"/>
      <c r="K2570" s="27"/>
      <c r="L2570" s="27"/>
      <c r="M2570" s="27"/>
      <c r="N2570" s="27"/>
      <c r="O2570" s="31" t="str">
        <f aca="false">IF(G2570="","",VLOOKUP(G2570,Setup!$A$14:$C$17,3,0))</f>
        <v/>
      </c>
      <c r="P2570" s="27"/>
      <c r="Q2570" s="33" t="str">
        <f aca="false">IF(OR(P2570="",M2570&lt;&gt;"Paid",O2570=""),"",P2570/O2570)</f>
        <v/>
      </c>
      <c r="R2570" s="34" t="str">
        <f aca="false">IF(Q2570="","",Q2570+N(H2570)*0.000000001)</f>
        <v/>
      </c>
      <c r="S2570" s="32" t="str">
        <f aca="false">IF(R2570="","",SUMPRODUCT((I$5:I$4004=I2570)*ISNUMBER(R$5:R$4004)*(R$5:R$4004&gt;R2570))+1)</f>
        <v/>
      </c>
      <c r="T2570" s="32" t="str">
        <f aca="false">IF(S2570="","",IF(S2570&lt;=Setup!$B$5,"🏆 WINNER",""))</f>
        <v/>
      </c>
      <c r="U2570" s="31" t="str">
        <f aca="false">IF(S2570="","",I2570&amp;"|"&amp;S2570)</f>
        <v/>
      </c>
    </row>
    <row r="2571" customFormat="false" ht="15" hidden="false" customHeight="false" outlineLevel="0" collapsed="false">
      <c r="A2571" s="24" t="n">
        <v>2567</v>
      </c>
      <c r="B2571" s="25" t="str">
        <f aca="false">IF(OR(C2571="",I2571="",G2571=""),"",IFERROR(VLOOKUP(I2571,Setup!$A$9:$B$11,2,0),"???")&amp;"-"&amp;G2571&amp;"-"&amp;TEXT(COUNTIFS(I$5:I2571,I2571,G$5:G2571,G2571),"0000"))</f>
        <v/>
      </c>
      <c r="C2571" s="26"/>
      <c r="D2571" s="26"/>
      <c r="E2571" s="27"/>
      <c r="F2571" s="27"/>
      <c r="G2571" s="24" t="str">
        <f aca="false">IF(F2571="","",IF(F2571&lt;=5,"A",IF(F2571&lt;=8,"B",IF(F2571&lt;=10,"C","D"))))</f>
        <v/>
      </c>
      <c r="H2571" s="28"/>
      <c r="I2571" s="27"/>
      <c r="J2571" s="26"/>
      <c r="K2571" s="27"/>
      <c r="L2571" s="27"/>
      <c r="M2571" s="27"/>
      <c r="N2571" s="27"/>
      <c r="O2571" s="24" t="str">
        <f aca="false">IF(G2571="","",VLOOKUP(G2571,Setup!$A$14:$C$17,3,0))</f>
        <v/>
      </c>
      <c r="P2571" s="27"/>
      <c r="Q2571" s="29" t="str">
        <f aca="false">IF(OR(P2571="",M2571&lt;&gt;"Paid",O2571=""),"",P2571/O2571)</f>
        <v/>
      </c>
      <c r="R2571" s="30" t="str">
        <f aca="false">IF(Q2571="","",Q2571+N(H2571)*0.000000001)</f>
        <v/>
      </c>
      <c r="S2571" s="25" t="str">
        <f aca="false">IF(R2571="","",SUMPRODUCT((I$5:I$4004=I2571)*ISNUMBER(R$5:R$4004)*(R$5:R$4004&gt;R2571))+1)</f>
        <v/>
      </c>
      <c r="T2571" s="25" t="str">
        <f aca="false">IF(S2571="","",IF(S2571&lt;=Setup!$B$5,"🏆 WINNER",""))</f>
        <v/>
      </c>
      <c r="U2571" s="24" t="str">
        <f aca="false">IF(S2571="","",I2571&amp;"|"&amp;S2571)</f>
        <v/>
      </c>
    </row>
    <row r="2572" customFormat="false" ht="15" hidden="false" customHeight="false" outlineLevel="0" collapsed="false">
      <c r="A2572" s="31" t="n">
        <v>2568</v>
      </c>
      <c r="B2572" s="32" t="str">
        <f aca="false">IF(OR(C2572="",I2572="",G2572=""),"",IFERROR(VLOOKUP(I2572,Setup!$A$9:$B$11,2,0),"???")&amp;"-"&amp;G2572&amp;"-"&amp;TEXT(COUNTIFS(I$5:I2572,I2572,G$5:G2572,G2572),"0000"))</f>
        <v/>
      </c>
      <c r="C2572" s="26"/>
      <c r="D2572" s="26"/>
      <c r="E2572" s="27"/>
      <c r="F2572" s="27"/>
      <c r="G2572" s="31" t="str">
        <f aca="false">IF(F2572="","",IF(F2572&lt;=5,"A",IF(F2572&lt;=8,"B",IF(F2572&lt;=10,"C","D"))))</f>
        <v/>
      </c>
      <c r="H2572" s="28"/>
      <c r="I2572" s="27"/>
      <c r="J2572" s="26"/>
      <c r="K2572" s="27"/>
      <c r="L2572" s="27"/>
      <c r="M2572" s="27"/>
      <c r="N2572" s="27"/>
      <c r="O2572" s="31" t="str">
        <f aca="false">IF(G2572="","",VLOOKUP(G2572,Setup!$A$14:$C$17,3,0))</f>
        <v/>
      </c>
      <c r="P2572" s="27"/>
      <c r="Q2572" s="33" t="str">
        <f aca="false">IF(OR(P2572="",M2572&lt;&gt;"Paid",O2572=""),"",P2572/O2572)</f>
        <v/>
      </c>
      <c r="R2572" s="34" t="str">
        <f aca="false">IF(Q2572="","",Q2572+N(H2572)*0.000000001)</f>
        <v/>
      </c>
      <c r="S2572" s="32" t="str">
        <f aca="false">IF(R2572="","",SUMPRODUCT((I$5:I$4004=I2572)*ISNUMBER(R$5:R$4004)*(R$5:R$4004&gt;R2572))+1)</f>
        <v/>
      </c>
      <c r="T2572" s="32" t="str">
        <f aca="false">IF(S2572="","",IF(S2572&lt;=Setup!$B$5,"🏆 WINNER",""))</f>
        <v/>
      </c>
      <c r="U2572" s="31" t="str">
        <f aca="false">IF(S2572="","",I2572&amp;"|"&amp;S2572)</f>
        <v/>
      </c>
    </row>
    <row r="2573" customFormat="false" ht="15" hidden="false" customHeight="false" outlineLevel="0" collapsed="false">
      <c r="A2573" s="24" t="n">
        <v>2569</v>
      </c>
      <c r="B2573" s="25" t="str">
        <f aca="false">IF(OR(C2573="",I2573="",G2573=""),"",IFERROR(VLOOKUP(I2573,Setup!$A$9:$B$11,2,0),"???")&amp;"-"&amp;G2573&amp;"-"&amp;TEXT(COUNTIFS(I$5:I2573,I2573,G$5:G2573,G2573),"0000"))</f>
        <v/>
      </c>
      <c r="C2573" s="26"/>
      <c r="D2573" s="26"/>
      <c r="E2573" s="27"/>
      <c r="F2573" s="27"/>
      <c r="G2573" s="24" t="str">
        <f aca="false">IF(F2573="","",IF(F2573&lt;=5,"A",IF(F2573&lt;=8,"B",IF(F2573&lt;=10,"C","D"))))</f>
        <v/>
      </c>
      <c r="H2573" s="28"/>
      <c r="I2573" s="27"/>
      <c r="J2573" s="26"/>
      <c r="K2573" s="27"/>
      <c r="L2573" s="27"/>
      <c r="M2573" s="27"/>
      <c r="N2573" s="27"/>
      <c r="O2573" s="24" t="str">
        <f aca="false">IF(G2573="","",VLOOKUP(G2573,Setup!$A$14:$C$17,3,0))</f>
        <v/>
      </c>
      <c r="P2573" s="27"/>
      <c r="Q2573" s="29" t="str">
        <f aca="false">IF(OR(P2573="",M2573&lt;&gt;"Paid",O2573=""),"",P2573/O2573)</f>
        <v/>
      </c>
      <c r="R2573" s="30" t="str">
        <f aca="false">IF(Q2573="","",Q2573+N(H2573)*0.000000001)</f>
        <v/>
      </c>
      <c r="S2573" s="25" t="str">
        <f aca="false">IF(R2573="","",SUMPRODUCT((I$5:I$4004=I2573)*ISNUMBER(R$5:R$4004)*(R$5:R$4004&gt;R2573))+1)</f>
        <v/>
      </c>
      <c r="T2573" s="25" t="str">
        <f aca="false">IF(S2573="","",IF(S2573&lt;=Setup!$B$5,"🏆 WINNER",""))</f>
        <v/>
      </c>
      <c r="U2573" s="24" t="str">
        <f aca="false">IF(S2573="","",I2573&amp;"|"&amp;S2573)</f>
        <v/>
      </c>
    </row>
    <row r="2574" customFormat="false" ht="15" hidden="false" customHeight="false" outlineLevel="0" collapsed="false">
      <c r="A2574" s="31" t="n">
        <v>2570</v>
      </c>
      <c r="B2574" s="32" t="str">
        <f aca="false">IF(OR(C2574="",I2574="",G2574=""),"",IFERROR(VLOOKUP(I2574,Setup!$A$9:$B$11,2,0),"???")&amp;"-"&amp;G2574&amp;"-"&amp;TEXT(COUNTIFS(I$5:I2574,I2574,G$5:G2574,G2574),"0000"))</f>
        <v/>
      </c>
      <c r="C2574" s="26"/>
      <c r="D2574" s="26"/>
      <c r="E2574" s="27"/>
      <c r="F2574" s="27"/>
      <c r="G2574" s="31" t="str">
        <f aca="false">IF(F2574="","",IF(F2574&lt;=5,"A",IF(F2574&lt;=8,"B",IF(F2574&lt;=10,"C","D"))))</f>
        <v/>
      </c>
      <c r="H2574" s="28"/>
      <c r="I2574" s="27"/>
      <c r="J2574" s="26"/>
      <c r="K2574" s="27"/>
      <c r="L2574" s="27"/>
      <c r="M2574" s="27"/>
      <c r="N2574" s="27"/>
      <c r="O2574" s="31" t="str">
        <f aca="false">IF(G2574="","",VLOOKUP(G2574,Setup!$A$14:$C$17,3,0))</f>
        <v/>
      </c>
      <c r="P2574" s="27"/>
      <c r="Q2574" s="33" t="str">
        <f aca="false">IF(OR(P2574="",M2574&lt;&gt;"Paid",O2574=""),"",P2574/O2574)</f>
        <v/>
      </c>
      <c r="R2574" s="34" t="str">
        <f aca="false">IF(Q2574="","",Q2574+N(H2574)*0.000000001)</f>
        <v/>
      </c>
      <c r="S2574" s="32" t="str">
        <f aca="false">IF(R2574="","",SUMPRODUCT((I$5:I$4004=I2574)*ISNUMBER(R$5:R$4004)*(R$5:R$4004&gt;R2574))+1)</f>
        <v/>
      </c>
      <c r="T2574" s="32" t="str">
        <f aca="false">IF(S2574="","",IF(S2574&lt;=Setup!$B$5,"🏆 WINNER",""))</f>
        <v/>
      </c>
      <c r="U2574" s="31" t="str">
        <f aca="false">IF(S2574="","",I2574&amp;"|"&amp;S2574)</f>
        <v/>
      </c>
    </row>
    <row r="2575" customFormat="false" ht="15" hidden="false" customHeight="false" outlineLevel="0" collapsed="false">
      <c r="A2575" s="24" t="n">
        <v>2571</v>
      </c>
      <c r="B2575" s="25" t="str">
        <f aca="false">IF(OR(C2575="",I2575="",G2575=""),"",IFERROR(VLOOKUP(I2575,Setup!$A$9:$B$11,2,0),"???")&amp;"-"&amp;G2575&amp;"-"&amp;TEXT(COUNTIFS(I$5:I2575,I2575,G$5:G2575,G2575),"0000"))</f>
        <v/>
      </c>
      <c r="C2575" s="26"/>
      <c r="D2575" s="26"/>
      <c r="E2575" s="27"/>
      <c r="F2575" s="27"/>
      <c r="G2575" s="24" t="str">
        <f aca="false">IF(F2575="","",IF(F2575&lt;=5,"A",IF(F2575&lt;=8,"B",IF(F2575&lt;=10,"C","D"))))</f>
        <v/>
      </c>
      <c r="H2575" s="28"/>
      <c r="I2575" s="27"/>
      <c r="J2575" s="26"/>
      <c r="K2575" s="27"/>
      <c r="L2575" s="27"/>
      <c r="M2575" s="27"/>
      <c r="N2575" s="27"/>
      <c r="O2575" s="24" t="str">
        <f aca="false">IF(G2575="","",VLOOKUP(G2575,Setup!$A$14:$C$17,3,0))</f>
        <v/>
      </c>
      <c r="P2575" s="27"/>
      <c r="Q2575" s="29" t="str">
        <f aca="false">IF(OR(P2575="",M2575&lt;&gt;"Paid",O2575=""),"",P2575/O2575)</f>
        <v/>
      </c>
      <c r="R2575" s="30" t="str">
        <f aca="false">IF(Q2575="","",Q2575+N(H2575)*0.000000001)</f>
        <v/>
      </c>
      <c r="S2575" s="25" t="str">
        <f aca="false">IF(R2575="","",SUMPRODUCT((I$5:I$4004=I2575)*ISNUMBER(R$5:R$4004)*(R$5:R$4004&gt;R2575))+1)</f>
        <v/>
      </c>
      <c r="T2575" s="25" t="str">
        <f aca="false">IF(S2575="","",IF(S2575&lt;=Setup!$B$5,"🏆 WINNER",""))</f>
        <v/>
      </c>
      <c r="U2575" s="24" t="str">
        <f aca="false">IF(S2575="","",I2575&amp;"|"&amp;S2575)</f>
        <v/>
      </c>
    </row>
    <row r="2576" customFormat="false" ht="15" hidden="false" customHeight="false" outlineLevel="0" collapsed="false">
      <c r="A2576" s="31" t="n">
        <v>2572</v>
      </c>
      <c r="B2576" s="32" t="str">
        <f aca="false">IF(OR(C2576="",I2576="",G2576=""),"",IFERROR(VLOOKUP(I2576,Setup!$A$9:$B$11,2,0),"???")&amp;"-"&amp;G2576&amp;"-"&amp;TEXT(COUNTIFS(I$5:I2576,I2576,G$5:G2576,G2576),"0000"))</f>
        <v/>
      </c>
      <c r="C2576" s="26"/>
      <c r="D2576" s="26"/>
      <c r="E2576" s="27"/>
      <c r="F2576" s="27"/>
      <c r="G2576" s="31" t="str">
        <f aca="false">IF(F2576="","",IF(F2576&lt;=5,"A",IF(F2576&lt;=8,"B",IF(F2576&lt;=10,"C","D"))))</f>
        <v/>
      </c>
      <c r="H2576" s="28"/>
      <c r="I2576" s="27"/>
      <c r="J2576" s="26"/>
      <c r="K2576" s="27"/>
      <c r="L2576" s="27"/>
      <c r="M2576" s="27"/>
      <c r="N2576" s="27"/>
      <c r="O2576" s="31" t="str">
        <f aca="false">IF(G2576="","",VLOOKUP(G2576,Setup!$A$14:$C$17,3,0))</f>
        <v/>
      </c>
      <c r="P2576" s="27"/>
      <c r="Q2576" s="33" t="str">
        <f aca="false">IF(OR(P2576="",M2576&lt;&gt;"Paid",O2576=""),"",P2576/O2576)</f>
        <v/>
      </c>
      <c r="R2576" s="34" t="str">
        <f aca="false">IF(Q2576="","",Q2576+N(H2576)*0.000000001)</f>
        <v/>
      </c>
      <c r="S2576" s="32" t="str">
        <f aca="false">IF(R2576="","",SUMPRODUCT((I$5:I$4004=I2576)*ISNUMBER(R$5:R$4004)*(R$5:R$4004&gt;R2576))+1)</f>
        <v/>
      </c>
      <c r="T2576" s="32" t="str">
        <f aca="false">IF(S2576="","",IF(S2576&lt;=Setup!$B$5,"🏆 WINNER",""))</f>
        <v/>
      </c>
      <c r="U2576" s="31" t="str">
        <f aca="false">IF(S2576="","",I2576&amp;"|"&amp;S2576)</f>
        <v/>
      </c>
    </row>
    <row r="2577" customFormat="false" ht="15" hidden="false" customHeight="false" outlineLevel="0" collapsed="false">
      <c r="A2577" s="24" t="n">
        <v>2573</v>
      </c>
      <c r="B2577" s="25" t="str">
        <f aca="false">IF(OR(C2577="",I2577="",G2577=""),"",IFERROR(VLOOKUP(I2577,Setup!$A$9:$B$11,2,0),"???")&amp;"-"&amp;G2577&amp;"-"&amp;TEXT(COUNTIFS(I$5:I2577,I2577,G$5:G2577,G2577),"0000"))</f>
        <v/>
      </c>
      <c r="C2577" s="26"/>
      <c r="D2577" s="26"/>
      <c r="E2577" s="27"/>
      <c r="F2577" s="27"/>
      <c r="G2577" s="24" t="str">
        <f aca="false">IF(F2577="","",IF(F2577&lt;=5,"A",IF(F2577&lt;=8,"B",IF(F2577&lt;=10,"C","D"))))</f>
        <v/>
      </c>
      <c r="H2577" s="28"/>
      <c r="I2577" s="27"/>
      <c r="J2577" s="26"/>
      <c r="K2577" s="27"/>
      <c r="L2577" s="27"/>
      <c r="M2577" s="27"/>
      <c r="N2577" s="27"/>
      <c r="O2577" s="24" t="str">
        <f aca="false">IF(G2577="","",VLOOKUP(G2577,Setup!$A$14:$C$17,3,0))</f>
        <v/>
      </c>
      <c r="P2577" s="27"/>
      <c r="Q2577" s="29" t="str">
        <f aca="false">IF(OR(P2577="",M2577&lt;&gt;"Paid",O2577=""),"",P2577/O2577)</f>
        <v/>
      </c>
      <c r="R2577" s="30" t="str">
        <f aca="false">IF(Q2577="","",Q2577+N(H2577)*0.000000001)</f>
        <v/>
      </c>
      <c r="S2577" s="25" t="str">
        <f aca="false">IF(R2577="","",SUMPRODUCT((I$5:I$4004=I2577)*ISNUMBER(R$5:R$4004)*(R$5:R$4004&gt;R2577))+1)</f>
        <v/>
      </c>
      <c r="T2577" s="25" t="str">
        <f aca="false">IF(S2577="","",IF(S2577&lt;=Setup!$B$5,"🏆 WINNER",""))</f>
        <v/>
      </c>
      <c r="U2577" s="24" t="str">
        <f aca="false">IF(S2577="","",I2577&amp;"|"&amp;S2577)</f>
        <v/>
      </c>
    </row>
    <row r="2578" customFormat="false" ht="15" hidden="false" customHeight="false" outlineLevel="0" collapsed="false">
      <c r="A2578" s="31" t="n">
        <v>2574</v>
      </c>
      <c r="B2578" s="32" t="str">
        <f aca="false">IF(OR(C2578="",I2578="",G2578=""),"",IFERROR(VLOOKUP(I2578,Setup!$A$9:$B$11,2,0),"???")&amp;"-"&amp;G2578&amp;"-"&amp;TEXT(COUNTIFS(I$5:I2578,I2578,G$5:G2578,G2578),"0000"))</f>
        <v/>
      </c>
      <c r="C2578" s="26"/>
      <c r="D2578" s="26"/>
      <c r="E2578" s="27"/>
      <c r="F2578" s="27"/>
      <c r="G2578" s="31" t="str">
        <f aca="false">IF(F2578="","",IF(F2578&lt;=5,"A",IF(F2578&lt;=8,"B",IF(F2578&lt;=10,"C","D"))))</f>
        <v/>
      </c>
      <c r="H2578" s="28"/>
      <c r="I2578" s="27"/>
      <c r="J2578" s="26"/>
      <c r="K2578" s="27"/>
      <c r="L2578" s="27"/>
      <c r="M2578" s="27"/>
      <c r="N2578" s="27"/>
      <c r="O2578" s="31" t="str">
        <f aca="false">IF(G2578="","",VLOOKUP(G2578,Setup!$A$14:$C$17,3,0))</f>
        <v/>
      </c>
      <c r="P2578" s="27"/>
      <c r="Q2578" s="33" t="str">
        <f aca="false">IF(OR(P2578="",M2578&lt;&gt;"Paid",O2578=""),"",P2578/O2578)</f>
        <v/>
      </c>
      <c r="R2578" s="34" t="str">
        <f aca="false">IF(Q2578="","",Q2578+N(H2578)*0.000000001)</f>
        <v/>
      </c>
      <c r="S2578" s="32" t="str">
        <f aca="false">IF(R2578="","",SUMPRODUCT((I$5:I$4004=I2578)*ISNUMBER(R$5:R$4004)*(R$5:R$4004&gt;R2578))+1)</f>
        <v/>
      </c>
      <c r="T2578" s="32" t="str">
        <f aca="false">IF(S2578="","",IF(S2578&lt;=Setup!$B$5,"🏆 WINNER",""))</f>
        <v/>
      </c>
      <c r="U2578" s="31" t="str">
        <f aca="false">IF(S2578="","",I2578&amp;"|"&amp;S2578)</f>
        <v/>
      </c>
    </row>
    <row r="2579" customFormat="false" ht="15" hidden="false" customHeight="false" outlineLevel="0" collapsed="false">
      <c r="A2579" s="24" t="n">
        <v>2575</v>
      </c>
      <c r="B2579" s="25" t="str">
        <f aca="false">IF(OR(C2579="",I2579="",G2579=""),"",IFERROR(VLOOKUP(I2579,Setup!$A$9:$B$11,2,0),"???")&amp;"-"&amp;G2579&amp;"-"&amp;TEXT(COUNTIFS(I$5:I2579,I2579,G$5:G2579,G2579),"0000"))</f>
        <v/>
      </c>
      <c r="C2579" s="26"/>
      <c r="D2579" s="26"/>
      <c r="E2579" s="27"/>
      <c r="F2579" s="27"/>
      <c r="G2579" s="24" t="str">
        <f aca="false">IF(F2579="","",IF(F2579&lt;=5,"A",IF(F2579&lt;=8,"B",IF(F2579&lt;=10,"C","D"))))</f>
        <v/>
      </c>
      <c r="H2579" s="28"/>
      <c r="I2579" s="27"/>
      <c r="J2579" s="26"/>
      <c r="K2579" s="27"/>
      <c r="L2579" s="27"/>
      <c r="M2579" s="27"/>
      <c r="N2579" s="27"/>
      <c r="O2579" s="24" t="str">
        <f aca="false">IF(G2579="","",VLOOKUP(G2579,Setup!$A$14:$C$17,3,0))</f>
        <v/>
      </c>
      <c r="P2579" s="27"/>
      <c r="Q2579" s="29" t="str">
        <f aca="false">IF(OR(P2579="",M2579&lt;&gt;"Paid",O2579=""),"",P2579/O2579)</f>
        <v/>
      </c>
      <c r="R2579" s="30" t="str">
        <f aca="false">IF(Q2579="","",Q2579+N(H2579)*0.000000001)</f>
        <v/>
      </c>
      <c r="S2579" s="25" t="str">
        <f aca="false">IF(R2579="","",SUMPRODUCT((I$5:I$4004=I2579)*ISNUMBER(R$5:R$4004)*(R$5:R$4004&gt;R2579))+1)</f>
        <v/>
      </c>
      <c r="T2579" s="25" t="str">
        <f aca="false">IF(S2579="","",IF(S2579&lt;=Setup!$B$5,"🏆 WINNER",""))</f>
        <v/>
      </c>
      <c r="U2579" s="24" t="str">
        <f aca="false">IF(S2579="","",I2579&amp;"|"&amp;S2579)</f>
        <v/>
      </c>
    </row>
    <row r="2580" customFormat="false" ht="15" hidden="false" customHeight="false" outlineLevel="0" collapsed="false">
      <c r="A2580" s="31" t="n">
        <v>2576</v>
      </c>
      <c r="B2580" s="32" t="str">
        <f aca="false">IF(OR(C2580="",I2580="",G2580=""),"",IFERROR(VLOOKUP(I2580,Setup!$A$9:$B$11,2,0),"???")&amp;"-"&amp;G2580&amp;"-"&amp;TEXT(COUNTIFS(I$5:I2580,I2580,G$5:G2580,G2580),"0000"))</f>
        <v/>
      </c>
      <c r="C2580" s="26"/>
      <c r="D2580" s="26"/>
      <c r="E2580" s="27"/>
      <c r="F2580" s="27"/>
      <c r="G2580" s="31" t="str">
        <f aca="false">IF(F2580="","",IF(F2580&lt;=5,"A",IF(F2580&lt;=8,"B",IF(F2580&lt;=10,"C","D"))))</f>
        <v/>
      </c>
      <c r="H2580" s="28"/>
      <c r="I2580" s="27"/>
      <c r="J2580" s="26"/>
      <c r="K2580" s="27"/>
      <c r="L2580" s="27"/>
      <c r="M2580" s="27"/>
      <c r="N2580" s="27"/>
      <c r="O2580" s="31" t="str">
        <f aca="false">IF(G2580="","",VLOOKUP(G2580,Setup!$A$14:$C$17,3,0))</f>
        <v/>
      </c>
      <c r="P2580" s="27"/>
      <c r="Q2580" s="33" t="str">
        <f aca="false">IF(OR(P2580="",M2580&lt;&gt;"Paid",O2580=""),"",P2580/O2580)</f>
        <v/>
      </c>
      <c r="R2580" s="34" t="str">
        <f aca="false">IF(Q2580="","",Q2580+N(H2580)*0.000000001)</f>
        <v/>
      </c>
      <c r="S2580" s="32" t="str">
        <f aca="false">IF(R2580="","",SUMPRODUCT((I$5:I$4004=I2580)*ISNUMBER(R$5:R$4004)*(R$5:R$4004&gt;R2580))+1)</f>
        <v/>
      </c>
      <c r="T2580" s="32" t="str">
        <f aca="false">IF(S2580="","",IF(S2580&lt;=Setup!$B$5,"🏆 WINNER",""))</f>
        <v/>
      </c>
      <c r="U2580" s="31" t="str">
        <f aca="false">IF(S2580="","",I2580&amp;"|"&amp;S2580)</f>
        <v/>
      </c>
    </row>
    <row r="2581" customFormat="false" ht="15" hidden="false" customHeight="false" outlineLevel="0" collapsed="false">
      <c r="A2581" s="24" t="n">
        <v>2577</v>
      </c>
      <c r="B2581" s="25" t="str">
        <f aca="false">IF(OR(C2581="",I2581="",G2581=""),"",IFERROR(VLOOKUP(I2581,Setup!$A$9:$B$11,2,0),"???")&amp;"-"&amp;G2581&amp;"-"&amp;TEXT(COUNTIFS(I$5:I2581,I2581,G$5:G2581,G2581),"0000"))</f>
        <v/>
      </c>
      <c r="C2581" s="26"/>
      <c r="D2581" s="26"/>
      <c r="E2581" s="27"/>
      <c r="F2581" s="27"/>
      <c r="G2581" s="24" t="str">
        <f aca="false">IF(F2581="","",IF(F2581&lt;=5,"A",IF(F2581&lt;=8,"B",IF(F2581&lt;=10,"C","D"))))</f>
        <v/>
      </c>
      <c r="H2581" s="28"/>
      <c r="I2581" s="27"/>
      <c r="J2581" s="26"/>
      <c r="K2581" s="27"/>
      <c r="L2581" s="27"/>
      <c r="M2581" s="27"/>
      <c r="N2581" s="27"/>
      <c r="O2581" s="24" t="str">
        <f aca="false">IF(G2581="","",VLOOKUP(G2581,Setup!$A$14:$C$17,3,0))</f>
        <v/>
      </c>
      <c r="P2581" s="27"/>
      <c r="Q2581" s="29" t="str">
        <f aca="false">IF(OR(P2581="",M2581&lt;&gt;"Paid",O2581=""),"",P2581/O2581)</f>
        <v/>
      </c>
      <c r="R2581" s="30" t="str">
        <f aca="false">IF(Q2581="","",Q2581+N(H2581)*0.000000001)</f>
        <v/>
      </c>
      <c r="S2581" s="25" t="str">
        <f aca="false">IF(R2581="","",SUMPRODUCT((I$5:I$4004=I2581)*ISNUMBER(R$5:R$4004)*(R$5:R$4004&gt;R2581))+1)</f>
        <v/>
      </c>
      <c r="T2581" s="25" t="str">
        <f aca="false">IF(S2581="","",IF(S2581&lt;=Setup!$B$5,"🏆 WINNER",""))</f>
        <v/>
      </c>
      <c r="U2581" s="24" t="str">
        <f aca="false">IF(S2581="","",I2581&amp;"|"&amp;S2581)</f>
        <v/>
      </c>
    </row>
    <row r="2582" customFormat="false" ht="15" hidden="false" customHeight="false" outlineLevel="0" collapsed="false">
      <c r="A2582" s="31" t="n">
        <v>2578</v>
      </c>
      <c r="B2582" s="32" t="str">
        <f aca="false">IF(OR(C2582="",I2582="",G2582=""),"",IFERROR(VLOOKUP(I2582,Setup!$A$9:$B$11,2,0),"???")&amp;"-"&amp;G2582&amp;"-"&amp;TEXT(COUNTIFS(I$5:I2582,I2582,G$5:G2582,G2582),"0000"))</f>
        <v/>
      </c>
      <c r="C2582" s="26"/>
      <c r="D2582" s="26"/>
      <c r="E2582" s="27"/>
      <c r="F2582" s="27"/>
      <c r="G2582" s="31" t="str">
        <f aca="false">IF(F2582="","",IF(F2582&lt;=5,"A",IF(F2582&lt;=8,"B",IF(F2582&lt;=10,"C","D"))))</f>
        <v/>
      </c>
      <c r="H2582" s="28"/>
      <c r="I2582" s="27"/>
      <c r="J2582" s="26"/>
      <c r="K2582" s="27"/>
      <c r="L2582" s="27"/>
      <c r="M2582" s="27"/>
      <c r="N2582" s="27"/>
      <c r="O2582" s="31" t="str">
        <f aca="false">IF(G2582="","",VLOOKUP(G2582,Setup!$A$14:$C$17,3,0))</f>
        <v/>
      </c>
      <c r="P2582" s="27"/>
      <c r="Q2582" s="33" t="str">
        <f aca="false">IF(OR(P2582="",M2582&lt;&gt;"Paid",O2582=""),"",P2582/O2582)</f>
        <v/>
      </c>
      <c r="R2582" s="34" t="str">
        <f aca="false">IF(Q2582="","",Q2582+N(H2582)*0.000000001)</f>
        <v/>
      </c>
      <c r="S2582" s="32" t="str">
        <f aca="false">IF(R2582="","",SUMPRODUCT((I$5:I$4004=I2582)*ISNUMBER(R$5:R$4004)*(R$5:R$4004&gt;R2582))+1)</f>
        <v/>
      </c>
      <c r="T2582" s="32" t="str">
        <f aca="false">IF(S2582="","",IF(S2582&lt;=Setup!$B$5,"🏆 WINNER",""))</f>
        <v/>
      </c>
      <c r="U2582" s="31" t="str">
        <f aca="false">IF(S2582="","",I2582&amp;"|"&amp;S2582)</f>
        <v/>
      </c>
    </row>
    <row r="2583" customFormat="false" ht="15" hidden="false" customHeight="false" outlineLevel="0" collapsed="false">
      <c r="A2583" s="24" t="n">
        <v>2579</v>
      </c>
      <c r="B2583" s="25" t="str">
        <f aca="false">IF(OR(C2583="",I2583="",G2583=""),"",IFERROR(VLOOKUP(I2583,Setup!$A$9:$B$11,2,0),"???")&amp;"-"&amp;G2583&amp;"-"&amp;TEXT(COUNTIFS(I$5:I2583,I2583,G$5:G2583,G2583),"0000"))</f>
        <v/>
      </c>
      <c r="C2583" s="26"/>
      <c r="D2583" s="26"/>
      <c r="E2583" s="27"/>
      <c r="F2583" s="27"/>
      <c r="G2583" s="24" t="str">
        <f aca="false">IF(F2583="","",IF(F2583&lt;=5,"A",IF(F2583&lt;=8,"B",IF(F2583&lt;=10,"C","D"))))</f>
        <v/>
      </c>
      <c r="H2583" s="28"/>
      <c r="I2583" s="27"/>
      <c r="J2583" s="26"/>
      <c r="K2583" s="27"/>
      <c r="L2583" s="27"/>
      <c r="M2583" s="27"/>
      <c r="N2583" s="27"/>
      <c r="O2583" s="24" t="str">
        <f aca="false">IF(G2583="","",VLOOKUP(G2583,Setup!$A$14:$C$17,3,0))</f>
        <v/>
      </c>
      <c r="P2583" s="27"/>
      <c r="Q2583" s="29" t="str">
        <f aca="false">IF(OR(P2583="",M2583&lt;&gt;"Paid",O2583=""),"",P2583/O2583)</f>
        <v/>
      </c>
      <c r="R2583" s="30" t="str">
        <f aca="false">IF(Q2583="","",Q2583+N(H2583)*0.000000001)</f>
        <v/>
      </c>
      <c r="S2583" s="25" t="str">
        <f aca="false">IF(R2583="","",SUMPRODUCT((I$5:I$4004=I2583)*ISNUMBER(R$5:R$4004)*(R$5:R$4004&gt;R2583))+1)</f>
        <v/>
      </c>
      <c r="T2583" s="25" t="str">
        <f aca="false">IF(S2583="","",IF(S2583&lt;=Setup!$B$5,"🏆 WINNER",""))</f>
        <v/>
      </c>
      <c r="U2583" s="24" t="str">
        <f aca="false">IF(S2583="","",I2583&amp;"|"&amp;S2583)</f>
        <v/>
      </c>
    </row>
    <row r="2584" customFormat="false" ht="15" hidden="false" customHeight="false" outlineLevel="0" collapsed="false">
      <c r="A2584" s="31" t="n">
        <v>2580</v>
      </c>
      <c r="B2584" s="32" t="str">
        <f aca="false">IF(OR(C2584="",I2584="",G2584=""),"",IFERROR(VLOOKUP(I2584,Setup!$A$9:$B$11,2,0),"???")&amp;"-"&amp;G2584&amp;"-"&amp;TEXT(COUNTIFS(I$5:I2584,I2584,G$5:G2584,G2584),"0000"))</f>
        <v/>
      </c>
      <c r="C2584" s="26"/>
      <c r="D2584" s="26"/>
      <c r="E2584" s="27"/>
      <c r="F2584" s="27"/>
      <c r="G2584" s="31" t="str">
        <f aca="false">IF(F2584="","",IF(F2584&lt;=5,"A",IF(F2584&lt;=8,"B",IF(F2584&lt;=10,"C","D"))))</f>
        <v/>
      </c>
      <c r="H2584" s="28"/>
      <c r="I2584" s="27"/>
      <c r="J2584" s="26"/>
      <c r="K2584" s="27"/>
      <c r="L2584" s="27"/>
      <c r="M2584" s="27"/>
      <c r="N2584" s="27"/>
      <c r="O2584" s="31" t="str">
        <f aca="false">IF(G2584="","",VLOOKUP(G2584,Setup!$A$14:$C$17,3,0))</f>
        <v/>
      </c>
      <c r="P2584" s="27"/>
      <c r="Q2584" s="33" t="str">
        <f aca="false">IF(OR(P2584="",M2584&lt;&gt;"Paid",O2584=""),"",P2584/O2584)</f>
        <v/>
      </c>
      <c r="R2584" s="34" t="str">
        <f aca="false">IF(Q2584="","",Q2584+N(H2584)*0.000000001)</f>
        <v/>
      </c>
      <c r="S2584" s="32" t="str">
        <f aca="false">IF(R2584="","",SUMPRODUCT((I$5:I$4004=I2584)*ISNUMBER(R$5:R$4004)*(R$5:R$4004&gt;R2584))+1)</f>
        <v/>
      </c>
      <c r="T2584" s="32" t="str">
        <f aca="false">IF(S2584="","",IF(S2584&lt;=Setup!$B$5,"🏆 WINNER",""))</f>
        <v/>
      </c>
      <c r="U2584" s="31" t="str">
        <f aca="false">IF(S2584="","",I2584&amp;"|"&amp;S2584)</f>
        <v/>
      </c>
    </row>
    <row r="2585" customFormat="false" ht="15" hidden="false" customHeight="false" outlineLevel="0" collapsed="false">
      <c r="A2585" s="24" t="n">
        <v>2581</v>
      </c>
      <c r="B2585" s="25" t="str">
        <f aca="false">IF(OR(C2585="",I2585="",G2585=""),"",IFERROR(VLOOKUP(I2585,Setup!$A$9:$B$11,2,0),"???")&amp;"-"&amp;G2585&amp;"-"&amp;TEXT(COUNTIFS(I$5:I2585,I2585,G$5:G2585,G2585),"0000"))</f>
        <v/>
      </c>
      <c r="C2585" s="26"/>
      <c r="D2585" s="26"/>
      <c r="E2585" s="27"/>
      <c r="F2585" s="27"/>
      <c r="G2585" s="24" t="str">
        <f aca="false">IF(F2585="","",IF(F2585&lt;=5,"A",IF(F2585&lt;=8,"B",IF(F2585&lt;=10,"C","D"))))</f>
        <v/>
      </c>
      <c r="H2585" s="28"/>
      <c r="I2585" s="27"/>
      <c r="J2585" s="26"/>
      <c r="K2585" s="27"/>
      <c r="L2585" s="27"/>
      <c r="M2585" s="27"/>
      <c r="N2585" s="27"/>
      <c r="O2585" s="24" t="str">
        <f aca="false">IF(G2585="","",VLOOKUP(G2585,Setup!$A$14:$C$17,3,0))</f>
        <v/>
      </c>
      <c r="P2585" s="27"/>
      <c r="Q2585" s="29" t="str">
        <f aca="false">IF(OR(P2585="",M2585&lt;&gt;"Paid",O2585=""),"",P2585/O2585)</f>
        <v/>
      </c>
      <c r="R2585" s="30" t="str">
        <f aca="false">IF(Q2585="","",Q2585+N(H2585)*0.000000001)</f>
        <v/>
      </c>
      <c r="S2585" s="25" t="str">
        <f aca="false">IF(R2585="","",SUMPRODUCT((I$5:I$4004=I2585)*ISNUMBER(R$5:R$4004)*(R$5:R$4004&gt;R2585))+1)</f>
        <v/>
      </c>
      <c r="T2585" s="25" t="str">
        <f aca="false">IF(S2585="","",IF(S2585&lt;=Setup!$B$5,"🏆 WINNER",""))</f>
        <v/>
      </c>
      <c r="U2585" s="24" t="str">
        <f aca="false">IF(S2585="","",I2585&amp;"|"&amp;S2585)</f>
        <v/>
      </c>
    </row>
    <row r="2586" customFormat="false" ht="15" hidden="false" customHeight="false" outlineLevel="0" collapsed="false">
      <c r="A2586" s="31" t="n">
        <v>2582</v>
      </c>
      <c r="B2586" s="32" t="str">
        <f aca="false">IF(OR(C2586="",I2586="",G2586=""),"",IFERROR(VLOOKUP(I2586,Setup!$A$9:$B$11,2,0),"???")&amp;"-"&amp;G2586&amp;"-"&amp;TEXT(COUNTIFS(I$5:I2586,I2586,G$5:G2586,G2586),"0000"))</f>
        <v/>
      </c>
      <c r="C2586" s="26"/>
      <c r="D2586" s="26"/>
      <c r="E2586" s="27"/>
      <c r="F2586" s="27"/>
      <c r="G2586" s="31" t="str">
        <f aca="false">IF(F2586="","",IF(F2586&lt;=5,"A",IF(F2586&lt;=8,"B",IF(F2586&lt;=10,"C","D"))))</f>
        <v/>
      </c>
      <c r="H2586" s="28"/>
      <c r="I2586" s="27"/>
      <c r="J2586" s="26"/>
      <c r="K2586" s="27"/>
      <c r="L2586" s="27"/>
      <c r="M2586" s="27"/>
      <c r="N2586" s="27"/>
      <c r="O2586" s="31" t="str">
        <f aca="false">IF(G2586="","",VLOOKUP(G2586,Setup!$A$14:$C$17,3,0))</f>
        <v/>
      </c>
      <c r="P2586" s="27"/>
      <c r="Q2586" s="33" t="str">
        <f aca="false">IF(OR(P2586="",M2586&lt;&gt;"Paid",O2586=""),"",P2586/O2586)</f>
        <v/>
      </c>
      <c r="R2586" s="34" t="str">
        <f aca="false">IF(Q2586="","",Q2586+N(H2586)*0.000000001)</f>
        <v/>
      </c>
      <c r="S2586" s="32" t="str">
        <f aca="false">IF(R2586="","",SUMPRODUCT((I$5:I$4004=I2586)*ISNUMBER(R$5:R$4004)*(R$5:R$4004&gt;R2586))+1)</f>
        <v/>
      </c>
      <c r="T2586" s="32" t="str">
        <f aca="false">IF(S2586="","",IF(S2586&lt;=Setup!$B$5,"🏆 WINNER",""))</f>
        <v/>
      </c>
      <c r="U2586" s="31" t="str">
        <f aca="false">IF(S2586="","",I2586&amp;"|"&amp;S2586)</f>
        <v/>
      </c>
    </row>
    <row r="2587" customFormat="false" ht="15" hidden="false" customHeight="false" outlineLevel="0" collapsed="false">
      <c r="A2587" s="24" t="n">
        <v>2583</v>
      </c>
      <c r="B2587" s="25" t="str">
        <f aca="false">IF(OR(C2587="",I2587="",G2587=""),"",IFERROR(VLOOKUP(I2587,Setup!$A$9:$B$11,2,0),"???")&amp;"-"&amp;G2587&amp;"-"&amp;TEXT(COUNTIFS(I$5:I2587,I2587,G$5:G2587,G2587),"0000"))</f>
        <v/>
      </c>
      <c r="C2587" s="26"/>
      <c r="D2587" s="26"/>
      <c r="E2587" s="27"/>
      <c r="F2587" s="27"/>
      <c r="G2587" s="24" t="str">
        <f aca="false">IF(F2587="","",IF(F2587&lt;=5,"A",IF(F2587&lt;=8,"B",IF(F2587&lt;=10,"C","D"))))</f>
        <v/>
      </c>
      <c r="H2587" s="28"/>
      <c r="I2587" s="27"/>
      <c r="J2587" s="26"/>
      <c r="K2587" s="27"/>
      <c r="L2587" s="27"/>
      <c r="M2587" s="27"/>
      <c r="N2587" s="27"/>
      <c r="O2587" s="24" t="str">
        <f aca="false">IF(G2587="","",VLOOKUP(G2587,Setup!$A$14:$C$17,3,0))</f>
        <v/>
      </c>
      <c r="P2587" s="27"/>
      <c r="Q2587" s="29" t="str">
        <f aca="false">IF(OR(P2587="",M2587&lt;&gt;"Paid",O2587=""),"",P2587/O2587)</f>
        <v/>
      </c>
      <c r="R2587" s="30" t="str">
        <f aca="false">IF(Q2587="","",Q2587+N(H2587)*0.000000001)</f>
        <v/>
      </c>
      <c r="S2587" s="25" t="str">
        <f aca="false">IF(R2587="","",SUMPRODUCT((I$5:I$4004=I2587)*ISNUMBER(R$5:R$4004)*(R$5:R$4004&gt;R2587))+1)</f>
        <v/>
      </c>
      <c r="T2587" s="25" t="str">
        <f aca="false">IF(S2587="","",IF(S2587&lt;=Setup!$B$5,"🏆 WINNER",""))</f>
        <v/>
      </c>
      <c r="U2587" s="24" t="str">
        <f aca="false">IF(S2587="","",I2587&amp;"|"&amp;S2587)</f>
        <v/>
      </c>
    </row>
    <row r="2588" customFormat="false" ht="15" hidden="false" customHeight="false" outlineLevel="0" collapsed="false">
      <c r="A2588" s="31" t="n">
        <v>2584</v>
      </c>
      <c r="B2588" s="32" t="str">
        <f aca="false">IF(OR(C2588="",I2588="",G2588=""),"",IFERROR(VLOOKUP(I2588,Setup!$A$9:$B$11,2,0),"???")&amp;"-"&amp;G2588&amp;"-"&amp;TEXT(COUNTIFS(I$5:I2588,I2588,G$5:G2588,G2588),"0000"))</f>
        <v/>
      </c>
      <c r="C2588" s="26"/>
      <c r="D2588" s="26"/>
      <c r="E2588" s="27"/>
      <c r="F2588" s="27"/>
      <c r="G2588" s="31" t="str">
        <f aca="false">IF(F2588="","",IF(F2588&lt;=5,"A",IF(F2588&lt;=8,"B",IF(F2588&lt;=10,"C","D"))))</f>
        <v/>
      </c>
      <c r="H2588" s="28"/>
      <c r="I2588" s="27"/>
      <c r="J2588" s="26"/>
      <c r="K2588" s="27"/>
      <c r="L2588" s="27"/>
      <c r="M2588" s="27"/>
      <c r="N2588" s="27"/>
      <c r="O2588" s="31" t="str">
        <f aca="false">IF(G2588="","",VLOOKUP(G2588,Setup!$A$14:$C$17,3,0))</f>
        <v/>
      </c>
      <c r="P2588" s="27"/>
      <c r="Q2588" s="33" t="str">
        <f aca="false">IF(OR(P2588="",M2588&lt;&gt;"Paid",O2588=""),"",P2588/O2588)</f>
        <v/>
      </c>
      <c r="R2588" s="34" t="str">
        <f aca="false">IF(Q2588="","",Q2588+N(H2588)*0.000000001)</f>
        <v/>
      </c>
      <c r="S2588" s="32" t="str">
        <f aca="false">IF(R2588="","",SUMPRODUCT((I$5:I$4004=I2588)*ISNUMBER(R$5:R$4004)*(R$5:R$4004&gt;R2588))+1)</f>
        <v/>
      </c>
      <c r="T2588" s="32" t="str">
        <f aca="false">IF(S2588="","",IF(S2588&lt;=Setup!$B$5,"🏆 WINNER",""))</f>
        <v/>
      </c>
      <c r="U2588" s="31" t="str">
        <f aca="false">IF(S2588="","",I2588&amp;"|"&amp;S2588)</f>
        <v/>
      </c>
    </row>
    <row r="2589" customFormat="false" ht="15" hidden="false" customHeight="false" outlineLevel="0" collapsed="false">
      <c r="A2589" s="24" t="n">
        <v>2585</v>
      </c>
      <c r="B2589" s="25" t="str">
        <f aca="false">IF(OR(C2589="",I2589="",G2589=""),"",IFERROR(VLOOKUP(I2589,Setup!$A$9:$B$11,2,0),"???")&amp;"-"&amp;G2589&amp;"-"&amp;TEXT(COUNTIFS(I$5:I2589,I2589,G$5:G2589,G2589),"0000"))</f>
        <v/>
      </c>
      <c r="C2589" s="26"/>
      <c r="D2589" s="26"/>
      <c r="E2589" s="27"/>
      <c r="F2589" s="27"/>
      <c r="G2589" s="24" t="str">
        <f aca="false">IF(F2589="","",IF(F2589&lt;=5,"A",IF(F2589&lt;=8,"B",IF(F2589&lt;=10,"C","D"))))</f>
        <v/>
      </c>
      <c r="H2589" s="28"/>
      <c r="I2589" s="27"/>
      <c r="J2589" s="26"/>
      <c r="K2589" s="27"/>
      <c r="L2589" s="27"/>
      <c r="M2589" s="27"/>
      <c r="N2589" s="27"/>
      <c r="O2589" s="24" t="str">
        <f aca="false">IF(G2589="","",VLOOKUP(G2589,Setup!$A$14:$C$17,3,0))</f>
        <v/>
      </c>
      <c r="P2589" s="27"/>
      <c r="Q2589" s="29" t="str">
        <f aca="false">IF(OR(P2589="",M2589&lt;&gt;"Paid",O2589=""),"",P2589/O2589)</f>
        <v/>
      </c>
      <c r="R2589" s="30" t="str">
        <f aca="false">IF(Q2589="","",Q2589+N(H2589)*0.000000001)</f>
        <v/>
      </c>
      <c r="S2589" s="25" t="str">
        <f aca="false">IF(R2589="","",SUMPRODUCT((I$5:I$4004=I2589)*ISNUMBER(R$5:R$4004)*(R$5:R$4004&gt;R2589))+1)</f>
        <v/>
      </c>
      <c r="T2589" s="25" t="str">
        <f aca="false">IF(S2589="","",IF(S2589&lt;=Setup!$B$5,"🏆 WINNER",""))</f>
        <v/>
      </c>
      <c r="U2589" s="24" t="str">
        <f aca="false">IF(S2589="","",I2589&amp;"|"&amp;S2589)</f>
        <v/>
      </c>
    </row>
    <row r="2590" customFormat="false" ht="15" hidden="false" customHeight="false" outlineLevel="0" collapsed="false">
      <c r="A2590" s="31" t="n">
        <v>2586</v>
      </c>
      <c r="B2590" s="32" t="str">
        <f aca="false">IF(OR(C2590="",I2590="",G2590=""),"",IFERROR(VLOOKUP(I2590,Setup!$A$9:$B$11,2,0),"???")&amp;"-"&amp;G2590&amp;"-"&amp;TEXT(COUNTIFS(I$5:I2590,I2590,G$5:G2590,G2590),"0000"))</f>
        <v/>
      </c>
      <c r="C2590" s="26"/>
      <c r="D2590" s="26"/>
      <c r="E2590" s="27"/>
      <c r="F2590" s="27"/>
      <c r="G2590" s="31" t="str">
        <f aca="false">IF(F2590="","",IF(F2590&lt;=5,"A",IF(F2590&lt;=8,"B",IF(F2590&lt;=10,"C","D"))))</f>
        <v/>
      </c>
      <c r="H2590" s="28"/>
      <c r="I2590" s="27"/>
      <c r="J2590" s="26"/>
      <c r="K2590" s="27"/>
      <c r="L2590" s="27"/>
      <c r="M2590" s="27"/>
      <c r="N2590" s="27"/>
      <c r="O2590" s="31" t="str">
        <f aca="false">IF(G2590="","",VLOOKUP(G2590,Setup!$A$14:$C$17,3,0))</f>
        <v/>
      </c>
      <c r="P2590" s="27"/>
      <c r="Q2590" s="33" t="str">
        <f aca="false">IF(OR(P2590="",M2590&lt;&gt;"Paid",O2590=""),"",P2590/O2590)</f>
        <v/>
      </c>
      <c r="R2590" s="34" t="str">
        <f aca="false">IF(Q2590="","",Q2590+N(H2590)*0.000000001)</f>
        <v/>
      </c>
      <c r="S2590" s="32" t="str">
        <f aca="false">IF(R2590="","",SUMPRODUCT((I$5:I$4004=I2590)*ISNUMBER(R$5:R$4004)*(R$5:R$4004&gt;R2590))+1)</f>
        <v/>
      </c>
      <c r="T2590" s="32" t="str">
        <f aca="false">IF(S2590="","",IF(S2590&lt;=Setup!$B$5,"🏆 WINNER",""))</f>
        <v/>
      </c>
      <c r="U2590" s="31" t="str">
        <f aca="false">IF(S2590="","",I2590&amp;"|"&amp;S2590)</f>
        <v/>
      </c>
    </row>
    <row r="2591" customFormat="false" ht="15" hidden="false" customHeight="false" outlineLevel="0" collapsed="false">
      <c r="A2591" s="24" t="n">
        <v>2587</v>
      </c>
      <c r="B2591" s="25" t="str">
        <f aca="false">IF(OR(C2591="",I2591="",G2591=""),"",IFERROR(VLOOKUP(I2591,Setup!$A$9:$B$11,2,0),"???")&amp;"-"&amp;G2591&amp;"-"&amp;TEXT(COUNTIFS(I$5:I2591,I2591,G$5:G2591,G2591),"0000"))</f>
        <v/>
      </c>
      <c r="C2591" s="26"/>
      <c r="D2591" s="26"/>
      <c r="E2591" s="27"/>
      <c r="F2591" s="27"/>
      <c r="G2591" s="24" t="str">
        <f aca="false">IF(F2591="","",IF(F2591&lt;=5,"A",IF(F2591&lt;=8,"B",IF(F2591&lt;=10,"C","D"))))</f>
        <v/>
      </c>
      <c r="H2591" s="28"/>
      <c r="I2591" s="27"/>
      <c r="J2591" s="26"/>
      <c r="K2591" s="27"/>
      <c r="L2591" s="27"/>
      <c r="M2591" s="27"/>
      <c r="N2591" s="27"/>
      <c r="O2591" s="24" t="str">
        <f aca="false">IF(G2591="","",VLOOKUP(G2591,Setup!$A$14:$C$17,3,0))</f>
        <v/>
      </c>
      <c r="P2591" s="27"/>
      <c r="Q2591" s="29" t="str">
        <f aca="false">IF(OR(P2591="",M2591&lt;&gt;"Paid",O2591=""),"",P2591/O2591)</f>
        <v/>
      </c>
      <c r="R2591" s="30" t="str">
        <f aca="false">IF(Q2591="","",Q2591+N(H2591)*0.000000001)</f>
        <v/>
      </c>
      <c r="S2591" s="25" t="str">
        <f aca="false">IF(R2591="","",SUMPRODUCT((I$5:I$4004=I2591)*ISNUMBER(R$5:R$4004)*(R$5:R$4004&gt;R2591))+1)</f>
        <v/>
      </c>
      <c r="T2591" s="25" t="str">
        <f aca="false">IF(S2591="","",IF(S2591&lt;=Setup!$B$5,"🏆 WINNER",""))</f>
        <v/>
      </c>
      <c r="U2591" s="24" t="str">
        <f aca="false">IF(S2591="","",I2591&amp;"|"&amp;S2591)</f>
        <v/>
      </c>
    </row>
    <row r="2592" customFormat="false" ht="15" hidden="false" customHeight="false" outlineLevel="0" collapsed="false">
      <c r="A2592" s="31" t="n">
        <v>2588</v>
      </c>
      <c r="B2592" s="32" t="str">
        <f aca="false">IF(OR(C2592="",I2592="",G2592=""),"",IFERROR(VLOOKUP(I2592,Setup!$A$9:$B$11,2,0),"???")&amp;"-"&amp;G2592&amp;"-"&amp;TEXT(COUNTIFS(I$5:I2592,I2592,G$5:G2592,G2592),"0000"))</f>
        <v/>
      </c>
      <c r="C2592" s="26"/>
      <c r="D2592" s="26"/>
      <c r="E2592" s="27"/>
      <c r="F2592" s="27"/>
      <c r="G2592" s="31" t="str">
        <f aca="false">IF(F2592="","",IF(F2592&lt;=5,"A",IF(F2592&lt;=8,"B",IF(F2592&lt;=10,"C","D"))))</f>
        <v/>
      </c>
      <c r="H2592" s="28"/>
      <c r="I2592" s="27"/>
      <c r="J2592" s="26"/>
      <c r="K2592" s="27"/>
      <c r="L2592" s="27"/>
      <c r="M2592" s="27"/>
      <c r="N2592" s="27"/>
      <c r="O2592" s="31" t="str">
        <f aca="false">IF(G2592="","",VLOOKUP(G2592,Setup!$A$14:$C$17,3,0))</f>
        <v/>
      </c>
      <c r="P2592" s="27"/>
      <c r="Q2592" s="33" t="str">
        <f aca="false">IF(OR(P2592="",M2592&lt;&gt;"Paid",O2592=""),"",P2592/O2592)</f>
        <v/>
      </c>
      <c r="R2592" s="34" t="str">
        <f aca="false">IF(Q2592="","",Q2592+N(H2592)*0.000000001)</f>
        <v/>
      </c>
      <c r="S2592" s="32" t="str">
        <f aca="false">IF(R2592="","",SUMPRODUCT((I$5:I$4004=I2592)*ISNUMBER(R$5:R$4004)*(R$5:R$4004&gt;R2592))+1)</f>
        <v/>
      </c>
      <c r="T2592" s="32" t="str">
        <f aca="false">IF(S2592="","",IF(S2592&lt;=Setup!$B$5,"🏆 WINNER",""))</f>
        <v/>
      </c>
      <c r="U2592" s="31" t="str">
        <f aca="false">IF(S2592="","",I2592&amp;"|"&amp;S2592)</f>
        <v/>
      </c>
    </row>
    <row r="2593" customFormat="false" ht="15" hidden="false" customHeight="false" outlineLevel="0" collapsed="false">
      <c r="A2593" s="24" t="n">
        <v>2589</v>
      </c>
      <c r="B2593" s="25" t="str">
        <f aca="false">IF(OR(C2593="",I2593="",G2593=""),"",IFERROR(VLOOKUP(I2593,Setup!$A$9:$B$11,2,0),"???")&amp;"-"&amp;G2593&amp;"-"&amp;TEXT(COUNTIFS(I$5:I2593,I2593,G$5:G2593,G2593),"0000"))</f>
        <v/>
      </c>
      <c r="C2593" s="26"/>
      <c r="D2593" s="26"/>
      <c r="E2593" s="27"/>
      <c r="F2593" s="27"/>
      <c r="G2593" s="24" t="str">
        <f aca="false">IF(F2593="","",IF(F2593&lt;=5,"A",IF(F2593&lt;=8,"B",IF(F2593&lt;=10,"C","D"))))</f>
        <v/>
      </c>
      <c r="H2593" s="28"/>
      <c r="I2593" s="27"/>
      <c r="J2593" s="26"/>
      <c r="K2593" s="27"/>
      <c r="L2593" s="27"/>
      <c r="M2593" s="27"/>
      <c r="N2593" s="27"/>
      <c r="O2593" s="24" t="str">
        <f aca="false">IF(G2593="","",VLOOKUP(G2593,Setup!$A$14:$C$17,3,0))</f>
        <v/>
      </c>
      <c r="P2593" s="27"/>
      <c r="Q2593" s="29" t="str">
        <f aca="false">IF(OR(P2593="",M2593&lt;&gt;"Paid",O2593=""),"",P2593/O2593)</f>
        <v/>
      </c>
      <c r="R2593" s="30" t="str">
        <f aca="false">IF(Q2593="","",Q2593+N(H2593)*0.000000001)</f>
        <v/>
      </c>
      <c r="S2593" s="25" t="str">
        <f aca="false">IF(R2593="","",SUMPRODUCT((I$5:I$4004=I2593)*ISNUMBER(R$5:R$4004)*(R$5:R$4004&gt;R2593))+1)</f>
        <v/>
      </c>
      <c r="T2593" s="25" t="str">
        <f aca="false">IF(S2593="","",IF(S2593&lt;=Setup!$B$5,"🏆 WINNER",""))</f>
        <v/>
      </c>
      <c r="U2593" s="24" t="str">
        <f aca="false">IF(S2593="","",I2593&amp;"|"&amp;S2593)</f>
        <v/>
      </c>
    </row>
    <row r="2594" customFormat="false" ht="15" hidden="false" customHeight="false" outlineLevel="0" collapsed="false">
      <c r="A2594" s="31" t="n">
        <v>2590</v>
      </c>
      <c r="B2594" s="32" t="str">
        <f aca="false">IF(OR(C2594="",I2594="",G2594=""),"",IFERROR(VLOOKUP(I2594,Setup!$A$9:$B$11,2,0),"???")&amp;"-"&amp;G2594&amp;"-"&amp;TEXT(COUNTIFS(I$5:I2594,I2594,G$5:G2594,G2594),"0000"))</f>
        <v/>
      </c>
      <c r="C2594" s="26"/>
      <c r="D2594" s="26"/>
      <c r="E2594" s="27"/>
      <c r="F2594" s="27"/>
      <c r="G2594" s="31" t="str">
        <f aca="false">IF(F2594="","",IF(F2594&lt;=5,"A",IF(F2594&lt;=8,"B",IF(F2594&lt;=10,"C","D"))))</f>
        <v/>
      </c>
      <c r="H2594" s="28"/>
      <c r="I2594" s="27"/>
      <c r="J2594" s="26"/>
      <c r="K2594" s="27"/>
      <c r="L2594" s="27"/>
      <c r="M2594" s="27"/>
      <c r="N2594" s="27"/>
      <c r="O2594" s="31" t="str">
        <f aca="false">IF(G2594="","",VLOOKUP(G2594,Setup!$A$14:$C$17,3,0))</f>
        <v/>
      </c>
      <c r="P2594" s="27"/>
      <c r="Q2594" s="33" t="str">
        <f aca="false">IF(OR(P2594="",M2594&lt;&gt;"Paid",O2594=""),"",P2594/O2594)</f>
        <v/>
      </c>
      <c r="R2594" s="34" t="str">
        <f aca="false">IF(Q2594="","",Q2594+N(H2594)*0.000000001)</f>
        <v/>
      </c>
      <c r="S2594" s="32" t="str">
        <f aca="false">IF(R2594="","",SUMPRODUCT((I$5:I$4004=I2594)*ISNUMBER(R$5:R$4004)*(R$5:R$4004&gt;R2594))+1)</f>
        <v/>
      </c>
      <c r="T2594" s="32" t="str">
        <f aca="false">IF(S2594="","",IF(S2594&lt;=Setup!$B$5,"🏆 WINNER",""))</f>
        <v/>
      </c>
      <c r="U2594" s="31" t="str">
        <f aca="false">IF(S2594="","",I2594&amp;"|"&amp;S2594)</f>
        <v/>
      </c>
    </row>
    <row r="2595" customFormat="false" ht="15" hidden="false" customHeight="false" outlineLevel="0" collapsed="false">
      <c r="A2595" s="24" t="n">
        <v>2591</v>
      </c>
      <c r="B2595" s="25" t="str">
        <f aca="false">IF(OR(C2595="",I2595="",G2595=""),"",IFERROR(VLOOKUP(I2595,Setup!$A$9:$B$11,2,0),"???")&amp;"-"&amp;G2595&amp;"-"&amp;TEXT(COUNTIFS(I$5:I2595,I2595,G$5:G2595,G2595),"0000"))</f>
        <v/>
      </c>
      <c r="C2595" s="26"/>
      <c r="D2595" s="26"/>
      <c r="E2595" s="27"/>
      <c r="F2595" s="27"/>
      <c r="G2595" s="24" t="str">
        <f aca="false">IF(F2595="","",IF(F2595&lt;=5,"A",IF(F2595&lt;=8,"B",IF(F2595&lt;=10,"C","D"))))</f>
        <v/>
      </c>
      <c r="H2595" s="28"/>
      <c r="I2595" s="27"/>
      <c r="J2595" s="26"/>
      <c r="K2595" s="27"/>
      <c r="L2595" s="27"/>
      <c r="M2595" s="27"/>
      <c r="N2595" s="27"/>
      <c r="O2595" s="24" t="str">
        <f aca="false">IF(G2595="","",VLOOKUP(G2595,Setup!$A$14:$C$17,3,0))</f>
        <v/>
      </c>
      <c r="P2595" s="27"/>
      <c r="Q2595" s="29" t="str">
        <f aca="false">IF(OR(P2595="",M2595&lt;&gt;"Paid",O2595=""),"",P2595/O2595)</f>
        <v/>
      </c>
      <c r="R2595" s="30" t="str">
        <f aca="false">IF(Q2595="","",Q2595+N(H2595)*0.000000001)</f>
        <v/>
      </c>
      <c r="S2595" s="25" t="str">
        <f aca="false">IF(R2595="","",SUMPRODUCT((I$5:I$4004=I2595)*ISNUMBER(R$5:R$4004)*(R$5:R$4004&gt;R2595))+1)</f>
        <v/>
      </c>
      <c r="T2595" s="25" t="str">
        <f aca="false">IF(S2595="","",IF(S2595&lt;=Setup!$B$5,"🏆 WINNER",""))</f>
        <v/>
      </c>
      <c r="U2595" s="24" t="str">
        <f aca="false">IF(S2595="","",I2595&amp;"|"&amp;S2595)</f>
        <v/>
      </c>
    </row>
    <row r="2596" customFormat="false" ht="15" hidden="false" customHeight="false" outlineLevel="0" collapsed="false">
      <c r="A2596" s="31" t="n">
        <v>2592</v>
      </c>
      <c r="B2596" s="32" t="str">
        <f aca="false">IF(OR(C2596="",I2596="",G2596=""),"",IFERROR(VLOOKUP(I2596,Setup!$A$9:$B$11,2,0),"???")&amp;"-"&amp;G2596&amp;"-"&amp;TEXT(COUNTIFS(I$5:I2596,I2596,G$5:G2596,G2596),"0000"))</f>
        <v/>
      </c>
      <c r="C2596" s="26"/>
      <c r="D2596" s="26"/>
      <c r="E2596" s="27"/>
      <c r="F2596" s="27"/>
      <c r="G2596" s="31" t="str">
        <f aca="false">IF(F2596="","",IF(F2596&lt;=5,"A",IF(F2596&lt;=8,"B",IF(F2596&lt;=10,"C","D"))))</f>
        <v/>
      </c>
      <c r="H2596" s="28"/>
      <c r="I2596" s="27"/>
      <c r="J2596" s="26"/>
      <c r="K2596" s="27"/>
      <c r="L2596" s="27"/>
      <c r="M2596" s="27"/>
      <c r="N2596" s="27"/>
      <c r="O2596" s="31" t="str">
        <f aca="false">IF(G2596="","",VLOOKUP(G2596,Setup!$A$14:$C$17,3,0))</f>
        <v/>
      </c>
      <c r="P2596" s="27"/>
      <c r="Q2596" s="33" t="str">
        <f aca="false">IF(OR(P2596="",M2596&lt;&gt;"Paid",O2596=""),"",P2596/O2596)</f>
        <v/>
      </c>
      <c r="R2596" s="34" t="str">
        <f aca="false">IF(Q2596="","",Q2596+N(H2596)*0.000000001)</f>
        <v/>
      </c>
      <c r="S2596" s="32" t="str">
        <f aca="false">IF(R2596="","",SUMPRODUCT((I$5:I$4004=I2596)*ISNUMBER(R$5:R$4004)*(R$5:R$4004&gt;R2596))+1)</f>
        <v/>
      </c>
      <c r="T2596" s="32" t="str">
        <f aca="false">IF(S2596="","",IF(S2596&lt;=Setup!$B$5,"🏆 WINNER",""))</f>
        <v/>
      </c>
      <c r="U2596" s="31" t="str">
        <f aca="false">IF(S2596="","",I2596&amp;"|"&amp;S2596)</f>
        <v/>
      </c>
    </row>
    <row r="2597" customFormat="false" ht="15" hidden="false" customHeight="false" outlineLevel="0" collapsed="false">
      <c r="A2597" s="24" t="n">
        <v>2593</v>
      </c>
      <c r="B2597" s="25" t="str">
        <f aca="false">IF(OR(C2597="",I2597="",G2597=""),"",IFERROR(VLOOKUP(I2597,Setup!$A$9:$B$11,2,0),"???")&amp;"-"&amp;G2597&amp;"-"&amp;TEXT(COUNTIFS(I$5:I2597,I2597,G$5:G2597,G2597),"0000"))</f>
        <v/>
      </c>
      <c r="C2597" s="26"/>
      <c r="D2597" s="26"/>
      <c r="E2597" s="27"/>
      <c r="F2597" s="27"/>
      <c r="G2597" s="24" t="str">
        <f aca="false">IF(F2597="","",IF(F2597&lt;=5,"A",IF(F2597&lt;=8,"B",IF(F2597&lt;=10,"C","D"))))</f>
        <v/>
      </c>
      <c r="H2597" s="28"/>
      <c r="I2597" s="27"/>
      <c r="J2597" s="26"/>
      <c r="K2597" s="27"/>
      <c r="L2597" s="27"/>
      <c r="M2597" s="27"/>
      <c r="N2597" s="27"/>
      <c r="O2597" s="24" t="str">
        <f aca="false">IF(G2597="","",VLOOKUP(G2597,Setup!$A$14:$C$17,3,0))</f>
        <v/>
      </c>
      <c r="P2597" s="27"/>
      <c r="Q2597" s="29" t="str">
        <f aca="false">IF(OR(P2597="",M2597&lt;&gt;"Paid",O2597=""),"",P2597/O2597)</f>
        <v/>
      </c>
      <c r="R2597" s="30" t="str">
        <f aca="false">IF(Q2597="","",Q2597+N(H2597)*0.000000001)</f>
        <v/>
      </c>
      <c r="S2597" s="25" t="str">
        <f aca="false">IF(R2597="","",SUMPRODUCT((I$5:I$4004=I2597)*ISNUMBER(R$5:R$4004)*(R$5:R$4004&gt;R2597))+1)</f>
        <v/>
      </c>
      <c r="T2597" s="25" t="str">
        <f aca="false">IF(S2597="","",IF(S2597&lt;=Setup!$B$5,"🏆 WINNER",""))</f>
        <v/>
      </c>
      <c r="U2597" s="24" t="str">
        <f aca="false">IF(S2597="","",I2597&amp;"|"&amp;S2597)</f>
        <v/>
      </c>
    </row>
    <row r="2598" customFormat="false" ht="15" hidden="false" customHeight="false" outlineLevel="0" collapsed="false">
      <c r="A2598" s="31" t="n">
        <v>2594</v>
      </c>
      <c r="B2598" s="32" t="str">
        <f aca="false">IF(OR(C2598="",I2598="",G2598=""),"",IFERROR(VLOOKUP(I2598,Setup!$A$9:$B$11,2,0),"???")&amp;"-"&amp;G2598&amp;"-"&amp;TEXT(COUNTIFS(I$5:I2598,I2598,G$5:G2598,G2598),"0000"))</f>
        <v/>
      </c>
      <c r="C2598" s="26"/>
      <c r="D2598" s="26"/>
      <c r="E2598" s="27"/>
      <c r="F2598" s="27"/>
      <c r="G2598" s="31" t="str">
        <f aca="false">IF(F2598="","",IF(F2598&lt;=5,"A",IF(F2598&lt;=8,"B",IF(F2598&lt;=10,"C","D"))))</f>
        <v/>
      </c>
      <c r="H2598" s="28"/>
      <c r="I2598" s="27"/>
      <c r="J2598" s="26"/>
      <c r="K2598" s="27"/>
      <c r="L2598" s="27"/>
      <c r="M2598" s="27"/>
      <c r="N2598" s="27"/>
      <c r="O2598" s="31" t="str">
        <f aca="false">IF(G2598="","",VLOOKUP(G2598,Setup!$A$14:$C$17,3,0))</f>
        <v/>
      </c>
      <c r="P2598" s="27"/>
      <c r="Q2598" s="33" t="str">
        <f aca="false">IF(OR(P2598="",M2598&lt;&gt;"Paid",O2598=""),"",P2598/O2598)</f>
        <v/>
      </c>
      <c r="R2598" s="34" t="str">
        <f aca="false">IF(Q2598="","",Q2598+N(H2598)*0.000000001)</f>
        <v/>
      </c>
      <c r="S2598" s="32" t="str">
        <f aca="false">IF(R2598="","",SUMPRODUCT((I$5:I$4004=I2598)*ISNUMBER(R$5:R$4004)*(R$5:R$4004&gt;R2598))+1)</f>
        <v/>
      </c>
      <c r="T2598" s="32" t="str">
        <f aca="false">IF(S2598="","",IF(S2598&lt;=Setup!$B$5,"🏆 WINNER",""))</f>
        <v/>
      </c>
      <c r="U2598" s="31" t="str">
        <f aca="false">IF(S2598="","",I2598&amp;"|"&amp;S2598)</f>
        <v/>
      </c>
    </row>
    <row r="2599" customFormat="false" ht="15" hidden="false" customHeight="false" outlineLevel="0" collapsed="false">
      <c r="A2599" s="24" t="n">
        <v>2595</v>
      </c>
      <c r="B2599" s="25" t="str">
        <f aca="false">IF(OR(C2599="",I2599="",G2599=""),"",IFERROR(VLOOKUP(I2599,Setup!$A$9:$B$11,2,0),"???")&amp;"-"&amp;G2599&amp;"-"&amp;TEXT(COUNTIFS(I$5:I2599,I2599,G$5:G2599,G2599),"0000"))</f>
        <v/>
      </c>
      <c r="C2599" s="26"/>
      <c r="D2599" s="26"/>
      <c r="E2599" s="27"/>
      <c r="F2599" s="27"/>
      <c r="G2599" s="24" t="str">
        <f aca="false">IF(F2599="","",IF(F2599&lt;=5,"A",IF(F2599&lt;=8,"B",IF(F2599&lt;=10,"C","D"))))</f>
        <v/>
      </c>
      <c r="H2599" s="28"/>
      <c r="I2599" s="27"/>
      <c r="J2599" s="26"/>
      <c r="K2599" s="27"/>
      <c r="L2599" s="27"/>
      <c r="M2599" s="27"/>
      <c r="N2599" s="27"/>
      <c r="O2599" s="24" t="str">
        <f aca="false">IF(G2599="","",VLOOKUP(G2599,Setup!$A$14:$C$17,3,0))</f>
        <v/>
      </c>
      <c r="P2599" s="27"/>
      <c r="Q2599" s="29" t="str">
        <f aca="false">IF(OR(P2599="",M2599&lt;&gt;"Paid",O2599=""),"",P2599/O2599)</f>
        <v/>
      </c>
      <c r="R2599" s="30" t="str">
        <f aca="false">IF(Q2599="","",Q2599+N(H2599)*0.000000001)</f>
        <v/>
      </c>
      <c r="S2599" s="25" t="str">
        <f aca="false">IF(R2599="","",SUMPRODUCT((I$5:I$4004=I2599)*ISNUMBER(R$5:R$4004)*(R$5:R$4004&gt;R2599))+1)</f>
        <v/>
      </c>
      <c r="T2599" s="25" t="str">
        <f aca="false">IF(S2599="","",IF(S2599&lt;=Setup!$B$5,"🏆 WINNER",""))</f>
        <v/>
      </c>
      <c r="U2599" s="24" t="str">
        <f aca="false">IF(S2599="","",I2599&amp;"|"&amp;S2599)</f>
        <v/>
      </c>
    </row>
    <row r="2600" customFormat="false" ht="15" hidden="false" customHeight="false" outlineLevel="0" collapsed="false">
      <c r="A2600" s="31" t="n">
        <v>2596</v>
      </c>
      <c r="B2600" s="32" t="str">
        <f aca="false">IF(OR(C2600="",I2600="",G2600=""),"",IFERROR(VLOOKUP(I2600,Setup!$A$9:$B$11,2,0),"???")&amp;"-"&amp;G2600&amp;"-"&amp;TEXT(COUNTIFS(I$5:I2600,I2600,G$5:G2600,G2600),"0000"))</f>
        <v/>
      </c>
      <c r="C2600" s="26"/>
      <c r="D2600" s="26"/>
      <c r="E2600" s="27"/>
      <c r="F2600" s="27"/>
      <c r="G2600" s="31" t="str">
        <f aca="false">IF(F2600="","",IF(F2600&lt;=5,"A",IF(F2600&lt;=8,"B",IF(F2600&lt;=10,"C","D"))))</f>
        <v/>
      </c>
      <c r="H2600" s="28"/>
      <c r="I2600" s="27"/>
      <c r="J2600" s="26"/>
      <c r="K2600" s="27"/>
      <c r="L2600" s="27"/>
      <c r="M2600" s="27"/>
      <c r="N2600" s="27"/>
      <c r="O2600" s="31" t="str">
        <f aca="false">IF(G2600="","",VLOOKUP(G2600,Setup!$A$14:$C$17,3,0))</f>
        <v/>
      </c>
      <c r="P2600" s="27"/>
      <c r="Q2600" s="33" t="str">
        <f aca="false">IF(OR(P2600="",M2600&lt;&gt;"Paid",O2600=""),"",P2600/O2600)</f>
        <v/>
      </c>
      <c r="R2600" s="34" t="str">
        <f aca="false">IF(Q2600="","",Q2600+N(H2600)*0.000000001)</f>
        <v/>
      </c>
      <c r="S2600" s="32" t="str">
        <f aca="false">IF(R2600="","",SUMPRODUCT((I$5:I$4004=I2600)*ISNUMBER(R$5:R$4004)*(R$5:R$4004&gt;R2600))+1)</f>
        <v/>
      </c>
      <c r="T2600" s="32" t="str">
        <f aca="false">IF(S2600="","",IF(S2600&lt;=Setup!$B$5,"🏆 WINNER",""))</f>
        <v/>
      </c>
      <c r="U2600" s="31" t="str">
        <f aca="false">IF(S2600="","",I2600&amp;"|"&amp;S2600)</f>
        <v/>
      </c>
    </row>
    <row r="2601" customFormat="false" ht="15" hidden="false" customHeight="false" outlineLevel="0" collapsed="false">
      <c r="A2601" s="24" t="n">
        <v>2597</v>
      </c>
      <c r="B2601" s="25" t="str">
        <f aca="false">IF(OR(C2601="",I2601="",G2601=""),"",IFERROR(VLOOKUP(I2601,Setup!$A$9:$B$11,2,0),"???")&amp;"-"&amp;G2601&amp;"-"&amp;TEXT(COUNTIFS(I$5:I2601,I2601,G$5:G2601,G2601),"0000"))</f>
        <v/>
      </c>
      <c r="C2601" s="26"/>
      <c r="D2601" s="26"/>
      <c r="E2601" s="27"/>
      <c r="F2601" s="27"/>
      <c r="G2601" s="24" t="str">
        <f aca="false">IF(F2601="","",IF(F2601&lt;=5,"A",IF(F2601&lt;=8,"B",IF(F2601&lt;=10,"C","D"))))</f>
        <v/>
      </c>
      <c r="H2601" s="28"/>
      <c r="I2601" s="27"/>
      <c r="J2601" s="26"/>
      <c r="K2601" s="27"/>
      <c r="L2601" s="27"/>
      <c r="M2601" s="27"/>
      <c r="N2601" s="27"/>
      <c r="O2601" s="24" t="str">
        <f aca="false">IF(G2601="","",VLOOKUP(G2601,Setup!$A$14:$C$17,3,0))</f>
        <v/>
      </c>
      <c r="P2601" s="27"/>
      <c r="Q2601" s="29" t="str">
        <f aca="false">IF(OR(P2601="",M2601&lt;&gt;"Paid",O2601=""),"",P2601/O2601)</f>
        <v/>
      </c>
      <c r="R2601" s="30" t="str">
        <f aca="false">IF(Q2601="","",Q2601+N(H2601)*0.000000001)</f>
        <v/>
      </c>
      <c r="S2601" s="25" t="str">
        <f aca="false">IF(R2601="","",SUMPRODUCT((I$5:I$4004=I2601)*ISNUMBER(R$5:R$4004)*(R$5:R$4004&gt;R2601))+1)</f>
        <v/>
      </c>
      <c r="T2601" s="25" t="str">
        <f aca="false">IF(S2601="","",IF(S2601&lt;=Setup!$B$5,"🏆 WINNER",""))</f>
        <v/>
      </c>
      <c r="U2601" s="24" t="str">
        <f aca="false">IF(S2601="","",I2601&amp;"|"&amp;S2601)</f>
        <v/>
      </c>
    </row>
    <row r="2602" customFormat="false" ht="15" hidden="false" customHeight="false" outlineLevel="0" collapsed="false">
      <c r="A2602" s="31" t="n">
        <v>2598</v>
      </c>
      <c r="B2602" s="32" t="str">
        <f aca="false">IF(OR(C2602="",I2602="",G2602=""),"",IFERROR(VLOOKUP(I2602,Setup!$A$9:$B$11,2,0),"???")&amp;"-"&amp;G2602&amp;"-"&amp;TEXT(COUNTIFS(I$5:I2602,I2602,G$5:G2602,G2602),"0000"))</f>
        <v/>
      </c>
      <c r="C2602" s="26"/>
      <c r="D2602" s="26"/>
      <c r="E2602" s="27"/>
      <c r="F2602" s="27"/>
      <c r="G2602" s="31" t="str">
        <f aca="false">IF(F2602="","",IF(F2602&lt;=5,"A",IF(F2602&lt;=8,"B",IF(F2602&lt;=10,"C","D"))))</f>
        <v/>
      </c>
      <c r="H2602" s="28"/>
      <c r="I2602" s="27"/>
      <c r="J2602" s="26"/>
      <c r="K2602" s="27"/>
      <c r="L2602" s="27"/>
      <c r="M2602" s="27"/>
      <c r="N2602" s="27"/>
      <c r="O2602" s="31" t="str">
        <f aca="false">IF(G2602="","",VLOOKUP(G2602,Setup!$A$14:$C$17,3,0))</f>
        <v/>
      </c>
      <c r="P2602" s="27"/>
      <c r="Q2602" s="33" t="str">
        <f aca="false">IF(OR(P2602="",M2602&lt;&gt;"Paid",O2602=""),"",P2602/O2602)</f>
        <v/>
      </c>
      <c r="R2602" s="34" t="str">
        <f aca="false">IF(Q2602="","",Q2602+N(H2602)*0.000000001)</f>
        <v/>
      </c>
      <c r="S2602" s="32" t="str">
        <f aca="false">IF(R2602="","",SUMPRODUCT((I$5:I$4004=I2602)*ISNUMBER(R$5:R$4004)*(R$5:R$4004&gt;R2602))+1)</f>
        <v/>
      </c>
      <c r="T2602" s="32" t="str">
        <f aca="false">IF(S2602="","",IF(S2602&lt;=Setup!$B$5,"🏆 WINNER",""))</f>
        <v/>
      </c>
      <c r="U2602" s="31" t="str">
        <f aca="false">IF(S2602="","",I2602&amp;"|"&amp;S2602)</f>
        <v/>
      </c>
    </row>
    <row r="2603" customFormat="false" ht="15" hidden="false" customHeight="false" outlineLevel="0" collapsed="false">
      <c r="A2603" s="24" t="n">
        <v>2599</v>
      </c>
      <c r="B2603" s="25" t="str">
        <f aca="false">IF(OR(C2603="",I2603="",G2603=""),"",IFERROR(VLOOKUP(I2603,Setup!$A$9:$B$11,2,0),"???")&amp;"-"&amp;G2603&amp;"-"&amp;TEXT(COUNTIFS(I$5:I2603,I2603,G$5:G2603,G2603),"0000"))</f>
        <v/>
      </c>
      <c r="C2603" s="26"/>
      <c r="D2603" s="26"/>
      <c r="E2603" s="27"/>
      <c r="F2603" s="27"/>
      <c r="G2603" s="24" t="str">
        <f aca="false">IF(F2603="","",IF(F2603&lt;=5,"A",IF(F2603&lt;=8,"B",IF(F2603&lt;=10,"C","D"))))</f>
        <v/>
      </c>
      <c r="H2603" s="28"/>
      <c r="I2603" s="27"/>
      <c r="J2603" s="26"/>
      <c r="K2603" s="27"/>
      <c r="L2603" s="27"/>
      <c r="M2603" s="27"/>
      <c r="N2603" s="27"/>
      <c r="O2603" s="24" t="str">
        <f aca="false">IF(G2603="","",VLOOKUP(G2603,Setup!$A$14:$C$17,3,0))</f>
        <v/>
      </c>
      <c r="P2603" s="27"/>
      <c r="Q2603" s="29" t="str">
        <f aca="false">IF(OR(P2603="",M2603&lt;&gt;"Paid",O2603=""),"",P2603/O2603)</f>
        <v/>
      </c>
      <c r="R2603" s="30" t="str">
        <f aca="false">IF(Q2603="","",Q2603+N(H2603)*0.000000001)</f>
        <v/>
      </c>
      <c r="S2603" s="25" t="str">
        <f aca="false">IF(R2603="","",SUMPRODUCT((I$5:I$4004=I2603)*ISNUMBER(R$5:R$4004)*(R$5:R$4004&gt;R2603))+1)</f>
        <v/>
      </c>
      <c r="T2603" s="25" t="str">
        <f aca="false">IF(S2603="","",IF(S2603&lt;=Setup!$B$5,"🏆 WINNER",""))</f>
        <v/>
      </c>
      <c r="U2603" s="24" t="str">
        <f aca="false">IF(S2603="","",I2603&amp;"|"&amp;S2603)</f>
        <v/>
      </c>
    </row>
    <row r="2604" customFormat="false" ht="15" hidden="false" customHeight="false" outlineLevel="0" collapsed="false">
      <c r="A2604" s="31" t="n">
        <v>2600</v>
      </c>
      <c r="B2604" s="32" t="str">
        <f aca="false">IF(OR(C2604="",I2604="",G2604=""),"",IFERROR(VLOOKUP(I2604,Setup!$A$9:$B$11,2,0),"???")&amp;"-"&amp;G2604&amp;"-"&amp;TEXT(COUNTIFS(I$5:I2604,I2604,G$5:G2604,G2604),"0000"))</f>
        <v/>
      </c>
      <c r="C2604" s="26"/>
      <c r="D2604" s="26"/>
      <c r="E2604" s="27"/>
      <c r="F2604" s="27"/>
      <c r="G2604" s="31" t="str">
        <f aca="false">IF(F2604="","",IF(F2604&lt;=5,"A",IF(F2604&lt;=8,"B",IF(F2604&lt;=10,"C","D"))))</f>
        <v/>
      </c>
      <c r="H2604" s="28"/>
      <c r="I2604" s="27"/>
      <c r="J2604" s="26"/>
      <c r="K2604" s="27"/>
      <c r="L2604" s="27"/>
      <c r="M2604" s="27"/>
      <c r="N2604" s="27"/>
      <c r="O2604" s="31" t="str">
        <f aca="false">IF(G2604="","",VLOOKUP(G2604,Setup!$A$14:$C$17,3,0))</f>
        <v/>
      </c>
      <c r="P2604" s="27"/>
      <c r="Q2604" s="33" t="str">
        <f aca="false">IF(OR(P2604="",M2604&lt;&gt;"Paid",O2604=""),"",P2604/O2604)</f>
        <v/>
      </c>
      <c r="R2604" s="34" t="str">
        <f aca="false">IF(Q2604="","",Q2604+N(H2604)*0.000000001)</f>
        <v/>
      </c>
      <c r="S2604" s="32" t="str">
        <f aca="false">IF(R2604="","",SUMPRODUCT((I$5:I$4004=I2604)*ISNUMBER(R$5:R$4004)*(R$5:R$4004&gt;R2604))+1)</f>
        <v/>
      </c>
      <c r="T2604" s="32" t="str">
        <f aca="false">IF(S2604="","",IF(S2604&lt;=Setup!$B$5,"🏆 WINNER",""))</f>
        <v/>
      </c>
      <c r="U2604" s="31" t="str">
        <f aca="false">IF(S2604="","",I2604&amp;"|"&amp;S2604)</f>
        <v/>
      </c>
    </row>
    <row r="2605" customFormat="false" ht="15" hidden="false" customHeight="false" outlineLevel="0" collapsed="false">
      <c r="A2605" s="24" t="n">
        <v>2601</v>
      </c>
      <c r="B2605" s="25" t="str">
        <f aca="false">IF(OR(C2605="",I2605="",G2605=""),"",IFERROR(VLOOKUP(I2605,Setup!$A$9:$B$11,2,0),"???")&amp;"-"&amp;G2605&amp;"-"&amp;TEXT(COUNTIFS(I$5:I2605,I2605,G$5:G2605,G2605),"0000"))</f>
        <v/>
      </c>
      <c r="C2605" s="26"/>
      <c r="D2605" s="26"/>
      <c r="E2605" s="27"/>
      <c r="F2605" s="27"/>
      <c r="G2605" s="24" t="str">
        <f aca="false">IF(F2605="","",IF(F2605&lt;=5,"A",IF(F2605&lt;=8,"B",IF(F2605&lt;=10,"C","D"))))</f>
        <v/>
      </c>
      <c r="H2605" s="28"/>
      <c r="I2605" s="27"/>
      <c r="J2605" s="26"/>
      <c r="K2605" s="27"/>
      <c r="L2605" s="27"/>
      <c r="M2605" s="27"/>
      <c r="N2605" s="27"/>
      <c r="O2605" s="24" t="str">
        <f aca="false">IF(G2605="","",VLOOKUP(G2605,Setup!$A$14:$C$17,3,0))</f>
        <v/>
      </c>
      <c r="P2605" s="27"/>
      <c r="Q2605" s="29" t="str">
        <f aca="false">IF(OR(P2605="",M2605&lt;&gt;"Paid",O2605=""),"",P2605/O2605)</f>
        <v/>
      </c>
      <c r="R2605" s="30" t="str">
        <f aca="false">IF(Q2605="","",Q2605+N(H2605)*0.000000001)</f>
        <v/>
      </c>
      <c r="S2605" s="25" t="str">
        <f aca="false">IF(R2605="","",SUMPRODUCT((I$5:I$4004=I2605)*ISNUMBER(R$5:R$4004)*(R$5:R$4004&gt;R2605))+1)</f>
        <v/>
      </c>
      <c r="T2605" s="25" t="str">
        <f aca="false">IF(S2605="","",IF(S2605&lt;=Setup!$B$5,"🏆 WINNER",""))</f>
        <v/>
      </c>
      <c r="U2605" s="24" t="str">
        <f aca="false">IF(S2605="","",I2605&amp;"|"&amp;S2605)</f>
        <v/>
      </c>
    </row>
    <row r="2606" customFormat="false" ht="15" hidden="false" customHeight="false" outlineLevel="0" collapsed="false">
      <c r="A2606" s="31" t="n">
        <v>2602</v>
      </c>
      <c r="B2606" s="32" t="str">
        <f aca="false">IF(OR(C2606="",I2606="",G2606=""),"",IFERROR(VLOOKUP(I2606,Setup!$A$9:$B$11,2,0),"???")&amp;"-"&amp;G2606&amp;"-"&amp;TEXT(COUNTIFS(I$5:I2606,I2606,G$5:G2606,G2606),"0000"))</f>
        <v/>
      </c>
      <c r="C2606" s="26"/>
      <c r="D2606" s="26"/>
      <c r="E2606" s="27"/>
      <c r="F2606" s="27"/>
      <c r="G2606" s="31" t="str">
        <f aca="false">IF(F2606="","",IF(F2606&lt;=5,"A",IF(F2606&lt;=8,"B",IF(F2606&lt;=10,"C","D"))))</f>
        <v/>
      </c>
      <c r="H2606" s="28"/>
      <c r="I2606" s="27"/>
      <c r="J2606" s="26"/>
      <c r="K2606" s="27"/>
      <c r="L2606" s="27"/>
      <c r="M2606" s="27"/>
      <c r="N2606" s="27"/>
      <c r="O2606" s="31" t="str">
        <f aca="false">IF(G2606="","",VLOOKUP(G2606,Setup!$A$14:$C$17,3,0))</f>
        <v/>
      </c>
      <c r="P2606" s="27"/>
      <c r="Q2606" s="33" t="str">
        <f aca="false">IF(OR(P2606="",M2606&lt;&gt;"Paid",O2606=""),"",P2606/O2606)</f>
        <v/>
      </c>
      <c r="R2606" s="34" t="str">
        <f aca="false">IF(Q2606="","",Q2606+N(H2606)*0.000000001)</f>
        <v/>
      </c>
      <c r="S2606" s="32" t="str">
        <f aca="false">IF(R2606="","",SUMPRODUCT((I$5:I$4004=I2606)*ISNUMBER(R$5:R$4004)*(R$5:R$4004&gt;R2606))+1)</f>
        <v/>
      </c>
      <c r="T2606" s="32" t="str">
        <f aca="false">IF(S2606="","",IF(S2606&lt;=Setup!$B$5,"🏆 WINNER",""))</f>
        <v/>
      </c>
      <c r="U2606" s="31" t="str">
        <f aca="false">IF(S2606="","",I2606&amp;"|"&amp;S2606)</f>
        <v/>
      </c>
    </row>
    <row r="2607" customFormat="false" ht="15" hidden="false" customHeight="false" outlineLevel="0" collapsed="false">
      <c r="A2607" s="24" t="n">
        <v>2603</v>
      </c>
      <c r="B2607" s="25" t="str">
        <f aca="false">IF(OR(C2607="",I2607="",G2607=""),"",IFERROR(VLOOKUP(I2607,Setup!$A$9:$B$11,2,0),"???")&amp;"-"&amp;G2607&amp;"-"&amp;TEXT(COUNTIFS(I$5:I2607,I2607,G$5:G2607,G2607),"0000"))</f>
        <v/>
      </c>
      <c r="C2607" s="26"/>
      <c r="D2607" s="26"/>
      <c r="E2607" s="27"/>
      <c r="F2607" s="27"/>
      <c r="G2607" s="24" t="str">
        <f aca="false">IF(F2607="","",IF(F2607&lt;=5,"A",IF(F2607&lt;=8,"B",IF(F2607&lt;=10,"C","D"))))</f>
        <v/>
      </c>
      <c r="H2607" s="28"/>
      <c r="I2607" s="27"/>
      <c r="J2607" s="26"/>
      <c r="K2607" s="27"/>
      <c r="L2607" s="27"/>
      <c r="M2607" s="27"/>
      <c r="N2607" s="27"/>
      <c r="O2607" s="24" t="str">
        <f aca="false">IF(G2607="","",VLOOKUP(G2607,Setup!$A$14:$C$17,3,0))</f>
        <v/>
      </c>
      <c r="P2607" s="27"/>
      <c r="Q2607" s="29" t="str">
        <f aca="false">IF(OR(P2607="",M2607&lt;&gt;"Paid",O2607=""),"",P2607/O2607)</f>
        <v/>
      </c>
      <c r="R2607" s="30" t="str">
        <f aca="false">IF(Q2607="","",Q2607+N(H2607)*0.000000001)</f>
        <v/>
      </c>
      <c r="S2607" s="25" t="str">
        <f aca="false">IF(R2607="","",SUMPRODUCT((I$5:I$4004=I2607)*ISNUMBER(R$5:R$4004)*(R$5:R$4004&gt;R2607))+1)</f>
        <v/>
      </c>
      <c r="T2607" s="25" t="str">
        <f aca="false">IF(S2607="","",IF(S2607&lt;=Setup!$B$5,"🏆 WINNER",""))</f>
        <v/>
      </c>
      <c r="U2607" s="24" t="str">
        <f aca="false">IF(S2607="","",I2607&amp;"|"&amp;S2607)</f>
        <v/>
      </c>
    </row>
    <row r="2608" customFormat="false" ht="15" hidden="false" customHeight="false" outlineLevel="0" collapsed="false">
      <c r="A2608" s="31" t="n">
        <v>2604</v>
      </c>
      <c r="B2608" s="32" t="str">
        <f aca="false">IF(OR(C2608="",I2608="",G2608=""),"",IFERROR(VLOOKUP(I2608,Setup!$A$9:$B$11,2,0),"???")&amp;"-"&amp;G2608&amp;"-"&amp;TEXT(COUNTIFS(I$5:I2608,I2608,G$5:G2608,G2608),"0000"))</f>
        <v/>
      </c>
      <c r="C2608" s="26"/>
      <c r="D2608" s="26"/>
      <c r="E2608" s="27"/>
      <c r="F2608" s="27"/>
      <c r="G2608" s="31" t="str">
        <f aca="false">IF(F2608="","",IF(F2608&lt;=5,"A",IF(F2608&lt;=8,"B",IF(F2608&lt;=10,"C","D"))))</f>
        <v/>
      </c>
      <c r="H2608" s="28"/>
      <c r="I2608" s="27"/>
      <c r="J2608" s="26"/>
      <c r="K2608" s="27"/>
      <c r="L2608" s="27"/>
      <c r="M2608" s="27"/>
      <c r="N2608" s="27"/>
      <c r="O2608" s="31" t="str">
        <f aca="false">IF(G2608="","",VLOOKUP(G2608,Setup!$A$14:$C$17,3,0))</f>
        <v/>
      </c>
      <c r="P2608" s="27"/>
      <c r="Q2608" s="33" t="str">
        <f aca="false">IF(OR(P2608="",M2608&lt;&gt;"Paid",O2608=""),"",P2608/O2608)</f>
        <v/>
      </c>
      <c r="R2608" s="34" t="str">
        <f aca="false">IF(Q2608="","",Q2608+N(H2608)*0.000000001)</f>
        <v/>
      </c>
      <c r="S2608" s="32" t="str">
        <f aca="false">IF(R2608="","",SUMPRODUCT((I$5:I$4004=I2608)*ISNUMBER(R$5:R$4004)*(R$5:R$4004&gt;R2608))+1)</f>
        <v/>
      </c>
      <c r="T2608" s="32" t="str">
        <f aca="false">IF(S2608="","",IF(S2608&lt;=Setup!$B$5,"🏆 WINNER",""))</f>
        <v/>
      </c>
      <c r="U2608" s="31" t="str">
        <f aca="false">IF(S2608="","",I2608&amp;"|"&amp;S2608)</f>
        <v/>
      </c>
    </row>
    <row r="2609" customFormat="false" ht="15" hidden="false" customHeight="false" outlineLevel="0" collapsed="false">
      <c r="A2609" s="24" t="n">
        <v>2605</v>
      </c>
      <c r="B2609" s="25" t="str">
        <f aca="false">IF(OR(C2609="",I2609="",G2609=""),"",IFERROR(VLOOKUP(I2609,Setup!$A$9:$B$11,2,0),"???")&amp;"-"&amp;G2609&amp;"-"&amp;TEXT(COUNTIFS(I$5:I2609,I2609,G$5:G2609,G2609),"0000"))</f>
        <v/>
      </c>
      <c r="C2609" s="26"/>
      <c r="D2609" s="26"/>
      <c r="E2609" s="27"/>
      <c r="F2609" s="27"/>
      <c r="G2609" s="24" t="str">
        <f aca="false">IF(F2609="","",IF(F2609&lt;=5,"A",IF(F2609&lt;=8,"B",IF(F2609&lt;=10,"C","D"))))</f>
        <v/>
      </c>
      <c r="H2609" s="28"/>
      <c r="I2609" s="27"/>
      <c r="J2609" s="26"/>
      <c r="K2609" s="27"/>
      <c r="L2609" s="27"/>
      <c r="M2609" s="27"/>
      <c r="N2609" s="27"/>
      <c r="O2609" s="24" t="str">
        <f aca="false">IF(G2609="","",VLOOKUP(G2609,Setup!$A$14:$C$17,3,0))</f>
        <v/>
      </c>
      <c r="P2609" s="27"/>
      <c r="Q2609" s="29" t="str">
        <f aca="false">IF(OR(P2609="",M2609&lt;&gt;"Paid",O2609=""),"",P2609/O2609)</f>
        <v/>
      </c>
      <c r="R2609" s="30" t="str">
        <f aca="false">IF(Q2609="","",Q2609+N(H2609)*0.000000001)</f>
        <v/>
      </c>
      <c r="S2609" s="25" t="str">
        <f aca="false">IF(R2609="","",SUMPRODUCT((I$5:I$4004=I2609)*ISNUMBER(R$5:R$4004)*(R$5:R$4004&gt;R2609))+1)</f>
        <v/>
      </c>
      <c r="T2609" s="25" t="str">
        <f aca="false">IF(S2609="","",IF(S2609&lt;=Setup!$B$5,"🏆 WINNER",""))</f>
        <v/>
      </c>
      <c r="U2609" s="24" t="str">
        <f aca="false">IF(S2609="","",I2609&amp;"|"&amp;S2609)</f>
        <v/>
      </c>
    </row>
    <row r="2610" customFormat="false" ht="15" hidden="false" customHeight="false" outlineLevel="0" collapsed="false">
      <c r="A2610" s="31" t="n">
        <v>2606</v>
      </c>
      <c r="B2610" s="32" t="str">
        <f aca="false">IF(OR(C2610="",I2610="",G2610=""),"",IFERROR(VLOOKUP(I2610,Setup!$A$9:$B$11,2,0),"???")&amp;"-"&amp;G2610&amp;"-"&amp;TEXT(COUNTIFS(I$5:I2610,I2610,G$5:G2610,G2610),"0000"))</f>
        <v/>
      </c>
      <c r="C2610" s="26"/>
      <c r="D2610" s="26"/>
      <c r="E2610" s="27"/>
      <c r="F2610" s="27"/>
      <c r="G2610" s="31" t="str">
        <f aca="false">IF(F2610="","",IF(F2610&lt;=5,"A",IF(F2610&lt;=8,"B",IF(F2610&lt;=10,"C","D"))))</f>
        <v/>
      </c>
      <c r="H2610" s="28"/>
      <c r="I2610" s="27"/>
      <c r="J2610" s="26"/>
      <c r="K2610" s="27"/>
      <c r="L2610" s="27"/>
      <c r="M2610" s="27"/>
      <c r="N2610" s="27"/>
      <c r="O2610" s="31" t="str">
        <f aca="false">IF(G2610="","",VLOOKUP(G2610,Setup!$A$14:$C$17,3,0))</f>
        <v/>
      </c>
      <c r="P2610" s="27"/>
      <c r="Q2610" s="33" t="str">
        <f aca="false">IF(OR(P2610="",M2610&lt;&gt;"Paid",O2610=""),"",P2610/O2610)</f>
        <v/>
      </c>
      <c r="R2610" s="34" t="str">
        <f aca="false">IF(Q2610="","",Q2610+N(H2610)*0.000000001)</f>
        <v/>
      </c>
      <c r="S2610" s="32" t="str">
        <f aca="false">IF(R2610="","",SUMPRODUCT((I$5:I$4004=I2610)*ISNUMBER(R$5:R$4004)*(R$5:R$4004&gt;R2610))+1)</f>
        <v/>
      </c>
      <c r="T2610" s="32" t="str">
        <f aca="false">IF(S2610="","",IF(S2610&lt;=Setup!$B$5,"🏆 WINNER",""))</f>
        <v/>
      </c>
      <c r="U2610" s="31" t="str">
        <f aca="false">IF(S2610="","",I2610&amp;"|"&amp;S2610)</f>
        <v/>
      </c>
    </row>
    <row r="2611" customFormat="false" ht="15" hidden="false" customHeight="false" outlineLevel="0" collapsed="false">
      <c r="A2611" s="24" t="n">
        <v>2607</v>
      </c>
      <c r="B2611" s="25" t="str">
        <f aca="false">IF(OR(C2611="",I2611="",G2611=""),"",IFERROR(VLOOKUP(I2611,Setup!$A$9:$B$11,2,0),"???")&amp;"-"&amp;G2611&amp;"-"&amp;TEXT(COUNTIFS(I$5:I2611,I2611,G$5:G2611,G2611),"0000"))</f>
        <v/>
      </c>
      <c r="C2611" s="26"/>
      <c r="D2611" s="26"/>
      <c r="E2611" s="27"/>
      <c r="F2611" s="27"/>
      <c r="G2611" s="24" t="str">
        <f aca="false">IF(F2611="","",IF(F2611&lt;=5,"A",IF(F2611&lt;=8,"B",IF(F2611&lt;=10,"C","D"))))</f>
        <v/>
      </c>
      <c r="H2611" s="28"/>
      <c r="I2611" s="27"/>
      <c r="J2611" s="26"/>
      <c r="K2611" s="27"/>
      <c r="L2611" s="27"/>
      <c r="M2611" s="27"/>
      <c r="N2611" s="27"/>
      <c r="O2611" s="24" t="str">
        <f aca="false">IF(G2611="","",VLOOKUP(G2611,Setup!$A$14:$C$17,3,0))</f>
        <v/>
      </c>
      <c r="P2611" s="27"/>
      <c r="Q2611" s="29" t="str">
        <f aca="false">IF(OR(P2611="",M2611&lt;&gt;"Paid",O2611=""),"",P2611/O2611)</f>
        <v/>
      </c>
      <c r="R2611" s="30" t="str">
        <f aca="false">IF(Q2611="","",Q2611+N(H2611)*0.000000001)</f>
        <v/>
      </c>
      <c r="S2611" s="25" t="str">
        <f aca="false">IF(R2611="","",SUMPRODUCT((I$5:I$4004=I2611)*ISNUMBER(R$5:R$4004)*(R$5:R$4004&gt;R2611))+1)</f>
        <v/>
      </c>
      <c r="T2611" s="25" t="str">
        <f aca="false">IF(S2611="","",IF(S2611&lt;=Setup!$B$5,"🏆 WINNER",""))</f>
        <v/>
      </c>
      <c r="U2611" s="24" t="str">
        <f aca="false">IF(S2611="","",I2611&amp;"|"&amp;S2611)</f>
        <v/>
      </c>
    </row>
    <row r="2612" customFormat="false" ht="15" hidden="false" customHeight="false" outlineLevel="0" collapsed="false">
      <c r="A2612" s="31" t="n">
        <v>2608</v>
      </c>
      <c r="B2612" s="32" t="str">
        <f aca="false">IF(OR(C2612="",I2612="",G2612=""),"",IFERROR(VLOOKUP(I2612,Setup!$A$9:$B$11,2,0),"???")&amp;"-"&amp;G2612&amp;"-"&amp;TEXT(COUNTIFS(I$5:I2612,I2612,G$5:G2612,G2612),"0000"))</f>
        <v/>
      </c>
      <c r="C2612" s="26"/>
      <c r="D2612" s="26"/>
      <c r="E2612" s="27"/>
      <c r="F2612" s="27"/>
      <c r="G2612" s="31" t="str">
        <f aca="false">IF(F2612="","",IF(F2612&lt;=5,"A",IF(F2612&lt;=8,"B",IF(F2612&lt;=10,"C","D"))))</f>
        <v/>
      </c>
      <c r="H2612" s="28"/>
      <c r="I2612" s="27"/>
      <c r="J2612" s="26"/>
      <c r="K2612" s="27"/>
      <c r="L2612" s="27"/>
      <c r="M2612" s="27"/>
      <c r="N2612" s="27"/>
      <c r="O2612" s="31" t="str">
        <f aca="false">IF(G2612="","",VLOOKUP(G2612,Setup!$A$14:$C$17,3,0))</f>
        <v/>
      </c>
      <c r="P2612" s="27"/>
      <c r="Q2612" s="33" t="str">
        <f aca="false">IF(OR(P2612="",M2612&lt;&gt;"Paid",O2612=""),"",P2612/O2612)</f>
        <v/>
      </c>
      <c r="R2612" s="34" t="str">
        <f aca="false">IF(Q2612="","",Q2612+N(H2612)*0.000000001)</f>
        <v/>
      </c>
      <c r="S2612" s="32" t="str">
        <f aca="false">IF(R2612="","",SUMPRODUCT((I$5:I$4004=I2612)*ISNUMBER(R$5:R$4004)*(R$5:R$4004&gt;R2612))+1)</f>
        <v/>
      </c>
      <c r="T2612" s="32" t="str">
        <f aca="false">IF(S2612="","",IF(S2612&lt;=Setup!$B$5,"🏆 WINNER",""))</f>
        <v/>
      </c>
      <c r="U2612" s="31" t="str">
        <f aca="false">IF(S2612="","",I2612&amp;"|"&amp;S2612)</f>
        <v/>
      </c>
    </row>
    <row r="2613" customFormat="false" ht="15" hidden="false" customHeight="false" outlineLevel="0" collapsed="false">
      <c r="A2613" s="24" t="n">
        <v>2609</v>
      </c>
      <c r="B2613" s="25" t="str">
        <f aca="false">IF(OR(C2613="",I2613="",G2613=""),"",IFERROR(VLOOKUP(I2613,Setup!$A$9:$B$11,2,0),"???")&amp;"-"&amp;G2613&amp;"-"&amp;TEXT(COUNTIFS(I$5:I2613,I2613,G$5:G2613,G2613),"0000"))</f>
        <v/>
      </c>
      <c r="C2613" s="26"/>
      <c r="D2613" s="26"/>
      <c r="E2613" s="27"/>
      <c r="F2613" s="27"/>
      <c r="G2613" s="24" t="str">
        <f aca="false">IF(F2613="","",IF(F2613&lt;=5,"A",IF(F2613&lt;=8,"B",IF(F2613&lt;=10,"C","D"))))</f>
        <v/>
      </c>
      <c r="H2613" s="28"/>
      <c r="I2613" s="27"/>
      <c r="J2613" s="26"/>
      <c r="K2613" s="27"/>
      <c r="L2613" s="27"/>
      <c r="M2613" s="27"/>
      <c r="N2613" s="27"/>
      <c r="O2613" s="24" t="str">
        <f aca="false">IF(G2613="","",VLOOKUP(G2613,Setup!$A$14:$C$17,3,0))</f>
        <v/>
      </c>
      <c r="P2613" s="27"/>
      <c r="Q2613" s="29" t="str">
        <f aca="false">IF(OR(P2613="",M2613&lt;&gt;"Paid",O2613=""),"",P2613/O2613)</f>
        <v/>
      </c>
      <c r="R2613" s="30" t="str">
        <f aca="false">IF(Q2613="","",Q2613+N(H2613)*0.000000001)</f>
        <v/>
      </c>
      <c r="S2613" s="25" t="str">
        <f aca="false">IF(R2613="","",SUMPRODUCT((I$5:I$4004=I2613)*ISNUMBER(R$5:R$4004)*(R$5:R$4004&gt;R2613))+1)</f>
        <v/>
      </c>
      <c r="T2613" s="25" t="str">
        <f aca="false">IF(S2613="","",IF(S2613&lt;=Setup!$B$5,"🏆 WINNER",""))</f>
        <v/>
      </c>
      <c r="U2613" s="24" t="str">
        <f aca="false">IF(S2613="","",I2613&amp;"|"&amp;S2613)</f>
        <v/>
      </c>
    </row>
    <row r="2614" customFormat="false" ht="15" hidden="false" customHeight="false" outlineLevel="0" collapsed="false">
      <c r="A2614" s="31" t="n">
        <v>2610</v>
      </c>
      <c r="B2614" s="32" t="str">
        <f aca="false">IF(OR(C2614="",I2614="",G2614=""),"",IFERROR(VLOOKUP(I2614,Setup!$A$9:$B$11,2,0),"???")&amp;"-"&amp;G2614&amp;"-"&amp;TEXT(COUNTIFS(I$5:I2614,I2614,G$5:G2614,G2614),"0000"))</f>
        <v/>
      </c>
      <c r="C2614" s="26"/>
      <c r="D2614" s="26"/>
      <c r="E2614" s="27"/>
      <c r="F2614" s="27"/>
      <c r="G2614" s="31" t="str">
        <f aca="false">IF(F2614="","",IF(F2614&lt;=5,"A",IF(F2614&lt;=8,"B",IF(F2614&lt;=10,"C","D"))))</f>
        <v/>
      </c>
      <c r="H2614" s="28"/>
      <c r="I2614" s="27"/>
      <c r="J2614" s="26"/>
      <c r="K2614" s="27"/>
      <c r="L2614" s="27"/>
      <c r="M2614" s="27"/>
      <c r="N2614" s="27"/>
      <c r="O2614" s="31" t="str">
        <f aca="false">IF(G2614="","",VLOOKUP(G2614,Setup!$A$14:$C$17,3,0))</f>
        <v/>
      </c>
      <c r="P2614" s="27"/>
      <c r="Q2614" s="33" t="str">
        <f aca="false">IF(OR(P2614="",M2614&lt;&gt;"Paid",O2614=""),"",P2614/O2614)</f>
        <v/>
      </c>
      <c r="R2614" s="34" t="str">
        <f aca="false">IF(Q2614="","",Q2614+N(H2614)*0.000000001)</f>
        <v/>
      </c>
      <c r="S2614" s="32" t="str">
        <f aca="false">IF(R2614="","",SUMPRODUCT((I$5:I$4004=I2614)*ISNUMBER(R$5:R$4004)*(R$5:R$4004&gt;R2614))+1)</f>
        <v/>
      </c>
      <c r="T2614" s="32" t="str">
        <f aca="false">IF(S2614="","",IF(S2614&lt;=Setup!$B$5,"🏆 WINNER",""))</f>
        <v/>
      </c>
      <c r="U2614" s="31" t="str">
        <f aca="false">IF(S2614="","",I2614&amp;"|"&amp;S2614)</f>
        <v/>
      </c>
    </row>
    <row r="2615" customFormat="false" ht="15" hidden="false" customHeight="false" outlineLevel="0" collapsed="false">
      <c r="A2615" s="24" t="n">
        <v>2611</v>
      </c>
      <c r="B2615" s="25" t="str">
        <f aca="false">IF(OR(C2615="",I2615="",G2615=""),"",IFERROR(VLOOKUP(I2615,Setup!$A$9:$B$11,2,0),"???")&amp;"-"&amp;G2615&amp;"-"&amp;TEXT(COUNTIFS(I$5:I2615,I2615,G$5:G2615,G2615),"0000"))</f>
        <v/>
      </c>
      <c r="C2615" s="26"/>
      <c r="D2615" s="26"/>
      <c r="E2615" s="27"/>
      <c r="F2615" s="27"/>
      <c r="G2615" s="24" t="str">
        <f aca="false">IF(F2615="","",IF(F2615&lt;=5,"A",IF(F2615&lt;=8,"B",IF(F2615&lt;=10,"C","D"))))</f>
        <v/>
      </c>
      <c r="H2615" s="28"/>
      <c r="I2615" s="27"/>
      <c r="J2615" s="26"/>
      <c r="K2615" s="27"/>
      <c r="L2615" s="27"/>
      <c r="M2615" s="27"/>
      <c r="N2615" s="27"/>
      <c r="O2615" s="24" t="str">
        <f aca="false">IF(G2615="","",VLOOKUP(G2615,Setup!$A$14:$C$17,3,0))</f>
        <v/>
      </c>
      <c r="P2615" s="27"/>
      <c r="Q2615" s="29" t="str">
        <f aca="false">IF(OR(P2615="",M2615&lt;&gt;"Paid",O2615=""),"",P2615/O2615)</f>
        <v/>
      </c>
      <c r="R2615" s="30" t="str">
        <f aca="false">IF(Q2615="","",Q2615+N(H2615)*0.000000001)</f>
        <v/>
      </c>
      <c r="S2615" s="25" t="str">
        <f aca="false">IF(R2615="","",SUMPRODUCT((I$5:I$4004=I2615)*ISNUMBER(R$5:R$4004)*(R$5:R$4004&gt;R2615))+1)</f>
        <v/>
      </c>
      <c r="T2615" s="25" t="str">
        <f aca="false">IF(S2615="","",IF(S2615&lt;=Setup!$B$5,"🏆 WINNER",""))</f>
        <v/>
      </c>
      <c r="U2615" s="24" t="str">
        <f aca="false">IF(S2615="","",I2615&amp;"|"&amp;S2615)</f>
        <v/>
      </c>
    </row>
    <row r="2616" customFormat="false" ht="15" hidden="false" customHeight="false" outlineLevel="0" collapsed="false">
      <c r="A2616" s="31" t="n">
        <v>2612</v>
      </c>
      <c r="B2616" s="32" t="str">
        <f aca="false">IF(OR(C2616="",I2616="",G2616=""),"",IFERROR(VLOOKUP(I2616,Setup!$A$9:$B$11,2,0),"???")&amp;"-"&amp;G2616&amp;"-"&amp;TEXT(COUNTIFS(I$5:I2616,I2616,G$5:G2616,G2616),"0000"))</f>
        <v/>
      </c>
      <c r="C2616" s="26"/>
      <c r="D2616" s="26"/>
      <c r="E2616" s="27"/>
      <c r="F2616" s="27"/>
      <c r="G2616" s="31" t="str">
        <f aca="false">IF(F2616="","",IF(F2616&lt;=5,"A",IF(F2616&lt;=8,"B",IF(F2616&lt;=10,"C","D"))))</f>
        <v/>
      </c>
      <c r="H2616" s="28"/>
      <c r="I2616" s="27"/>
      <c r="J2616" s="26"/>
      <c r="K2616" s="27"/>
      <c r="L2616" s="27"/>
      <c r="M2616" s="27"/>
      <c r="N2616" s="27"/>
      <c r="O2616" s="31" t="str">
        <f aca="false">IF(G2616="","",VLOOKUP(G2616,Setup!$A$14:$C$17,3,0))</f>
        <v/>
      </c>
      <c r="P2616" s="27"/>
      <c r="Q2616" s="33" t="str">
        <f aca="false">IF(OR(P2616="",M2616&lt;&gt;"Paid",O2616=""),"",P2616/O2616)</f>
        <v/>
      </c>
      <c r="R2616" s="34" t="str">
        <f aca="false">IF(Q2616="","",Q2616+N(H2616)*0.000000001)</f>
        <v/>
      </c>
      <c r="S2616" s="32" t="str">
        <f aca="false">IF(R2616="","",SUMPRODUCT((I$5:I$4004=I2616)*ISNUMBER(R$5:R$4004)*(R$5:R$4004&gt;R2616))+1)</f>
        <v/>
      </c>
      <c r="T2616" s="32" t="str">
        <f aca="false">IF(S2616="","",IF(S2616&lt;=Setup!$B$5,"🏆 WINNER",""))</f>
        <v/>
      </c>
      <c r="U2616" s="31" t="str">
        <f aca="false">IF(S2616="","",I2616&amp;"|"&amp;S2616)</f>
        <v/>
      </c>
    </row>
    <row r="2617" customFormat="false" ht="15" hidden="false" customHeight="false" outlineLevel="0" collapsed="false">
      <c r="A2617" s="24" t="n">
        <v>2613</v>
      </c>
      <c r="B2617" s="25" t="str">
        <f aca="false">IF(OR(C2617="",I2617="",G2617=""),"",IFERROR(VLOOKUP(I2617,Setup!$A$9:$B$11,2,0),"???")&amp;"-"&amp;G2617&amp;"-"&amp;TEXT(COUNTIFS(I$5:I2617,I2617,G$5:G2617,G2617),"0000"))</f>
        <v/>
      </c>
      <c r="C2617" s="26"/>
      <c r="D2617" s="26"/>
      <c r="E2617" s="27"/>
      <c r="F2617" s="27"/>
      <c r="G2617" s="24" t="str">
        <f aca="false">IF(F2617="","",IF(F2617&lt;=5,"A",IF(F2617&lt;=8,"B",IF(F2617&lt;=10,"C","D"))))</f>
        <v/>
      </c>
      <c r="H2617" s="28"/>
      <c r="I2617" s="27"/>
      <c r="J2617" s="26"/>
      <c r="K2617" s="27"/>
      <c r="L2617" s="27"/>
      <c r="M2617" s="27"/>
      <c r="N2617" s="27"/>
      <c r="O2617" s="24" t="str">
        <f aca="false">IF(G2617="","",VLOOKUP(G2617,Setup!$A$14:$C$17,3,0))</f>
        <v/>
      </c>
      <c r="P2617" s="27"/>
      <c r="Q2617" s="29" t="str">
        <f aca="false">IF(OR(P2617="",M2617&lt;&gt;"Paid",O2617=""),"",P2617/O2617)</f>
        <v/>
      </c>
      <c r="R2617" s="30" t="str">
        <f aca="false">IF(Q2617="","",Q2617+N(H2617)*0.000000001)</f>
        <v/>
      </c>
      <c r="S2617" s="25" t="str">
        <f aca="false">IF(R2617="","",SUMPRODUCT((I$5:I$4004=I2617)*ISNUMBER(R$5:R$4004)*(R$5:R$4004&gt;R2617))+1)</f>
        <v/>
      </c>
      <c r="T2617" s="25" t="str">
        <f aca="false">IF(S2617="","",IF(S2617&lt;=Setup!$B$5,"🏆 WINNER",""))</f>
        <v/>
      </c>
      <c r="U2617" s="24" t="str">
        <f aca="false">IF(S2617="","",I2617&amp;"|"&amp;S2617)</f>
        <v/>
      </c>
    </row>
    <row r="2618" customFormat="false" ht="15" hidden="false" customHeight="false" outlineLevel="0" collapsed="false">
      <c r="A2618" s="31" t="n">
        <v>2614</v>
      </c>
      <c r="B2618" s="32" t="str">
        <f aca="false">IF(OR(C2618="",I2618="",G2618=""),"",IFERROR(VLOOKUP(I2618,Setup!$A$9:$B$11,2,0),"???")&amp;"-"&amp;G2618&amp;"-"&amp;TEXT(COUNTIFS(I$5:I2618,I2618,G$5:G2618,G2618),"0000"))</f>
        <v/>
      </c>
      <c r="C2618" s="26"/>
      <c r="D2618" s="26"/>
      <c r="E2618" s="27"/>
      <c r="F2618" s="27"/>
      <c r="G2618" s="31" t="str">
        <f aca="false">IF(F2618="","",IF(F2618&lt;=5,"A",IF(F2618&lt;=8,"B",IF(F2618&lt;=10,"C","D"))))</f>
        <v/>
      </c>
      <c r="H2618" s="28"/>
      <c r="I2618" s="27"/>
      <c r="J2618" s="26"/>
      <c r="K2618" s="27"/>
      <c r="L2618" s="27"/>
      <c r="M2618" s="27"/>
      <c r="N2618" s="27"/>
      <c r="O2618" s="31" t="str">
        <f aca="false">IF(G2618="","",VLOOKUP(G2618,Setup!$A$14:$C$17,3,0))</f>
        <v/>
      </c>
      <c r="P2618" s="27"/>
      <c r="Q2618" s="33" t="str">
        <f aca="false">IF(OR(P2618="",M2618&lt;&gt;"Paid",O2618=""),"",P2618/O2618)</f>
        <v/>
      </c>
      <c r="R2618" s="34" t="str">
        <f aca="false">IF(Q2618="","",Q2618+N(H2618)*0.000000001)</f>
        <v/>
      </c>
      <c r="S2618" s="32" t="str">
        <f aca="false">IF(R2618="","",SUMPRODUCT((I$5:I$4004=I2618)*ISNUMBER(R$5:R$4004)*(R$5:R$4004&gt;R2618))+1)</f>
        <v/>
      </c>
      <c r="T2618" s="32" t="str">
        <f aca="false">IF(S2618="","",IF(S2618&lt;=Setup!$B$5,"🏆 WINNER",""))</f>
        <v/>
      </c>
      <c r="U2618" s="31" t="str">
        <f aca="false">IF(S2618="","",I2618&amp;"|"&amp;S2618)</f>
        <v/>
      </c>
    </row>
    <row r="2619" customFormat="false" ht="15" hidden="false" customHeight="false" outlineLevel="0" collapsed="false">
      <c r="A2619" s="24" t="n">
        <v>2615</v>
      </c>
      <c r="B2619" s="25" t="str">
        <f aca="false">IF(OR(C2619="",I2619="",G2619=""),"",IFERROR(VLOOKUP(I2619,Setup!$A$9:$B$11,2,0),"???")&amp;"-"&amp;G2619&amp;"-"&amp;TEXT(COUNTIFS(I$5:I2619,I2619,G$5:G2619,G2619),"0000"))</f>
        <v/>
      </c>
      <c r="C2619" s="26"/>
      <c r="D2619" s="26"/>
      <c r="E2619" s="27"/>
      <c r="F2619" s="27"/>
      <c r="G2619" s="24" t="str">
        <f aca="false">IF(F2619="","",IF(F2619&lt;=5,"A",IF(F2619&lt;=8,"B",IF(F2619&lt;=10,"C","D"))))</f>
        <v/>
      </c>
      <c r="H2619" s="28"/>
      <c r="I2619" s="27"/>
      <c r="J2619" s="26"/>
      <c r="K2619" s="27"/>
      <c r="L2619" s="27"/>
      <c r="M2619" s="27"/>
      <c r="N2619" s="27"/>
      <c r="O2619" s="24" t="str">
        <f aca="false">IF(G2619="","",VLOOKUP(G2619,Setup!$A$14:$C$17,3,0))</f>
        <v/>
      </c>
      <c r="P2619" s="27"/>
      <c r="Q2619" s="29" t="str">
        <f aca="false">IF(OR(P2619="",M2619&lt;&gt;"Paid",O2619=""),"",P2619/O2619)</f>
        <v/>
      </c>
      <c r="R2619" s="30" t="str">
        <f aca="false">IF(Q2619="","",Q2619+N(H2619)*0.000000001)</f>
        <v/>
      </c>
      <c r="S2619" s="25" t="str">
        <f aca="false">IF(R2619="","",SUMPRODUCT((I$5:I$4004=I2619)*ISNUMBER(R$5:R$4004)*(R$5:R$4004&gt;R2619))+1)</f>
        <v/>
      </c>
      <c r="T2619" s="25" t="str">
        <f aca="false">IF(S2619="","",IF(S2619&lt;=Setup!$B$5,"🏆 WINNER",""))</f>
        <v/>
      </c>
      <c r="U2619" s="24" t="str">
        <f aca="false">IF(S2619="","",I2619&amp;"|"&amp;S2619)</f>
        <v/>
      </c>
    </row>
    <row r="2620" customFormat="false" ht="15" hidden="false" customHeight="false" outlineLevel="0" collapsed="false">
      <c r="A2620" s="31" t="n">
        <v>2616</v>
      </c>
      <c r="B2620" s="32" t="str">
        <f aca="false">IF(OR(C2620="",I2620="",G2620=""),"",IFERROR(VLOOKUP(I2620,Setup!$A$9:$B$11,2,0),"???")&amp;"-"&amp;G2620&amp;"-"&amp;TEXT(COUNTIFS(I$5:I2620,I2620,G$5:G2620,G2620),"0000"))</f>
        <v/>
      </c>
      <c r="C2620" s="26"/>
      <c r="D2620" s="26"/>
      <c r="E2620" s="27"/>
      <c r="F2620" s="27"/>
      <c r="G2620" s="31" t="str">
        <f aca="false">IF(F2620="","",IF(F2620&lt;=5,"A",IF(F2620&lt;=8,"B",IF(F2620&lt;=10,"C","D"))))</f>
        <v/>
      </c>
      <c r="H2620" s="28"/>
      <c r="I2620" s="27"/>
      <c r="J2620" s="26"/>
      <c r="K2620" s="27"/>
      <c r="L2620" s="27"/>
      <c r="M2620" s="27"/>
      <c r="N2620" s="27"/>
      <c r="O2620" s="31" t="str">
        <f aca="false">IF(G2620="","",VLOOKUP(G2620,Setup!$A$14:$C$17,3,0))</f>
        <v/>
      </c>
      <c r="P2620" s="27"/>
      <c r="Q2620" s="33" t="str">
        <f aca="false">IF(OR(P2620="",M2620&lt;&gt;"Paid",O2620=""),"",P2620/O2620)</f>
        <v/>
      </c>
      <c r="R2620" s="34" t="str">
        <f aca="false">IF(Q2620="","",Q2620+N(H2620)*0.000000001)</f>
        <v/>
      </c>
      <c r="S2620" s="32" t="str">
        <f aca="false">IF(R2620="","",SUMPRODUCT((I$5:I$4004=I2620)*ISNUMBER(R$5:R$4004)*(R$5:R$4004&gt;R2620))+1)</f>
        <v/>
      </c>
      <c r="T2620" s="32" t="str">
        <f aca="false">IF(S2620="","",IF(S2620&lt;=Setup!$B$5,"🏆 WINNER",""))</f>
        <v/>
      </c>
      <c r="U2620" s="31" t="str">
        <f aca="false">IF(S2620="","",I2620&amp;"|"&amp;S2620)</f>
        <v/>
      </c>
    </row>
    <row r="2621" customFormat="false" ht="15" hidden="false" customHeight="false" outlineLevel="0" collapsed="false">
      <c r="A2621" s="24" t="n">
        <v>2617</v>
      </c>
      <c r="B2621" s="25" t="str">
        <f aca="false">IF(OR(C2621="",I2621="",G2621=""),"",IFERROR(VLOOKUP(I2621,Setup!$A$9:$B$11,2,0),"???")&amp;"-"&amp;G2621&amp;"-"&amp;TEXT(COUNTIFS(I$5:I2621,I2621,G$5:G2621,G2621),"0000"))</f>
        <v/>
      </c>
      <c r="C2621" s="26"/>
      <c r="D2621" s="26"/>
      <c r="E2621" s="27"/>
      <c r="F2621" s="27"/>
      <c r="G2621" s="24" t="str">
        <f aca="false">IF(F2621="","",IF(F2621&lt;=5,"A",IF(F2621&lt;=8,"B",IF(F2621&lt;=10,"C","D"))))</f>
        <v/>
      </c>
      <c r="H2621" s="28"/>
      <c r="I2621" s="27"/>
      <c r="J2621" s="26"/>
      <c r="K2621" s="27"/>
      <c r="L2621" s="27"/>
      <c r="M2621" s="27"/>
      <c r="N2621" s="27"/>
      <c r="O2621" s="24" t="str">
        <f aca="false">IF(G2621="","",VLOOKUP(G2621,Setup!$A$14:$C$17,3,0))</f>
        <v/>
      </c>
      <c r="P2621" s="27"/>
      <c r="Q2621" s="29" t="str">
        <f aca="false">IF(OR(P2621="",M2621&lt;&gt;"Paid",O2621=""),"",P2621/O2621)</f>
        <v/>
      </c>
      <c r="R2621" s="30" t="str">
        <f aca="false">IF(Q2621="","",Q2621+N(H2621)*0.000000001)</f>
        <v/>
      </c>
      <c r="S2621" s="25" t="str">
        <f aca="false">IF(R2621="","",SUMPRODUCT((I$5:I$4004=I2621)*ISNUMBER(R$5:R$4004)*(R$5:R$4004&gt;R2621))+1)</f>
        <v/>
      </c>
      <c r="T2621" s="25" t="str">
        <f aca="false">IF(S2621="","",IF(S2621&lt;=Setup!$B$5,"🏆 WINNER",""))</f>
        <v/>
      </c>
      <c r="U2621" s="24" t="str">
        <f aca="false">IF(S2621="","",I2621&amp;"|"&amp;S2621)</f>
        <v/>
      </c>
    </row>
    <row r="2622" customFormat="false" ht="15" hidden="false" customHeight="false" outlineLevel="0" collapsed="false">
      <c r="A2622" s="31" t="n">
        <v>2618</v>
      </c>
      <c r="B2622" s="32" t="str">
        <f aca="false">IF(OR(C2622="",I2622="",G2622=""),"",IFERROR(VLOOKUP(I2622,Setup!$A$9:$B$11,2,0),"???")&amp;"-"&amp;G2622&amp;"-"&amp;TEXT(COUNTIFS(I$5:I2622,I2622,G$5:G2622,G2622),"0000"))</f>
        <v/>
      </c>
      <c r="C2622" s="26"/>
      <c r="D2622" s="26"/>
      <c r="E2622" s="27"/>
      <c r="F2622" s="27"/>
      <c r="G2622" s="31" t="str">
        <f aca="false">IF(F2622="","",IF(F2622&lt;=5,"A",IF(F2622&lt;=8,"B",IF(F2622&lt;=10,"C","D"))))</f>
        <v/>
      </c>
      <c r="H2622" s="28"/>
      <c r="I2622" s="27"/>
      <c r="J2622" s="26"/>
      <c r="K2622" s="27"/>
      <c r="L2622" s="27"/>
      <c r="M2622" s="27"/>
      <c r="N2622" s="27"/>
      <c r="O2622" s="31" t="str">
        <f aca="false">IF(G2622="","",VLOOKUP(G2622,Setup!$A$14:$C$17,3,0))</f>
        <v/>
      </c>
      <c r="P2622" s="27"/>
      <c r="Q2622" s="33" t="str">
        <f aca="false">IF(OR(P2622="",M2622&lt;&gt;"Paid",O2622=""),"",P2622/O2622)</f>
        <v/>
      </c>
      <c r="R2622" s="34" t="str">
        <f aca="false">IF(Q2622="","",Q2622+N(H2622)*0.000000001)</f>
        <v/>
      </c>
      <c r="S2622" s="32" t="str">
        <f aca="false">IF(R2622="","",SUMPRODUCT((I$5:I$4004=I2622)*ISNUMBER(R$5:R$4004)*(R$5:R$4004&gt;R2622))+1)</f>
        <v/>
      </c>
      <c r="T2622" s="32" t="str">
        <f aca="false">IF(S2622="","",IF(S2622&lt;=Setup!$B$5,"🏆 WINNER",""))</f>
        <v/>
      </c>
      <c r="U2622" s="31" t="str">
        <f aca="false">IF(S2622="","",I2622&amp;"|"&amp;S2622)</f>
        <v/>
      </c>
    </row>
    <row r="2623" customFormat="false" ht="15" hidden="false" customHeight="false" outlineLevel="0" collapsed="false">
      <c r="A2623" s="24" t="n">
        <v>2619</v>
      </c>
      <c r="B2623" s="25" t="str">
        <f aca="false">IF(OR(C2623="",I2623="",G2623=""),"",IFERROR(VLOOKUP(I2623,Setup!$A$9:$B$11,2,0),"???")&amp;"-"&amp;G2623&amp;"-"&amp;TEXT(COUNTIFS(I$5:I2623,I2623,G$5:G2623,G2623),"0000"))</f>
        <v/>
      </c>
      <c r="C2623" s="26"/>
      <c r="D2623" s="26"/>
      <c r="E2623" s="27"/>
      <c r="F2623" s="27"/>
      <c r="G2623" s="24" t="str">
        <f aca="false">IF(F2623="","",IF(F2623&lt;=5,"A",IF(F2623&lt;=8,"B",IF(F2623&lt;=10,"C","D"))))</f>
        <v/>
      </c>
      <c r="H2623" s="28"/>
      <c r="I2623" s="27"/>
      <c r="J2623" s="26"/>
      <c r="K2623" s="27"/>
      <c r="L2623" s="27"/>
      <c r="M2623" s="27"/>
      <c r="N2623" s="27"/>
      <c r="O2623" s="24" t="str">
        <f aca="false">IF(G2623="","",VLOOKUP(G2623,Setup!$A$14:$C$17,3,0))</f>
        <v/>
      </c>
      <c r="P2623" s="27"/>
      <c r="Q2623" s="29" t="str">
        <f aca="false">IF(OR(P2623="",M2623&lt;&gt;"Paid",O2623=""),"",P2623/O2623)</f>
        <v/>
      </c>
      <c r="R2623" s="30" t="str">
        <f aca="false">IF(Q2623="","",Q2623+N(H2623)*0.000000001)</f>
        <v/>
      </c>
      <c r="S2623" s="25" t="str">
        <f aca="false">IF(R2623="","",SUMPRODUCT((I$5:I$4004=I2623)*ISNUMBER(R$5:R$4004)*(R$5:R$4004&gt;R2623))+1)</f>
        <v/>
      </c>
      <c r="T2623" s="25" t="str">
        <f aca="false">IF(S2623="","",IF(S2623&lt;=Setup!$B$5,"🏆 WINNER",""))</f>
        <v/>
      </c>
      <c r="U2623" s="24" t="str">
        <f aca="false">IF(S2623="","",I2623&amp;"|"&amp;S2623)</f>
        <v/>
      </c>
    </row>
    <row r="2624" customFormat="false" ht="15" hidden="false" customHeight="false" outlineLevel="0" collapsed="false">
      <c r="A2624" s="31" t="n">
        <v>2620</v>
      </c>
      <c r="B2624" s="32" t="str">
        <f aca="false">IF(OR(C2624="",I2624="",G2624=""),"",IFERROR(VLOOKUP(I2624,Setup!$A$9:$B$11,2,0),"???")&amp;"-"&amp;G2624&amp;"-"&amp;TEXT(COUNTIFS(I$5:I2624,I2624,G$5:G2624,G2624),"0000"))</f>
        <v/>
      </c>
      <c r="C2624" s="26"/>
      <c r="D2624" s="26"/>
      <c r="E2624" s="27"/>
      <c r="F2624" s="27"/>
      <c r="G2624" s="31" t="str">
        <f aca="false">IF(F2624="","",IF(F2624&lt;=5,"A",IF(F2624&lt;=8,"B",IF(F2624&lt;=10,"C","D"))))</f>
        <v/>
      </c>
      <c r="H2624" s="28"/>
      <c r="I2624" s="27"/>
      <c r="J2624" s="26"/>
      <c r="K2624" s="27"/>
      <c r="L2624" s="27"/>
      <c r="M2624" s="27"/>
      <c r="N2624" s="27"/>
      <c r="O2624" s="31" t="str">
        <f aca="false">IF(G2624="","",VLOOKUP(G2624,Setup!$A$14:$C$17,3,0))</f>
        <v/>
      </c>
      <c r="P2624" s="27"/>
      <c r="Q2624" s="33" t="str">
        <f aca="false">IF(OR(P2624="",M2624&lt;&gt;"Paid",O2624=""),"",P2624/O2624)</f>
        <v/>
      </c>
      <c r="R2624" s="34" t="str">
        <f aca="false">IF(Q2624="","",Q2624+N(H2624)*0.000000001)</f>
        <v/>
      </c>
      <c r="S2624" s="32" t="str">
        <f aca="false">IF(R2624="","",SUMPRODUCT((I$5:I$4004=I2624)*ISNUMBER(R$5:R$4004)*(R$5:R$4004&gt;R2624))+1)</f>
        <v/>
      </c>
      <c r="T2624" s="32" t="str">
        <f aca="false">IF(S2624="","",IF(S2624&lt;=Setup!$B$5,"🏆 WINNER",""))</f>
        <v/>
      </c>
      <c r="U2624" s="31" t="str">
        <f aca="false">IF(S2624="","",I2624&amp;"|"&amp;S2624)</f>
        <v/>
      </c>
    </row>
    <row r="2625" customFormat="false" ht="15" hidden="false" customHeight="false" outlineLevel="0" collapsed="false">
      <c r="A2625" s="24" t="n">
        <v>2621</v>
      </c>
      <c r="B2625" s="25" t="str">
        <f aca="false">IF(OR(C2625="",I2625="",G2625=""),"",IFERROR(VLOOKUP(I2625,Setup!$A$9:$B$11,2,0),"???")&amp;"-"&amp;G2625&amp;"-"&amp;TEXT(COUNTIFS(I$5:I2625,I2625,G$5:G2625,G2625),"0000"))</f>
        <v/>
      </c>
      <c r="C2625" s="26"/>
      <c r="D2625" s="26"/>
      <c r="E2625" s="27"/>
      <c r="F2625" s="27"/>
      <c r="G2625" s="24" t="str">
        <f aca="false">IF(F2625="","",IF(F2625&lt;=5,"A",IF(F2625&lt;=8,"B",IF(F2625&lt;=10,"C","D"))))</f>
        <v/>
      </c>
      <c r="H2625" s="28"/>
      <c r="I2625" s="27"/>
      <c r="J2625" s="26"/>
      <c r="K2625" s="27"/>
      <c r="L2625" s="27"/>
      <c r="M2625" s="27"/>
      <c r="N2625" s="27"/>
      <c r="O2625" s="24" t="str">
        <f aca="false">IF(G2625="","",VLOOKUP(G2625,Setup!$A$14:$C$17,3,0))</f>
        <v/>
      </c>
      <c r="P2625" s="27"/>
      <c r="Q2625" s="29" t="str">
        <f aca="false">IF(OR(P2625="",M2625&lt;&gt;"Paid",O2625=""),"",P2625/O2625)</f>
        <v/>
      </c>
      <c r="R2625" s="30" t="str">
        <f aca="false">IF(Q2625="","",Q2625+N(H2625)*0.000000001)</f>
        <v/>
      </c>
      <c r="S2625" s="25" t="str">
        <f aca="false">IF(R2625="","",SUMPRODUCT((I$5:I$4004=I2625)*ISNUMBER(R$5:R$4004)*(R$5:R$4004&gt;R2625))+1)</f>
        <v/>
      </c>
      <c r="T2625" s="25" t="str">
        <f aca="false">IF(S2625="","",IF(S2625&lt;=Setup!$B$5,"🏆 WINNER",""))</f>
        <v/>
      </c>
      <c r="U2625" s="24" t="str">
        <f aca="false">IF(S2625="","",I2625&amp;"|"&amp;S2625)</f>
        <v/>
      </c>
    </row>
    <row r="2626" customFormat="false" ht="15" hidden="false" customHeight="false" outlineLevel="0" collapsed="false">
      <c r="A2626" s="31" t="n">
        <v>2622</v>
      </c>
      <c r="B2626" s="32" t="str">
        <f aca="false">IF(OR(C2626="",I2626="",G2626=""),"",IFERROR(VLOOKUP(I2626,Setup!$A$9:$B$11,2,0),"???")&amp;"-"&amp;G2626&amp;"-"&amp;TEXT(COUNTIFS(I$5:I2626,I2626,G$5:G2626,G2626),"0000"))</f>
        <v/>
      </c>
      <c r="C2626" s="26"/>
      <c r="D2626" s="26"/>
      <c r="E2626" s="27"/>
      <c r="F2626" s="27"/>
      <c r="G2626" s="31" t="str">
        <f aca="false">IF(F2626="","",IF(F2626&lt;=5,"A",IF(F2626&lt;=8,"B",IF(F2626&lt;=10,"C","D"))))</f>
        <v/>
      </c>
      <c r="H2626" s="28"/>
      <c r="I2626" s="27"/>
      <c r="J2626" s="26"/>
      <c r="K2626" s="27"/>
      <c r="L2626" s="27"/>
      <c r="M2626" s="27"/>
      <c r="N2626" s="27"/>
      <c r="O2626" s="31" t="str">
        <f aca="false">IF(G2626="","",VLOOKUP(G2626,Setup!$A$14:$C$17,3,0))</f>
        <v/>
      </c>
      <c r="P2626" s="27"/>
      <c r="Q2626" s="33" t="str">
        <f aca="false">IF(OR(P2626="",M2626&lt;&gt;"Paid",O2626=""),"",P2626/O2626)</f>
        <v/>
      </c>
      <c r="R2626" s="34" t="str">
        <f aca="false">IF(Q2626="","",Q2626+N(H2626)*0.000000001)</f>
        <v/>
      </c>
      <c r="S2626" s="32" t="str">
        <f aca="false">IF(R2626="","",SUMPRODUCT((I$5:I$4004=I2626)*ISNUMBER(R$5:R$4004)*(R$5:R$4004&gt;R2626))+1)</f>
        <v/>
      </c>
      <c r="T2626" s="32" t="str">
        <f aca="false">IF(S2626="","",IF(S2626&lt;=Setup!$B$5,"🏆 WINNER",""))</f>
        <v/>
      </c>
      <c r="U2626" s="31" t="str">
        <f aca="false">IF(S2626="","",I2626&amp;"|"&amp;S2626)</f>
        <v/>
      </c>
    </row>
    <row r="2627" customFormat="false" ht="15" hidden="false" customHeight="false" outlineLevel="0" collapsed="false">
      <c r="A2627" s="24" t="n">
        <v>2623</v>
      </c>
      <c r="B2627" s="25" t="str">
        <f aca="false">IF(OR(C2627="",I2627="",G2627=""),"",IFERROR(VLOOKUP(I2627,Setup!$A$9:$B$11,2,0),"???")&amp;"-"&amp;G2627&amp;"-"&amp;TEXT(COUNTIFS(I$5:I2627,I2627,G$5:G2627,G2627),"0000"))</f>
        <v/>
      </c>
      <c r="C2627" s="26"/>
      <c r="D2627" s="26"/>
      <c r="E2627" s="27"/>
      <c r="F2627" s="27"/>
      <c r="G2627" s="24" t="str">
        <f aca="false">IF(F2627="","",IF(F2627&lt;=5,"A",IF(F2627&lt;=8,"B",IF(F2627&lt;=10,"C","D"))))</f>
        <v/>
      </c>
      <c r="H2627" s="28"/>
      <c r="I2627" s="27"/>
      <c r="J2627" s="26"/>
      <c r="K2627" s="27"/>
      <c r="L2627" s="27"/>
      <c r="M2627" s="27"/>
      <c r="N2627" s="27"/>
      <c r="O2627" s="24" t="str">
        <f aca="false">IF(G2627="","",VLOOKUP(G2627,Setup!$A$14:$C$17,3,0))</f>
        <v/>
      </c>
      <c r="P2627" s="27"/>
      <c r="Q2627" s="29" t="str">
        <f aca="false">IF(OR(P2627="",M2627&lt;&gt;"Paid",O2627=""),"",P2627/O2627)</f>
        <v/>
      </c>
      <c r="R2627" s="30" t="str">
        <f aca="false">IF(Q2627="","",Q2627+N(H2627)*0.000000001)</f>
        <v/>
      </c>
      <c r="S2627" s="25" t="str">
        <f aca="false">IF(R2627="","",SUMPRODUCT((I$5:I$4004=I2627)*ISNUMBER(R$5:R$4004)*(R$5:R$4004&gt;R2627))+1)</f>
        <v/>
      </c>
      <c r="T2627" s="25" t="str">
        <f aca="false">IF(S2627="","",IF(S2627&lt;=Setup!$B$5,"🏆 WINNER",""))</f>
        <v/>
      </c>
      <c r="U2627" s="24" t="str">
        <f aca="false">IF(S2627="","",I2627&amp;"|"&amp;S2627)</f>
        <v/>
      </c>
    </row>
    <row r="2628" customFormat="false" ht="15" hidden="false" customHeight="false" outlineLevel="0" collapsed="false">
      <c r="A2628" s="31" t="n">
        <v>2624</v>
      </c>
      <c r="B2628" s="32" t="str">
        <f aca="false">IF(OR(C2628="",I2628="",G2628=""),"",IFERROR(VLOOKUP(I2628,Setup!$A$9:$B$11,2,0),"???")&amp;"-"&amp;G2628&amp;"-"&amp;TEXT(COUNTIFS(I$5:I2628,I2628,G$5:G2628,G2628),"0000"))</f>
        <v/>
      </c>
      <c r="C2628" s="26"/>
      <c r="D2628" s="26"/>
      <c r="E2628" s="27"/>
      <c r="F2628" s="27"/>
      <c r="G2628" s="31" t="str">
        <f aca="false">IF(F2628="","",IF(F2628&lt;=5,"A",IF(F2628&lt;=8,"B",IF(F2628&lt;=10,"C","D"))))</f>
        <v/>
      </c>
      <c r="H2628" s="28"/>
      <c r="I2628" s="27"/>
      <c r="J2628" s="26"/>
      <c r="K2628" s="27"/>
      <c r="L2628" s="27"/>
      <c r="M2628" s="27"/>
      <c r="N2628" s="27"/>
      <c r="O2628" s="31" t="str">
        <f aca="false">IF(G2628="","",VLOOKUP(G2628,Setup!$A$14:$C$17,3,0))</f>
        <v/>
      </c>
      <c r="P2628" s="27"/>
      <c r="Q2628" s="33" t="str">
        <f aca="false">IF(OR(P2628="",M2628&lt;&gt;"Paid",O2628=""),"",P2628/O2628)</f>
        <v/>
      </c>
      <c r="R2628" s="34" t="str">
        <f aca="false">IF(Q2628="","",Q2628+N(H2628)*0.000000001)</f>
        <v/>
      </c>
      <c r="S2628" s="32" t="str">
        <f aca="false">IF(R2628="","",SUMPRODUCT((I$5:I$4004=I2628)*ISNUMBER(R$5:R$4004)*(R$5:R$4004&gt;R2628))+1)</f>
        <v/>
      </c>
      <c r="T2628" s="32" t="str">
        <f aca="false">IF(S2628="","",IF(S2628&lt;=Setup!$B$5,"🏆 WINNER",""))</f>
        <v/>
      </c>
      <c r="U2628" s="31" t="str">
        <f aca="false">IF(S2628="","",I2628&amp;"|"&amp;S2628)</f>
        <v/>
      </c>
    </row>
    <row r="2629" customFormat="false" ht="15" hidden="false" customHeight="false" outlineLevel="0" collapsed="false">
      <c r="A2629" s="24" t="n">
        <v>2625</v>
      </c>
      <c r="B2629" s="25" t="str">
        <f aca="false">IF(OR(C2629="",I2629="",G2629=""),"",IFERROR(VLOOKUP(I2629,Setup!$A$9:$B$11,2,0),"???")&amp;"-"&amp;G2629&amp;"-"&amp;TEXT(COUNTIFS(I$5:I2629,I2629,G$5:G2629,G2629),"0000"))</f>
        <v/>
      </c>
      <c r="C2629" s="26"/>
      <c r="D2629" s="26"/>
      <c r="E2629" s="27"/>
      <c r="F2629" s="27"/>
      <c r="G2629" s="24" t="str">
        <f aca="false">IF(F2629="","",IF(F2629&lt;=5,"A",IF(F2629&lt;=8,"B",IF(F2629&lt;=10,"C","D"))))</f>
        <v/>
      </c>
      <c r="H2629" s="28"/>
      <c r="I2629" s="27"/>
      <c r="J2629" s="26"/>
      <c r="K2629" s="27"/>
      <c r="L2629" s="27"/>
      <c r="M2629" s="27"/>
      <c r="N2629" s="27"/>
      <c r="O2629" s="24" t="str">
        <f aca="false">IF(G2629="","",VLOOKUP(G2629,Setup!$A$14:$C$17,3,0))</f>
        <v/>
      </c>
      <c r="P2629" s="27"/>
      <c r="Q2629" s="29" t="str">
        <f aca="false">IF(OR(P2629="",M2629&lt;&gt;"Paid",O2629=""),"",P2629/O2629)</f>
        <v/>
      </c>
      <c r="R2629" s="30" t="str">
        <f aca="false">IF(Q2629="","",Q2629+N(H2629)*0.000000001)</f>
        <v/>
      </c>
      <c r="S2629" s="25" t="str">
        <f aca="false">IF(R2629="","",SUMPRODUCT((I$5:I$4004=I2629)*ISNUMBER(R$5:R$4004)*(R$5:R$4004&gt;R2629))+1)</f>
        <v/>
      </c>
      <c r="T2629" s="25" t="str">
        <f aca="false">IF(S2629="","",IF(S2629&lt;=Setup!$B$5,"🏆 WINNER",""))</f>
        <v/>
      </c>
      <c r="U2629" s="24" t="str">
        <f aca="false">IF(S2629="","",I2629&amp;"|"&amp;S2629)</f>
        <v/>
      </c>
    </row>
    <row r="2630" customFormat="false" ht="15" hidden="false" customHeight="false" outlineLevel="0" collapsed="false">
      <c r="A2630" s="31" t="n">
        <v>2626</v>
      </c>
      <c r="B2630" s="32" t="str">
        <f aca="false">IF(OR(C2630="",I2630="",G2630=""),"",IFERROR(VLOOKUP(I2630,Setup!$A$9:$B$11,2,0),"???")&amp;"-"&amp;G2630&amp;"-"&amp;TEXT(COUNTIFS(I$5:I2630,I2630,G$5:G2630,G2630),"0000"))</f>
        <v/>
      </c>
      <c r="C2630" s="26"/>
      <c r="D2630" s="26"/>
      <c r="E2630" s="27"/>
      <c r="F2630" s="27"/>
      <c r="G2630" s="31" t="str">
        <f aca="false">IF(F2630="","",IF(F2630&lt;=5,"A",IF(F2630&lt;=8,"B",IF(F2630&lt;=10,"C","D"))))</f>
        <v/>
      </c>
      <c r="H2630" s="28"/>
      <c r="I2630" s="27"/>
      <c r="J2630" s="26"/>
      <c r="K2630" s="27"/>
      <c r="L2630" s="27"/>
      <c r="M2630" s="27"/>
      <c r="N2630" s="27"/>
      <c r="O2630" s="31" t="str">
        <f aca="false">IF(G2630="","",VLOOKUP(G2630,Setup!$A$14:$C$17,3,0))</f>
        <v/>
      </c>
      <c r="P2630" s="27"/>
      <c r="Q2630" s="33" t="str">
        <f aca="false">IF(OR(P2630="",M2630&lt;&gt;"Paid",O2630=""),"",P2630/O2630)</f>
        <v/>
      </c>
      <c r="R2630" s="34" t="str">
        <f aca="false">IF(Q2630="","",Q2630+N(H2630)*0.000000001)</f>
        <v/>
      </c>
      <c r="S2630" s="32" t="str">
        <f aca="false">IF(R2630="","",SUMPRODUCT((I$5:I$4004=I2630)*ISNUMBER(R$5:R$4004)*(R$5:R$4004&gt;R2630))+1)</f>
        <v/>
      </c>
      <c r="T2630" s="32" t="str">
        <f aca="false">IF(S2630="","",IF(S2630&lt;=Setup!$B$5,"🏆 WINNER",""))</f>
        <v/>
      </c>
      <c r="U2630" s="31" t="str">
        <f aca="false">IF(S2630="","",I2630&amp;"|"&amp;S2630)</f>
        <v/>
      </c>
    </row>
    <row r="2631" customFormat="false" ht="15" hidden="false" customHeight="false" outlineLevel="0" collapsed="false">
      <c r="A2631" s="24" t="n">
        <v>2627</v>
      </c>
      <c r="B2631" s="25" t="str">
        <f aca="false">IF(OR(C2631="",I2631="",G2631=""),"",IFERROR(VLOOKUP(I2631,Setup!$A$9:$B$11,2,0),"???")&amp;"-"&amp;G2631&amp;"-"&amp;TEXT(COUNTIFS(I$5:I2631,I2631,G$5:G2631,G2631),"0000"))</f>
        <v/>
      </c>
      <c r="C2631" s="26"/>
      <c r="D2631" s="26"/>
      <c r="E2631" s="27"/>
      <c r="F2631" s="27"/>
      <c r="G2631" s="24" t="str">
        <f aca="false">IF(F2631="","",IF(F2631&lt;=5,"A",IF(F2631&lt;=8,"B",IF(F2631&lt;=10,"C","D"))))</f>
        <v/>
      </c>
      <c r="H2631" s="28"/>
      <c r="I2631" s="27"/>
      <c r="J2631" s="26"/>
      <c r="K2631" s="27"/>
      <c r="L2631" s="27"/>
      <c r="M2631" s="27"/>
      <c r="N2631" s="27"/>
      <c r="O2631" s="24" t="str">
        <f aca="false">IF(G2631="","",VLOOKUP(G2631,Setup!$A$14:$C$17,3,0))</f>
        <v/>
      </c>
      <c r="P2631" s="27"/>
      <c r="Q2631" s="29" t="str">
        <f aca="false">IF(OR(P2631="",M2631&lt;&gt;"Paid",O2631=""),"",P2631/O2631)</f>
        <v/>
      </c>
      <c r="R2631" s="30" t="str">
        <f aca="false">IF(Q2631="","",Q2631+N(H2631)*0.000000001)</f>
        <v/>
      </c>
      <c r="S2631" s="25" t="str">
        <f aca="false">IF(R2631="","",SUMPRODUCT((I$5:I$4004=I2631)*ISNUMBER(R$5:R$4004)*(R$5:R$4004&gt;R2631))+1)</f>
        <v/>
      </c>
      <c r="T2631" s="25" t="str">
        <f aca="false">IF(S2631="","",IF(S2631&lt;=Setup!$B$5,"🏆 WINNER",""))</f>
        <v/>
      </c>
      <c r="U2631" s="24" t="str">
        <f aca="false">IF(S2631="","",I2631&amp;"|"&amp;S2631)</f>
        <v/>
      </c>
    </row>
    <row r="2632" customFormat="false" ht="15" hidden="false" customHeight="false" outlineLevel="0" collapsed="false">
      <c r="A2632" s="31" t="n">
        <v>2628</v>
      </c>
      <c r="B2632" s="32" t="str">
        <f aca="false">IF(OR(C2632="",I2632="",G2632=""),"",IFERROR(VLOOKUP(I2632,Setup!$A$9:$B$11,2,0),"???")&amp;"-"&amp;G2632&amp;"-"&amp;TEXT(COUNTIFS(I$5:I2632,I2632,G$5:G2632,G2632),"0000"))</f>
        <v/>
      </c>
      <c r="C2632" s="26"/>
      <c r="D2632" s="26"/>
      <c r="E2632" s="27"/>
      <c r="F2632" s="27"/>
      <c r="G2632" s="31" t="str">
        <f aca="false">IF(F2632="","",IF(F2632&lt;=5,"A",IF(F2632&lt;=8,"B",IF(F2632&lt;=10,"C","D"))))</f>
        <v/>
      </c>
      <c r="H2632" s="28"/>
      <c r="I2632" s="27"/>
      <c r="J2632" s="26"/>
      <c r="K2632" s="27"/>
      <c r="L2632" s="27"/>
      <c r="M2632" s="27"/>
      <c r="N2632" s="27"/>
      <c r="O2632" s="31" t="str">
        <f aca="false">IF(G2632="","",VLOOKUP(G2632,Setup!$A$14:$C$17,3,0))</f>
        <v/>
      </c>
      <c r="P2632" s="27"/>
      <c r="Q2632" s="33" t="str">
        <f aca="false">IF(OR(P2632="",M2632&lt;&gt;"Paid",O2632=""),"",P2632/O2632)</f>
        <v/>
      </c>
      <c r="R2632" s="34" t="str">
        <f aca="false">IF(Q2632="","",Q2632+N(H2632)*0.000000001)</f>
        <v/>
      </c>
      <c r="S2632" s="32" t="str">
        <f aca="false">IF(R2632="","",SUMPRODUCT((I$5:I$4004=I2632)*ISNUMBER(R$5:R$4004)*(R$5:R$4004&gt;R2632))+1)</f>
        <v/>
      </c>
      <c r="T2632" s="32" t="str">
        <f aca="false">IF(S2632="","",IF(S2632&lt;=Setup!$B$5,"🏆 WINNER",""))</f>
        <v/>
      </c>
      <c r="U2632" s="31" t="str">
        <f aca="false">IF(S2632="","",I2632&amp;"|"&amp;S2632)</f>
        <v/>
      </c>
    </row>
    <row r="2633" customFormat="false" ht="15" hidden="false" customHeight="false" outlineLevel="0" collapsed="false">
      <c r="A2633" s="24" t="n">
        <v>2629</v>
      </c>
      <c r="B2633" s="25" t="str">
        <f aca="false">IF(OR(C2633="",I2633="",G2633=""),"",IFERROR(VLOOKUP(I2633,Setup!$A$9:$B$11,2,0),"???")&amp;"-"&amp;G2633&amp;"-"&amp;TEXT(COUNTIFS(I$5:I2633,I2633,G$5:G2633,G2633),"0000"))</f>
        <v/>
      </c>
      <c r="C2633" s="26"/>
      <c r="D2633" s="26"/>
      <c r="E2633" s="27"/>
      <c r="F2633" s="27"/>
      <c r="G2633" s="24" t="str">
        <f aca="false">IF(F2633="","",IF(F2633&lt;=5,"A",IF(F2633&lt;=8,"B",IF(F2633&lt;=10,"C","D"))))</f>
        <v/>
      </c>
      <c r="H2633" s="28"/>
      <c r="I2633" s="27"/>
      <c r="J2633" s="26"/>
      <c r="K2633" s="27"/>
      <c r="L2633" s="27"/>
      <c r="M2633" s="27"/>
      <c r="N2633" s="27"/>
      <c r="O2633" s="24" t="str">
        <f aca="false">IF(G2633="","",VLOOKUP(G2633,Setup!$A$14:$C$17,3,0))</f>
        <v/>
      </c>
      <c r="P2633" s="27"/>
      <c r="Q2633" s="29" t="str">
        <f aca="false">IF(OR(P2633="",M2633&lt;&gt;"Paid",O2633=""),"",P2633/O2633)</f>
        <v/>
      </c>
      <c r="R2633" s="30" t="str">
        <f aca="false">IF(Q2633="","",Q2633+N(H2633)*0.000000001)</f>
        <v/>
      </c>
      <c r="S2633" s="25" t="str">
        <f aca="false">IF(R2633="","",SUMPRODUCT((I$5:I$4004=I2633)*ISNUMBER(R$5:R$4004)*(R$5:R$4004&gt;R2633))+1)</f>
        <v/>
      </c>
      <c r="T2633" s="25" t="str">
        <f aca="false">IF(S2633="","",IF(S2633&lt;=Setup!$B$5,"🏆 WINNER",""))</f>
        <v/>
      </c>
      <c r="U2633" s="24" t="str">
        <f aca="false">IF(S2633="","",I2633&amp;"|"&amp;S2633)</f>
        <v/>
      </c>
    </row>
    <row r="2634" customFormat="false" ht="15" hidden="false" customHeight="false" outlineLevel="0" collapsed="false">
      <c r="A2634" s="31" t="n">
        <v>2630</v>
      </c>
      <c r="B2634" s="32" t="str">
        <f aca="false">IF(OR(C2634="",I2634="",G2634=""),"",IFERROR(VLOOKUP(I2634,Setup!$A$9:$B$11,2,0),"???")&amp;"-"&amp;G2634&amp;"-"&amp;TEXT(COUNTIFS(I$5:I2634,I2634,G$5:G2634,G2634),"0000"))</f>
        <v/>
      </c>
      <c r="C2634" s="26"/>
      <c r="D2634" s="26"/>
      <c r="E2634" s="27"/>
      <c r="F2634" s="27"/>
      <c r="G2634" s="31" t="str">
        <f aca="false">IF(F2634="","",IF(F2634&lt;=5,"A",IF(F2634&lt;=8,"B",IF(F2634&lt;=10,"C","D"))))</f>
        <v/>
      </c>
      <c r="H2634" s="28"/>
      <c r="I2634" s="27"/>
      <c r="J2634" s="26"/>
      <c r="K2634" s="27"/>
      <c r="L2634" s="27"/>
      <c r="M2634" s="27"/>
      <c r="N2634" s="27"/>
      <c r="O2634" s="31" t="str">
        <f aca="false">IF(G2634="","",VLOOKUP(G2634,Setup!$A$14:$C$17,3,0))</f>
        <v/>
      </c>
      <c r="P2634" s="27"/>
      <c r="Q2634" s="33" t="str">
        <f aca="false">IF(OR(P2634="",M2634&lt;&gt;"Paid",O2634=""),"",P2634/O2634)</f>
        <v/>
      </c>
      <c r="R2634" s="34" t="str">
        <f aca="false">IF(Q2634="","",Q2634+N(H2634)*0.000000001)</f>
        <v/>
      </c>
      <c r="S2634" s="32" t="str">
        <f aca="false">IF(R2634="","",SUMPRODUCT((I$5:I$4004=I2634)*ISNUMBER(R$5:R$4004)*(R$5:R$4004&gt;R2634))+1)</f>
        <v/>
      </c>
      <c r="T2634" s="32" t="str">
        <f aca="false">IF(S2634="","",IF(S2634&lt;=Setup!$B$5,"🏆 WINNER",""))</f>
        <v/>
      </c>
      <c r="U2634" s="31" t="str">
        <f aca="false">IF(S2634="","",I2634&amp;"|"&amp;S2634)</f>
        <v/>
      </c>
    </row>
    <row r="2635" customFormat="false" ht="15" hidden="false" customHeight="false" outlineLevel="0" collapsed="false">
      <c r="A2635" s="24" t="n">
        <v>2631</v>
      </c>
      <c r="B2635" s="25" t="str">
        <f aca="false">IF(OR(C2635="",I2635="",G2635=""),"",IFERROR(VLOOKUP(I2635,Setup!$A$9:$B$11,2,0),"???")&amp;"-"&amp;G2635&amp;"-"&amp;TEXT(COUNTIFS(I$5:I2635,I2635,G$5:G2635,G2635),"0000"))</f>
        <v/>
      </c>
      <c r="C2635" s="26"/>
      <c r="D2635" s="26"/>
      <c r="E2635" s="27"/>
      <c r="F2635" s="27"/>
      <c r="G2635" s="24" t="str">
        <f aca="false">IF(F2635="","",IF(F2635&lt;=5,"A",IF(F2635&lt;=8,"B",IF(F2635&lt;=10,"C","D"))))</f>
        <v/>
      </c>
      <c r="H2635" s="28"/>
      <c r="I2635" s="27"/>
      <c r="J2635" s="26"/>
      <c r="K2635" s="27"/>
      <c r="L2635" s="27"/>
      <c r="M2635" s="27"/>
      <c r="N2635" s="27"/>
      <c r="O2635" s="24" t="str">
        <f aca="false">IF(G2635="","",VLOOKUP(G2635,Setup!$A$14:$C$17,3,0))</f>
        <v/>
      </c>
      <c r="P2635" s="27"/>
      <c r="Q2635" s="29" t="str">
        <f aca="false">IF(OR(P2635="",M2635&lt;&gt;"Paid",O2635=""),"",P2635/O2635)</f>
        <v/>
      </c>
      <c r="R2635" s="30" t="str">
        <f aca="false">IF(Q2635="","",Q2635+N(H2635)*0.000000001)</f>
        <v/>
      </c>
      <c r="S2635" s="25" t="str">
        <f aca="false">IF(R2635="","",SUMPRODUCT((I$5:I$4004=I2635)*ISNUMBER(R$5:R$4004)*(R$5:R$4004&gt;R2635))+1)</f>
        <v/>
      </c>
      <c r="T2635" s="25" t="str">
        <f aca="false">IF(S2635="","",IF(S2635&lt;=Setup!$B$5,"🏆 WINNER",""))</f>
        <v/>
      </c>
      <c r="U2635" s="24" t="str">
        <f aca="false">IF(S2635="","",I2635&amp;"|"&amp;S2635)</f>
        <v/>
      </c>
    </row>
    <row r="2636" customFormat="false" ht="15" hidden="false" customHeight="false" outlineLevel="0" collapsed="false">
      <c r="A2636" s="31" t="n">
        <v>2632</v>
      </c>
      <c r="B2636" s="32" t="str">
        <f aca="false">IF(OR(C2636="",I2636="",G2636=""),"",IFERROR(VLOOKUP(I2636,Setup!$A$9:$B$11,2,0),"???")&amp;"-"&amp;G2636&amp;"-"&amp;TEXT(COUNTIFS(I$5:I2636,I2636,G$5:G2636,G2636),"0000"))</f>
        <v/>
      </c>
      <c r="C2636" s="26"/>
      <c r="D2636" s="26"/>
      <c r="E2636" s="27"/>
      <c r="F2636" s="27"/>
      <c r="G2636" s="31" t="str">
        <f aca="false">IF(F2636="","",IF(F2636&lt;=5,"A",IF(F2636&lt;=8,"B",IF(F2636&lt;=10,"C","D"))))</f>
        <v/>
      </c>
      <c r="H2636" s="28"/>
      <c r="I2636" s="27"/>
      <c r="J2636" s="26"/>
      <c r="K2636" s="27"/>
      <c r="L2636" s="27"/>
      <c r="M2636" s="27"/>
      <c r="N2636" s="27"/>
      <c r="O2636" s="31" t="str">
        <f aca="false">IF(G2636="","",VLOOKUP(G2636,Setup!$A$14:$C$17,3,0))</f>
        <v/>
      </c>
      <c r="P2636" s="27"/>
      <c r="Q2636" s="33" t="str">
        <f aca="false">IF(OR(P2636="",M2636&lt;&gt;"Paid",O2636=""),"",P2636/O2636)</f>
        <v/>
      </c>
      <c r="R2636" s="34" t="str">
        <f aca="false">IF(Q2636="","",Q2636+N(H2636)*0.000000001)</f>
        <v/>
      </c>
      <c r="S2636" s="32" t="str">
        <f aca="false">IF(R2636="","",SUMPRODUCT((I$5:I$4004=I2636)*ISNUMBER(R$5:R$4004)*(R$5:R$4004&gt;R2636))+1)</f>
        <v/>
      </c>
      <c r="T2636" s="32" t="str">
        <f aca="false">IF(S2636="","",IF(S2636&lt;=Setup!$B$5,"🏆 WINNER",""))</f>
        <v/>
      </c>
      <c r="U2636" s="31" t="str">
        <f aca="false">IF(S2636="","",I2636&amp;"|"&amp;S2636)</f>
        <v/>
      </c>
    </row>
    <row r="2637" customFormat="false" ht="15" hidden="false" customHeight="false" outlineLevel="0" collapsed="false">
      <c r="A2637" s="24" t="n">
        <v>2633</v>
      </c>
      <c r="B2637" s="25" t="str">
        <f aca="false">IF(OR(C2637="",I2637="",G2637=""),"",IFERROR(VLOOKUP(I2637,Setup!$A$9:$B$11,2,0),"???")&amp;"-"&amp;G2637&amp;"-"&amp;TEXT(COUNTIFS(I$5:I2637,I2637,G$5:G2637,G2637),"0000"))</f>
        <v/>
      </c>
      <c r="C2637" s="26"/>
      <c r="D2637" s="26"/>
      <c r="E2637" s="27"/>
      <c r="F2637" s="27"/>
      <c r="G2637" s="24" t="str">
        <f aca="false">IF(F2637="","",IF(F2637&lt;=5,"A",IF(F2637&lt;=8,"B",IF(F2637&lt;=10,"C","D"))))</f>
        <v/>
      </c>
      <c r="H2637" s="28"/>
      <c r="I2637" s="27"/>
      <c r="J2637" s="26"/>
      <c r="K2637" s="27"/>
      <c r="L2637" s="27"/>
      <c r="M2637" s="27"/>
      <c r="N2637" s="27"/>
      <c r="O2637" s="24" t="str">
        <f aca="false">IF(G2637="","",VLOOKUP(G2637,Setup!$A$14:$C$17,3,0))</f>
        <v/>
      </c>
      <c r="P2637" s="27"/>
      <c r="Q2637" s="29" t="str">
        <f aca="false">IF(OR(P2637="",M2637&lt;&gt;"Paid",O2637=""),"",P2637/O2637)</f>
        <v/>
      </c>
      <c r="R2637" s="30" t="str">
        <f aca="false">IF(Q2637="","",Q2637+N(H2637)*0.000000001)</f>
        <v/>
      </c>
      <c r="S2637" s="25" t="str">
        <f aca="false">IF(R2637="","",SUMPRODUCT((I$5:I$4004=I2637)*ISNUMBER(R$5:R$4004)*(R$5:R$4004&gt;R2637))+1)</f>
        <v/>
      </c>
      <c r="T2637" s="25" t="str">
        <f aca="false">IF(S2637="","",IF(S2637&lt;=Setup!$B$5,"🏆 WINNER",""))</f>
        <v/>
      </c>
      <c r="U2637" s="24" t="str">
        <f aca="false">IF(S2637="","",I2637&amp;"|"&amp;S2637)</f>
        <v/>
      </c>
    </row>
    <row r="2638" customFormat="false" ht="15" hidden="false" customHeight="false" outlineLevel="0" collapsed="false">
      <c r="A2638" s="31" t="n">
        <v>2634</v>
      </c>
      <c r="B2638" s="32" t="str">
        <f aca="false">IF(OR(C2638="",I2638="",G2638=""),"",IFERROR(VLOOKUP(I2638,Setup!$A$9:$B$11,2,0),"???")&amp;"-"&amp;G2638&amp;"-"&amp;TEXT(COUNTIFS(I$5:I2638,I2638,G$5:G2638,G2638),"0000"))</f>
        <v/>
      </c>
      <c r="C2638" s="26"/>
      <c r="D2638" s="26"/>
      <c r="E2638" s="27"/>
      <c r="F2638" s="27"/>
      <c r="G2638" s="31" t="str">
        <f aca="false">IF(F2638="","",IF(F2638&lt;=5,"A",IF(F2638&lt;=8,"B",IF(F2638&lt;=10,"C","D"))))</f>
        <v/>
      </c>
      <c r="H2638" s="28"/>
      <c r="I2638" s="27"/>
      <c r="J2638" s="26"/>
      <c r="K2638" s="27"/>
      <c r="L2638" s="27"/>
      <c r="M2638" s="27"/>
      <c r="N2638" s="27"/>
      <c r="O2638" s="31" t="str">
        <f aca="false">IF(G2638="","",VLOOKUP(G2638,Setup!$A$14:$C$17,3,0))</f>
        <v/>
      </c>
      <c r="P2638" s="27"/>
      <c r="Q2638" s="33" t="str">
        <f aca="false">IF(OR(P2638="",M2638&lt;&gt;"Paid",O2638=""),"",P2638/O2638)</f>
        <v/>
      </c>
      <c r="R2638" s="34" t="str">
        <f aca="false">IF(Q2638="","",Q2638+N(H2638)*0.000000001)</f>
        <v/>
      </c>
      <c r="S2638" s="32" t="str">
        <f aca="false">IF(R2638="","",SUMPRODUCT((I$5:I$4004=I2638)*ISNUMBER(R$5:R$4004)*(R$5:R$4004&gt;R2638))+1)</f>
        <v/>
      </c>
      <c r="T2638" s="32" t="str">
        <f aca="false">IF(S2638="","",IF(S2638&lt;=Setup!$B$5,"🏆 WINNER",""))</f>
        <v/>
      </c>
      <c r="U2638" s="31" t="str">
        <f aca="false">IF(S2638="","",I2638&amp;"|"&amp;S2638)</f>
        <v/>
      </c>
    </row>
    <row r="2639" customFormat="false" ht="15" hidden="false" customHeight="false" outlineLevel="0" collapsed="false">
      <c r="A2639" s="24" t="n">
        <v>2635</v>
      </c>
      <c r="B2639" s="25" t="str">
        <f aca="false">IF(OR(C2639="",I2639="",G2639=""),"",IFERROR(VLOOKUP(I2639,Setup!$A$9:$B$11,2,0),"???")&amp;"-"&amp;G2639&amp;"-"&amp;TEXT(COUNTIFS(I$5:I2639,I2639,G$5:G2639,G2639),"0000"))</f>
        <v/>
      </c>
      <c r="C2639" s="26"/>
      <c r="D2639" s="26"/>
      <c r="E2639" s="27"/>
      <c r="F2639" s="27"/>
      <c r="G2639" s="24" t="str">
        <f aca="false">IF(F2639="","",IF(F2639&lt;=5,"A",IF(F2639&lt;=8,"B",IF(F2639&lt;=10,"C","D"))))</f>
        <v/>
      </c>
      <c r="H2639" s="28"/>
      <c r="I2639" s="27"/>
      <c r="J2639" s="26"/>
      <c r="K2639" s="27"/>
      <c r="L2639" s="27"/>
      <c r="M2639" s="27"/>
      <c r="N2639" s="27"/>
      <c r="O2639" s="24" t="str">
        <f aca="false">IF(G2639="","",VLOOKUP(G2639,Setup!$A$14:$C$17,3,0))</f>
        <v/>
      </c>
      <c r="P2639" s="27"/>
      <c r="Q2639" s="29" t="str">
        <f aca="false">IF(OR(P2639="",M2639&lt;&gt;"Paid",O2639=""),"",P2639/O2639)</f>
        <v/>
      </c>
      <c r="R2639" s="30" t="str">
        <f aca="false">IF(Q2639="","",Q2639+N(H2639)*0.000000001)</f>
        <v/>
      </c>
      <c r="S2639" s="25" t="str">
        <f aca="false">IF(R2639="","",SUMPRODUCT((I$5:I$4004=I2639)*ISNUMBER(R$5:R$4004)*(R$5:R$4004&gt;R2639))+1)</f>
        <v/>
      </c>
      <c r="T2639" s="25" t="str">
        <f aca="false">IF(S2639="","",IF(S2639&lt;=Setup!$B$5,"🏆 WINNER",""))</f>
        <v/>
      </c>
      <c r="U2639" s="24" t="str">
        <f aca="false">IF(S2639="","",I2639&amp;"|"&amp;S2639)</f>
        <v/>
      </c>
    </row>
    <row r="2640" customFormat="false" ht="15" hidden="false" customHeight="false" outlineLevel="0" collapsed="false">
      <c r="A2640" s="31" t="n">
        <v>2636</v>
      </c>
      <c r="B2640" s="32" t="str">
        <f aca="false">IF(OR(C2640="",I2640="",G2640=""),"",IFERROR(VLOOKUP(I2640,Setup!$A$9:$B$11,2,0),"???")&amp;"-"&amp;G2640&amp;"-"&amp;TEXT(COUNTIFS(I$5:I2640,I2640,G$5:G2640,G2640),"0000"))</f>
        <v/>
      </c>
      <c r="C2640" s="26"/>
      <c r="D2640" s="26"/>
      <c r="E2640" s="27"/>
      <c r="F2640" s="27"/>
      <c r="G2640" s="31" t="str">
        <f aca="false">IF(F2640="","",IF(F2640&lt;=5,"A",IF(F2640&lt;=8,"B",IF(F2640&lt;=10,"C","D"))))</f>
        <v/>
      </c>
      <c r="H2640" s="28"/>
      <c r="I2640" s="27"/>
      <c r="J2640" s="26"/>
      <c r="K2640" s="27"/>
      <c r="L2640" s="27"/>
      <c r="M2640" s="27"/>
      <c r="N2640" s="27"/>
      <c r="O2640" s="31" t="str">
        <f aca="false">IF(G2640="","",VLOOKUP(G2640,Setup!$A$14:$C$17,3,0))</f>
        <v/>
      </c>
      <c r="P2640" s="27"/>
      <c r="Q2640" s="33" t="str">
        <f aca="false">IF(OR(P2640="",M2640&lt;&gt;"Paid",O2640=""),"",P2640/O2640)</f>
        <v/>
      </c>
      <c r="R2640" s="34" t="str">
        <f aca="false">IF(Q2640="","",Q2640+N(H2640)*0.000000001)</f>
        <v/>
      </c>
      <c r="S2640" s="32" t="str">
        <f aca="false">IF(R2640="","",SUMPRODUCT((I$5:I$4004=I2640)*ISNUMBER(R$5:R$4004)*(R$5:R$4004&gt;R2640))+1)</f>
        <v/>
      </c>
      <c r="T2640" s="32" t="str">
        <f aca="false">IF(S2640="","",IF(S2640&lt;=Setup!$B$5,"🏆 WINNER",""))</f>
        <v/>
      </c>
      <c r="U2640" s="31" t="str">
        <f aca="false">IF(S2640="","",I2640&amp;"|"&amp;S2640)</f>
        <v/>
      </c>
    </row>
    <row r="2641" customFormat="false" ht="15" hidden="false" customHeight="false" outlineLevel="0" collapsed="false">
      <c r="A2641" s="24" t="n">
        <v>2637</v>
      </c>
      <c r="B2641" s="25" t="str">
        <f aca="false">IF(OR(C2641="",I2641="",G2641=""),"",IFERROR(VLOOKUP(I2641,Setup!$A$9:$B$11,2,0),"???")&amp;"-"&amp;G2641&amp;"-"&amp;TEXT(COUNTIFS(I$5:I2641,I2641,G$5:G2641,G2641),"0000"))</f>
        <v/>
      </c>
      <c r="C2641" s="26"/>
      <c r="D2641" s="26"/>
      <c r="E2641" s="27"/>
      <c r="F2641" s="27"/>
      <c r="G2641" s="24" t="str">
        <f aca="false">IF(F2641="","",IF(F2641&lt;=5,"A",IF(F2641&lt;=8,"B",IF(F2641&lt;=10,"C","D"))))</f>
        <v/>
      </c>
      <c r="H2641" s="28"/>
      <c r="I2641" s="27"/>
      <c r="J2641" s="26"/>
      <c r="K2641" s="27"/>
      <c r="L2641" s="27"/>
      <c r="M2641" s="27"/>
      <c r="N2641" s="27"/>
      <c r="O2641" s="24" t="str">
        <f aca="false">IF(G2641="","",VLOOKUP(G2641,Setup!$A$14:$C$17,3,0))</f>
        <v/>
      </c>
      <c r="P2641" s="27"/>
      <c r="Q2641" s="29" t="str">
        <f aca="false">IF(OR(P2641="",M2641&lt;&gt;"Paid",O2641=""),"",P2641/O2641)</f>
        <v/>
      </c>
      <c r="R2641" s="30" t="str">
        <f aca="false">IF(Q2641="","",Q2641+N(H2641)*0.000000001)</f>
        <v/>
      </c>
      <c r="S2641" s="25" t="str">
        <f aca="false">IF(R2641="","",SUMPRODUCT((I$5:I$4004=I2641)*ISNUMBER(R$5:R$4004)*(R$5:R$4004&gt;R2641))+1)</f>
        <v/>
      </c>
      <c r="T2641" s="25" t="str">
        <f aca="false">IF(S2641="","",IF(S2641&lt;=Setup!$B$5,"🏆 WINNER",""))</f>
        <v/>
      </c>
      <c r="U2641" s="24" t="str">
        <f aca="false">IF(S2641="","",I2641&amp;"|"&amp;S2641)</f>
        <v/>
      </c>
    </row>
    <row r="2642" customFormat="false" ht="15" hidden="false" customHeight="false" outlineLevel="0" collapsed="false">
      <c r="A2642" s="31" t="n">
        <v>2638</v>
      </c>
      <c r="B2642" s="32" t="str">
        <f aca="false">IF(OR(C2642="",I2642="",G2642=""),"",IFERROR(VLOOKUP(I2642,Setup!$A$9:$B$11,2,0),"???")&amp;"-"&amp;G2642&amp;"-"&amp;TEXT(COUNTIFS(I$5:I2642,I2642,G$5:G2642,G2642),"0000"))</f>
        <v/>
      </c>
      <c r="C2642" s="26"/>
      <c r="D2642" s="26"/>
      <c r="E2642" s="27"/>
      <c r="F2642" s="27"/>
      <c r="G2642" s="31" t="str">
        <f aca="false">IF(F2642="","",IF(F2642&lt;=5,"A",IF(F2642&lt;=8,"B",IF(F2642&lt;=10,"C","D"))))</f>
        <v/>
      </c>
      <c r="H2642" s="28"/>
      <c r="I2642" s="27"/>
      <c r="J2642" s="26"/>
      <c r="K2642" s="27"/>
      <c r="L2642" s="27"/>
      <c r="M2642" s="27"/>
      <c r="N2642" s="27"/>
      <c r="O2642" s="31" t="str">
        <f aca="false">IF(G2642="","",VLOOKUP(G2642,Setup!$A$14:$C$17,3,0))</f>
        <v/>
      </c>
      <c r="P2642" s="27"/>
      <c r="Q2642" s="33" t="str">
        <f aca="false">IF(OR(P2642="",M2642&lt;&gt;"Paid",O2642=""),"",P2642/O2642)</f>
        <v/>
      </c>
      <c r="R2642" s="34" t="str">
        <f aca="false">IF(Q2642="","",Q2642+N(H2642)*0.000000001)</f>
        <v/>
      </c>
      <c r="S2642" s="32" t="str">
        <f aca="false">IF(R2642="","",SUMPRODUCT((I$5:I$4004=I2642)*ISNUMBER(R$5:R$4004)*(R$5:R$4004&gt;R2642))+1)</f>
        <v/>
      </c>
      <c r="T2642" s="32" t="str">
        <f aca="false">IF(S2642="","",IF(S2642&lt;=Setup!$B$5,"🏆 WINNER",""))</f>
        <v/>
      </c>
      <c r="U2642" s="31" t="str">
        <f aca="false">IF(S2642="","",I2642&amp;"|"&amp;S2642)</f>
        <v/>
      </c>
    </row>
    <row r="2643" customFormat="false" ht="15" hidden="false" customHeight="false" outlineLevel="0" collapsed="false">
      <c r="A2643" s="24" t="n">
        <v>2639</v>
      </c>
      <c r="B2643" s="25" t="str">
        <f aca="false">IF(OR(C2643="",I2643="",G2643=""),"",IFERROR(VLOOKUP(I2643,Setup!$A$9:$B$11,2,0),"???")&amp;"-"&amp;G2643&amp;"-"&amp;TEXT(COUNTIFS(I$5:I2643,I2643,G$5:G2643,G2643),"0000"))</f>
        <v/>
      </c>
      <c r="C2643" s="26"/>
      <c r="D2643" s="26"/>
      <c r="E2643" s="27"/>
      <c r="F2643" s="27"/>
      <c r="G2643" s="24" t="str">
        <f aca="false">IF(F2643="","",IF(F2643&lt;=5,"A",IF(F2643&lt;=8,"B",IF(F2643&lt;=10,"C","D"))))</f>
        <v/>
      </c>
      <c r="H2643" s="28"/>
      <c r="I2643" s="27"/>
      <c r="J2643" s="26"/>
      <c r="K2643" s="27"/>
      <c r="L2643" s="27"/>
      <c r="M2643" s="27"/>
      <c r="N2643" s="27"/>
      <c r="O2643" s="24" t="str">
        <f aca="false">IF(G2643="","",VLOOKUP(G2643,Setup!$A$14:$C$17,3,0))</f>
        <v/>
      </c>
      <c r="P2643" s="27"/>
      <c r="Q2643" s="29" t="str">
        <f aca="false">IF(OR(P2643="",M2643&lt;&gt;"Paid",O2643=""),"",P2643/O2643)</f>
        <v/>
      </c>
      <c r="R2643" s="30" t="str">
        <f aca="false">IF(Q2643="","",Q2643+N(H2643)*0.000000001)</f>
        <v/>
      </c>
      <c r="S2643" s="25" t="str">
        <f aca="false">IF(R2643="","",SUMPRODUCT((I$5:I$4004=I2643)*ISNUMBER(R$5:R$4004)*(R$5:R$4004&gt;R2643))+1)</f>
        <v/>
      </c>
      <c r="T2643" s="25" t="str">
        <f aca="false">IF(S2643="","",IF(S2643&lt;=Setup!$B$5,"🏆 WINNER",""))</f>
        <v/>
      </c>
      <c r="U2643" s="24" t="str">
        <f aca="false">IF(S2643="","",I2643&amp;"|"&amp;S2643)</f>
        <v/>
      </c>
    </row>
    <row r="2644" customFormat="false" ht="15" hidden="false" customHeight="false" outlineLevel="0" collapsed="false">
      <c r="A2644" s="31" t="n">
        <v>2640</v>
      </c>
      <c r="B2644" s="32" t="str">
        <f aca="false">IF(OR(C2644="",I2644="",G2644=""),"",IFERROR(VLOOKUP(I2644,Setup!$A$9:$B$11,2,0),"???")&amp;"-"&amp;G2644&amp;"-"&amp;TEXT(COUNTIFS(I$5:I2644,I2644,G$5:G2644,G2644),"0000"))</f>
        <v/>
      </c>
      <c r="C2644" s="26"/>
      <c r="D2644" s="26"/>
      <c r="E2644" s="27"/>
      <c r="F2644" s="27"/>
      <c r="G2644" s="31" t="str">
        <f aca="false">IF(F2644="","",IF(F2644&lt;=5,"A",IF(F2644&lt;=8,"B",IF(F2644&lt;=10,"C","D"))))</f>
        <v/>
      </c>
      <c r="H2644" s="28"/>
      <c r="I2644" s="27"/>
      <c r="J2644" s="26"/>
      <c r="K2644" s="27"/>
      <c r="L2644" s="27"/>
      <c r="M2644" s="27"/>
      <c r="N2644" s="27"/>
      <c r="O2644" s="31" t="str">
        <f aca="false">IF(G2644="","",VLOOKUP(G2644,Setup!$A$14:$C$17,3,0))</f>
        <v/>
      </c>
      <c r="P2644" s="27"/>
      <c r="Q2644" s="33" t="str">
        <f aca="false">IF(OR(P2644="",M2644&lt;&gt;"Paid",O2644=""),"",P2644/O2644)</f>
        <v/>
      </c>
      <c r="R2644" s="34" t="str">
        <f aca="false">IF(Q2644="","",Q2644+N(H2644)*0.000000001)</f>
        <v/>
      </c>
      <c r="S2644" s="32" t="str">
        <f aca="false">IF(R2644="","",SUMPRODUCT((I$5:I$4004=I2644)*ISNUMBER(R$5:R$4004)*(R$5:R$4004&gt;R2644))+1)</f>
        <v/>
      </c>
      <c r="T2644" s="32" t="str">
        <f aca="false">IF(S2644="","",IF(S2644&lt;=Setup!$B$5,"🏆 WINNER",""))</f>
        <v/>
      </c>
      <c r="U2644" s="31" t="str">
        <f aca="false">IF(S2644="","",I2644&amp;"|"&amp;S2644)</f>
        <v/>
      </c>
    </row>
    <row r="2645" customFormat="false" ht="15" hidden="false" customHeight="false" outlineLevel="0" collapsed="false">
      <c r="A2645" s="24" t="n">
        <v>2641</v>
      </c>
      <c r="B2645" s="25" t="str">
        <f aca="false">IF(OR(C2645="",I2645="",G2645=""),"",IFERROR(VLOOKUP(I2645,Setup!$A$9:$B$11,2,0),"???")&amp;"-"&amp;G2645&amp;"-"&amp;TEXT(COUNTIFS(I$5:I2645,I2645,G$5:G2645,G2645),"0000"))</f>
        <v/>
      </c>
      <c r="C2645" s="26"/>
      <c r="D2645" s="26"/>
      <c r="E2645" s="27"/>
      <c r="F2645" s="27"/>
      <c r="G2645" s="24" t="str">
        <f aca="false">IF(F2645="","",IF(F2645&lt;=5,"A",IF(F2645&lt;=8,"B",IF(F2645&lt;=10,"C","D"))))</f>
        <v/>
      </c>
      <c r="H2645" s="28"/>
      <c r="I2645" s="27"/>
      <c r="J2645" s="26"/>
      <c r="K2645" s="27"/>
      <c r="L2645" s="27"/>
      <c r="M2645" s="27"/>
      <c r="N2645" s="27"/>
      <c r="O2645" s="24" t="str">
        <f aca="false">IF(G2645="","",VLOOKUP(G2645,Setup!$A$14:$C$17,3,0))</f>
        <v/>
      </c>
      <c r="P2645" s="27"/>
      <c r="Q2645" s="29" t="str">
        <f aca="false">IF(OR(P2645="",M2645&lt;&gt;"Paid",O2645=""),"",P2645/O2645)</f>
        <v/>
      </c>
      <c r="R2645" s="30" t="str">
        <f aca="false">IF(Q2645="","",Q2645+N(H2645)*0.000000001)</f>
        <v/>
      </c>
      <c r="S2645" s="25" t="str">
        <f aca="false">IF(R2645="","",SUMPRODUCT((I$5:I$4004=I2645)*ISNUMBER(R$5:R$4004)*(R$5:R$4004&gt;R2645))+1)</f>
        <v/>
      </c>
      <c r="T2645" s="25" t="str">
        <f aca="false">IF(S2645="","",IF(S2645&lt;=Setup!$B$5,"🏆 WINNER",""))</f>
        <v/>
      </c>
      <c r="U2645" s="24" t="str">
        <f aca="false">IF(S2645="","",I2645&amp;"|"&amp;S2645)</f>
        <v/>
      </c>
    </row>
    <row r="2646" customFormat="false" ht="15" hidden="false" customHeight="false" outlineLevel="0" collapsed="false">
      <c r="A2646" s="31" t="n">
        <v>2642</v>
      </c>
      <c r="B2646" s="32" t="str">
        <f aca="false">IF(OR(C2646="",I2646="",G2646=""),"",IFERROR(VLOOKUP(I2646,Setup!$A$9:$B$11,2,0),"???")&amp;"-"&amp;G2646&amp;"-"&amp;TEXT(COUNTIFS(I$5:I2646,I2646,G$5:G2646,G2646),"0000"))</f>
        <v/>
      </c>
      <c r="C2646" s="26"/>
      <c r="D2646" s="26"/>
      <c r="E2646" s="27"/>
      <c r="F2646" s="27"/>
      <c r="G2646" s="31" t="str">
        <f aca="false">IF(F2646="","",IF(F2646&lt;=5,"A",IF(F2646&lt;=8,"B",IF(F2646&lt;=10,"C","D"))))</f>
        <v/>
      </c>
      <c r="H2646" s="28"/>
      <c r="I2646" s="27"/>
      <c r="J2646" s="26"/>
      <c r="K2646" s="27"/>
      <c r="L2646" s="27"/>
      <c r="M2646" s="27"/>
      <c r="N2646" s="27"/>
      <c r="O2646" s="31" t="str">
        <f aca="false">IF(G2646="","",VLOOKUP(G2646,Setup!$A$14:$C$17,3,0))</f>
        <v/>
      </c>
      <c r="P2646" s="27"/>
      <c r="Q2646" s="33" t="str">
        <f aca="false">IF(OR(P2646="",M2646&lt;&gt;"Paid",O2646=""),"",P2646/O2646)</f>
        <v/>
      </c>
      <c r="R2646" s="34" t="str">
        <f aca="false">IF(Q2646="","",Q2646+N(H2646)*0.000000001)</f>
        <v/>
      </c>
      <c r="S2646" s="32" t="str">
        <f aca="false">IF(R2646="","",SUMPRODUCT((I$5:I$4004=I2646)*ISNUMBER(R$5:R$4004)*(R$5:R$4004&gt;R2646))+1)</f>
        <v/>
      </c>
      <c r="T2646" s="32" t="str">
        <f aca="false">IF(S2646="","",IF(S2646&lt;=Setup!$B$5,"🏆 WINNER",""))</f>
        <v/>
      </c>
      <c r="U2646" s="31" t="str">
        <f aca="false">IF(S2646="","",I2646&amp;"|"&amp;S2646)</f>
        <v/>
      </c>
    </row>
    <row r="2647" customFormat="false" ht="15" hidden="false" customHeight="false" outlineLevel="0" collapsed="false">
      <c r="A2647" s="24" t="n">
        <v>2643</v>
      </c>
      <c r="B2647" s="25" t="str">
        <f aca="false">IF(OR(C2647="",I2647="",G2647=""),"",IFERROR(VLOOKUP(I2647,Setup!$A$9:$B$11,2,0),"???")&amp;"-"&amp;G2647&amp;"-"&amp;TEXT(COUNTIFS(I$5:I2647,I2647,G$5:G2647,G2647),"0000"))</f>
        <v/>
      </c>
      <c r="C2647" s="26"/>
      <c r="D2647" s="26"/>
      <c r="E2647" s="27"/>
      <c r="F2647" s="27"/>
      <c r="G2647" s="24" t="str">
        <f aca="false">IF(F2647="","",IF(F2647&lt;=5,"A",IF(F2647&lt;=8,"B",IF(F2647&lt;=10,"C","D"))))</f>
        <v/>
      </c>
      <c r="H2647" s="28"/>
      <c r="I2647" s="27"/>
      <c r="J2647" s="26"/>
      <c r="K2647" s="27"/>
      <c r="L2647" s="27"/>
      <c r="M2647" s="27"/>
      <c r="N2647" s="27"/>
      <c r="O2647" s="24" t="str">
        <f aca="false">IF(G2647="","",VLOOKUP(G2647,Setup!$A$14:$C$17,3,0))</f>
        <v/>
      </c>
      <c r="P2647" s="27"/>
      <c r="Q2647" s="29" t="str">
        <f aca="false">IF(OR(P2647="",M2647&lt;&gt;"Paid",O2647=""),"",P2647/O2647)</f>
        <v/>
      </c>
      <c r="R2647" s="30" t="str">
        <f aca="false">IF(Q2647="","",Q2647+N(H2647)*0.000000001)</f>
        <v/>
      </c>
      <c r="S2647" s="25" t="str">
        <f aca="false">IF(R2647="","",SUMPRODUCT((I$5:I$4004=I2647)*ISNUMBER(R$5:R$4004)*(R$5:R$4004&gt;R2647))+1)</f>
        <v/>
      </c>
      <c r="T2647" s="25" t="str">
        <f aca="false">IF(S2647="","",IF(S2647&lt;=Setup!$B$5,"🏆 WINNER",""))</f>
        <v/>
      </c>
      <c r="U2647" s="24" t="str">
        <f aca="false">IF(S2647="","",I2647&amp;"|"&amp;S2647)</f>
        <v/>
      </c>
    </row>
    <row r="2648" customFormat="false" ht="15" hidden="false" customHeight="false" outlineLevel="0" collapsed="false">
      <c r="A2648" s="31" t="n">
        <v>2644</v>
      </c>
      <c r="B2648" s="32" t="str">
        <f aca="false">IF(OR(C2648="",I2648="",G2648=""),"",IFERROR(VLOOKUP(I2648,Setup!$A$9:$B$11,2,0),"???")&amp;"-"&amp;G2648&amp;"-"&amp;TEXT(COUNTIFS(I$5:I2648,I2648,G$5:G2648,G2648),"0000"))</f>
        <v/>
      </c>
      <c r="C2648" s="26"/>
      <c r="D2648" s="26"/>
      <c r="E2648" s="27"/>
      <c r="F2648" s="27"/>
      <c r="G2648" s="31" t="str">
        <f aca="false">IF(F2648="","",IF(F2648&lt;=5,"A",IF(F2648&lt;=8,"B",IF(F2648&lt;=10,"C","D"))))</f>
        <v/>
      </c>
      <c r="H2648" s="28"/>
      <c r="I2648" s="27"/>
      <c r="J2648" s="26"/>
      <c r="K2648" s="27"/>
      <c r="L2648" s="27"/>
      <c r="M2648" s="27"/>
      <c r="N2648" s="27"/>
      <c r="O2648" s="31" t="str">
        <f aca="false">IF(G2648="","",VLOOKUP(G2648,Setup!$A$14:$C$17,3,0))</f>
        <v/>
      </c>
      <c r="P2648" s="27"/>
      <c r="Q2648" s="33" t="str">
        <f aca="false">IF(OR(P2648="",M2648&lt;&gt;"Paid",O2648=""),"",P2648/O2648)</f>
        <v/>
      </c>
      <c r="R2648" s="34" t="str">
        <f aca="false">IF(Q2648="","",Q2648+N(H2648)*0.000000001)</f>
        <v/>
      </c>
      <c r="S2648" s="32" t="str">
        <f aca="false">IF(R2648="","",SUMPRODUCT((I$5:I$4004=I2648)*ISNUMBER(R$5:R$4004)*(R$5:R$4004&gt;R2648))+1)</f>
        <v/>
      </c>
      <c r="T2648" s="32" t="str">
        <f aca="false">IF(S2648="","",IF(S2648&lt;=Setup!$B$5,"🏆 WINNER",""))</f>
        <v/>
      </c>
      <c r="U2648" s="31" t="str">
        <f aca="false">IF(S2648="","",I2648&amp;"|"&amp;S2648)</f>
        <v/>
      </c>
    </row>
    <row r="2649" customFormat="false" ht="15" hidden="false" customHeight="false" outlineLevel="0" collapsed="false">
      <c r="A2649" s="24" t="n">
        <v>2645</v>
      </c>
      <c r="B2649" s="25" t="str">
        <f aca="false">IF(OR(C2649="",I2649="",G2649=""),"",IFERROR(VLOOKUP(I2649,Setup!$A$9:$B$11,2,0),"???")&amp;"-"&amp;G2649&amp;"-"&amp;TEXT(COUNTIFS(I$5:I2649,I2649,G$5:G2649,G2649),"0000"))</f>
        <v/>
      </c>
      <c r="C2649" s="26"/>
      <c r="D2649" s="26"/>
      <c r="E2649" s="27"/>
      <c r="F2649" s="27"/>
      <c r="G2649" s="24" t="str">
        <f aca="false">IF(F2649="","",IF(F2649&lt;=5,"A",IF(F2649&lt;=8,"B",IF(F2649&lt;=10,"C","D"))))</f>
        <v/>
      </c>
      <c r="H2649" s="28"/>
      <c r="I2649" s="27"/>
      <c r="J2649" s="26"/>
      <c r="K2649" s="27"/>
      <c r="L2649" s="27"/>
      <c r="M2649" s="27"/>
      <c r="N2649" s="27"/>
      <c r="O2649" s="24" t="str">
        <f aca="false">IF(G2649="","",VLOOKUP(G2649,Setup!$A$14:$C$17,3,0))</f>
        <v/>
      </c>
      <c r="P2649" s="27"/>
      <c r="Q2649" s="29" t="str">
        <f aca="false">IF(OR(P2649="",M2649&lt;&gt;"Paid",O2649=""),"",P2649/O2649)</f>
        <v/>
      </c>
      <c r="R2649" s="30" t="str">
        <f aca="false">IF(Q2649="","",Q2649+N(H2649)*0.000000001)</f>
        <v/>
      </c>
      <c r="S2649" s="25" t="str">
        <f aca="false">IF(R2649="","",SUMPRODUCT((I$5:I$4004=I2649)*ISNUMBER(R$5:R$4004)*(R$5:R$4004&gt;R2649))+1)</f>
        <v/>
      </c>
      <c r="T2649" s="25" t="str">
        <f aca="false">IF(S2649="","",IF(S2649&lt;=Setup!$B$5,"🏆 WINNER",""))</f>
        <v/>
      </c>
      <c r="U2649" s="24" t="str">
        <f aca="false">IF(S2649="","",I2649&amp;"|"&amp;S2649)</f>
        <v/>
      </c>
    </row>
    <row r="2650" customFormat="false" ht="15" hidden="false" customHeight="false" outlineLevel="0" collapsed="false">
      <c r="A2650" s="31" t="n">
        <v>2646</v>
      </c>
      <c r="B2650" s="32" t="str">
        <f aca="false">IF(OR(C2650="",I2650="",G2650=""),"",IFERROR(VLOOKUP(I2650,Setup!$A$9:$B$11,2,0),"???")&amp;"-"&amp;G2650&amp;"-"&amp;TEXT(COUNTIFS(I$5:I2650,I2650,G$5:G2650,G2650),"0000"))</f>
        <v/>
      </c>
      <c r="C2650" s="26"/>
      <c r="D2650" s="26"/>
      <c r="E2650" s="27"/>
      <c r="F2650" s="27"/>
      <c r="G2650" s="31" t="str">
        <f aca="false">IF(F2650="","",IF(F2650&lt;=5,"A",IF(F2650&lt;=8,"B",IF(F2650&lt;=10,"C","D"))))</f>
        <v/>
      </c>
      <c r="H2650" s="28"/>
      <c r="I2650" s="27"/>
      <c r="J2650" s="26"/>
      <c r="K2650" s="27"/>
      <c r="L2650" s="27"/>
      <c r="M2650" s="27"/>
      <c r="N2650" s="27"/>
      <c r="O2650" s="31" t="str">
        <f aca="false">IF(G2650="","",VLOOKUP(G2650,Setup!$A$14:$C$17,3,0))</f>
        <v/>
      </c>
      <c r="P2650" s="27"/>
      <c r="Q2650" s="33" t="str">
        <f aca="false">IF(OR(P2650="",M2650&lt;&gt;"Paid",O2650=""),"",P2650/O2650)</f>
        <v/>
      </c>
      <c r="R2650" s="34" t="str">
        <f aca="false">IF(Q2650="","",Q2650+N(H2650)*0.000000001)</f>
        <v/>
      </c>
      <c r="S2650" s="32" t="str">
        <f aca="false">IF(R2650="","",SUMPRODUCT((I$5:I$4004=I2650)*ISNUMBER(R$5:R$4004)*(R$5:R$4004&gt;R2650))+1)</f>
        <v/>
      </c>
      <c r="T2650" s="32" t="str">
        <f aca="false">IF(S2650="","",IF(S2650&lt;=Setup!$B$5,"🏆 WINNER",""))</f>
        <v/>
      </c>
      <c r="U2650" s="31" t="str">
        <f aca="false">IF(S2650="","",I2650&amp;"|"&amp;S2650)</f>
        <v/>
      </c>
    </row>
    <row r="2651" customFormat="false" ht="15" hidden="false" customHeight="false" outlineLevel="0" collapsed="false">
      <c r="A2651" s="24" t="n">
        <v>2647</v>
      </c>
      <c r="B2651" s="25" t="str">
        <f aca="false">IF(OR(C2651="",I2651="",G2651=""),"",IFERROR(VLOOKUP(I2651,Setup!$A$9:$B$11,2,0),"???")&amp;"-"&amp;G2651&amp;"-"&amp;TEXT(COUNTIFS(I$5:I2651,I2651,G$5:G2651,G2651),"0000"))</f>
        <v/>
      </c>
      <c r="C2651" s="26"/>
      <c r="D2651" s="26"/>
      <c r="E2651" s="27"/>
      <c r="F2651" s="27"/>
      <c r="G2651" s="24" t="str">
        <f aca="false">IF(F2651="","",IF(F2651&lt;=5,"A",IF(F2651&lt;=8,"B",IF(F2651&lt;=10,"C","D"))))</f>
        <v/>
      </c>
      <c r="H2651" s="28"/>
      <c r="I2651" s="27"/>
      <c r="J2651" s="26"/>
      <c r="K2651" s="27"/>
      <c r="L2651" s="27"/>
      <c r="M2651" s="27"/>
      <c r="N2651" s="27"/>
      <c r="O2651" s="24" t="str">
        <f aca="false">IF(G2651="","",VLOOKUP(G2651,Setup!$A$14:$C$17,3,0))</f>
        <v/>
      </c>
      <c r="P2651" s="27"/>
      <c r="Q2651" s="29" t="str">
        <f aca="false">IF(OR(P2651="",M2651&lt;&gt;"Paid",O2651=""),"",P2651/O2651)</f>
        <v/>
      </c>
      <c r="R2651" s="30" t="str">
        <f aca="false">IF(Q2651="","",Q2651+N(H2651)*0.000000001)</f>
        <v/>
      </c>
      <c r="S2651" s="25" t="str">
        <f aca="false">IF(R2651="","",SUMPRODUCT((I$5:I$4004=I2651)*ISNUMBER(R$5:R$4004)*(R$5:R$4004&gt;R2651))+1)</f>
        <v/>
      </c>
      <c r="T2651" s="25" t="str">
        <f aca="false">IF(S2651="","",IF(S2651&lt;=Setup!$B$5,"🏆 WINNER",""))</f>
        <v/>
      </c>
      <c r="U2651" s="24" t="str">
        <f aca="false">IF(S2651="","",I2651&amp;"|"&amp;S2651)</f>
        <v/>
      </c>
    </row>
    <row r="2652" customFormat="false" ht="15" hidden="false" customHeight="false" outlineLevel="0" collapsed="false">
      <c r="A2652" s="31" t="n">
        <v>2648</v>
      </c>
      <c r="B2652" s="32" t="str">
        <f aca="false">IF(OR(C2652="",I2652="",G2652=""),"",IFERROR(VLOOKUP(I2652,Setup!$A$9:$B$11,2,0),"???")&amp;"-"&amp;G2652&amp;"-"&amp;TEXT(COUNTIFS(I$5:I2652,I2652,G$5:G2652,G2652),"0000"))</f>
        <v/>
      </c>
      <c r="C2652" s="26"/>
      <c r="D2652" s="26"/>
      <c r="E2652" s="27"/>
      <c r="F2652" s="27"/>
      <c r="G2652" s="31" t="str">
        <f aca="false">IF(F2652="","",IF(F2652&lt;=5,"A",IF(F2652&lt;=8,"B",IF(F2652&lt;=10,"C","D"))))</f>
        <v/>
      </c>
      <c r="H2652" s="28"/>
      <c r="I2652" s="27"/>
      <c r="J2652" s="26"/>
      <c r="K2652" s="27"/>
      <c r="L2652" s="27"/>
      <c r="M2652" s="27"/>
      <c r="N2652" s="27"/>
      <c r="O2652" s="31" t="str">
        <f aca="false">IF(G2652="","",VLOOKUP(G2652,Setup!$A$14:$C$17,3,0))</f>
        <v/>
      </c>
      <c r="P2652" s="27"/>
      <c r="Q2652" s="33" t="str">
        <f aca="false">IF(OR(P2652="",M2652&lt;&gt;"Paid",O2652=""),"",P2652/O2652)</f>
        <v/>
      </c>
      <c r="R2652" s="34" t="str">
        <f aca="false">IF(Q2652="","",Q2652+N(H2652)*0.000000001)</f>
        <v/>
      </c>
      <c r="S2652" s="32" t="str">
        <f aca="false">IF(R2652="","",SUMPRODUCT((I$5:I$4004=I2652)*ISNUMBER(R$5:R$4004)*(R$5:R$4004&gt;R2652))+1)</f>
        <v/>
      </c>
      <c r="T2652" s="32" t="str">
        <f aca="false">IF(S2652="","",IF(S2652&lt;=Setup!$B$5,"🏆 WINNER",""))</f>
        <v/>
      </c>
      <c r="U2652" s="31" t="str">
        <f aca="false">IF(S2652="","",I2652&amp;"|"&amp;S2652)</f>
        <v/>
      </c>
    </row>
    <row r="2653" customFormat="false" ht="15" hidden="false" customHeight="false" outlineLevel="0" collapsed="false">
      <c r="A2653" s="24" t="n">
        <v>2649</v>
      </c>
      <c r="B2653" s="25" t="str">
        <f aca="false">IF(OR(C2653="",I2653="",G2653=""),"",IFERROR(VLOOKUP(I2653,Setup!$A$9:$B$11,2,0),"???")&amp;"-"&amp;G2653&amp;"-"&amp;TEXT(COUNTIFS(I$5:I2653,I2653,G$5:G2653,G2653),"0000"))</f>
        <v/>
      </c>
      <c r="C2653" s="26"/>
      <c r="D2653" s="26"/>
      <c r="E2653" s="27"/>
      <c r="F2653" s="27"/>
      <c r="G2653" s="24" t="str">
        <f aca="false">IF(F2653="","",IF(F2653&lt;=5,"A",IF(F2653&lt;=8,"B",IF(F2653&lt;=10,"C","D"))))</f>
        <v/>
      </c>
      <c r="H2653" s="28"/>
      <c r="I2653" s="27"/>
      <c r="J2653" s="26"/>
      <c r="K2653" s="27"/>
      <c r="L2653" s="27"/>
      <c r="M2653" s="27"/>
      <c r="N2653" s="27"/>
      <c r="O2653" s="24" t="str">
        <f aca="false">IF(G2653="","",VLOOKUP(G2653,Setup!$A$14:$C$17,3,0))</f>
        <v/>
      </c>
      <c r="P2653" s="27"/>
      <c r="Q2653" s="29" t="str">
        <f aca="false">IF(OR(P2653="",M2653&lt;&gt;"Paid",O2653=""),"",P2653/O2653)</f>
        <v/>
      </c>
      <c r="R2653" s="30" t="str">
        <f aca="false">IF(Q2653="","",Q2653+N(H2653)*0.000000001)</f>
        <v/>
      </c>
      <c r="S2653" s="25" t="str">
        <f aca="false">IF(R2653="","",SUMPRODUCT((I$5:I$4004=I2653)*ISNUMBER(R$5:R$4004)*(R$5:R$4004&gt;R2653))+1)</f>
        <v/>
      </c>
      <c r="T2653" s="25" t="str">
        <f aca="false">IF(S2653="","",IF(S2653&lt;=Setup!$B$5,"🏆 WINNER",""))</f>
        <v/>
      </c>
      <c r="U2653" s="24" t="str">
        <f aca="false">IF(S2653="","",I2653&amp;"|"&amp;S2653)</f>
        <v/>
      </c>
    </row>
    <row r="2654" customFormat="false" ht="15" hidden="false" customHeight="false" outlineLevel="0" collapsed="false">
      <c r="A2654" s="31" t="n">
        <v>2650</v>
      </c>
      <c r="B2654" s="32" t="str">
        <f aca="false">IF(OR(C2654="",I2654="",G2654=""),"",IFERROR(VLOOKUP(I2654,Setup!$A$9:$B$11,2,0),"???")&amp;"-"&amp;G2654&amp;"-"&amp;TEXT(COUNTIFS(I$5:I2654,I2654,G$5:G2654,G2654),"0000"))</f>
        <v/>
      </c>
      <c r="C2654" s="26"/>
      <c r="D2654" s="26"/>
      <c r="E2654" s="27"/>
      <c r="F2654" s="27"/>
      <c r="G2654" s="31" t="str">
        <f aca="false">IF(F2654="","",IF(F2654&lt;=5,"A",IF(F2654&lt;=8,"B",IF(F2654&lt;=10,"C","D"))))</f>
        <v/>
      </c>
      <c r="H2654" s="28"/>
      <c r="I2654" s="27"/>
      <c r="J2654" s="26"/>
      <c r="K2654" s="27"/>
      <c r="L2654" s="27"/>
      <c r="M2654" s="27"/>
      <c r="N2654" s="27"/>
      <c r="O2654" s="31" t="str">
        <f aca="false">IF(G2654="","",VLOOKUP(G2654,Setup!$A$14:$C$17,3,0))</f>
        <v/>
      </c>
      <c r="P2654" s="27"/>
      <c r="Q2654" s="33" t="str">
        <f aca="false">IF(OR(P2654="",M2654&lt;&gt;"Paid",O2654=""),"",P2654/O2654)</f>
        <v/>
      </c>
      <c r="R2654" s="34" t="str">
        <f aca="false">IF(Q2654="","",Q2654+N(H2654)*0.000000001)</f>
        <v/>
      </c>
      <c r="S2654" s="32" t="str">
        <f aca="false">IF(R2654="","",SUMPRODUCT((I$5:I$4004=I2654)*ISNUMBER(R$5:R$4004)*(R$5:R$4004&gt;R2654))+1)</f>
        <v/>
      </c>
      <c r="T2654" s="32" t="str">
        <f aca="false">IF(S2654="","",IF(S2654&lt;=Setup!$B$5,"🏆 WINNER",""))</f>
        <v/>
      </c>
      <c r="U2654" s="31" t="str">
        <f aca="false">IF(S2654="","",I2654&amp;"|"&amp;S2654)</f>
        <v/>
      </c>
    </row>
    <row r="2655" customFormat="false" ht="15" hidden="false" customHeight="false" outlineLevel="0" collapsed="false">
      <c r="A2655" s="24" t="n">
        <v>2651</v>
      </c>
      <c r="B2655" s="25" t="str">
        <f aca="false">IF(OR(C2655="",I2655="",G2655=""),"",IFERROR(VLOOKUP(I2655,Setup!$A$9:$B$11,2,0),"???")&amp;"-"&amp;G2655&amp;"-"&amp;TEXT(COUNTIFS(I$5:I2655,I2655,G$5:G2655,G2655),"0000"))</f>
        <v/>
      </c>
      <c r="C2655" s="26"/>
      <c r="D2655" s="26"/>
      <c r="E2655" s="27"/>
      <c r="F2655" s="27"/>
      <c r="G2655" s="24" t="str">
        <f aca="false">IF(F2655="","",IF(F2655&lt;=5,"A",IF(F2655&lt;=8,"B",IF(F2655&lt;=10,"C","D"))))</f>
        <v/>
      </c>
      <c r="H2655" s="28"/>
      <c r="I2655" s="27"/>
      <c r="J2655" s="26"/>
      <c r="K2655" s="27"/>
      <c r="L2655" s="27"/>
      <c r="M2655" s="27"/>
      <c r="N2655" s="27"/>
      <c r="O2655" s="24" t="str">
        <f aca="false">IF(G2655="","",VLOOKUP(G2655,Setup!$A$14:$C$17,3,0))</f>
        <v/>
      </c>
      <c r="P2655" s="27"/>
      <c r="Q2655" s="29" t="str">
        <f aca="false">IF(OR(P2655="",M2655&lt;&gt;"Paid",O2655=""),"",P2655/O2655)</f>
        <v/>
      </c>
      <c r="R2655" s="30" t="str">
        <f aca="false">IF(Q2655="","",Q2655+N(H2655)*0.000000001)</f>
        <v/>
      </c>
      <c r="S2655" s="25" t="str">
        <f aca="false">IF(R2655="","",SUMPRODUCT((I$5:I$4004=I2655)*ISNUMBER(R$5:R$4004)*(R$5:R$4004&gt;R2655))+1)</f>
        <v/>
      </c>
      <c r="T2655" s="25" t="str">
        <f aca="false">IF(S2655="","",IF(S2655&lt;=Setup!$B$5,"🏆 WINNER",""))</f>
        <v/>
      </c>
      <c r="U2655" s="24" t="str">
        <f aca="false">IF(S2655="","",I2655&amp;"|"&amp;S2655)</f>
        <v/>
      </c>
    </row>
    <row r="2656" customFormat="false" ht="15" hidden="false" customHeight="false" outlineLevel="0" collapsed="false">
      <c r="A2656" s="31" t="n">
        <v>2652</v>
      </c>
      <c r="B2656" s="32" t="str">
        <f aca="false">IF(OR(C2656="",I2656="",G2656=""),"",IFERROR(VLOOKUP(I2656,Setup!$A$9:$B$11,2,0),"???")&amp;"-"&amp;G2656&amp;"-"&amp;TEXT(COUNTIFS(I$5:I2656,I2656,G$5:G2656,G2656),"0000"))</f>
        <v/>
      </c>
      <c r="C2656" s="26"/>
      <c r="D2656" s="26"/>
      <c r="E2656" s="27"/>
      <c r="F2656" s="27"/>
      <c r="G2656" s="31" t="str">
        <f aca="false">IF(F2656="","",IF(F2656&lt;=5,"A",IF(F2656&lt;=8,"B",IF(F2656&lt;=10,"C","D"))))</f>
        <v/>
      </c>
      <c r="H2656" s="28"/>
      <c r="I2656" s="27"/>
      <c r="J2656" s="26"/>
      <c r="K2656" s="27"/>
      <c r="L2656" s="27"/>
      <c r="M2656" s="27"/>
      <c r="N2656" s="27"/>
      <c r="O2656" s="31" t="str">
        <f aca="false">IF(G2656="","",VLOOKUP(G2656,Setup!$A$14:$C$17,3,0))</f>
        <v/>
      </c>
      <c r="P2656" s="27"/>
      <c r="Q2656" s="33" t="str">
        <f aca="false">IF(OR(P2656="",M2656&lt;&gt;"Paid",O2656=""),"",P2656/O2656)</f>
        <v/>
      </c>
      <c r="R2656" s="34" t="str">
        <f aca="false">IF(Q2656="","",Q2656+N(H2656)*0.000000001)</f>
        <v/>
      </c>
      <c r="S2656" s="32" t="str">
        <f aca="false">IF(R2656="","",SUMPRODUCT((I$5:I$4004=I2656)*ISNUMBER(R$5:R$4004)*(R$5:R$4004&gt;R2656))+1)</f>
        <v/>
      </c>
      <c r="T2656" s="32" t="str">
        <f aca="false">IF(S2656="","",IF(S2656&lt;=Setup!$B$5,"🏆 WINNER",""))</f>
        <v/>
      </c>
      <c r="U2656" s="31" t="str">
        <f aca="false">IF(S2656="","",I2656&amp;"|"&amp;S2656)</f>
        <v/>
      </c>
    </row>
    <row r="2657" customFormat="false" ht="15" hidden="false" customHeight="false" outlineLevel="0" collapsed="false">
      <c r="A2657" s="24" t="n">
        <v>2653</v>
      </c>
      <c r="B2657" s="25" t="str">
        <f aca="false">IF(OR(C2657="",I2657="",G2657=""),"",IFERROR(VLOOKUP(I2657,Setup!$A$9:$B$11,2,0),"???")&amp;"-"&amp;G2657&amp;"-"&amp;TEXT(COUNTIFS(I$5:I2657,I2657,G$5:G2657,G2657),"0000"))</f>
        <v/>
      </c>
      <c r="C2657" s="26"/>
      <c r="D2657" s="26"/>
      <c r="E2657" s="27"/>
      <c r="F2657" s="27"/>
      <c r="G2657" s="24" t="str">
        <f aca="false">IF(F2657="","",IF(F2657&lt;=5,"A",IF(F2657&lt;=8,"B",IF(F2657&lt;=10,"C","D"))))</f>
        <v/>
      </c>
      <c r="H2657" s="28"/>
      <c r="I2657" s="27"/>
      <c r="J2657" s="26"/>
      <c r="K2657" s="27"/>
      <c r="L2657" s="27"/>
      <c r="M2657" s="27"/>
      <c r="N2657" s="27"/>
      <c r="O2657" s="24" t="str">
        <f aca="false">IF(G2657="","",VLOOKUP(G2657,Setup!$A$14:$C$17,3,0))</f>
        <v/>
      </c>
      <c r="P2657" s="27"/>
      <c r="Q2657" s="29" t="str">
        <f aca="false">IF(OR(P2657="",M2657&lt;&gt;"Paid",O2657=""),"",P2657/O2657)</f>
        <v/>
      </c>
      <c r="R2657" s="30" t="str">
        <f aca="false">IF(Q2657="","",Q2657+N(H2657)*0.000000001)</f>
        <v/>
      </c>
      <c r="S2657" s="25" t="str">
        <f aca="false">IF(R2657="","",SUMPRODUCT((I$5:I$4004=I2657)*ISNUMBER(R$5:R$4004)*(R$5:R$4004&gt;R2657))+1)</f>
        <v/>
      </c>
      <c r="T2657" s="25" t="str">
        <f aca="false">IF(S2657="","",IF(S2657&lt;=Setup!$B$5,"🏆 WINNER",""))</f>
        <v/>
      </c>
      <c r="U2657" s="24" t="str">
        <f aca="false">IF(S2657="","",I2657&amp;"|"&amp;S2657)</f>
        <v/>
      </c>
    </row>
    <row r="2658" customFormat="false" ht="15" hidden="false" customHeight="false" outlineLevel="0" collapsed="false">
      <c r="A2658" s="31" t="n">
        <v>2654</v>
      </c>
      <c r="B2658" s="32" t="str">
        <f aca="false">IF(OR(C2658="",I2658="",G2658=""),"",IFERROR(VLOOKUP(I2658,Setup!$A$9:$B$11,2,0),"???")&amp;"-"&amp;G2658&amp;"-"&amp;TEXT(COUNTIFS(I$5:I2658,I2658,G$5:G2658,G2658),"0000"))</f>
        <v/>
      </c>
      <c r="C2658" s="26"/>
      <c r="D2658" s="26"/>
      <c r="E2658" s="27"/>
      <c r="F2658" s="27"/>
      <c r="G2658" s="31" t="str">
        <f aca="false">IF(F2658="","",IF(F2658&lt;=5,"A",IF(F2658&lt;=8,"B",IF(F2658&lt;=10,"C","D"))))</f>
        <v/>
      </c>
      <c r="H2658" s="28"/>
      <c r="I2658" s="27"/>
      <c r="J2658" s="26"/>
      <c r="K2658" s="27"/>
      <c r="L2658" s="27"/>
      <c r="M2658" s="27"/>
      <c r="N2658" s="27"/>
      <c r="O2658" s="31" t="str">
        <f aca="false">IF(G2658="","",VLOOKUP(G2658,Setup!$A$14:$C$17,3,0))</f>
        <v/>
      </c>
      <c r="P2658" s="27"/>
      <c r="Q2658" s="33" t="str">
        <f aca="false">IF(OR(P2658="",M2658&lt;&gt;"Paid",O2658=""),"",P2658/O2658)</f>
        <v/>
      </c>
      <c r="R2658" s="34" t="str">
        <f aca="false">IF(Q2658="","",Q2658+N(H2658)*0.000000001)</f>
        <v/>
      </c>
      <c r="S2658" s="32" t="str">
        <f aca="false">IF(R2658="","",SUMPRODUCT((I$5:I$4004=I2658)*ISNUMBER(R$5:R$4004)*(R$5:R$4004&gt;R2658))+1)</f>
        <v/>
      </c>
      <c r="T2658" s="32" t="str">
        <f aca="false">IF(S2658="","",IF(S2658&lt;=Setup!$B$5,"🏆 WINNER",""))</f>
        <v/>
      </c>
      <c r="U2658" s="31" t="str">
        <f aca="false">IF(S2658="","",I2658&amp;"|"&amp;S2658)</f>
        <v/>
      </c>
    </row>
    <row r="2659" customFormat="false" ht="15" hidden="false" customHeight="false" outlineLevel="0" collapsed="false">
      <c r="A2659" s="24" t="n">
        <v>2655</v>
      </c>
      <c r="B2659" s="25" t="str">
        <f aca="false">IF(OR(C2659="",I2659="",G2659=""),"",IFERROR(VLOOKUP(I2659,Setup!$A$9:$B$11,2,0),"???")&amp;"-"&amp;G2659&amp;"-"&amp;TEXT(COUNTIFS(I$5:I2659,I2659,G$5:G2659,G2659),"0000"))</f>
        <v/>
      </c>
      <c r="C2659" s="26"/>
      <c r="D2659" s="26"/>
      <c r="E2659" s="27"/>
      <c r="F2659" s="27"/>
      <c r="G2659" s="24" t="str">
        <f aca="false">IF(F2659="","",IF(F2659&lt;=5,"A",IF(F2659&lt;=8,"B",IF(F2659&lt;=10,"C","D"))))</f>
        <v/>
      </c>
      <c r="H2659" s="28"/>
      <c r="I2659" s="27"/>
      <c r="J2659" s="26"/>
      <c r="K2659" s="27"/>
      <c r="L2659" s="27"/>
      <c r="M2659" s="27"/>
      <c r="N2659" s="27"/>
      <c r="O2659" s="24" t="str">
        <f aca="false">IF(G2659="","",VLOOKUP(G2659,Setup!$A$14:$C$17,3,0))</f>
        <v/>
      </c>
      <c r="P2659" s="27"/>
      <c r="Q2659" s="29" t="str">
        <f aca="false">IF(OR(P2659="",M2659&lt;&gt;"Paid",O2659=""),"",P2659/O2659)</f>
        <v/>
      </c>
      <c r="R2659" s="30" t="str">
        <f aca="false">IF(Q2659="","",Q2659+N(H2659)*0.000000001)</f>
        <v/>
      </c>
      <c r="S2659" s="25" t="str">
        <f aca="false">IF(R2659="","",SUMPRODUCT((I$5:I$4004=I2659)*ISNUMBER(R$5:R$4004)*(R$5:R$4004&gt;R2659))+1)</f>
        <v/>
      </c>
      <c r="T2659" s="25" t="str">
        <f aca="false">IF(S2659="","",IF(S2659&lt;=Setup!$B$5,"🏆 WINNER",""))</f>
        <v/>
      </c>
      <c r="U2659" s="24" t="str">
        <f aca="false">IF(S2659="","",I2659&amp;"|"&amp;S2659)</f>
        <v/>
      </c>
    </row>
    <row r="2660" customFormat="false" ht="15" hidden="false" customHeight="false" outlineLevel="0" collapsed="false">
      <c r="A2660" s="31" t="n">
        <v>2656</v>
      </c>
      <c r="B2660" s="32" t="str">
        <f aca="false">IF(OR(C2660="",I2660="",G2660=""),"",IFERROR(VLOOKUP(I2660,Setup!$A$9:$B$11,2,0),"???")&amp;"-"&amp;G2660&amp;"-"&amp;TEXT(COUNTIFS(I$5:I2660,I2660,G$5:G2660,G2660),"0000"))</f>
        <v/>
      </c>
      <c r="C2660" s="26"/>
      <c r="D2660" s="26"/>
      <c r="E2660" s="27"/>
      <c r="F2660" s="27"/>
      <c r="G2660" s="31" t="str">
        <f aca="false">IF(F2660="","",IF(F2660&lt;=5,"A",IF(F2660&lt;=8,"B",IF(F2660&lt;=10,"C","D"))))</f>
        <v/>
      </c>
      <c r="H2660" s="28"/>
      <c r="I2660" s="27"/>
      <c r="J2660" s="26"/>
      <c r="K2660" s="27"/>
      <c r="L2660" s="27"/>
      <c r="M2660" s="27"/>
      <c r="N2660" s="27"/>
      <c r="O2660" s="31" t="str">
        <f aca="false">IF(G2660="","",VLOOKUP(G2660,Setup!$A$14:$C$17,3,0))</f>
        <v/>
      </c>
      <c r="P2660" s="27"/>
      <c r="Q2660" s="33" t="str">
        <f aca="false">IF(OR(P2660="",M2660&lt;&gt;"Paid",O2660=""),"",P2660/O2660)</f>
        <v/>
      </c>
      <c r="R2660" s="34" t="str">
        <f aca="false">IF(Q2660="","",Q2660+N(H2660)*0.000000001)</f>
        <v/>
      </c>
      <c r="S2660" s="32" t="str">
        <f aca="false">IF(R2660="","",SUMPRODUCT((I$5:I$4004=I2660)*ISNUMBER(R$5:R$4004)*(R$5:R$4004&gt;R2660))+1)</f>
        <v/>
      </c>
      <c r="T2660" s="32" t="str">
        <f aca="false">IF(S2660="","",IF(S2660&lt;=Setup!$B$5,"🏆 WINNER",""))</f>
        <v/>
      </c>
      <c r="U2660" s="31" t="str">
        <f aca="false">IF(S2660="","",I2660&amp;"|"&amp;S2660)</f>
        <v/>
      </c>
    </row>
    <row r="2661" customFormat="false" ht="15" hidden="false" customHeight="false" outlineLevel="0" collapsed="false">
      <c r="A2661" s="24" t="n">
        <v>2657</v>
      </c>
      <c r="B2661" s="25" t="str">
        <f aca="false">IF(OR(C2661="",I2661="",G2661=""),"",IFERROR(VLOOKUP(I2661,Setup!$A$9:$B$11,2,0),"???")&amp;"-"&amp;G2661&amp;"-"&amp;TEXT(COUNTIFS(I$5:I2661,I2661,G$5:G2661,G2661),"0000"))</f>
        <v/>
      </c>
      <c r="C2661" s="26"/>
      <c r="D2661" s="26"/>
      <c r="E2661" s="27"/>
      <c r="F2661" s="27"/>
      <c r="G2661" s="24" t="str">
        <f aca="false">IF(F2661="","",IF(F2661&lt;=5,"A",IF(F2661&lt;=8,"B",IF(F2661&lt;=10,"C","D"))))</f>
        <v/>
      </c>
      <c r="H2661" s="28"/>
      <c r="I2661" s="27"/>
      <c r="J2661" s="26"/>
      <c r="K2661" s="27"/>
      <c r="L2661" s="27"/>
      <c r="M2661" s="27"/>
      <c r="N2661" s="27"/>
      <c r="O2661" s="24" t="str">
        <f aca="false">IF(G2661="","",VLOOKUP(G2661,Setup!$A$14:$C$17,3,0))</f>
        <v/>
      </c>
      <c r="P2661" s="27"/>
      <c r="Q2661" s="29" t="str">
        <f aca="false">IF(OR(P2661="",M2661&lt;&gt;"Paid",O2661=""),"",P2661/O2661)</f>
        <v/>
      </c>
      <c r="R2661" s="30" t="str">
        <f aca="false">IF(Q2661="","",Q2661+N(H2661)*0.000000001)</f>
        <v/>
      </c>
      <c r="S2661" s="25" t="str">
        <f aca="false">IF(R2661="","",SUMPRODUCT((I$5:I$4004=I2661)*ISNUMBER(R$5:R$4004)*(R$5:R$4004&gt;R2661))+1)</f>
        <v/>
      </c>
      <c r="T2661" s="25" t="str">
        <f aca="false">IF(S2661="","",IF(S2661&lt;=Setup!$B$5,"🏆 WINNER",""))</f>
        <v/>
      </c>
      <c r="U2661" s="24" t="str">
        <f aca="false">IF(S2661="","",I2661&amp;"|"&amp;S2661)</f>
        <v/>
      </c>
    </row>
    <row r="2662" customFormat="false" ht="15" hidden="false" customHeight="false" outlineLevel="0" collapsed="false">
      <c r="A2662" s="31" t="n">
        <v>2658</v>
      </c>
      <c r="B2662" s="32" t="str">
        <f aca="false">IF(OR(C2662="",I2662="",G2662=""),"",IFERROR(VLOOKUP(I2662,Setup!$A$9:$B$11,2,0),"???")&amp;"-"&amp;G2662&amp;"-"&amp;TEXT(COUNTIFS(I$5:I2662,I2662,G$5:G2662,G2662),"0000"))</f>
        <v/>
      </c>
      <c r="C2662" s="26"/>
      <c r="D2662" s="26"/>
      <c r="E2662" s="27"/>
      <c r="F2662" s="27"/>
      <c r="G2662" s="31" t="str">
        <f aca="false">IF(F2662="","",IF(F2662&lt;=5,"A",IF(F2662&lt;=8,"B",IF(F2662&lt;=10,"C","D"))))</f>
        <v/>
      </c>
      <c r="H2662" s="28"/>
      <c r="I2662" s="27"/>
      <c r="J2662" s="26"/>
      <c r="K2662" s="27"/>
      <c r="L2662" s="27"/>
      <c r="M2662" s="27"/>
      <c r="N2662" s="27"/>
      <c r="O2662" s="31" t="str">
        <f aca="false">IF(G2662="","",VLOOKUP(G2662,Setup!$A$14:$C$17,3,0))</f>
        <v/>
      </c>
      <c r="P2662" s="27"/>
      <c r="Q2662" s="33" t="str">
        <f aca="false">IF(OR(P2662="",M2662&lt;&gt;"Paid",O2662=""),"",P2662/O2662)</f>
        <v/>
      </c>
      <c r="R2662" s="34" t="str">
        <f aca="false">IF(Q2662="","",Q2662+N(H2662)*0.000000001)</f>
        <v/>
      </c>
      <c r="S2662" s="32" t="str">
        <f aca="false">IF(R2662="","",SUMPRODUCT((I$5:I$4004=I2662)*ISNUMBER(R$5:R$4004)*(R$5:R$4004&gt;R2662))+1)</f>
        <v/>
      </c>
      <c r="T2662" s="32" t="str">
        <f aca="false">IF(S2662="","",IF(S2662&lt;=Setup!$B$5,"🏆 WINNER",""))</f>
        <v/>
      </c>
      <c r="U2662" s="31" t="str">
        <f aca="false">IF(S2662="","",I2662&amp;"|"&amp;S2662)</f>
        <v/>
      </c>
    </row>
    <row r="2663" customFormat="false" ht="15" hidden="false" customHeight="false" outlineLevel="0" collapsed="false">
      <c r="A2663" s="24" t="n">
        <v>2659</v>
      </c>
      <c r="B2663" s="25" t="str">
        <f aca="false">IF(OR(C2663="",I2663="",G2663=""),"",IFERROR(VLOOKUP(I2663,Setup!$A$9:$B$11,2,0),"???")&amp;"-"&amp;G2663&amp;"-"&amp;TEXT(COUNTIFS(I$5:I2663,I2663,G$5:G2663,G2663),"0000"))</f>
        <v/>
      </c>
      <c r="C2663" s="26"/>
      <c r="D2663" s="26"/>
      <c r="E2663" s="27"/>
      <c r="F2663" s="27"/>
      <c r="G2663" s="24" t="str">
        <f aca="false">IF(F2663="","",IF(F2663&lt;=5,"A",IF(F2663&lt;=8,"B",IF(F2663&lt;=10,"C","D"))))</f>
        <v/>
      </c>
      <c r="H2663" s="28"/>
      <c r="I2663" s="27"/>
      <c r="J2663" s="26"/>
      <c r="K2663" s="27"/>
      <c r="L2663" s="27"/>
      <c r="M2663" s="27"/>
      <c r="N2663" s="27"/>
      <c r="O2663" s="24" t="str">
        <f aca="false">IF(G2663="","",VLOOKUP(G2663,Setup!$A$14:$C$17,3,0))</f>
        <v/>
      </c>
      <c r="P2663" s="27"/>
      <c r="Q2663" s="29" t="str">
        <f aca="false">IF(OR(P2663="",M2663&lt;&gt;"Paid",O2663=""),"",P2663/O2663)</f>
        <v/>
      </c>
      <c r="R2663" s="30" t="str">
        <f aca="false">IF(Q2663="","",Q2663+N(H2663)*0.000000001)</f>
        <v/>
      </c>
      <c r="S2663" s="25" t="str">
        <f aca="false">IF(R2663="","",SUMPRODUCT((I$5:I$4004=I2663)*ISNUMBER(R$5:R$4004)*(R$5:R$4004&gt;R2663))+1)</f>
        <v/>
      </c>
      <c r="T2663" s="25" t="str">
        <f aca="false">IF(S2663="","",IF(S2663&lt;=Setup!$B$5,"🏆 WINNER",""))</f>
        <v/>
      </c>
      <c r="U2663" s="24" t="str">
        <f aca="false">IF(S2663="","",I2663&amp;"|"&amp;S2663)</f>
        <v/>
      </c>
    </row>
    <row r="2664" customFormat="false" ht="15" hidden="false" customHeight="false" outlineLevel="0" collapsed="false">
      <c r="A2664" s="31" t="n">
        <v>2660</v>
      </c>
      <c r="B2664" s="32" t="str">
        <f aca="false">IF(OR(C2664="",I2664="",G2664=""),"",IFERROR(VLOOKUP(I2664,Setup!$A$9:$B$11,2,0),"???")&amp;"-"&amp;G2664&amp;"-"&amp;TEXT(COUNTIFS(I$5:I2664,I2664,G$5:G2664,G2664),"0000"))</f>
        <v/>
      </c>
      <c r="C2664" s="26"/>
      <c r="D2664" s="26"/>
      <c r="E2664" s="27"/>
      <c r="F2664" s="27"/>
      <c r="G2664" s="31" t="str">
        <f aca="false">IF(F2664="","",IF(F2664&lt;=5,"A",IF(F2664&lt;=8,"B",IF(F2664&lt;=10,"C","D"))))</f>
        <v/>
      </c>
      <c r="H2664" s="28"/>
      <c r="I2664" s="27"/>
      <c r="J2664" s="26"/>
      <c r="K2664" s="27"/>
      <c r="L2664" s="27"/>
      <c r="M2664" s="27"/>
      <c r="N2664" s="27"/>
      <c r="O2664" s="31" t="str">
        <f aca="false">IF(G2664="","",VLOOKUP(G2664,Setup!$A$14:$C$17,3,0))</f>
        <v/>
      </c>
      <c r="P2664" s="27"/>
      <c r="Q2664" s="33" t="str">
        <f aca="false">IF(OR(P2664="",M2664&lt;&gt;"Paid",O2664=""),"",P2664/O2664)</f>
        <v/>
      </c>
      <c r="R2664" s="34" t="str">
        <f aca="false">IF(Q2664="","",Q2664+N(H2664)*0.000000001)</f>
        <v/>
      </c>
      <c r="S2664" s="32" t="str">
        <f aca="false">IF(R2664="","",SUMPRODUCT((I$5:I$4004=I2664)*ISNUMBER(R$5:R$4004)*(R$5:R$4004&gt;R2664))+1)</f>
        <v/>
      </c>
      <c r="T2664" s="32" t="str">
        <f aca="false">IF(S2664="","",IF(S2664&lt;=Setup!$B$5,"🏆 WINNER",""))</f>
        <v/>
      </c>
      <c r="U2664" s="31" t="str">
        <f aca="false">IF(S2664="","",I2664&amp;"|"&amp;S2664)</f>
        <v/>
      </c>
    </row>
    <row r="2665" customFormat="false" ht="15" hidden="false" customHeight="false" outlineLevel="0" collapsed="false">
      <c r="A2665" s="24" t="n">
        <v>2661</v>
      </c>
      <c r="B2665" s="25" t="str">
        <f aca="false">IF(OR(C2665="",I2665="",G2665=""),"",IFERROR(VLOOKUP(I2665,Setup!$A$9:$B$11,2,0),"???")&amp;"-"&amp;G2665&amp;"-"&amp;TEXT(COUNTIFS(I$5:I2665,I2665,G$5:G2665,G2665),"0000"))</f>
        <v/>
      </c>
      <c r="C2665" s="26"/>
      <c r="D2665" s="26"/>
      <c r="E2665" s="27"/>
      <c r="F2665" s="27"/>
      <c r="G2665" s="24" t="str">
        <f aca="false">IF(F2665="","",IF(F2665&lt;=5,"A",IF(F2665&lt;=8,"B",IF(F2665&lt;=10,"C","D"))))</f>
        <v/>
      </c>
      <c r="H2665" s="28"/>
      <c r="I2665" s="27"/>
      <c r="J2665" s="26"/>
      <c r="K2665" s="27"/>
      <c r="L2665" s="27"/>
      <c r="M2665" s="27"/>
      <c r="N2665" s="27"/>
      <c r="O2665" s="24" t="str">
        <f aca="false">IF(G2665="","",VLOOKUP(G2665,Setup!$A$14:$C$17,3,0))</f>
        <v/>
      </c>
      <c r="P2665" s="27"/>
      <c r="Q2665" s="29" t="str">
        <f aca="false">IF(OR(P2665="",M2665&lt;&gt;"Paid",O2665=""),"",P2665/O2665)</f>
        <v/>
      </c>
      <c r="R2665" s="30" t="str">
        <f aca="false">IF(Q2665="","",Q2665+N(H2665)*0.000000001)</f>
        <v/>
      </c>
      <c r="S2665" s="25" t="str">
        <f aca="false">IF(R2665="","",SUMPRODUCT((I$5:I$4004=I2665)*ISNUMBER(R$5:R$4004)*(R$5:R$4004&gt;R2665))+1)</f>
        <v/>
      </c>
      <c r="T2665" s="25" t="str">
        <f aca="false">IF(S2665="","",IF(S2665&lt;=Setup!$B$5,"🏆 WINNER",""))</f>
        <v/>
      </c>
      <c r="U2665" s="24" t="str">
        <f aca="false">IF(S2665="","",I2665&amp;"|"&amp;S2665)</f>
        <v/>
      </c>
    </row>
    <row r="2666" customFormat="false" ht="15" hidden="false" customHeight="false" outlineLevel="0" collapsed="false">
      <c r="A2666" s="31" t="n">
        <v>2662</v>
      </c>
      <c r="B2666" s="32" t="str">
        <f aca="false">IF(OR(C2666="",I2666="",G2666=""),"",IFERROR(VLOOKUP(I2666,Setup!$A$9:$B$11,2,0),"???")&amp;"-"&amp;G2666&amp;"-"&amp;TEXT(COUNTIFS(I$5:I2666,I2666,G$5:G2666,G2666),"0000"))</f>
        <v/>
      </c>
      <c r="C2666" s="26"/>
      <c r="D2666" s="26"/>
      <c r="E2666" s="27"/>
      <c r="F2666" s="27"/>
      <c r="G2666" s="31" t="str">
        <f aca="false">IF(F2666="","",IF(F2666&lt;=5,"A",IF(F2666&lt;=8,"B",IF(F2666&lt;=10,"C","D"))))</f>
        <v/>
      </c>
      <c r="H2666" s="28"/>
      <c r="I2666" s="27"/>
      <c r="J2666" s="26"/>
      <c r="K2666" s="27"/>
      <c r="L2666" s="27"/>
      <c r="M2666" s="27"/>
      <c r="N2666" s="27"/>
      <c r="O2666" s="31" t="str">
        <f aca="false">IF(G2666="","",VLOOKUP(G2666,Setup!$A$14:$C$17,3,0))</f>
        <v/>
      </c>
      <c r="P2666" s="27"/>
      <c r="Q2666" s="33" t="str">
        <f aca="false">IF(OR(P2666="",M2666&lt;&gt;"Paid",O2666=""),"",P2666/O2666)</f>
        <v/>
      </c>
      <c r="R2666" s="34" t="str">
        <f aca="false">IF(Q2666="","",Q2666+N(H2666)*0.000000001)</f>
        <v/>
      </c>
      <c r="S2666" s="32" t="str">
        <f aca="false">IF(R2666="","",SUMPRODUCT((I$5:I$4004=I2666)*ISNUMBER(R$5:R$4004)*(R$5:R$4004&gt;R2666))+1)</f>
        <v/>
      </c>
      <c r="T2666" s="32" t="str">
        <f aca="false">IF(S2666="","",IF(S2666&lt;=Setup!$B$5,"🏆 WINNER",""))</f>
        <v/>
      </c>
      <c r="U2666" s="31" t="str">
        <f aca="false">IF(S2666="","",I2666&amp;"|"&amp;S2666)</f>
        <v/>
      </c>
    </row>
    <row r="2667" customFormat="false" ht="15" hidden="false" customHeight="false" outlineLevel="0" collapsed="false">
      <c r="A2667" s="24" t="n">
        <v>2663</v>
      </c>
      <c r="B2667" s="25" t="str">
        <f aca="false">IF(OR(C2667="",I2667="",G2667=""),"",IFERROR(VLOOKUP(I2667,Setup!$A$9:$B$11,2,0),"???")&amp;"-"&amp;G2667&amp;"-"&amp;TEXT(COUNTIFS(I$5:I2667,I2667,G$5:G2667,G2667),"0000"))</f>
        <v/>
      </c>
      <c r="C2667" s="26"/>
      <c r="D2667" s="26"/>
      <c r="E2667" s="27"/>
      <c r="F2667" s="27"/>
      <c r="G2667" s="24" t="str">
        <f aca="false">IF(F2667="","",IF(F2667&lt;=5,"A",IF(F2667&lt;=8,"B",IF(F2667&lt;=10,"C","D"))))</f>
        <v/>
      </c>
      <c r="H2667" s="28"/>
      <c r="I2667" s="27"/>
      <c r="J2667" s="26"/>
      <c r="K2667" s="27"/>
      <c r="L2667" s="27"/>
      <c r="M2667" s="27"/>
      <c r="N2667" s="27"/>
      <c r="O2667" s="24" t="str">
        <f aca="false">IF(G2667="","",VLOOKUP(G2667,Setup!$A$14:$C$17,3,0))</f>
        <v/>
      </c>
      <c r="P2667" s="27"/>
      <c r="Q2667" s="29" t="str">
        <f aca="false">IF(OR(P2667="",M2667&lt;&gt;"Paid",O2667=""),"",P2667/O2667)</f>
        <v/>
      </c>
      <c r="R2667" s="30" t="str">
        <f aca="false">IF(Q2667="","",Q2667+N(H2667)*0.000000001)</f>
        <v/>
      </c>
      <c r="S2667" s="25" t="str">
        <f aca="false">IF(R2667="","",SUMPRODUCT((I$5:I$4004=I2667)*ISNUMBER(R$5:R$4004)*(R$5:R$4004&gt;R2667))+1)</f>
        <v/>
      </c>
      <c r="T2667" s="25" t="str">
        <f aca="false">IF(S2667="","",IF(S2667&lt;=Setup!$B$5,"🏆 WINNER",""))</f>
        <v/>
      </c>
      <c r="U2667" s="24" t="str">
        <f aca="false">IF(S2667="","",I2667&amp;"|"&amp;S2667)</f>
        <v/>
      </c>
    </row>
    <row r="2668" customFormat="false" ht="15" hidden="false" customHeight="false" outlineLevel="0" collapsed="false">
      <c r="A2668" s="31" t="n">
        <v>2664</v>
      </c>
      <c r="B2668" s="32" t="str">
        <f aca="false">IF(OR(C2668="",I2668="",G2668=""),"",IFERROR(VLOOKUP(I2668,Setup!$A$9:$B$11,2,0),"???")&amp;"-"&amp;G2668&amp;"-"&amp;TEXT(COUNTIFS(I$5:I2668,I2668,G$5:G2668,G2668),"0000"))</f>
        <v/>
      </c>
      <c r="C2668" s="26"/>
      <c r="D2668" s="26"/>
      <c r="E2668" s="27"/>
      <c r="F2668" s="27"/>
      <c r="G2668" s="31" t="str">
        <f aca="false">IF(F2668="","",IF(F2668&lt;=5,"A",IF(F2668&lt;=8,"B",IF(F2668&lt;=10,"C","D"))))</f>
        <v/>
      </c>
      <c r="H2668" s="28"/>
      <c r="I2668" s="27"/>
      <c r="J2668" s="26"/>
      <c r="K2668" s="27"/>
      <c r="L2668" s="27"/>
      <c r="M2668" s="27"/>
      <c r="N2668" s="27"/>
      <c r="O2668" s="31" t="str">
        <f aca="false">IF(G2668="","",VLOOKUP(G2668,Setup!$A$14:$C$17,3,0))</f>
        <v/>
      </c>
      <c r="P2668" s="27"/>
      <c r="Q2668" s="33" t="str">
        <f aca="false">IF(OR(P2668="",M2668&lt;&gt;"Paid",O2668=""),"",P2668/O2668)</f>
        <v/>
      </c>
      <c r="R2668" s="34" t="str">
        <f aca="false">IF(Q2668="","",Q2668+N(H2668)*0.000000001)</f>
        <v/>
      </c>
      <c r="S2668" s="32" t="str">
        <f aca="false">IF(R2668="","",SUMPRODUCT((I$5:I$4004=I2668)*ISNUMBER(R$5:R$4004)*(R$5:R$4004&gt;R2668))+1)</f>
        <v/>
      </c>
      <c r="T2668" s="32" t="str">
        <f aca="false">IF(S2668="","",IF(S2668&lt;=Setup!$B$5,"🏆 WINNER",""))</f>
        <v/>
      </c>
      <c r="U2668" s="31" t="str">
        <f aca="false">IF(S2668="","",I2668&amp;"|"&amp;S2668)</f>
        <v/>
      </c>
    </row>
    <row r="2669" customFormat="false" ht="15" hidden="false" customHeight="false" outlineLevel="0" collapsed="false">
      <c r="A2669" s="24" t="n">
        <v>2665</v>
      </c>
      <c r="B2669" s="25" t="str">
        <f aca="false">IF(OR(C2669="",I2669="",G2669=""),"",IFERROR(VLOOKUP(I2669,Setup!$A$9:$B$11,2,0),"???")&amp;"-"&amp;G2669&amp;"-"&amp;TEXT(COUNTIFS(I$5:I2669,I2669,G$5:G2669,G2669),"0000"))</f>
        <v/>
      </c>
      <c r="C2669" s="26"/>
      <c r="D2669" s="26"/>
      <c r="E2669" s="27"/>
      <c r="F2669" s="27"/>
      <c r="G2669" s="24" t="str">
        <f aca="false">IF(F2669="","",IF(F2669&lt;=5,"A",IF(F2669&lt;=8,"B",IF(F2669&lt;=10,"C","D"))))</f>
        <v/>
      </c>
      <c r="H2669" s="28"/>
      <c r="I2669" s="27"/>
      <c r="J2669" s="26"/>
      <c r="K2669" s="27"/>
      <c r="L2669" s="27"/>
      <c r="M2669" s="27"/>
      <c r="N2669" s="27"/>
      <c r="O2669" s="24" t="str">
        <f aca="false">IF(G2669="","",VLOOKUP(G2669,Setup!$A$14:$C$17,3,0))</f>
        <v/>
      </c>
      <c r="P2669" s="27"/>
      <c r="Q2669" s="29" t="str">
        <f aca="false">IF(OR(P2669="",M2669&lt;&gt;"Paid",O2669=""),"",P2669/O2669)</f>
        <v/>
      </c>
      <c r="R2669" s="30" t="str">
        <f aca="false">IF(Q2669="","",Q2669+N(H2669)*0.000000001)</f>
        <v/>
      </c>
      <c r="S2669" s="25" t="str">
        <f aca="false">IF(R2669="","",SUMPRODUCT((I$5:I$4004=I2669)*ISNUMBER(R$5:R$4004)*(R$5:R$4004&gt;R2669))+1)</f>
        <v/>
      </c>
      <c r="T2669" s="25" t="str">
        <f aca="false">IF(S2669="","",IF(S2669&lt;=Setup!$B$5,"🏆 WINNER",""))</f>
        <v/>
      </c>
      <c r="U2669" s="24" t="str">
        <f aca="false">IF(S2669="","",I2669&amp;"|"&amp;S2669)</f>
        <v/>
      </c>
    </row>
    <row r="2670" customFormat="false" ht="15" hidden="false" customHeight="false" outlineLevel="0" collapsed="false">
      <c r="A2670" s="31" t="n">
        <v>2666</v>
      </c>
      <c r="B2670" s="32" t="str">
        <f aca="false">IF(OR(C2670="",I2670="",G2670=""),"",IFERROR(VLOOKUP(I2670,Setup!$A$9:$B$11,2,0),"???")&amp;"-"&amp;G2670&amp;"-"&amp;TEXT(COUNTIFS(I$5:I2670,I2670,G$5:G2670,G2670),"0000"))</f>
        <v/>
      </c>
      <c r="C2670" s="26"/>
      <c r="D2670" s="26"/>
      <c r="E2670" s="27"/>
      <c r="F2670" s="27"/>
      <c r="G2670" s="31" t="str">
        <f aca="false">IF(F2670="","",IF(F2670&lt;=5,"A",IF(F2670&lt;=8,"B",IF(F2670&lt;=10,"C","D"))))</f>
        <v/>
      </c>
      <c r="H2670" s="28"/>
      <c r="I2670" s="27"/>
      <c r="J2670" s="26"/>
      <c r="K2670" s="27"/>
      <c r="L2670" s="27"/>
      <c r="M2670" s="27"/>
      <c r="N2670" s="27"/>
      <c r="O2670" s="31" t="str">
        <f aca="false">IF(G2670="","",VLOOKUP(G2670,Setup!$A$14:$C$17,3,0))</f>
        <v/>
      </c>
      <c r="P2670" s="27"/>
      <c r="Q2670" s="33" t="str">
        <f aca="false">IF(OR(P2670="",M2670&lt;&gt;"Paid",O2670=""),"",P2670/O2670)</f>
        <v/>
      </c>
      <c r="R2670" s="34" t="str">
        <f aca="false">IF(Q2670="","",Q2670+N(H2670)*0.000000001)</f>
        <v/>
      </c>
      <c r="S2670" s="32" t="str">
        <f aca="false">IF(R2670="","",SUMPRODUCT((I$5:I$4004=I2670)*ISNUMBER(R$5:R$4004)*(R$5:R$4004&gt;R2670))+1)</f>
        <v/>
      </c>
      <c r="T2670" s="32" t="str">
        <f aca="false">IF(S2670="","",IF(S2670&lt;=Setup!$B$5,"🏆 WINNER",""))</f>
        <v/>
      </c>
      <c r="U2670" s="31" t="str">
        <f aca="false">IF(S2670="","",I2670&amp;"|"&amp;S2670)</f>
        <v/>
      </c>
    </row>
    <row r="2671" customFormat="false" ht="15" hidden="false" customHeight="false" outlineLevel="0" collapsed="false">
      <c r="A2671" s="24" t="n">
        <v>2667</v>
      </c>
      <c r="B2671" s="25" t="str">
        <f aca="false">IF(OR(C2671="",I2671="",G2671=""),"",IFERROR(VLOOKUP(I2671,Setup!$A$9:$B$11,2,0),"???")&amp;"-"&amp;G2671&amp;"-"&amp;TEXT(COUNTIFS(I$5:I2671,I2671,G$5:G2671,G2671),"0000"))</f>
        <v/>
      </c>
      <c r="C2671" s="26"/>
      <c r="D2671" s="26"/>
      <c r="E2671" s="27"/>
      <c r="F2671" s="27"/>
      <c r="G2671" s="24" t="str">
        <f aca="false">IF(F2671="","",IF(F2671&lt;=5,"A",IF(F2671&lt;=8,"B",IF(F2671&lt;=10,"C","D"))))</f>
        <v/>
      </c>
      <c r="H2671" s="28"/>
      <c r="I2671" s="27"/>
      <c r="J2671" s="26"/>
      <c r="K2671" s="27"/>
      <c r="L2671" s="27"/>
      <c r="M2671" s="27"/>
      <c r="N2671" s="27"/>
      <c r="O2671" s="24" t="str">
        <f aca="false">IF(G2671="","",VLOOKUP(G2671,Setup!$A$14:$C$17,3,0))</f>
        <v/>
      </c>
      <c r="P2671" s="27"/>
      <c r="Q2671" s="29" t="str">
        <f aca="false">IF(OR(P2671="",M2671&lt;&gt;"Paid",O2671=""),"",P2671/O2671)</f>
        <v/>
      </c>
      <c r="R2671" s="30" t="str">
        <f aca="false">IF(Q2671="","",Q2671+N(H2671)*0.000000001)</f>
        <v/>
      </c>
      <c r="S2671" s="25" t="str">
        <f aca="false">IF(R2671="","",SUMPRODUCT((I$5:I$4004=I2671)*ISNUMBER(R$5:R$4004)*(R$5:R$4004&gt;R2671))+1)</f>
        <v/>
      </c>
      <c r="T2671" s="25" t="str">
        <f aca="false">IF(S2671="","",IF(S2671&lt;=Setup!$B$5,"🏆 WINNER",""))</f>
        <v/>
      </c>
      <c r="U2671" s="24" t="str">
        <f aca="false">IF(S2671="","",I2671&amp;"|"&amp;S2671)</f>
        <v/>
      </c>
    </row>
    <row r="2672" customFormat="false" ht="15" hidden="false" customHeight="false" outlineLevel="0" collapsed="false">
      <c r="A2672" s="31" t="n">
        <v>2668</v>
      </c>
      <c r="B2672" s="32" t="str">
        <f aca="false">IF(OR(C2672="",I2672="",G2672=""),"",IFERROR(VLOOKUP(I2672,Setup!$A$9:$B$11,2,0),"???")&amp;"-"&amp;G2672&amp;"-"&amp;TEXT(COUNTIFS(I$5:I2672,I2672,G$5:G2672,G2672),"0000"))</f>
        <v/>
      </c>
      <c r="C2672" s="26"/>
      <c r="D2672" s="26"/>
      <c r="E2672" s="27"/>
      <c r="F2672" s="27"/>
      <c r="G2672" s="31" t="str">
        <f aca="false">IF(F2672="","",IF(F2672&lt;=5,"A",IF(F2672&lt;=8,"B",IF(F2672&lt;=10,"C","D"))))</f>
        <v/>
      </c>
      <c r="H2672" s="28"/>
      <c r="I2672" s="27"/>
      <c r="J2672" s="26"/>
      <c r="K2672" s="27"/>
      <c r="L2672" s="27"/>
      <c r="M2672" s="27"/>
      <c r="N2672" s="27"/>
      <c r="O2672" s="31" t="str">
        <f aca="false">IF(G2672="","",VLOOKUP(G2672,Setup!$A$14:$C$17,3,0))</f>
        <v/>
      </c>
      <c r="P2672" s="27"/>
      <c r="Q2672" s="33" t="str">
        <f aca="false">IF(OR(P2672="",M2672&lt;&gt;"Paid",O2672=""),"",P2672/O2672)</f>
        <v/>
      </c>
      <c r="R2672" s="34" t="str">
        <f aca="false">IF(Q2672="","",Q2672+N(H2672)*0.000000001)</f>
        <v/>
      </c>
      <c r="S2672" s="32" t="str">
        <f aca="false">IF(R2672="","",SUMPRODUCT((I$5:I$4004=I2672)*ISNUMBER(R$5:R$4004)*(R$5:R$4004&gt;R2672))+1)</f>
        <v/>
      </c>
      <c r="T2672" s="32" t="str">
        <f aca="false">IF(S2672="","",IF(S2672&lt;=Setup!$B$5,"🏆 WINNER",""))</f>
        <v/>
      </c>
      <c r="U2672" s="31" t="str">
        <f aca="false">IF(S2672="","",I2672&amp;"|"&amp;S2672)</f>
        <v/>
      </c>
    </row>
    <row r="2673" customFormat="false" ht="15" hidden="false" customHeight="false" outlineLevel="0" collapsed="false">
      <c r="A2673" s="24" t="n">
        <v>2669</v>
      </c>
      <c r="B2673" s="25" t="str">
        <f aca="false">IF(OR(C2673="",I2673="",G2673=""),"",IFERROR(VLOOKUP(I2673,Setup!$A$9:$B$11,2,0),"???")&amp;"-"&amp;G2673&amp;"-"&amp;TEXT(COUNTIFS(I$5:I2673,I2673,G$5:G2673,G2673),"0000"))</f>
        <v/>
      </c>
      <c r="C2673" s="26"/>
      <c r="D2673" s="26"/>
      <c r="E2673" s="27"/>
      <c r="F2673" s="27"/>
      <c r="G2673" s="24" t="str">
        <f aca="false">IF(F2673="","",IF(F2673&lt;=5,"A",IF(F2673&lt;=8,"B",IF(F2673&lt;=10,"C","D"))))</f>
        <v/>
      </c>
      <c r="H2673" s="28"/>
      <c r="I2673" s="27"/>
      <c r="J2673" s="26"/>
      <c r="K2673" s="27"/>
      <c r="L2673" s="27"/>
      <c r="M2673" s="27"/>
      <c r="N2673" s="27"/>
      <c r="O2673" s="24" t="str">
        <f aca="false">IF(G2673="","",VLOOKUP(G2673,Setup!$A$14:$C$17,3,0))</f>
        <v/>
      </c>
      <c r="P2673" s="27"/>
      <c r="Q2673" s="29" t="str">
        <f aca="false">IF(OR(P2673="",M2673&lt;&gt;"Paid",O2673=""),"",P2673/O2673)</f>
        <v/>
      </c>
      <c r="R2673" s="30" t="str">
        <f aca="false">IF(Q2673="","",Q2673+N(H2673)*0.000000001)</f>
        <v/>
      </c>
      <c r="S2673" s="25" t="str">
        <f aca="false">IF(R2673="","",SUMPRODUCT((I$5:I$4004=I2673)*ISNUMBER(R$5:R$4004)*(R$5:R$4004&gt;R2673))+1)</f>
        <v/>
      </c>
      <c r="T2673" s="25" t="str">
        <f aca="false">IF(S2673="","",IF(S2673&lt;=Setup!$B$5,"🏆 WINNER",""))</f>
        <v/>
      </c>
      <c r="U2673" s="24" t="str">
        <f aca="false">IF(S2673="","",I2673&amp;"|"&amp;S2673)</f>
        <v/>
      </c>
    </row>
    <row r="2674" customFormat="false" ht="15" hidden="false" customHeight="false" outlineLevel="0" collapsed="false">
      <c r="A2674" s="31" t="n">
        <v>2670</v>
      </c>
      <c r="B2674" s="32" t="str">
        <f aca="false">IF(OR(C2674="",I2674="",G2674=""),"",IFERROR(VLOOKUP(I2674,Setup!$A$9:$B$11,2,0),"???")&amp;"-"&amp;G2674&amp;"-"&amp;TEXT(COUNTIFS(I$5:I2674,I2674,G$5:G2674,G2674),"0000"))</f>
        <v/>
      </c>
      <c r="C2674" s="26"/>
      <c r="D2674" s="26"/>
      <c r="E2674" s="27"/>
      <c r="F2674" s="27"/>
      <c r="G2674" s="31" t="str">
        <f aca="false">IF(F2674="","",IF(F2674&lt;=5,"A",IF(F2674&lt;=8,"B",IF(F2674&lt;=10,"C","D"))))</f>
        <v/>
      </c>
      <c r="H2674" s="28"/>
      <c r="I2674" s="27"/>
      <c r="J2674" s="26"/>
      <c r="K2674" s="27"/>
      <c r="L2674" s="27"/>
      <c r="M2674" s="27"/>
      <c r="N2674" s="27"/>
      <c r="O2674" s="31" t="str">
        <f aca="false">IF(G2674="","",VLOOKUP(G2674,Setup!$A$14:$C$17,3,0))</f>
        <v/>
      </c>
      <c r="P2674" s="27"/>
      <c r="Q2674" s="33" t="str">
        <f aca="false">IF(OR(P2674="",M2674&lt;&gt;"Paid",O2674=""),"",P2674/O2674)</f>
        <v/>
      </c>
      <c r="R2674" s="34" t="str">
        <f aca="false">IF(Q2674="","",Q2674+N(H2674)*0.000000001)</f>
        <v/>
      </c>
      <c r="S2674" s="32" t="str">
        <f aca="false">IF(R2674="","",SUMPRODUCT((I$5:I$4004=I2674)*ISNUMBER(R$5:R$4004)*(R$5:R$4004&gt;R2674))+1)</f>
        <v/>
      </c>
      <c r="T2674" s="32" t="str">
        <f aca="false">IF(S2674="","",IF(S2674&lt;=Setup!$B$5,"🏆 WINNER",""))</f>
        <v/>
      </c>
      <c r="U2674" s="31" t="str">
        <f aca="false">IF(S2674="","",I2674&amp;"|"&amp;S2674)</f>
        <v/>
      </c>
    </row>
    <row r="2675" customFormat="false" ht="15" hidden="false" customHeight="false" outlineLevel="0" collapsed="false">
      <c r="A2675" s="24" t="n">
        <v>2671</v>
      </c>
      <c r="B2675" s="25" t="str">
        <f aca="false">IF(OR(C2675="",I2675="",G2675=""),"",IFERROR(VLOOKUP(I2675,Setup!$A$9:$B$11,2,0),"???")&amp;"-"&amp;G2675&amp;"-"&amp;TEXT(COUNTIFS(I$5:I2675,I2675,G$5:G2675,G2675),"0000"))</f>
        <v/>
      </c>
      <c r="C2675" s="26"/>
      <c r="D2675" s="26"/>
      <c r="E2675" s="27"/>
      <c r="F2675" s="27"/>
      <c r="G2675" s="24" t="str">
        <f aca="false">IF(F2675="","",IF(F2675&lt;=5,"A",IF(F2675&lt;=8,"B",IF(F2675&lt;=10,"C","D"))))</f>
        <v/>
      </c>
      <c r="H2675" s="28"/>
      <c r="I2675" s="27"/>
      <c r="J2675" s="26"/>
      <c r="K2675" s="27"/>
      <c r="L2675" s="27"/>
      <c r="M2675" s="27"/>
      <c r="N2675" s="27"/>
      <c r="O2675" s="24" t="str">
        <f aca="false">IF(G2675="","",VLOOKUP(G2675,Setup!$A$14:$C$17,3,0))</f>
        <v/>
      </c>
      <c r="P2675" s="27"/>
      <c r="Q2675" s="29" t="str">
        <f aca="false">IF(OR(P2675="",M2675&lt;&gt;"Paid",O2675=""),"",P2675/O2675)</f>
        <v/>
      </c>
      <c r="R2675" s="30" t="str">
        <f aca="false">IF(Q2675="","",Q2675+N(H2675)*0.000000001)</f>
        <v/>
      </c>
      <c r="S2675" s="25" t="str">
        <f aca="false">IF(R2675="","",SUMPRODUCT((I$5:I$4004=I2675)*ISNUMBER(R$5:R$4004)*(R$5:R$4004&gt;R2675))+1)</f>
        <v/>
      </c>
      <c r="T2675" s="25" t="str">
        <f aca="false">IF(S2675="","",IF(S2675&lt;=Setup!$B$5,"🏆 WINNER",""))</f>
        <v/>
      </c>
      <c r="U2675" s="24" t="str">
        <f aca="false">IF(S2675="","",I2675&amp;"|"&amp;S2675)</f>
        <v/>
      </c>
    </row>
    <row r="2676" customFormat="false" ht="15" hidden="false" customHeight="false" outlineLevel="0" collapsed="false">
      <c r="A2676" s="31" t="n">
        <v>2672</v>
      </c>
      <c r="B2676" s="32" t="str">
        <f aca="false">IF(OR(C2676="",I2676="",G2676=""),"",IFERROR(VLOOKUP(I2676,Setup!$A$9:$B$11,2,0),"???")&amp;"-"&amp;G2676&amp;"-"&amp;TEXT(COUNTIFS(I$5:I2676,I2676,G$5:G2676,G2676),"0000"))</f>
        <v/>
      </c>
      <c r="C2676" s="26"/>
      <c r="D2676" s="26"/>
      <c r="E2676" s="27"/>
      <c r="F2676" s="27"/>
      <c r="G2676" s="31" t="str">
        <f aca="false">IF(F2676="","",IF(F2676&lt;=5,"A",IF(F2676&lt;=8,"B",IF(F2676&lt;=10,"C","D"))))</f>
        <v/>
      </c>
      <c r="H2676" s="28"/>
      <c r="I2676" s="27"/>
      <c r="J2676" s="26"/>
      <c r="K2676" s="27"/>
      <c r="L2676" s="27"/>
      <c r="M2676" s="27"/>
      <c r="N2676" s="27"/>
      <c r="O2676" s="31" t="str">
        <f aca="false">IF(G2676="","",VLOOKUP(G2676,Setup!$A$14:$C$17,3,0))</f>
        <v/>
      </c>
      <c r="P2676" s="27"/>
      <c r="Q2676" s="33" t="str">
        <f aca="false">IF(OR(P2676="",M2676&lt;&gt;"Paid",O2676=""),"",P2676/O2676)</f>
        <v/>
      </c>
      <c r="R2676" s="34" t="str">
        <f aca="false">IF(Q2676="","",Q2676+N(H2676)*0.000000001)</f>
        <v/>
      </c>
      <c r="S2676" s="32" t="str">
        <f aca="false">IF(R2676="","",SUMPRODUCT((I$5:I$4004=I2676)*ISNUMBER(R$5:R$4004)*(R$5:R$4004&gt;R2676))+1)</f>
        <v/>
      </c>
      <c r="T2676" s="32" t="str">
        <f aca="false">IF(S2676="","",IF(S2676&lt;=Setup!$B$5,"🏆 WINNER",""))</f>
        <v/>
      </c>
      <c r="U2676" s="31" t="str">
        <f aca="false">IF(S2676="","",I2676&amp;"|"&amp;S2676)</f>
        <v/>
      </c>
    </row>
    <row r="2677" customFormat="false" ht="15" hidden="false" customHeight="false" outlineLevel="0" collapsed="false">
      <c r="A2677" s="24" t="n">
        <v>2673</v>
      </c>
      <c r="B2677" s="25" t="str">
        <f aca="false">IF(OR(C2677="",I2677="",G2677=""),"",IFERROR(VLOOKUP(I2677,Setup!$A$9:$B$11,2,0),"???")&amp;"-"&amp;G2677&amp;"-"&amp;TEXT(COUNTIFS(I$5:I2677,I2677,G$5:G2677,G2677),"0000"))</f>
        <v/>
      </c>
      <c r="C2677" s="26"/>
      <c r="D2677" s="26"/>
      <c r="E2677" s="27"/>
      <c r="F2677" s="27"/>
      <c r="G2677" s="24" t="str">
        <f aca="false">IF(F2677="","",IF(F2677&lt;=5,"A",IF(F2677&lt;=8,"B",IF(F2677&lt;=10,"C","D"))))</f>
        <v/>
      </c>
      <c r="H2677" s="28"/>
      <c r="I2677" s="27"/>
      <c r="J2677" s="26"/>
      <c r="K2677" s="27"/>
      <c r="L2677" s="27"/>
      <c r="M2677" s="27"/>
      <c r="N2677" s="27"/>
      <c r="O2677" s="24" t="str">
        <f aca="false">IF(G2677="","",VLOOKUP(G2677,Setup!$A$14:$C$17,3,0))</f>
        <v/>
      </c>
      <c r="P2677" s="27"/>
      <c r="Q2677" s="29" t="str">
        <f aca="false">IF(OR(P2677="",M2677&lt;&gt;"Paid",O2677=""),"",P2677/O2677)</f>
        <v/>
      </c>
      <c r="R2677" s="30" t="str">
        <f aca="false">IF(Q2677="","",Q2677+N(H2677)*0.000000001)</f>
        <v/>
      </c>
      <c r="S2677" s="25" t="str">
        <f aca="false">IF(R2677="","",SUMPRODUCT((I$5:I$4004=I2677)*ISNUMBER(R$5:R$4004)*(R$5:R$4004&gt;R2677))+1)</f>
        <v/>
      </c>
      <c r="T2677" s="25" t="str">
        <f aca="false">IF(S2677="","",IF(S2677&lt;=Setup!$B$5,"🏆 WINNER",""))</f>
        <v/>
      </c>
      <c r="U2677" s="24" t="str">
        <f aca="false">IF(S2677="","",I2677&amp;"|"&amp;S2677)</f>
        <v/>
      </c>
    </row>
    <row r="2678" customFormat="false" ht="15" hidden="false" customHeight="false" outlineLevel="0" collapsed="false">
      <c r="A2678" s="31" t="n">
        <v>2674</v>
      </c>
      <c r="B2678" s="32" t="str">
        <f aca="false">IF(OR(C2678="",I2678="",G2678=""),"",IFERROR(VLOOKUP(I2678,Setup!$A$9:$B$11,2,0),"???")&amp;"-"&amp;G2678&amp;"-"&amp;TEXT(COUNTIFS(I$5:I2678,I2678,G$5:G2678,G2678),"0000"))</f>
        <v/>
      </c>
      <c r="C2678" s="26"/>
      <c r="D2678" s="26"/>
      <c r="E2678" s="27"/>
      <c r="F2678" s="27"/>
      <c r="G2678" s="31" t="str">
        <f aca="false">IF(F2678="","",IF(F2678&lt;=5,"A",IF(F2678&lt;=8,"B",IF(F2678&lt;=10,"C","D"))))</f>
        <v/>
      </c>
      <c r="H2678" s="28"/>
      <c r="I2678" s="27"/>
      <c r="J2678" s="26"/>
      <c r="K2678" s="27"/>
      <c r="L2678" s="27"/>
      <c r="M2678" s="27"/>
      <c r="N2678" s="27"/>
      <c r="O2678" s="31" t="str">
        <f aca="false">IF(G2678="","",VLOOKUP(G2678,Setup!$A$14:$C$17,3,0))</f>
        <v/>
      </c>
      <c r="P2678" s="27"/>
      <c r="Q2678" s="33" t="str">
        <f aca="false">IF(OR(P2678="",M2678&lt;&gt;"Paid",O2678=""),"",P2678/O2678)</f>
        <v/>
      </c>
      <c r="R2678" s="34" t="str">
        <f aca="false">IF(Q2678="","",Q2678+N(H2678)*0.000000001)</f>
        <v/>
      </c>
      <c r="S2678" s="32" t="str">
        <f aca="false">IF(R2678="","",SUMPRODUCT((I$5:I$4004=I2678)*ISNUMBER(R$5:R$4004)*(R$5:R$4004&gt;R2678))+1)</f>
        <v/>
      </c>
      <c r="T2678" s="32" t="str">
        <f aca="false">IF(S2678="","",IF(S2678&lt;=Setup!$B$5,"🏆 WINNER",""))</f>
        <v/>
      </c>
      <c r="U2678" s="31" t="str">
        <f aca="false">IF(S2678="","",I2678&amp;"|"&amp;S2678)</f>
        <v/>
      </c>
    </row>
    <row r="2679" customFormat="false" ht="15" hidden="false" customHeight="false" outlineLevel="0" collapsed="false">
      <c r="A2679" s="24" t="n">
        <v>2675</v>
      </c>
      <c r="B2679" s="25" t="str">
        <f aca="false">IF(OR(C2679="",I2679="",G2679=""),"",IFERROR(VLOOKUP(I2679,Setup!$A$9:$B$11,2,0),"???")&amp;"-"&amp;G2679&amp;"-"&amp;TEXT(COUNTIFS(I$5:I2679,I2679,G$5:G2679,G2679),"0000"))</f>
        <v/>
      </c>
      <c r="C2679" s="26"/>
      <c r="D2679" s="26"/>
      <c r="E2679" s="27"/>
      <c r="F2679" s="27"/>
      <c r="G2679" s="24" t="str">
        <f aca="false">IF(F2679="","",IF(F2679&lt;=5,"A",IF(F2679&lt;=8,"B",IF(F2679&lt;=10,"C","D"))))</f>
        <v/>
      </c>
      <c r="H2679" s="28"/>
      <c r="I2679" s="27"/>
      <c r="J2679" s="26"/>
      <c r="K2679" s="27"/>
      <c r="L2679" s="27"/>
      <c r="M2679" s="27"/>
      <c r="N2679" s="27"/>
      <c r="O2679" s="24" t="str">
        <f aca="false">IF(G2679="","",VLOOKUP(G2679,Setup!$A$14:$C$17,3,0))</f>
        <v/>
      </c>
      <c r="P2679" s="27"/>
      <c r="Q2679" s="29" t="str">
        <f aca="false">IF(OR(P2679="",M2679&lt;&gt;"Paid",O2679=""),"",P2679/O2679)</f>
        <v/>
      </c>
      <c r="R2679" s="30" t="str">
        <f aca="false">IF(Q2679="","",Q2679+N(H2679)*0.000000001)</f>
        <v/>
      </c>
      <c r="S2679" s="25" t="str">
        <f aca="false">IF(R2679="","",SUMPRODUCT((I$5:I$4004=I2679)*ISNUMBER(R$5:R$4004)*(R$5:R$4004&gt;R2679))+1)</f>
        <v/>
      </c>
      <c r="T2679" s="25" t="str">
        <f aca="false">IF(S2679="","",IF(S2679&lt;=Setup!$B$5,"🏆 WINNER",""))</f>
        <v/>
      </c>
      <c r="U2679" s="24" t="str">
        <f aca="false">IF(S2679="","",I2679&amp;"|"&amp;S2679)</f>
        <v/>
      </c>
    </row>
    <row r="2680" customFormat="false" ht="15" hidden="false" customHeight="false" outlineLevel="0" collapsed="false">
      <c r="A2680" s="31" t="n">
        <v>2676</v>
      </c>
      <c r="B2680" s="32" t="str">
        <f aca="false">IF(OR(C2680="",I2680="",G2680=""),"",IFERROR(VLOOKUP(I2680,Setup!$A$9:$B$11,2,0),"???")&amp;"-"&amp;G2680&amp;"-"&amp;TEXT(COUNTIFS(I$5:I2680,I2680,G$5:G2680,G2680),"0000"))</f>
        <v/>
      </c>
      <c r="C2680" s="26"/>
      <c r="D2680" s="26"/>
      <c r="E2680" s="27"/>
      <c r="F2680" s="27"/>
      <c r="G2680" s="31" t="str">
        <f aca="false">IF(F2680="","",IF(F2680&lt;=5,"A",IF(F2680&lt;=8,"B",IF(F2680&lt;=10,"C","D"))))</f>
        <v/>
      </c>
      <c r="H2680" s="28"/>
      <c r="I2680" s="27"/>
      <c r="J2680" s="26"/>
      <c r="K2680" s="27"/>
      <c r="L2680" s="27"/>
      <c r="M2680" s="27"/>
      <c r="N2680" s="27"/>
      <c r="O2680" s="31" t="str">
        <f aca="false">IF(G2680="","",VLOOKUP(G2680,Setup!$A$14:$C$17,3,0))</f>
        <v/>
      </c>
      <c r="P2680" s="27"/>
      <c r="Q2680" s="33" t="str">
        <f aca="false">IF(OR(P2680="",M2680&lt;&gt;"Paid",O2680=""),"",P2680/O2680)</f>
        <v/>
      </c>
      <c r="R2680" s="34" t="str">
        <f aca="false">IF(Q2680="","",Q2680+N(H2680)*0.000000001)</f>
        <v/>
      </c>
      <c r="S2680" s="32" t="str">
        <f aca="false">IF(R2680="","",SUMPRODUCT((I$5:I$4004=I2680)*ISNUMBER(R$5:R$4004)*(R$5:R$4004&gt;R2680))+1)</f>
        <v/>
      </c>
      <c r="T2680" s="32" t="str">
        <f aca="false">IF(S2680="","",IF(S2680&lt;=Setup!$B$5,"🏆 WINNER",""))</f>
        <v/>
      </c>
      <c r="U2680" s="31" t="str">
        <f aca="false">IF(S2680="","",I2680&amp;"|"&amp;S2680)</f>
        <v/>
      </c>
    </row>
    <row r="2681" customFormat="false" ht="15" hidden="false" customHeight="false" outlineLevel="0" collapsed="false">
      <c r="A2681" s="24" t="n">
        <v>2677</v>
      </c>
      <c r="B2681" s="25" t="str">
        <f aca="false">IF(OR(C2681="",I2681="",G2681=""),"",IFERROR(VLOOKUP(I2681,Setup!$A$9:$B$11,2,0),"???")&amp;"-"&amp;G2681&amp;"-"&amp;TEXT(COUNTIFS(I$5:I2681,I2681,G$5:G2681,G2681),"0000"))</f>
        <v/>
      </c>
      <c r="C2681" s="26"/>
      <c r="D2681" s="26"/>
      <c r="E2681" s="27"/>
      <c r="F2681" s="27"/>
      <c r="G2681" s="24" t="str">
        <f aca="false">IF(F2681="","",IF(F2681&lt;=5,"A",IF(F2681&lt;=8,"B",IF(F2681&lt;=10,"C","D"))))</f>
        <v/>
      </c>
      <c r="H2681" s="28"/>
      <c r="I2681" s="27"/>
      <c r="J2681" s="26"/>
      <c r="K2681" s="27"/>
      <c r="L2681" s="27"/>
      <c r="M2681" s="27"/>
      <c r="N2681" s="27"/>
      <c r="O2681" s="24" t="str">
        <f aca="false">IF(G2681="","",VLOOKUP(G2681,Setup!$A$14:$C$17,3,0))</f>
        <v/>
      </c>
      <c r="P2681" s="27"/>
      <c r="Q2681" s="29" t="str">
        <f aca="false">IF(OR(P2681="",M2681&lt;&gt;"Paid",O2681=""),"",P2681/O2681)</f>
        <v/>
      </c>
      <c r="R2681" s="30" t="str">
        <f aca="false">IF(Q2681="","",Q2681+N(H2681)*0.000000001)</f>
        <v/>
      </c>
      <c r="S2681" s="25" t="str">
        <f aca="false">IF(R2681="","",SUMPRODUCT((I$5:I$4004=I2681)*ISNUMBER(R$5:R$4004)*(R$5:R$4004&gt;R2681))+1)</f>
        <v/>
      </c>
      <c r="T2681" s="25" t="str">
        <f aca="false">IF(S2681="","",IF(S2681&lt;=Setup!$B$5,"🏆 WINNER",""))</f>
        <v/>
      </c>
      <c r="U2681" s="24" t="str">
        <f aca="false">IF(S2681="","",I2681&amp;"|"&amp;S2681)</f>
        <v/>
      </c>
    </row>
    <row r="2682" customFormat="false" ht="15" hidden="false" customHeight="false" outlineLevel="0" collapsed="false">
      <c r="A2682" s="31" t="n">
        <v>2678</v>
      </c>
      <c r="B2682" s="32" t="str">
        <f aca="false">IF(OR(C2682="",I2682="",G2682=""),"",IFERROR(VLOOKUP(I2682,Setup!$A$9:$B$11,2,0),"???")&amp;"-"&amp;G2682&amp;"-"&amp;TEXT(COUNTIFS(I$5:I2682,I2682,G$5:G2682,G2682),"0000"))</f>
        <v/>
      </c>
      <c r="C2682" s="26"/>
      <c r="D2682" s="26"/>
      <c r="E2682" s="27"/>
      <c r="F2682" s="27"/>
      <c r="G2682" s="31" t="str">
        <f aca="false">IF(F2682="","",IF(F2682&lt;=5,"A",IF(F2682&lt;=8,"B",IF(F2682&lt;=10,"C","D"))))</f>
        <v/>
      </c>
      <c r="H2682" s="28"/>
      <c r="I2682" s="27"/>
      <c r="J2682" s="26"/>
      <c r="K2682" s="27"/>
      <c r="L2682" s="27"/>
      <c r="M2682" s="27"/>
      <c r="N2682" s="27"/>
      <c r="O2682" s="31" t="str">
        <f aca="false">IF(G2682="","",VLOOKUP(G2682,Setup!$A$14:$C$17,3,0))</f>
        <v/>
      </c>
      <c r="P2682" s="27"/>
      <c r="Q2682" s="33" t="str">
        <f aca="false">IF(OR(P2682="",M2682&lt;&gt;"Paid",O2682=""),"",P2682/O2682)</f>
        <v/>
      </c>
      <c r="R2682" s="34" t="str">
        <f aca="false">IF(Q2682="","",Q2682+N(H2682)*0.000000001)</f>
        <v/>
      </c>
      <c r="S2682" s="32" t="str">
        <f aca="false">IF(R2682="","",SUMPRODUCT((I$5:I$4004=I2682)*ISNUMBER(R$5:R$4004)*(R$5:R$4004&gt;R2682))+1)</f>
        <v/>
      </c>
      <c r="T2682" s="32" t="str">
        <f aca="false">IF(S2682="","",IF(S2682&lt;=Setup!$B$5,"🏆 WINNER",""))</f>
        <v/>
      </c>
      <c r="U2682" s="31" t="str">
        <f aca="false">IF(S2682="","",I2682&amp;"|"&amp;S2682)</f>
        <v/>
      </c>
    </row>
    <row r="2683" customFormat="false" ht="15" hidden="false" customHeight="false" outlineLevel="0" collapsed="false">
      <c r="A2683" s="24" t="n">
        <v>2679</v>
      </c>
      <c r="B2683" s="25" t="str">
        <f aca="false">IF(OR(C2683="",I2683="",G2683=""),"",IFERROR(VLOOKUP(I2683,Setup!$A$9:$B$11,2,0),"???")&amp;"-"&amp;G2683&amp;"-"&amp;TEXT(COUNTIFS(I$5:I2683,I2683,G$5:G2683,G2683),"0000"))</f>
        <v/>
      </c>
      <c r="C2683" s="26"/>
      <c r="D2683" s="26"/>
      <c r="E2683" s="27"/>
      <c r="F2683" s="27"/>
      <c r="G2683" s="24" t="str">
        <f aca="false">IF(F2683="","",IF(F2683&lt;=5,"A",IF(F2683&lt;=8,"B",IF(F2683&lt;=10,"C","D"))))</f>
        <v/>
      </c>
      <c r="H2683" s="28"/>
      <c r="I2683" s="27"/>
      <c r="J2683" s="26"/>
      <c r="K2683" s="27"/>
      <c r="L2683" s="27"/>
      <c r="M2683" s="27"/>
      <c r="N2683" s="27"/>
      <c r="O2683" s="24" t="str">
        <f aca="false">IF(G2683="","",VLOOKUP(G2683,Setup!$A$14:$C$17,3,0))</f>
        <v/>
      </c>
      <c r="P2683" s="27"/>
      <c r="Q2683" s="29" t="str">
        <f aca="false">IF(OR(P2683="",M2683&lt;&gt;"Paid",O2683=""),"",P2683/O2683)</f>
        <v/>
      </c>
      <c r="R2683" s="30" t="str">
        <f aca="false">IF(Q2683="","",Q2683+N(H2683)*0.000000001)</f>
        <v/>
      </c>
      <c r="S2683" s="25" t="str">
        <f aca="false">IF(R2683="","",SUMPRODUCT((I$5:I$4004=I2683)*ISNUMBER(R$5:R$4004)*(R$5:R$4004&gt;R2683))+1)</f>
        <v/>
      </c>
      <c r="T2683" s="25" t="str">
        <f aca="false">IF(S2683="","",IF(S2683&lt;=Setup!$B$5,"🏆 WINNER",""))</f>
        <v/>
      </c>
      <c r="U2683" s="24" t="str">
        <f aca="false">IF(S2683="","",I2683&amp;"|"&amp;S2683)</f>
        <v/>
      </c>
    </row>
    <row r="2684" customFormat="false" ht="15" hidden="false" customHeight="false" outlineLevel="0" collapsed="false">
      <c r="A2684" s="31" t="n">
        <v>2680</v>
      </c>
      <c r="B2684" s="32" t="str">
        <f aca="false">IF(OR(C2684="",I2684="",G2684=""),"",IFERROR(VLOOKUP(I2684,Setup!$A$9:$B$11,2,0),"???")&amp;"-"&amp;G2684&amp;"-"&amp;TEXT(COUNTIFS(I$5:I2684,I2684,G$5:G2684,G2684),"0000"))</f>
        <v/>
      </c>
      <c r="C2684" s="26"/>
      <c r="D2684" s="26"/>
      <c r="E2684" s="27"/>
      <c r="F2684" s="27"/>
      <c r="G2684" s="31" t="str">
        <f aca="false">IF(F2684="","",IF(F2684&lt;=5,"A",IF(F2684&lt;=8,"B",IF(F2684&lt;=10,"C","D"))))</f>
        <v/>
      </c>
      <c r="H2684" s="28"/>
      <c r="I2684" s="27"/>
      <c r="J2684" s="26"/>
      <c r="K2684" s="27"/>
      <c r="L2684" s="27"/>
      <c r="M2684" s="27"/>
      <c r="N2684" s="27"/>
      <c r="O2684" s="31" t="str">
        <f aca="false">IF(G2684="","",VLOOKUP(G2684,Setup!$A$14:$C$17,3,0))</f>
        <v/>
      </c>
      <c r="P2684" s="27"/>
      <c r="Q2684" s="33" t="str">
        <f aca="false">IF(OR(P2684="",M2684&lt;&gt;"Paid",O2684=""),"",P2684/O2684)</f>
        <v/>
      </c>
      <c r="R2684" s="34" t="str">
        <f aca="false">IF(Q2684="","",Q2684+N(H2684)*0.000000001)</f>
        <v/>
      </c>
      <c r="S2684" s="32" t="str">
        <f aca="false">IF(R2684="","",SUMPRODUCT((I$5:I$4004=I2684)*ISNUMBER(R$5:R$4004)*(R$5:R$4004&gt;R2684))+1)</f>
        <v/>
      </c>
      <c r="T2684" s="32" t="str">
        <f aca="false">IF(S2684="","",IF(S2684&lt;=Setup!$B$5,"🏆 WINNER",""))</f>
        <v/>
      </c>
      <c r="U2684" s="31" t="str">
        <f aca="false">IF(S2684="","",I2684&amp;"|"&amp;S2684)</f>
        <v/>
      </c>
    </row>
    <row r="2685" customFormat="false" ht="15" hidden="false" customHeight="false" outlineLevel="0" collapsed="false">
      <c r="A2685" s="24" t="n">
        <v>2681</v>
      </c>
      <c r="B2685" s="25" t="str">
        <f aca="false">IF(OR(C2685="",I2685="",G2685=""),"",IFERROR(VLOOKUP(I2685,Setup!$A$9:$B$11,2,0),"???")&amp;"-"&amp;G2685&amp;"-"&amp;TEXT(COUNTIFS(I$5:I2685,I2685,G$5:G2685,G2685),"0000"))</f>
        <v/>
      </c>
      <c r="C2685" s="26"/>
      <c r="D2685" s="26"/>
      <c r="E2685" s="27"/>
      <c r="F2685" s="27"/>
      <c r="G2685" s="24" t="str">
        <f aca="false">IF(F2685="","",IF(F2685&lt;=5,"A",IF(F2685&lt;=8,"B",IF(F2685&lt;=10,"C","D"))))</f>
        <v/>
      </c>
      <c r="H2685" s="28"/>
      <c r="I2685" s="27"/>
      <c r="J2685" s="26"/>
      <c r="K2685" s="27"/>
      <c r="L2685" s="27"/>
      <c r="M2685" s="27"/>
      <c r="N2685" s="27"/>
      <c r="O2685" s="24" t="str">
        <f aca="false">IF(G2685="","",VLOOKUP(G2685,Setup!$A$14:$C$17,3,0))</f>
        <v/>
      </c>
      <c r="P2685" s="27"/>
      <c r="Q2685" s="29" t="str">
        <f aca="false">IF(OR(P2685="",M2685&lt;&gt;"Paid",O2685=""),"",P2685/O2685)</f>
        <v/>
      </c>
      <c r="R2685" s="30" t="str">
        <f aca="false">IF(Q2685="","",Q2685+N(H2685)*0.000000001)</f>
        <v/>
      </c>
      <c r="S2685" s="25" t="str">
        <f aca="false">IF(R2685="","",SUMPRODUCT((I$5:I$4004=I2685)*ISNUMBER(R$5:R$4004)*(R$5:R$4004&gt;R2685))+1)</f>
        <v/>
      </c>
      <c r="T2685" s="25" t="str">
        <f aca="false">IF(S2685="","",IF(S2685&lt;=Setup!$B$5,"🏆 WINNER",""))</f>
        <v/>
      </c>
      <c r="U2685" s="24" t="str">
        <f aca="false">IF(S2685="","",I2685&amp;"|"&amp;S2685)</f>
        <v/>
      </c>
    </row>
    <row r="2686" customFormat="false" ht="15" hidden="false" customHeight="false" outlineLevel="0" collapsed="false">
      <c r="A2686" s="31" t="n">
        <v>2682</v>
      </c>
      <c r="B2686" s="32" t="str">
        <f aca="false">IF(OR(C2686="",I2686="",G2686=""),"",IFERROR(VLOOKUP(I2686,Setup!$A$9:$B$11,2,0),"???")&amp;"-"&amp;G2686&amp;"-"&amp;TEXT(COUNTIFS(I$5:I2686,I2686,G$5:G2686,G2686),"0000"))</f>
        <v/>
      </c>
      <c r="C2686" s="26"/>
      <c r="D2686" s="26"/>
      <c r="E2686" s="27"/>
      <c r="F2686" s="27"/>
      <c r="G2686" s="31" t="str">
        <f aca="false">IF(F2686="","",IF(F2686&lt;=5,"A",IF(F2686&lt;=8,"B",IF(F2686&lt;=10,"C","D"))))</f>
        <v/>
      </c>
      <c r="H2686" s="28"/>
      <c r="I2686" s="27"/>
      <c r="J2686" s="26"/>
      <c r="K2686" s="27"/>
      <c r="L2686" s="27"/>
      <c r="M2686" s="27"/>
      <c r="N2686" s="27"/>
      <c r="O2686" s="31" t="str">
        <f aca="false">IF(G2686="","",VLOOKUP(G2686,Setup!$A$14:$C$17,3,0))</f>
        <v/>
      </c>
      <c r="P2686" s="27"/>
      <c r="Q2686" s="33" t="str">
        <f aca="false">IF(OR(P2686="",M2686&lt;&gt;"Paid",O2686=""),"",P2686/O2686)</f>
        <v/>
      </c>
      <c r="R2686" s="34" t="str">
        <f aca="false">IF(Q2686="","",Q2686+N(H2686)*0.000000001)</f>
        <v/>
      </c>
      <c r="S2686" s="32" t="str">
        <f aca="false">IF(R2686="","",SUMPRODUCT((I$5:I$4004=I2686)*ISNUMBER(R$5:R$4004)*(R$5:R$4004&gt;R2686))+1)</f>
        <v/>
      </c>
      <c r="T2686" s="32" t="str">
        <f aca="false">IF(S2686="","",IF(S2686&lt;=Setup!$B$5,"🏆 WINNER",""))</f>
        <v/>
      </c>
      <c r="U2686" s="31" t="str">
        <f aca="false">IF(S2686="","",I2686&amp;"|"&amp;S2686)</f>
        <v/>
      </c>
    </row>
    <row r="2687" customFormat="false" ht="15" hidden="false" customHeight="false" outlineLevel="0" collapsed="false">
      <c r="A2687" s="24" t="n">
        <v>2683</v>
      </c>
      <c r="B2687" s="25" t="str">
        <f aca="false">IF(OR(C2687="",I2687="",G2687=""),"",IFERROR(VLOOKUP(I2687,Setup!$A$9:$B$11,2,0),"???")&amp;"-"&amp;G2687&amp;"-"&amp;TEXT(COUNTIFS(I$5:I2687,I2687,G$5:G2687,G2687),"0000"))</f>
        <v/>
      </c>
      <c r="C2687" s="26"/>
      <c r="D2687" s="26"/>
      <c r="E2687" s="27"/>
      <c r="F2687" s="27"/>
      <c r="G2687" s="24" t="str">
        <f aca="false">IF(F2687="","",IF(F2687&lt;=5,"A",IF(F2687&lt;=8,"B",IF(F2687&lt;=10,"C","D"))))</f>
        <v/>
      </c>
      <c r="H2687" s="28"/>
      <c r="I2687" s="27"/>
      <c r="J2687" s="26"/>
      <c r="K2687" s="27"/>
      <c r="L2687" s="27"/>
      <c r="M2687" s="27"/>
      <c r="N2687" s="27"/>
      <c r="O2687" s="24" t="str">
        <f aca="false">IF(G2687="","",VLOOKUP(G2687,Setup!$A$14:$C$17,3,0))</f>
        <v/>
      </c>
      <c r="P2687" s="27"/>
      <c r="Q2687" s="29" t="str">
        <f aca="false">IF(OR(P2687="",M2687&lt;&gt;"Paid",O2687=""),"",P2687/O2687)</f>
        <v/>
      </c>
      <c r="R2687" s="30" t="str">
        <f aca="false">IF(Q2687="","",Q2687+N(H2687)*0.000000001)</f>
        <v/>
      </c>
      <c r="S2687" s="25" t="str">
        <f aca="false">IF(R2687="","",SUMPRODUCT((I$5:I$4004=I2687)*ISNUMBER(R$5:R$4004)*(R$5:R$4004&gt;R2687))+1)</f>
        <v/>
      </c>
      <c r="T2687" s="25" t="str">
        <f aca="false">IF(S2687="","",IF(S2687&lt;=Setup!$B$5,"🏆 WINNER",""))</f>
        <v/>
      </c>
      <c r="U2687" s="24" t="str">
        <f aca="false">IF(S2687="","",I2687&amp;"|"&amp;S2687)</f>
        <v/>
      </c>
    </row>
    <row r="2688" customFormat="false" ht="15" hidden="false" customHeight="false" outlineLevel="0" collapsed="false">
      <c r="A2688" s="31" t="n">
        <v>2684</v>
      </c>
      <c r="B2688" s="32" t="str">
        <f aca="false">IF(OR(C2688="",I2688="",G2688=""),"",IFERROR(VLOOKUP(I2688,Setup!$A$9:$B$11,2,0),"???")&amp;"-"&amp;G2688&amp;"-"&amp;TEXT(COUNTIFS(I$5:I2688,I2688,G$5:G2688,G2688),"0000"))</f>
        <v/>
      </c>
      <c r="C2688" s="26"/>
      <c r="D2688" s="26"/>
      <c r="E2688" s="27"/>
      <c r="F2688" s="27"/>
      <c r="G2688" s="31" t="str">
        <f aca="false">IF(F2688="","",IF(F2688&lt;=5,"A",IF(F2688&lt;=8,"B",IF(F2688&lt;=10,"C","D"))))</f>
        <v/>
      </c>
      <c r="H2688" s="28"/>
      <c r="I2688" s="27"/>
      <c r="J2688" s="26"/>
      <c r="K2688" s="27"/>
      <c r="L2688" s="27"/>
      <c r="M2688" s="27"/>
      <c r="N2688" s="27"/>
      <c r="O2688" s="31" t="str">
        <f aca="false">IF(G2688="","",VLOOKUP(G2688,Setup!$A$14:$C$17,3,0))</f>
        <v/>
      </c>
      <c r="P2688" s="27"/>
      <c r="Q2688" s="33" t="str">
        <f aca="false">IF(OR(P2688="",M2688&lt;&gt;"Paid",O2688=""),"",P2688/O2688)</f>
        <v/>
      </c>
      <c r="R2688" s="34" t="str">
        <f aca="false">IF(Q2688="","",Q2688+N(H2688)*0.000000001)</f>
        <v/>
      </c>
      <c r="S2688" s="32" t="str">
        <f aca="false">IF(R2688="","",SUMPRODUCT((I$5:I$4004=I2688)*ISNUMBER(R$5:R$4004)*(R$5:R$4004&gt;R2688))+1)</f>
        <v/>
      </c>
      <c r="T2688" s="32" t="str">
        <f aca="false">IF(S2688="","",IF(S2688&lt;=Setup!$B$5,"🏆 WINNER",""))</f>
        <v/>
      </c>
      <c r="U2688" s="31" t="str">
        <f aca="false">IF(S2688="","",I2688&amp;"|"&amp;S2688)</f>
        <v/>
      </c>
    </row>
    <row r="2689" customFormat="false" ht="15" hidden="false" customHeight="false" outlineLevel="0" collapsed="false">
      <c r="A2689" s="24" t="n">
        <v>2685</v>
      </c>
      <c r="B2689" s="25" t="str">
        <f aca="false">IF(OR(C2689="",I2689="",G2689=""),"",IFERROR(VLOOKUP(I2689,Setup!$A$9:$B$11,2,0),"???")&amp;"-"&amp;G2689&amp;"-"&amp;TEXT(COUNTIFS(I$5:I2689,I2689,G$5:G2689,G2689),"0000"))</f>
        <v/>
      </c>
      <c r="C2689" s="26"/>
      <c r="D2689" s="26"/>
      <c r="E2689" s="27"/>
      <c r="F2689" s="27"/>
      <c r="G2689" s="24" t="str">
        <f aca="false">IF(F2689="","",IF(F2689&lt;=5,"A",IF(F2689&lt;=8,"B",IF(F2689&lt;=10,"C","D"))))</f>
        <v/>
      </c>
      <c r="H2689" s="28"/>
      <c r="I2689" s="27"/>
      <c r="J2689" s="26"/>
      <c r="K2689" s="27"/>
      <c r="L2689" s="27"/>
      <c r="M2689" s="27"/>
      <c r="N2689" s="27"/>
      <c r="O2689" s="24" t="str">
        <f aca="false">IF(G2689="","",VLOOKUP(G2689,Setup!$A$14:$C$17,3,0))</f>
        <v/>
      </c>
      <c r="P2689" s="27"/>
      <c r="Q2689" s="29" t="str">
        <f aca="false">IF(OR(P2689="",M2689&lt;&gt;"Paid",O2689=""),"",P2689/O2689)</f>
        <v/>
      </c>
      <c r="R2689" s="30" t="str">
        <f aca="false">IF(Q2689="","",Q2689+N(H2689)*0.000000001)</f>
        <v/>
      </c>
      <c r="S2689" s="25" t="str">
        <f aca="false">IF(R2689="","",SUMPRODUCT((I$5:I$4004=I2689)*ISNUMBER(R$5:R$4004)*(R$5:R$4004&gt;R2689))+1)</f>
        <v/>
      </c>
      <c r="T2689" s="25" t="str">
        <f aca="false">IF(S2689="","",IF(S2689&lt;=Setup!$B$5,"🏆 WINNER",""))</f>
        <v/>
      </c>
      <c r="U2689" s="24" t="str">
        <f aca="false">IF(S2689="","",I2689&amp;"|"&amp;S2689)</f>
        <v/>
      </c>
    </row>
    <row r="2690" customFormat="false" ht="15" hidden="false" customHeight="false" outlineLevel="0" collapsed="false">
      <c r="A2690" s="31" t="n">
        <v>2686</v>
      </c>
      <c r="B2690" s="32" t="str">
        <f aca="false">IF(OR(C2690="",I2690="",G2690=""),"",IFERROR(VLOOKUP(I2690,Setup!$A$9:$B$11,2,0),"???")&amp;"-"&amp;G2690&amp;"-"&amp;TEXT(COUNTIFS(I$5:I2690,I2690,G$5:G2690,G2690),"0000"))</f>
        <v/>
      </c>
      <c r="C2690" s="26"/>
      <c r="D2690" s="26"/>
      <c r="E2690" s="27"/>
      <c r="F2690" s="27"/>
      <c r="G2690" s="31" t="str">
        <f aca="false">IF(F2690="","",IF(F2690&lt;=5,"A",IF(F2690&lt;=8,"B",IF(F2690&lt;=10,"C","D"))))</f>
        <v/>
      </c>
      <c r="H2690" s="28"/>
      <c r="I2690" s="27"/>
      <c r="J2690" s="26"/>
      <c r="K2690" s="27"/>
      <c r="L2690" s="27"/>
      <c r="M2690" s="27"/>
      <c r="N2690" s="27"/>
      <c r="O2690" s="31" t="str">
        <f aca="false">IF(G2690="","",VLOOKUP(G2690,Setup!$A$14:$C$17,3,0))</f>
        <v/>
      </c>
      <c r="P2690" s="27"/>
      <c r="Q2690" s="33" t="str">
        <f aca="false">IF(OR(P2690="",M2690&lt;&gt;"Paid",O2690=""),"",P2690/O2690)</f>
        <v/>
      </c>
      <c r="R2690" s="34" t="str">
        <f aca="false">IF(Q2690="","",Q2690+N(H2690)*0.000000001)</f>
        <v/>
      </c>
      <c r="S2690" s="32" t="str">
        <f aca="false">IF(R2690="","",SUMPRODUCT((I$5:I$4004=I2690)*ISNUMBER(R$5:R$4004)*(R$5:R$4004&gt;R2690))+1)</f>
        <v/>
      </c>
      <c r="T2690" s="32" t="str">
        <f aca="false">IF(S2690="","",IF(S2690&lt;=Setup!$B$5,"🏆 WINNER",""))</f>
        <v/>
      </c>
      <c r="U2690" s="31" t="str">
        <f aca="false">IF(S2690="","",I2690&amp;"|"&amp;S2690)</f>
        <v/>
      </c>
    </row>
    <row r="2691" customFormat="false" ht="15" hidden="false" customHeight="false" outlineLevel="0" collapsed="false">
      <c r="A2691" s="24" t="n">
        <v>2687</v>
      </c>
      <c r="B2691" s="25" t="str">
        <f aca="false">IF(OR(C2691="",I2691="",G2691=""),"",IFERROR(VLOOKUP(I2691,Setup!$A$9:$B$11,2,0),"???")&amp;"-"&amp;G2691&amp;"-"&amp;TEXT(COUNTIFS(I$5:I2691,I2691,G$5:G2691,G2691),"0000"))</f>
        <v/>
      </c>
      <c r="C2691" s="26"/>
      <c r="D2691" s="26"/>
      <c r="E2691" s="27"/>
      <c r="F2691" s="27"/>
      <c r="G2691" s="24" t="str">
        <f aca="false">IF(F2691="","",IF(F2691&lt;=5,"A",IF(F2691&lt;=8,"B",IF(F2691&lt;=10,"C","D"))))</f>
        <v/>
      </c>
      <c r="H2691" s="28"/>
      <c r="I2691" s="27"/>
      <c r="J2691" s="26"/>
      <c r="K2691" s="27"/>
      <c r="L2691" s="27"/>
      <c r="M2691" s="27"/>
      <c r="N2691" s="27"/>
      <c r="O2691" s="24" t="str">
        <f aca="false">IF(G2691="","",VLOOKUP(G2691,Setup!$A$14:$C$17,3,0))</f>
        <v/>
      </c>
      <c r="P2691" s="27"/>
      <c r="Q2691" s="29" t="str">
        <f aca="false">IF(OR(P2691="",M2691&lt;&gt;"Paid",O2691=""),"",P2691/O2691)</f>
        <v/>
      </c>
      <c r="R2691" s="30" t="str">
        <f aca="false">IF(Q2691="","",Q2691+N(H2691)*0.000000001)</f>
        <v/>
      </c>
      <c r="S2691" s="25" t="str">
        <f aca="false">IF(R2691="","",SUMPRODUCT((I$5:I$4004=I2691)*ISNUMBER(R$5:R$4004)*(R$5:R$4004&gt;R2691))+1)</f>
        <v/>
      </c>
      <c r="T2691" s="25" t="str">
        <f aca="false">IF(S2691="","",IF(S2691&lt;=Setup!$B$5,"🏆 WINNER",""))</f>
        <v/>
      </c>
      <c r="U2691" s="24" t="str">
        <f aca="false">IF(S2691="","",I2691&amp;"|"&amp;S2691)</f>
        <v/>
      </c>
    </row>
    <row r="2692" customFormat="false" ht="15" hidden="false" customHeight="false" outlineLevel="0" collapsed="false">
      <c r="A2692" s="31" t="n">
        <v>2688</v>
      </c>
      <c r="B2692" s="32" t="str">
        <f aca="false">IF(OR(C2692="",I2692="",G2692=""),"",IFERROR(VLOOKUP(I2692,Setup!$A$9:$B$11,2,0),"???")&amp;"-"&amp;G2692&amp;"-"&amp;TEXT(COUNTIFS(I$5:I2692,I2692,G$5:G2692,G2692),"0000"))</f>
        <v/>
      </c>
      <c r="C2692" s="26"/>
      <c r="D2692" s="26"/>
      <c r="E2692" s="27"/>
      <c r="F2692" s="27"/>
      <c r="G2692" s="31" t="str">
        <f aca="false">IF(F2692="","",IF(F2692&lt;=5,"A",IF(F2692&lt;=8,"B",IF(F2692&lt;=10,"C","D"))))</f>
        <v/>
      </c>
      <c r="H2692" s="28"/>
      <c r="I2692" s="27"/>
      <c r="J2692" s="26"/>
      <c r="K2692" s="27"/>
      <c r="L2692" s="27"/>
      <c r="M2692" s="27"/>
      <c r="N2692" s="27"/>
      <c r="O2692" s="31" t="str">
        <f aca="false">IF(G2692="","",VLOOKUP(G2692,Setup!$A$14:$C$17,3,0))</f>
        <v/>
      </c>
      <c r="P2692" s="27"/>
      <c r="Q2692" s="33" t="str">
        <f aca="false">IF(OR(P2692="",M2692&lt;&gt;"Paid",O2692=""),"",P2692/O2692)</f>
        <v/>
      </c>
      <c r="R2692" s="34" t="str">
        <f aca="false">IF(Q2692="","",Q2692+N(H2692)*0.000000001)</f>
        <v/>
      </c>
      <c r="S2692" s="32" t="str">
        <f aca="false">IF(R2692="","",SUMPRODUCT((I$5:I$4004=I2692)*ISNUMBER(R$5:R$4004)*(R$5:R$4004&gt;R2692))+1)</f>
        <v/>
      </c>
      <c r="T2692" s="32" t="str">
        <f aca="false">IF(S2692="","",IF(S2692&lt;=Setup!$B$5,"🏆 WINNER",""))</f>
        <v/>
      </c>
      <c r="U2692" s="31" t="str">
        <f aca="false">IF(S2692="","",I2692&amp;"|"&amp;S2692)</f>
        <v/>
      </c>
    </row>
    <row r="2693" customFormat="false" ht="15" hidden="false" customHeight="false" outlineLevel="0" collapsed="false">
      <c r="A2693" s="24" t="n">
        <v>2689</v>
      </c>
      <c r="B2693" s="25" t="str">
        <f aca="false">IF(OR(C2693="",I2693="",G2693=""),"",IFERROR(VLOOKUP(I2693,Setup!$A$9:$B$11,2,0),"???")&amp;"-"&amp;G2693&amp;"-"&amp;TEXT(COUNTIFS(I$5:I2693,I2693,G$5:G2693,G2693),"0000"))</f>
        <v/>
      </c>
      <c r="C2693" s="26"/>
      <c r="D2693" s="26"/>
      <c r="E2693" s="27"/>
      <c r="F2693" s="27"/>
      <c r="G2693" s="24" t="str">
        <f aca="false">IF(F2693="","",IF(F2693&lt;=5,"A",IF(F2693&lt;=8,"B",IF(F2693&lt;=10,"C","D"))))</f>
        <v/>
      </c>
      <c r="H2693" s="28"/>
      <c r="I2693" s="27"/>
      <c r="J2693" s="26"/>
      <c r="K2693" s="27"/>
      <c r="L2693" s="27"/>
      <c r="M2693" s="27"/>
      <c r="N2693" s="27"/>
      <c r="O2693" s="24" t="str">
        <f aca="false">IF(G2693="","",VLOOKUP(G2693,Setup!$A$14:$C$17,3,0))</f>
        <v/>
      </c>
      <c r="P2693" s="27"/>
      <c r="Q2693" s="29" t="str">
        <f aca="false">IF(OR(P2693="",M2693&lt;&gt;"Paid",O2693=""),"",P2693/O2693)</f>
        <v/>
      </c>
      <c r="R2693" s="30" t="str">
        <f aca="false">IF(Q2693="","",Q2693+N(H2693)*0.000000001)</f>
        <v/>
      </c>
      <c r="S2693" s="25" t="str">
        <f aca="false">IF(R2693="","",SUMPRODUCT((I$5:I$4004=I2693)*ISNUMBER(R$5:R$4004)*(R$5:R$4004&gt;R2693))+1)</f>
        <v/>
      </c>
      <c r="T2693" s="25" t="str">
        <f aca="false">IF(S2693="","",IF(S2693&lt;=Setup!$B$5,"🏆 WINNER",""))</f>
        <v/>
      </c>
      <c r="U2693" s="24" t="str">
        <f aca="false">IF(S2693="","",I2693&amp;"|"&amp;S2693)</f>
        <v/>
      </c>
    </row>
    <row r="2694" customFormat="false" ht="15" hidden="false" customHeight="false" outlineLevel="0" collapsed="false">
      <c r="A2694" s="31" t="n">
        <v>2690</v>
      </c>
      <c r="B2694" s="32" t="str">
        <f aca="false">IF(OR(C2694="",I2694="",G2694=""),"",IFERROR(VLOOKUP(I2694,Setup!$A$9:$B$11,2,0),"???")&amp;"-"&amp;G2694&amp;"-"&amp;TEXT(COUNTIFS(I$5:I2694,I2694,G$5:G2694,G2694),"0000"))</f>
        <v/>
      </c>
      <c r="C2694" s="26"/>
      <c r="D2694" s="26"/>
      <c r="E2694" s="27"/>
      <c r="F2694" s="27"/>
      <c r="G2694" s="31" t="str">
        <f aca="false">IF(F2694="","",IF(F2694&lt;=5,"A",IF(F2694&lt;=8,"B",IF(F2694&lt;=10,"C","D"))))</f>
        <v/>
      </c>
      <c r="H2694" s="28"/>
      <c r="I2694" s="27"/>
      <c r="J2694" s="26"/>
      <c r="K2694" s="27"/>
      <c r="L2694" s="27"/>
      <c r="M2694" s="27"/>
      <c r="N2694" s="27"/>
      <c r="O2694" s="31" t="str">
        <f aca="false">IF(G2694="","",VLOOKUP(G2694,Setup!$A$14:$C$17,3,0))</f>
        <v/>
      </c>
      <c r="P2694" s="27"/>
      <c r="Q2694" s="33" t="str">
        <f aca="false">IF(OR(P2694="",M2694&lt;&gt;"Paid",O2694=""),"",P2694/O2694)</f>
        <v/>
      </c>
      <c r="R2694" s="34" t="str">
        <f aca="false">IF(Q2694="","",Q2694+N(H2694)*0.000000001)</f>
        <v/>
      </c>
      <c r="S2694" s="32" t="str">
        <f aca="false">IF(R2694="","",SUMPRODUCT((I$5:I$4004=I2694)*ISNUMBER(R$5:R$4004)*(R$5:R$4004&gt;R2694))+1)</f>
        <v/>
      </c>
      <c r="T2694" s="32" t="str">
        <f aca="false">IF(S2694="","",IF(S2694&lt;=Setup!$B$5,"🏆 WINNER",""))</f>
        <v/>
      </c>
      <c r="U2694" s="31" t="str">
        <f aca="false">IF(S2694="","",I2694&amp;"|"&amp;S2694)</f>
        <v/>
      </c>
    </row>
    <row r="2695" customFormat="false" ht="15" hidden="false" customHeight="false" outlineLevel="0" collapsed="false">
      <c r="A2695" s="24" t="n">
        <v>2691</v>
      </c>
      <c r="B2695" s="25" t="str">
        <f aca="false">IF(OR(C2695="",I2695="",G2695=""),"",IFERROR(VLOOKUP(I2695,Setup!$A$9:$B$11,2,0),"???")&amp;"-"&amp;G2695&amp;"-"&amp;TEXT(COUNTIFS(I$5:I2695,I2695,G$5:G2695,G2695),"0000"))</f>
        <v/>
      </c>
      <c r="C2695" s="26"/>
      <c r="D2695" s="26"/>
      <c r="E2695" s="27"/>
      <c r="F2695" s="27"/>
      <c r="G2695" s="24" t="str">
        <f aca="false">IF(F2695="","",IF(F2695&lt;=5,"A",IF(F2695&lt;=8,"B",IF(F2695&lt;=10,"C","D"))))</f>
        <v/>
      </c>
      <c r="H2695" s="28"/>
      <c r="I2695" s="27"/>
      <c r="J2695" s="26"/>
      <c r="K2695" s="27"/>
      <c r="L2695" s="27"/>
      <c r="M2695" s="27"/>
      <c r="N2695" s="27"/>
      <c r="O2695" s="24" t="str">
        <f aca="false">IF(G2695="","",VLOOKUP(G2695,Setup!$A$14:$C$17,3,0))</f>
        <v/>
      </c>
      <c r="P2695" s="27"/>
      <c r="Q2695" s="29" t="str">
        <f aca="false">IF(OR(P2695="",M2695&lt;&gt;"Paid",O2695=""),"",P2695/O2695)</f>
        <v/>
      </c>
      <c r="R2695" s="30" t="str">
        <f aca="false">IF(Q2695="","",Q2695+N(H2695)*0.000000001)</f>
        <v/>
      </c>
      <c r="S2695" s="25" t="str">
        <f aca="false">IF(R2695="","",SUMPRODUCT((I$5:I$4004=I2695)*ISNUMBER(R$5:R$4004)*(R$5:R$4004&gt;R2695))+1)</f>
        <v/>
      </c>
      <c r="T2695" s="25" t="str">
        <f aca="false">IF(S2695="","",IF(S2695&lt;=Setup!$B$5,"🏆 WINNER",""))</f>
        <v/>
      </c>
      <c r="U2695" s="24" t="str">
        <f aca="false">IF(S2695="","",I2695&amp;"|"&amp;S2695)</f>
        <v/>
      </c>
    </row>
    <row r="2696" customFormat="false" ht="15" hidden="false" customHeight="false" outlineLevel="0" collapsed="false">
      <c r="A2696" s="31" t="n">
        <v>2692</v>
      </c>
      <c r="B2696" s="32" t="str">
        <f aca="false">IF(OR(C2696="",I2696="",G2696=""),"",IFERROR(VLOOKUP(I2696,Setup!$A$9:$B$11,2,0),"???")&amp;"-"&amp;G2696&amp;"-"&amp;TEXT(COUNTIFS(I$5:I2696,I2696,G$5:G2696,G2696),"0000"))</f>
        <v/>
      </c>
      <c r="C2696" s="26"/>
      <c r="D2696" s="26"/>
      <c r="E2696" s="27"/>
      <c r="F2696" s="27"/>
      <c r="G2696" s="31" t="str">
        <f aca="false">IF(F2696="","",IF(F2696&lt;=5,"A",IF(F2696&lt;=8,"B",IF(F2696&lt;=10,"C","D"))))</f>
        <v/>
      </c>
      <c r="H2696" s="28"/>
      <c r="I2696" s="27"/>
      <c r="J2696" s="26"/>
      <c r="K2696" s="27"/>
      <c r="L2696" s="27"/>
      <c r="M2696" s="27"/>
      <c r="N2696" s="27"/>
      <c r="O2696" s="31" t="str">
        <f aca="false">IF(G2696="","",VLOOKUP(G2696,Setup!$A$14:$C$17,3,0))</f>
        <v/>
      </c>
      <c r="P2696" s="27"/>
      <c r="Q2696" s="33" t="str">
        <f aca="false">IF(OR(P2696="",M2696&lt;&gt;"Paid",O2696=""),"",P2696/O2696)</f>
        <v/>
      </c>
      <c r="R2696" s="34" t="str">
        <f aca="false">IF(Q2696="","",Q2696+N(H2696)*0.000000001)</f>
        <v/>
      </c>
      <c r="S2696" s="32" t="str">
        <f aca="false">IF(R2696="","",SUMPRODUCT((I$5:I$4004=I2696)*ISNUMBER(R$5:R$4004)*(R$5:R$4004&gt;R2696))+1)</f>
        <v/>
      </c>
      <c r="T2696" s="32" t="str">
        <f aca="false">IF(S2696="","",IF(S2696&lt;=Setup!$B$5,"🏆 WINNER",""))</f>
        <v/>
      </c>
      <c r="U2696" s="31" t="str">
        <f aca="false">IF(S2696="","",I2696&amp;"|"&amp;S2696)</f>
        <v/>
      </c>
    </row>
    <row r="2697" customFormat="false" ht="15" hidden="false" customHeight="false" outlineLevel="0" collapsed="false">
      <c r="A2697" s="24" t="n">
        <v>2693</v>
      </c>
      <c r="B2697" s="25" t="str">
        <f aca="false">IF(OR(C2697="",I2697="",G2697=""),"",IFERROR(VLOOKUP(I2697,Setup!$A$9:$B$11,2,0),"???")&amp;"-"&amp;G2697&amp;"-"&amp;TEXT(COUNTIFS(I$5:I2697,I2697,G$5:G2697,G2697),"0000"))</f>
        <v/>
      </c>
      <c r="C2697" s="26"/>
      <c r="D2697" s="26"/>
      <c r="E2697" s="27"/>
      <c r="F2697" s="27"/>
      <c r="G2697" s="24" t="str">
        <f aca="false">IF(F2697="","",IF(F2697&lt;=5,"A",IF(F2697&lt;=8,"B",IF(F2697&lt;=10,"C","D"))))</f>
        <v/>
      </c>
      <c r="H2697" s="28"/>
      <c r="I2697" s="27"/>
      <c r="J2697" s="26"/>
      <c r="K2697" s="27"/>
      <c r="L2697" s="27"/>
      <c r="M2697" s="27"/>
      <c r="N2697" s="27"/>
      <c r="O2697" s="24" t="str">
        <f aca="false">IF(G2697="","",VLOOKUP(G2697,Setup!$A$14:$C$17,3,0))</f>
        <v/>
      </c>
      <c r="P2697" s="27"/>
      <c r="Q2697" s="29" t="str">
        <f aca="false">IF(OR(P2697="",M2697&lt;&gt;"Paid",O2697=""),"",P2697/O2697)</f>
        <v/>
      </c>
      <c r="R2697" s="30" t="str">
        <f aca="false">IF(Q2697="","",Q2697+N(H2697)*0.000000001)</f>
        <v/>
      </c>
      <c r="S2697" s="25" t="str">
        <f aca="false">IF(R2697="","",SUMPRODUCT((I$5:I$4004=I2697)*ISNUMBER(R$5:R$4004)*(R$5:R$4004&gt;R2697))+1)</f>
        <v/>
      </c>
      <c r="T2697" s="25" t="str">
        <f aca="false">IF(S2697="","",IF(S2697&lt;=Setup!$B$5,"🏆 WINNER",""))</f>
        <v/>
      </c>
      <c r="U2697" s="24" t="str">
        <f aca="false">IF(S2697="","",I2697&amp;"|"&amp;S2697)</f>
        <v/>
      </c>
    </row>
    <row r="2698" customFormat="false" ht="15" hidden="false" customHeight="false" outlineLevel="0" collapsed="false">
      <c r="A2698" s="31" t="n">
        <v>2694</v>
      </c>
      <c r="B2698" s="32" t="str">
        <f aca="false">IF(OR(C2698="",I2698="",G2698=""),"",IFERROR(VLOOKUP(I2698,Setup!$A$9:$B$11,2,0),"???")&amp;"-"&amp;G2698&amp;"-"&amp;TEXT(COUNTIFS(I$5:I2698,I2698,G$5:G2698,G2698),"0000"))</f>
        <v/>
      </c>
      <c r="C2698" s="26"/>
      <c r="D2698" s="26"/>
      <c r="E2698" s="27"/>
      <c r="F2698" s="27"/>
      <c r="G2698" s="31" t="str">
        <f aca="false">IF(F2698="","",IF(F2698&lt;=5,"A",IF(F2698&lt;=8,"B",IF(F2698&lt;=10,"C","D"))))</f>
        <v/>
      </c>
      <c r="H2698" s="28"/>
      <c r="I2698" s="27"/>
      <c r="J2698" s="26"/>
      <c r="K2698" s="27"/>
      <c r="L2698" s="27"/>
      <c r="M2698" s="27"/>
      <c r="N2698" s="27"/>
      <c r="O2698" s="31" t="str">
        <f aca="false">IF(G2698="","",VLOOKUP(G2698,Setup!$A$14:$C$17,3,0))</f>
        <v/>
      </c>
      <c r="P2698" s="27"/>
      <c r="Q2698" s="33" t="str">
        <f aca="false">IF(OR(P2698="",M2698&lt;&gt;"Paid",O2698=""),"",P2698/O2698)</f>
        <v/>
      </c>
      <c r="R2698" s="34" t="str">
        <f aca="false">IF(Q2698="","",Q2698+N(H2698)*0.000000001)</f>
        <v/>
      </c>
      <c r="S2698" s="32" t="str">
        <f aca="false">IF(R2698="","",SUMPRODUCT((I$5:I$4004=I2698)*ISNUMBER(R$5:R$4004)*(R$5:R$4004&gt;R2698))+1)</f>
        <v/>
      </c>
      <c r="T2698" s="32" t="str">
        <f aca="false">IF(S2698="","",IF(S2698&lt;=Setup!$B$5,"🏆 WINNER",""))</f>
        <v/>
      </c>
      <c r="U2698" s="31" t="str">
        <f aca="false">IF(S2698="","",I2698&amp;"|"&amp;S2698)</f>
        <v/>
      </c>
    </row>
    <row r="2699" customFormat="false" ht="15" hidden="false" customHeight="false" outlineLevel="0" collapsed="false">
      <c r="A2699" s="24" t="n">
        <v>2695</v>
      </c>
      <c r="B2699" s="25" t="str">
        <f aca="false">IF(OR(C2699="",I2699="",G2699=""),"",IFERROR(VLOOKUP(I2699,Setup!$A$9:$B$11,2,0),"???")&amp;"-"&amp;G2699&amp;"-"&amp;TEXT(COUNTIFS(I$5:I2699,I2699,G$5:G2699,G2699),"0000"))</f>
        <v/>
      </c>
      <c r="C2699" s="26"/>
      <c r="D2699" s="26"/>
      <c r="E2699" s="27"/>
      <c r="F2699" s="27"/>
      <c r="G2699" s="24" t="str">
        <f aca="false">IF(F2699="","",IF(F2699&lt;=5,"A",IF(F2699&lt;=8,"B",IF(F2699&lt;=10,"C","D"))))</f>
        <v/>
      </c>
      <c r="H2699" s="28"/>
      <c r="I2699" s="27"/>
      <c r="J2699" s="26"/>
      <c r="K2699" s="27"/>
      <c r="L2699" s="27"/>
      <c r="M2699" s="27"/>
      <c r="N2699" s="27"/>
      <c r="O2699" s="24" t="str">
        <f aca="false">IF(G2699="","",VLOOKUP(G2699,Setup!$A$14:$C$17,3,0))</f>
        <v/>
      </c>
      <c r="P2699" s="27"/>
      <c r="Q2699" s="29" t="str">
        <f aca="false">IF(OR(P2699="",M2699&lt;&gt;"Paid",O2699=""),"",P2699/O2699)</f>
        <v/>
      </c>
      <c r="R2699" s="30" t="str">
        <f aca="false">IF(Q2699="","",Q2699+N(H2699)*0.000000001)</f>
        <v/>
      </c>
      <c r="S2699" s="25" t="str">
        <f aca="false">IF(R2699="","",SUMPRODUCT((I$5:I$4004=I2699)*ISNUMBER(R$5:R$4004)*(R$5:R$4004&gt;R2699))+1)</f>
        <v/>
      </c>
      <c r="T2699" s="25" t="str">
        <f aca="false">IF(S2699="","",IF(S2699&lt;=Setup!$B$5,"🏆 WINNER",""))</f>
        <v/>
      </c>
      <c r="U2699" s="24" t="str">
        <f aca="false">IF(S2699="","",I2699&amp;"|"&amp;S2699)</f>
        <v/>
      </c>
    </row>
    <row r="2700" customFormat="false" ht="15" hidden="false" customHeight="false" outlineLevel="0" collapsed="false">
      <c r="A2700" s="31" t="n">
        <v>2696</v>
      </c>
      <c r="B2700" s="32" t="str">
        <f aca="false">IF(OR(C2700="",I2700="",G2700=""),"",IFERROR(VLOOKUP(I2700,Setup!$A$9:$B$11,2,0),"???")&amp;"-"&amp;G2700&amp;"-"&amp;TEXT(COUNTIFS(I$5:I2700,I2700,G$5:G2700,G2700),"0000"))</f>
        <v/>
      </c>
      <c r="C2700" s="26"/>
      <c r="D2700" s="26"/>
      <c r="E2700" s="27"/>
      <c r="F2700" s="27"/>
      <c r="G2700" s="31" t="str">
        <f aca="false">IF(F2700="","",IF(F2700&lt;=5,"A",IF(F2700&lt;=8,"B",IF(F2700&lt;=10,"C","D"))))</f>
        <v/>
      </c>
      <c r="H2700" s="28"/>
      <c r="I2700" s="27"/>
      <c r="J2700" s="26"/>
      <c r="K2700" s="27"/>
      <c r="L2700" s="27"/>
      <c r="M2700" s="27"/>
      <c r="N2700" s="27"/>
      <c r="O2700" s="31" t="str">
        <f aca="false">IF(G2700="","",VLOOKUP(G2700,Setup!$A$14:$C$17,3,0))</f>
        <v/>
      </c>
      <c r="P2700" s="27"/>
      <c r="Q2700" s="33" t="str">
        <f aca="false">IF(OR(P2700="",M2700&lt;&gt;"Paid",O2700=""),"",P2700/O2700)</f>
        <v/>
      </c>
      <c r="R2700" s="34" t="str">
        <f aca="false">IF(Q2700="","",Q2700+N(H2700)*0.000000001)</f>
        <v/>
      </c>
      <c r="S2700" s="32" t="str">
        <f aca="false">IF(R2700="","",SUMPRODUCT((I$5:I$4004=I2700)*ISNUMBER(R$5:R$4004)*(R$5:R$4004&gt;R2700))+1)</f>
        <v/>
      </c>
      <c r="T2700" s="32" t="str">
        <f aca="false">IF(S2700="","",IF(S2700&lt;=Setup!$B$5,"🏆 WINNER",""))</f>
        <v/>
      </c>
      <c r="U2700" s="31" t="str">
        <f aca="false">IF(S2700="","",I2700&amp;"|"&amp;S2700)</f>
        <v/>
      </c>
    </row>
    <row r="2701" customFormat="false" ht="15" hidden="false" customHeight="false" outlineLevel="0" collapsed="false">
      <c r="A2701" s="24" t="n">
        <v>2697</v>
      </c>
      <c r="B2701" s="25" t="str">
        <f aca="false">IF(OR(C2701="",I2701="",G2701=""),"",IFERROR(VLOOKUP(I2701,Setup!$A$9:$B$11,2,0),"???")&amp;"-"&amp;G2701&amp;"-"&amp;TEXT(COUNTIFS(I$5:I2701,I2701,G$5:G2701,G2701),"0000"))</f>
        <v/>
      </c>
      <c r="C2701" s="26"/>
      <c r="D2701" s="26"/>
      <c r="E2701" s="27"/>
      <c r="F2701" s="27"/>
      <c r="G2701" s="24" t="str">
        <f aca="false">IF(F2701="","",IF(F2701&lt;=5,"A",IF(F2701&lt;=8,"B",IF(F2701&lt;=10,"C","D"))))</f>
        <v/>
      </c>
      <c r="H2701" s="28"/>
      <c r="I2701" s="27"/>
      <c r="J2701" s="26"/>
      <c r="K2701" s="27"/>
      <c r="L2701" s="27"/>
      <c r="M2701" s="27"/>
      <c r="N2701" s="27"/>
      <c r="O2701" s="24" t="str">
        <f aca="false">IF(G2701="","",VLOOKUP(G2701,Setup!$A$14:$C$17,3,0))</f>
        <v/>
      </c>
      <c r="P2701" s="27"/>
      <c r="Q2701" s="29" t="str">
        <f aca="false">IF(OR(P2701="",M2701&lt;&gt;"Paid",O2701=""),"",P2701/O2701)</f>
        <v/>
      </c>
      <c r="R2701" s="30" t="str">
        <f aca="false">IF(Q2701="","",Q2701+N(H2701)*0.000000001)</f>
        <v/>
      </c>
      <c r="S2701" s="25" t="str">
        <f aca="false">IF(R2701="","",SUMPRODUCT((I$5:I$4004=I2701)*ISNUMBER(R$5:R$4004)*(R$5:R$4004&gt;R2701))+1)</f>
        <v/>
      </c>
      <c r="T2701" s="25" t="str">
        <f aca="false">IF(S2701="","",IF(S2701&lt;=Setup!$B$5,"🏆 WINNER",""))</f>
        <v/>
      </c>
      <c r="U2701" s="24" t="str">
        <f aca="false">IF(S2701="","",I2701&amp;"|"&amp;S2701)</f>
        <v/>
      </c>
    </row>
    <row r="2702" customFormat="false" ht="15" hidden="false" customHeight="false" outlineLevel="0" collapsed="false">
      <c r="A2702" s="31" t="n">
        <v>2698</v>
      </c>
      <c r="B2702" s="32" t="str">
        <f aca="false">IF(OR(C2702="",I2702="",G2702=""),"",IFERROR(VLOOKUP(I2702,Setup!$A$9:$B$11,2,0),"???")&amp;"-"&amp;G2702&amp;"-"&amp;TEXT(COUNTIFS(I$5:I2702,I2702,G$5:G2702,G2702),"0000"))</f>
        <v/>
      </c>
      <c r="C2702" s="26"/>
      <c r="D2702" s="26"/>
      <c r="E2702" s="27"/>
      <c r="F2702" s="27"/>
      <c r="G2702" s="31" t="str">
        <f aca="false">IF(F2702="","",IF(F2702&lt;=5,"A",IF(F2702&lt;=8,"B",IF(F2702&lt;=10,"C","D"))))</f>
        <v/>
      </c>
      <c r="H2702" s="28"/>
      <c r="I2702" s="27"/>
      <c r="J2702" s="26"/>
      <c r="K2702" s="27"/>
      <c r="L2702" s="27"/>
      <c r="M2702" s="27"/>
      <c r="N2702" s="27"/>
      <c r="O2702" s="31" t="str">
        <f aca="false">IF(G2702="","",VLOOKUP(G2702,Setup!$A$14:$C$17,3,0))</f>
        <v/>
      </c>
      <c r="P2702" s="27"/>
      <c r="Q2702" s="33" t="str">
        <f aca="false">IF(OR(P2702="",M2702&lt;&gt;"Paid",O2702=""),"",P2702/O2702)</f>
        <v/>
      </c>
      <c r="R2702" s="34" t="str">
        <f aca="false">IF(Q2702="","",Q2702+N(H2702)*0.000000001)</f>
        <v/>
      </c>
      <c r="S2702" s="32" t="str">
        <f aca="false">IF(R2702="","",SUMPRODUCT((I$5:I$4004=I2702)*ISNUMBER(R$5:R$4004)*(R$5:R$4004&gt;R2702))+1)</f>
        <v/>
      </c>
      <c r="T2702" s="32" t="str">
        <f aca="false">IF(S2702="","",IF(S2702&lt;=Setup!$B$5,"🏆 WINNER",""))</f>
        <v/>
      </c>
      <c r="U2702" s="31" t="str">
        <f aca="false">IF(S2702="","",I2702&amp;"|"&amp;S2702)</f>
        <v/>
      </c>
    </row>
    <row r="2703" customFormat="false" ht="15" hidden="false" customHeight="false" outlineLevel="0" collapsed="false">
      <c r="A2703" s="24" t="n">
        <v>2699</v>
      </c>
      <c r="B2703" s="25" t="str">
        <f aca="false">IF(OR(C2703="",I2703="",G2703=""),"",IFERROR(VLOOKUP(I2703,Setup!$A$9:$B$11,2,0),"???")&amp;"-"&amp;G2703&amp;"-"&amp;TEXT(COUNTIFS(I$5:I2703,I2703,G$5:G2703,G2703),"0000"))</f>
        <v/>
      </c>
      <c r="C2703" s="26"/>
      <c r="D2703" s="26"/>
      <c r="E2703" s="27"/>
      <c r="F2703" s="27"/>
      <c r="G2703" s="24" t="str">
        <f aca="false">IF(F2703="","",IF(F2703&lt;=5,"A",IF(F2703&lt;=8,"B",IF(F2703&lt;=10,"C","D"))))</f>
        <v/>
      </c>
      <c r="H2703" s="28"/>
      <c r="I2703" s="27"/>
      <c r="J2703" s="26"/>
      <c r="K2703" s="27"/>
      <c r="L2703" s="27"/>
      <c r="M2703" s="27"/>
      <c r="N2703" s="27"/>
      <c r="O2703" s="24" t="str">
        <f aca="false">IF(G2703="","",VLOOKUP(G2703,Setup!$A$14:$C$17,3,0))</f>
        <v/>
      </c>
      <c r="P2703" s="27"/>
      <c r="Q2703" s="29" t="str">
        <f aca="false">IF(OR(P2703="",M2703&lt;&gt;"Paid",O2703=""),"",P2703/O2703)</f>
        <v/>
      </c>
      <c r="R2703" s="30" t="str">
        <f aca="false">IF(Q2703="","",Q2703+N(H2703)*0.000000001)</f>
        <v/>
      </c>
      <c r="S2703" s="25" t="str">
        <f aca="false">IF(R2703="","",SUMPRODUCT((I$5:I$4004=I2703)*ISNUMBER(R$5:R$4004)*(R$5:R$4004&gt;R2703))+1)</f>
        <v/>
      </c>
      <c r="T2703" s="25" t="str">
        <f aca="false">IF(S2703="","",IF(S2703&lt;=Setup!$B$5,"🏆 WINNER",""))</f>
        <v/>
      </c>
      <c r="U2703" s="24" t="str">
        <f aca="false">IF(S2703="","",I2703&amp;"|"&amp;S2703)</f>
        <v/>
      </c>
    </row>
    <row r="2704" customFormat="false" ht="15" hidden="false" customHeight="false" outlineLevel="0" collapsed="false">
      <c r="A2704" s="31" t="n">
        <v>2700</v>
      </c>
      <c r="B2704" s="32" t="str">
        <f aca="false">IF(OR(C2704="",I2704="",G2704=""),"",IFERROR(VLOOKUP(I2704,Setup!$A$9:$B$11,2,0),"???")&amp;"-"&amp;G2704&amp;"-"&amp;TEXT(COUNTIFS(I$5:I2704,I2704,G$5:G2704,G2704),"0000"))</f>
        <v/>
      </c>
      <c r="C2704" s="26"/>
      <c r="D2704" s="26"/>
      <c r="E2704" s="27"/>
      <c r="F2704" s="27"/>
      <c r="G2704" s="31" t="str">
        <f aca="false">IF(F2704="","",IF(F2704&lt;=5,"A",IF(F2704&lt;=8,"B",IF(F2704&lt;=10,"C","D"))))</f>
        <v/>
      </c>
      <c r="H2704" s="28"/>
      <c r="I2704" s="27"/>
      <c r="J2704" s="26"/>
      <c r="K2704" s="27"/>
      <c r="L2704" s="27"/>
      <c r="M2704" s="27"/>
      <c r="N2704" s="27"/>
      <c r="O2704" s="31" t="str">
        <f aca="false">IF(G2704="","",VLOOKUP(G2704,Setup!$A$14:$C$17,3,0))</f>
        <v/>
      </c>
      <c r="P2704" s="27"/>
      <c r="Q2704" s="33" t="str">
        <f aca="false">IF(OR(P2704="",M2704&lt;&gt;"Paid",O2704=""),"",P2704/O2704)</f>
        <v/>
      </c>
      <c r="R2704" s="34" t="str">
        <f aca="false">IF(Q2704="","",Q2704+N(H2704)*0.000000001)</f>
        <v/>
      </c>
      <c r="S2704" s="32" t="str">
        <f aca="false">IF(R2704="","",SUMPRODUCT((I$5:I$4004=I2704)*ISNUMBER(R$5:R$4004)*(R$5:R$4004&gt;R2704))+1)</f>
        <v/>
      </c>
      <c r="T2704" s="32" t="str">
        <f aca="false">IF(S2704="","",IF(S2704&lt;=Setup!$B$5,"🏆 WINNER",""))</f>
        <v/>
      </c>
      <c r="U2704" s="31" t="str">
        <f aca="false">IF(S2704="","",I2704&amp;"|"&amp;S2704)</f>
        <v/>
      </c>
    </row>
    <row r="2705" customFormat="false" ht="15" hidden="false" customHeight="false" outlineLevel="0" collapsed="false">
      <c r="A2705" s="24" t="n">
        <v>2701</v>
      </c>
      <c r="B2705" s="25" t="str">
        <f aca="false">IF(OR(C2705="",I2705="",G2705=""),"",IFERROR(VLOOKUP(I2705,Setup!$A$9:$B$11,2,0),"???")&amp;"-"&amp;G2705&amp;"-"&amp;TEXT(COUNTIFS(I$5:I2705,I2705,G$5:G2705,G2705),"0000"))</f>
        <v/>
      </c>
      <c r="C2705" s="26"/>
      <c r="D2705" s="26"/>
      <c r="E2705" s="27"/>
      <c r="F2705" s="27"/>
      <c r="G2705" s="24" t="str">
        <f aca="false">IF(F2705="","",IF(F2705&lt;=5,"A",IF(F2705&lt;=8,"B",IF(F2705&lt;=10,"C","D"))))</f>
        <v/>
      </c>
      <c r="H2705" s="28"/>
      <c r="I2705" s="27"/>
      <c r="J2705" s="26"/>
      <c r="K2705" s="27"/>
      <c r="L2705" s="27"/>
      <c r="M2705" s="27"/>
      <c r="N2705" s="27"/>
      <c r="O2705" s="24" t="str">
        <f aca="false">IF(G2705="","",VLOOKUP(G2705,Setup!$A$14:$C$17,3,0))</f>
        <v/>
      </c>
      <c r="P2705" s="27"/>
      <c r="Q2705" s="29" t="str">
        <f aca="false">IF(OR(P2705="",M2705&lt;&gt;"Paid",O2705=""),"",P2705/O2705)</f>
        <v/>
      </c>
      <c r="R2705" s="30" t="str">
        <f aca="false">IF(Q2705="","",Q2705+N(H2705)*0.000000001)</f>
        <v/>
      </c>
      <c r="S2705" s="25" t="str">
        <f aca="false">IF(R2705="","",SUMPRODUCT((I$5:I$4004=I2705)*ISNUMBER(R$5:R$4004)*(R$5:R$4004&gt;R2705))+1)</f>
        <v/>
      </c>
      <c r="T2705" s="25" t="str">
        <f aca="false">IF(S2705="","",IF(S2705&lt;=Setup!$B$5,"🏆 WINNER",""))</f>
        <v/>
      </c>
      <c r="U2705" s="24" t="str">
        <f aca="false">IF(S2705="","",I2705&amp;"|"&amp;S2705)</f>
        <v/>
      </c>
    </row>
    <row r="2706" customFormat="false" ht="15" hidden="false" customHeight="false" outlineLevel="0" collapsed="false">
      <c r="A2706" s="31" t="n">
        <v>2702</v>
      </c>
      <c r="B2706" s="32" t="str">
        <f aca="false">IF(OR(C2706="",I2706="",G2706=""),"",IFERROR(VLOOKUP(I2706,Setup!$A$9:$B$11,2,0),"???")&amp;"-"&amp;G2706&amp;"-"&amp;TEXT(COUNTIFS(I$5:I2706,I2706,G$5:G2706,G2706),"0000"))</f>
        <v/>
      </c>
      <c r="C2706" s="26"/>
      <c r="D2706" s="26"/>
      <c r="E2706" s="27"/>
      <c r="F2706" s="27"/>
      <c r="G2706" s="31" t="str">
        <f aca="false">IF(F2706="","",IF(F2706&lt;=5,"A",IF(F2706&lt;=8,"B",IF(F2706&lt;=10,"C","D"))))</f>
        <v/>
      </c>
      <c r="H2706" s="28"/>
      <c r="I2706" s="27"/>
      <c r="J2706" s="26"/>
      <c r="K2706" s="27"/>
      <c r="L2706" s="27"/>
      <c r="M2706" s="27"/>
      <c r="N2706" s="27"/>
      <c r="O2706" s="31" t="str">
        <f aca="false">IF(G2706="","",VLOOKUP(G2706,Setup!$A$14:$C$17,3,0))</f>
        <v/>
      </c>
      <c r="P2706" s="27"/>
      <c r="Q2706" s="33" t="str">
        <f aca="false">IF(OR(P2706="",M2706&lt;&gt;"Paid",O2706=""),"",P2706/O2706)</f>
        <v/>
      </c>
      <c r="R2706" s="34" t="str">
        <f aca="false">IF(Q2706="","",Q2706+N(H2706)*0.000000001)</f>
        <v/>
      </c>
      <c r="S2706" s="32" t="str">
        <f aca="false">IF(R2706="","",SUMPRODUCT((I$5:I$4004=I2706)*ISNUMBER(R$5:R$4004)*(R$5:R$4004&gt;R2706))+1)</f>
        <v/>
      </c>
      <c r="T2706" s="32" t="str">
        <f aca="false">IF(S2706="","",IF(S2706&lt;=Setup!$B$5,"🏆 WINNER",""))</f>
        <v/>
      </c>
      <c r="U2706" s="31" t="str">
        <f aca="false">IF(S2706="","",I2706&amp;"|"&amp;S2706)</f>
        <v/>
      </c>
    </row>
    <row r="2707" customFormat="false" ht="15" hidden="false" customHeight="false" outlineLevel="0" collapsed="false">
      <c r="A2707" s="24" t="n">
        <v>2703</v>
      </c>
      <c r="B2707" s="25" t="str">
        <f aca="false">IF(OR(C2707="",I2707="",G2707=""),"",IFERROR(VLOOKUP(I2707,Setup!$A$9:$B$11,2,0),"???")&amp;"-"&amp;G2707&amp;"-"&amp;TEXT(COUNTIFS(I$5:I2707,I2707,G$5:G2707,G2707),"0000"))</f>
        <v/>
      </c>
      <c r="C2707" s="26"/>
      <c r="D2707" s="26"/>
      <c r="E2707" s="27"/>
      <c r="F2707" s="27"/>
      <c r="G2707" s="24" t="str">
        <f aca="false">IF(F2707="","",IF(F2707&lt;=5,"A",IF(F2707&lt;=8,"B",IF(F2707&lt;=10,"C","D"))))</f>
        <v/>
      </c>
      <c r="H2707" s="28"/>
      <c r="I2707" s="27"/>
      <c r="J2707" s="26"/>
      <c r="K2707" s="27"/>
      <c r="L2707" s="27"/>
      <c r="M2707" s="27"/>
      <c r="N2707" s="27"/>
      <c r="O2707" s="24" t="str">
        <f aca="false">IF(G2707="","",VLOOKUP(G2707,Setup!$A$14:$C$17,3,0))</f>
        <v/>
      </c>
      <c r="P2707" s="27"/>
      <c r="Q2707" s="29" t="str">
        <f aca="false">IF(OR(P2707="",M2707&lt;&gt;"Paid",O2707=""),"",P2707/O2707)</f>
        <v/>
      </c>
      <c r="R2707" s="30" t="str">
        <f aca="false">IF(Q2707="","",Q2707+N(H2707)*0.000000001)</f>
        <v/>
      </c>
      <c r="S2707" s="25" t="str">
        <f aca="false">IF(R2707="","",SUMPRODUCT((I$5:I$4004=I2707)*ISNUMBER(R$5:R$4004)*(R$5:R$4004&gt;R2707))+1)</f>
        <v/>
      </c>
      <c r="T2707" s="25" t="str">
        <f aca="false">IF(S2707="","",IF(S2707&lt;=Setup!$B$5,"🏆 WINNER",""))</f>
        <v/>
      </c>
      <c r="U2707" s="24" t="str">
        <f aca="false">IF(S2707="","",I2707&amp;"|"&amp;S2707)</f>
        <v/>
      </c>
    </row>
    <row r="2708" customFormat="false" ht="15" hidden="false" customHeight="false" outlineLevel="0" collapsed="false">
      <c r="A2708" s="31" t="n">
        <v>2704</v>
      </c>
      <c r="B2708" s="32" t="str">
        <f aca="false">IF(OR(C2708="",I2708="",G2708=""),"",IFERROR(VLOOKUP(I2708,Setup!$A$9:$B$11,2,0),"???")&amp;"-"&amp;G2708&amp;"-"&amp;TEXT(COUNTIFS(I$5:I2708,I2708,G$5:G2708,G2708),"0000"))</f>
        <v/>
      </c>
      <c r="C2708" s="26"/>
      <c r="D2708" s="26"/>
      <c r="E2708" s="27"/>
      <c r="F2708" s="27"/>
      <c r="G2708" s="31" t="str">
        <f aca="false">IF(F2708="","",IF(F2708&lt;=5,"A",IF(F2708&lt;=8,"B",IF(F2708&lt;=10,"C","D"))))</f>
        <v/>
      </c>
      <c r="H2708" s="28"/>
      <c r="I2708" s="27"/>
      <c r="J2708" s="26"/>
      <c r="K2708" s="27"/>
      <c r="L2708" s="27"/>
      <c r="M2708" s="27"/>
      <c r="N2708" s="27"/>
      <c r="O2708" s="31" t="str">
        <f aca="false">IF(G2708="","",VLOOKUP(G2708,Setup!$A$14:$C$17,3,0))</f>
        <v/>
      </c>
      <c r="P2708" s="27"/>
      <c r="Q2708" s="33" t="str">
        <f aca="false">IF(OR(P2708="",M2708&lt;&gt;"Paid",O2708=""),"",P2708/O2708)</f>
        <v/>
      </c>
      <c r="R2708" s="34" t="str">
        <f aca="false">IF(Q2708="","",Q2708+N(H2708)*0.000000001)</f>
        <v/>
      </c>
      <c r="S2708" s="32" t="str">
        <f aca="false">IF(R2708="","",SUMPRODUCT((I$5:I$4004=I2708)*ISNUMBER(R$5:R$4004)*(R$5:R$4004&gt;R2708))+1)</f>
        <v/>
      </c>
      <c r="T2708" s="32" t="str">
        <f aca="false">IF(S2708="","",IF(S2708&lt;=Setup!$B$5,"🏆 WINNER",""))</f>
        <v/>
      </c>
      <c r="U2708" s="31" t="str">
        <f aca="false">IF(S2708="","",I2708&amp;"|"&amp;S2708)</f>
        <v/>
      </c>
    </row>
    <row r="2709" customFormat="false" ht="15" hidden="false" customHeight="false" outlineLevel="0" collapsed="false">
      <c r="A2709" s="24" t="n">
        <v>2705</v>
      </c>
      <c r="B2709" s="25" t="str">
        <f aca="false">IF(OR(C2709="",I2709="",G2709=""),"",IFERROR(VLOOKUP(I2709,Setup!$A$9:$B$11,2,0),"???")&amp;"-"&amp;G2709&amp;"-"&amp;TEXT(COUNTIFS(I$5:I2709,I2709,G$5:G2709,G2709),"0000"))</f>
        <v/>
      </c>
      <c r="C2709" s="26"/>
      <c r="D2709" s="26"/>
      <c r="E2709" s="27"/>
      <c r="F2709" s="27"/>
      <c r="G2709" s="24" t="str">
        <f aca="false">IF(F2709="","",IF(F2709&lt;=5,"A",IF(F2709&lt;=8,"B",IF(F2709&lt;=10,"C","D"))))</f>
        <v/>
      </c>
      <c r="H2709" s="28"/>
      <c r="I2709" s="27"/>
      <c r="J2709" s="26"/>
      <c r="K2709" s="27"/>
      <c r="L2709" s="27"/>
      <c r="M2709" s="27"/>
      <c r="N2709" s="27"/>
      <c r="O2709" s="24" t="str">
        <f aca="false">IF(G2709="","",VLOOKUP(G2709,Setup!$A$14:$C$17,3,0))</f>
        <v/>
      </c>
      <c r="P2709" s="27"/>
      <c r="Q2709" s="29" t="str">
        <f aca="false">IF(OR(P2709="",M2709&lt;&gt;"Paid",O2709=""),"",P2709/O2709)</f>
        <v/>
      </c>
      <c r="R2709" s="30" t="str">
        <f aca="false">IF(Q2709="","",Q2709+N(H2709)*0.000000001)</f>
        <v/>
      </c>
      <c r="S2709" s="25" t="str">
        <f aca="false">IF(R2709="","",SUMPRODUCT((I$5:I$4004=I2709)*ISNUMBER(R$5:R$4004)*(R$5:R$4004&gt;R2709))+1)</f>
        <v/>
      </c>
      <c r="T2709" s="25" t="str">
        <f aca="false">IF(S2709="","",IF(S2709&lt;=Setup!$B$5,"🏆 WINNER",""))</f>
        <v/>
      </c>
      <c r="U2709" s="24" t="str">
        <f aca="false">IF(S2709="","",I2709&amp;"|"&amp;S2709)</f>
        <v/>
      </c>
    </row>
    <row r="2710" customFormat="false" ht="15" hidden="false" customHeight="false" outlineLevel="0" collapsed="false">
      <c r="A2710" s="31" t="n">
        <v>2706</v>
      </c>
      <c r="B2710" s="32" t="str">
        <f aca="false">IF(OR(C2710="",I2710="",G2710=""),"",IFERROR(VLOOKUP(I2710,Setup!$A$9:$B$11,2,0),"???")&amp;"-"&amp;G2710&amp;"-"&amp;TEXT(COUNTIFS(I$5:I2710,I2710,G$5:G2710,G2710),"0000"))</f>
        <v/>
      </c>
      <c r="C2710" s="26"/>
      <c r="D2710" s="26"/>
      <c r="E2710" s="27"/>
      <c r="F2710" s="27"/>
      <c r="G2710" s="31" t="str">
        <f aca="false">IF(F2710="","",IF(F2710&lt;=5,"A",IF(F2710&lt;=8,"B",IF(F2710&lt;=10,"C","D"))))</f>
        <v/>
      </c>
      <c r="H2710" s="28"/>
      <c r="I2710" s="27"/>
      <c r="J2710" s="26"/>
      <c r="K2710" s="27"/>
      <c r="L2710" s="27"/>
      <c r="M2710" s="27"/>
      <c r="N2710" s="27"/>
      <c r="O2710" s="31" t="str">
        <f aca="false">IF(G2710="","",VLOOKUP(G2710,Setup!$A$14:$C$17,3,0))</f>
        <v/>
      </c>
      <c r="P2710" s="27"/>
      <c r="Q2710" s="33" t="str">
        <f aca="false">IF(OR(P2710="",M2710&lt;&gt;"Paid",O2710=""),"",P2710/O2710)</f>
        <v/>
      </c>
      <c r="R2710" s="34" t="str">
        <f aca="false">IF(Q2710="","",Q2710+N(H2710)*0.000000001)</f>
        <v/>
      </c>
      <c r="S2710" s="32" t="str">
        <f aca="false">IF(R2710="","",SUMPRODUCT((I$5:I$4004=I2710)*ISNUMBER(R$5:R$4004)*(R$5:R$4004&gt;R2710))+1)</f>
        <v/>
      </c>
      <c r="T2710" s="32" t="str">
        <f aca="false">IF(S2710="","",IF(S2710&lt;=Setup!$B$5,"🏆 WINNER",""))</f>
        <v/>
      </c>
      <c r="U2710" s="31" t="str">
        <f aca="false">IF(S2710="","",I2710&amp;"|"&amp;S2710)</f>
        <v/>
      </c>
    </row>
    <row r="2711" customFormat="false" ht="15" hidden="false" customHeight="false" outlineLevel="0" collapsed="false">
      <c r="A2711" s="24" t="n">
        <v>2707</v>
      </c>
      <c r="B2711" s="25" t="str">
        <f aca="false">IF(OR(C2711="",I2711="",G2711=""),"",IFERROR(VLOOKUP(I2711,Setup!$A$9:$B$11,2,0),"???")&amp;"-"&amp;G2711&amp;"-"&amp;TEXT(COUNTIFS(I$5:I2711,I2711,G$5:G2711,G2711),"0000"))</f>
        <v/>
      </c>
      <c r="C2711" s="26"/>
      <c r="D2711" s="26"/>
      <c r="E2711" s="27"/>
      <c r="F2711" s="27"/>
      <c r="G2711" s="24" t="str">
        <f aca="false">IF(F2711="","",IF(F2711&lt;=5,"A",IF(F2711&lt;=8,"B",IF(F2711&lt;=10,"C","D"))))</f>
        <v/>
      </c>
      <c r="H2711" s="28"/>
      <c r="I2711" s="27"/>
      <c r="J2711" s="26"/>
      <c r="K2711" s="27"/>
      <c r="L2711" s="27"/>
      <c r="M2711" s="27"/>
      <c r="N2711" s="27"/>
      <c r="O2711" s="24" t="str">
        <f aca="false">IF(G2711="","",VLOOKUP(G2711,Setup!$A$14:$C$17,3,0))</f>
        <v/>
      </c>
      <c r="P2711" s="27"/>
      <c r="Q2711" s="29" t="str">
        <f aca="false">IF(OR(P2711="",M2711&lt;&gt;"Paid",O2711=""),"",P2711/O2711)</f>
        <v/>
      </c>
      <c r="R2711" s="30" t="str">
        <f aca="false">IF(Q2711="","",Q2711+N(H2711)*0.000000001)</f>
        <v/>
      </c>
      <c r="S2711" s="25" t="str">
        <f aca="false">IF(R2711="","",SUMPRODUCT((I$5:I$4004=I2711)*ISNUMBER(R$5:R$4004)*(R$5:R$4004&gt;R2711))+1)</f>
        <v/>
      </c>
      <c r="T2711" s="25" t="str">
        <f aca="false">IF(S2711="","",IF(S2711&lt;=Setup!$B$5,"🏆 WINNER",""))</f>
        <v/>
      </c>
      <c r="U2711" s="24" t="str">
        <f aca="false">IF(S2711="","",I2711&amp;"|"&amp;S2711)</f>
        <v/>
      </c>
    </row>
    <row r="2712" customFormat="false" ht="15" hidden="false" customHeight="false" outlineLevel="0" collapsed="false">
      <c r="A2712" s="31" t="n">
        <v>2708</v>
      </c>
      <c r="B2712" s="32" t="str">
        <f aca="false">IF(OR(C2712="",I2712="",G2712=""),"",IFERROR(VLOOKUP(I2712,Setup!$A$9:$B$11,2,0),"???")&amp;"-"&amp;G2712&amp;"-"&amp;TEXT(COUNTIFS(I$5:I2712,I2712,G$5:G2712,G2712),"0000"))</f>
        <v/>
      </c>
      <c r="C2712" s="26"/>
      <c r="D2712" s="26"/>
      <c r="E2712" s="27"/>
      <c r="F2712" s="27"/>
      <c r="G2712" s="31" t="str">
        <f aca="false">IF(F2712="","",IF(F2712&lt;=5,"A",IF(F2712&lt;=8,"B",IF(F2712&lt;=10,"C","D"))))</f>
        <v/>
      </c>
      <c r="H2712" s="28"/>
      <c r="I2712" s="27"/>
      <c r="J2712" s="26"/>
      <c r="K2712" s="27"/>
      <c r="L2712" s="27"/>
      <c r="M2712" s="27"/>
      <c r="N2712" s="27"/>
      <c r="O2712" s="31" t="str">
        <f aca="false">IF(G2712="","",VLOOKUP(G2712,Setup!$A$14:$C$17,3,0))</f>
        <v/>
      </c>
      <c r="P2712" s="27"/>
      <c r="Q2712" s="33" t="str">
        <f aca="false">IF(OR(P2712="",M2712&lt;&gt;"Paid",O2712=""),"",P2712/O2712)</f>
        <v/>
      </c>
      <c r="R2712" s="34" t="str">
        <f aca="false">IF(Q2712="","",Q2712+N(H2712)*0.000000001)</f>
        <v/>
      </c>
      <c r="S2712" s="32" t="str">
        <f aca="false">IF(R2712="","",SUMPRODUCT((I$5:I$4004=I2712)*ISNUMBER(R$5:R$4004)*(R$5:R$4004&gt;R2712))+1)</f>
        <v/>
      </c>
      <c r="T2712" s="32" t="str">
        <f aca="false">IF(S2712="","",IF(S2712&lt;=Setup!$B$5,"🏆 WINNER",""))</f>
        <v/>
      </c>
      <c r="U2712" s="31" t="str">
        <f aca="false">IF(S2712="","",I2712&amp;"|"&amp;S2712)</f>
        <v/>
      </c>
    </row>
    <row r="2713" customFormat="false" ht="15" hidden="false" customHeight="false" outlineLevel="0" collapsed="false">
      <c r="A2713" s="24" t="n">
        <v>2709</v>
      </c>
      <c r="B2713" s="25" t="str">
        <f aca="false">IF(OR(C2713="",I2713="",G2713=""),"",IFERROR(VLOOKUP(I2713,Setup!$A$9:$B$11,2,0),"???")&amp;"-"&amp;G2713&amp;"-"&amp;TEXT(COUNTIFS(I$5:I2713,I2713,G$5:G2713,G2713),"0000"))</f>
        <v/>
      </c>
      <c r="C2713" s="26"/>
      <c r="D2713" s="26"/>
      <c r="E2713" s="27"/>
      <c r="F2713" s="27"/>
      <c r="G2713" s="24" t="str">
        <f aca="false">IF(F2713="","",IF(F2713&lt;=5,"A",IF(F2713&lt;=8,"B",IF(F2713&lt;=10,"C","D"))))</f>
        <v/>
      </c>
      <c r="H2713" s="28"/>
      <c r="I2713" s="27"/>
      <c r="J2713" s="26"/>
      <c r="K2713" s="27"/>
      <c r="L2713" s="27"/>
      <c r="M2713" s="27"/>
      <c r="N2713" s="27"/>
      <c r="O2713" s="24" t="str">
        <f aca="false">IF(G2713="","",VLOOKUP(G2713,Setup!$A$14:$C$17,3,0))</f>
        <v/>
      </c>
      <c r="P2713" s="27"/>
      <c r="Q2713" s="29" t="str">
        <f aca="false">IF(OR(P2713="",M2713&lt;&gt;"Paid",O2713=""),"",P2713/O2713)</f>
        <v/>
      </c>
      <c r="R2713" s="30" t="str">
        <f aca="false">IF(Q2713="","",Q2713+N(H2713)*0.000000001)</f>
        <v/>
      </c>
      <c r="S2713" s="25" t="str">
        <f aca="false">IF(R2713="","",SUMPRODUCT((I$5:I$4004=I2713)*ISNUMBER(R$5:R$4004)*(R$5:R$4004&gt;R2713))+1)</f>
        <v/>
      </c>
      <c r="T2713" s="25" t="str">
        <f aca="false">IF(S2713="","",IF(S2713&lt;=Setup!$B$5,"🏆 WINNER",""))</f>
        <v/>
      </c>
      <c r="U2713" s="24" t="str">
        <f aca="false">IF(S2713="","",I2713&amp;"|"&amp;S2713)</f>
        <v/>
      </c>
    </row>
    <row r="2714" customFormat="false" ht="15" hidden="false" customHeight="false" outlineLevel="0" collapsed="false">
      <c r="A2714" s="31" t="n">
        <v>2710</v>
      </c>
      <c r="B2714" s="32" t="str">
        <f aca="false">IF(OR(C2714="",I2714="",G2714=""),"",IFERROR(VLOOKUP(I2714,Setup!$A$9:$B$11,2,0),"???")&amp;"-"&amp;G2714&amp;"-"&amp;TEXT(COUNTIFS(I$5:I2714,I2714,G$5:G2714,G2714),"0000"))</f>
        <v/>
      </c>
      <c r="C2714" s="26"/>
      <c r="D2714" s="26"/>
      <c r="E2714" s="27"/>
      <c r="F2714" s="27"/>
      <c r="G2714" s="31" t="str">
        <f aca="false">IF(F2714="","",IF(F2714&lt;=5,"A",IF(F2714&lt;=8,"B",IF(F2714&lt;=10,"C","D"))))</f>
        <v/>
      </c>
      <c r="H2714" s="28"/>
      <c r="I2714" s="27"/>
      <c r="J2714" s="26"/>
      <c r="K2714" s="27"/>
      <c r="L2714" s="27"/>
      <c r="M2714" s="27"/>
      <c r="N2714" s="27"/>
      <c r="O2714" s="31" t="str">
        <f aca="false">IF(G2714="","",VLOOKUP(G2714,Setup!$A$14:$C$17,3,0))</f>
        <v/>
      </c>
      <c r="P2714" s="27"/>
      <c r="Q2714" s="33" t="str">
        <f aca="false">IF(OR(P2714="",M2714&lt;&gt;"Paid",O2714=""),"",P2714/O2714)</f>
        <v/>
      </c>
      <c r="R2714" s="34" t="str">
        <f aca="false">IF(Q2714="","",Q2714+N(H2714)*0.000000001)</f>
        <v/>
      </c>
      <c r="S2714" s="32" t="str">
        <f aca="false">IF(R2714="","",SUMPRODUCT((I$5:I$4004=I2714)*ISNUMBER(R$5:R$4004)*(R$5:R$4004&gt;R2714))+1)</f>
        <v/>
      </c>
      <c r="T2714" s="32" t="str">
        <f aca="false">IF(S2714="","",IF(S2714&lt;=Setup!$B$5,"🏆 WINNER",""))</f>
        <v/>
      </c>
      <c r="U2714" s="31" t="str">
        <f aca="false">IF(S2714="","",I2714&amp;"|"&amp;S2714)</f>
        <v/>
      </c>
    </row>
    <row r="2715" customFormat="false" ht="15" hidden="false" customHeight="false" outlineLevel="0" collapsed="false">
      <c r="A2715" s="24" t="n">
        <v>2711</v>
      </c>
      <c r="B2715" s="25" t="str">
        <f aca="false">IF(OR(C2715="",I2715="",G2715=""),"",IFERROR(VLOOKUP(I2715,Setup!$A$9:$B$11,2,0),"???")&amp;"-"&amp;G2715&amp;"-"&amp;TEXT(COUNTIFS(I$5:I2715,I2715,G$5:G2715,G2715),"0000"))</f>
        <v/>
      </c>
      <c r="C2715" s="26"/>
      <c r="D2715" s="26"/>
      <c r="E2715" s="27"/>
      <c r="F2715" s="27"/>
      <c r="G2715" s="24" t="str">
        <f aca="false">IF(F2715="","",IF(F2715&lt;=5,"A",IF(F2715&lt;=8,"B",IF(F2715&lt;=10,"C","D"))))</f>
        <v/>
      </c>
      <c r="H2715" s="28"/>
      <c r="I2715" s="27"/>
      <c r="J2715" s="26"/>
      <c r="K2715" s="27"/>
      <c r="L2715" s="27"/>
      <c r="M2715" s="27"/>
      <c r="N2715" s="27"/>
      <c r="O2715" s="24" t="str">
        <f aca="false">IF(G2715="","",VLOOKUP(G2715,Setup!$A$14:$C$17,3,0))</f>
        <v/>
      </c>
      <c r="P2715" s="27"/>
      <c r="Q2715" s="29" t="str">
        <f aca="false">IF(OR(P2715="",M2715&lt;&gt;"Paid",O2715=""),"",P2715/O2715)</f>
        <v/>
      </c>
      <c r="R2715" s="30" t="str">
        <f aca="false">IF(Q2715="","",Q2715+N(H2715)*0.000000001)</f>
        <v/>
      </c>
      <c r="S2715" s="25" t="str">
        <f aca="false">IF(R2715="","",SUMPRODUCT((I$5:I$4004=I2715)*ISNUMBER(R$5:R$4004)*(R$5:R$4004&gt;R2715))+1)</f>
        <v/>
      </c>
      <c r="T2715" s="25" t="str">
        <f aca="false">IF(S2715="","",IF(S2715&lt;=Setup!$B$5,"🏆 WINNER",""))</f>
        <v/>
      </c>
      <c r="U2715" s="24" t="str">
        <f aca="false">IF(S2715="","",I2715&amp;"|"&amp;S2715)</f>
        <v/>
      </c>
    </row>
    <row r="2716" customFormat="false" ht="15" hidden="false" customHeight="false" outlineLevel="0" collapsed="false">
      <c r="A2716" s="31" t="n">
        <v>2712</v>
      </c>
      <c r="B2716" s="32" t="str">
        <f aca="false">IF(OR(C2716="",I2716="",G2716=""),"",IFERROR(VLOOKUP(I2716,Setup!$A$9:$B$11,2,0),"???")&amp;"-"&amp;G2716&amp;"-"&amp;TEXT(COUNTIFS(I$5:I2716,I2716,G$5:G2716,G2716),"0000"))</f>
        <v/>
      </c>
      <c r="C2716" s="26"/>
      <c r="D2716" s="26"/>
      <c r="E2716" s="27"/>
      <c r="F2716" s="27"/>
      <c r="G2716" s="31" t="str">
        <f aca="false">IF(F2716="","",IF(F2716&lt;=5,"A",IF(F2716&lt;=8,"B",IF(F2716&lt;=10,"C","D"))))</f>
        <v/>
      </c>
      <c r="H2716" s="28"/>
      <c r="I2716" s="27"/>
      <c r="J2716" s="26"/>
      <c r="K2716" s="27"/>
      <c r="L2716" s="27"/>
      <c r="M2716" s="27"/>
      <c r="N2716" s="27"/>
      <c r="O2716" s="31" t="str">
        <f aca="false">IF(G2716="","",VLOOKUP(G2716,Setup!$A$14:$C$17,3,0))</f>
        <v/>
      </c>
      <c r="P2716" s="27"/>
      <c r="Q2716" s="33" t="str">
        <f aca="false">IF(OR(P2716="",M2716&lt;&gt;"Paid",O2716=""),"",P2716/O2716)</f>
        <v/>
      </c>
      <c r="R2716" s="34" t="str">
        <f aca="false">IF(Q2716="","",Q2716+N(H2716)*0.000000001)</f>
        <v/>
      </c>
      <c r="S2716" s="32" t="str">
        <f aca="false">IF(R2716="","",SUMPRODUCT((I$5:I$4004=I2716)*ISNUMBER(R$5:R$4004)*(R$5:R$4004&gt;R2716))+1)</f>
        <v/>
      </c>
      <c r="T2716" s="32" t="str">
        <f aca="false">IF(S2716="","",IF(S2716&lt;=Setup!$B$5,"🏆 WINNER",""))</f>
        <v/>
      </c>
      <c r="U2716" s="31" t="str">
        <f aca="false">IF(S2716="","",I2716&amp;"|"&amp;S2716)</f>
        <v/>
      </c>
    </row>
    <row r="2717" customFormat="false" ht="15" hidden="false" customHeight="false" outlineLevel="0" collapsed="false">
      <c r="A2717" s="24" t="n">
        <v>2713</v>
      </c>
      <c r="B2717" s="25" t="str">
        <f aca="false">IF(OR(C2717="",I2717="",G2717=""),"",IFERROR(VLOOKUP(I2717,Setup!$A$9:$B$11,2,0),"???")&amp;"-"&amp;G2717&amp;"-"&amp;TEXT(COUNTIFS(I$5:I2717,I2717,G$5:G2717,G2717),"0000"))</f>
        <v/>
      </c>
      <c r="C2717" s="26"/>
      <c r="D2717" s="26"/>
      <c r="E2717" s="27"/>
      <c r="F2717" s="27"/>
      <c r="G2717" s="24" t="str">
        <f aca="false">IF(F2717="","",IF(F2717&lt;=5,"A",IF(F2717&lt;=8,"B",IF(F2717&lt;=10,"C","D"))))</f>
        <v/>
      </c>
      <c r="H2717" s="28"/>
      <c r="I2717" s="27"/>
      <c r="J2717" s="26"/>
      <c r="K2717" s="27"/>
      <c r="L2717" s="27"/>
      <c r="M2717" s="27"/>
      <c r="N2717" s="27"/>
      <c r="O2717" s="24" t="str">
        <f aca="false">IF(G2717="","",VLOOKUP(G2717,Setup!$A$14:$C$17,3,0))</f>
        <v/>
      </c>
      <c r="P2717" s="27"/>
      <c r="Q2717" s="29" t="str">
        <f aca="false">IF(OR(P2717="",M2717&lt;&gt;"Paid",O2717=""),"",P2717/O2717)</f>
        <v/>
      </c>
      <c r="R2717" s="30" t="str">
        <f aca="false">IF(Q2717="","",Q2717+N(H2717)*0.000000001)</f>
        <v/>
      </c>
      <c r="S2717" s="25" t="str">
        <f aca="false">IF(R2717="","",SUMPRODUCT((I$5:I$4004=I2717)*ISNUMBER(R$5:R$4004)*(R$5:R$4004&gt;R2717))+1)</f>
        <v/>
      </c>
      <c r="T2717" s="25" t="str">
        <f aca="false">IF(S2717="","",IF(S2717&lt;=Setup!$B$5,"🏆 WINNER",""))</f>
        <v/>
      </c>
      <c r="U2717" s="24" t="str">
        <f aca="false">IF(S2717="","",I2717&amp;"|"&amp;S2717)</f>
        <v/>
      </c>
    </row>
    <row r="2718" customFormat="false" ht="15" hidden="false" customHeight="false" outlineLevel="0" collapsed="false">
      <c r="A2718" s="31" t="n">
        <v>2714</v>
      </c>
      <c r="B2718" s="32" t="str">
        <f aca="false">IF(OR(C2718="",I2718="",G2718=""),"",IFERROR(VLOOKUP(I2718,Setup!$A$9:$B$11,2,0),"???")&amp;"-"&amp;G2718&amp;"-"&amp;TEXT(COUNTIFS(I$5:I2718,I2718,G$5:G2718,G2718),"0000"))</f>
        <v/>
      </c>
      <c r="C2718" s="26"/>
      <c r="D2718" s="26"/>
      <c r="E2718" s="27"/>
      <c r="F2718" s="27"/>
      <c r="G2718" s="31" t="str">
        <f aca="false">IF(F2718="","",IF(F2718&lt;=5,"A",IF(F2718&lt;=8,"B",IF(F2718&lt;=10,"C","D"))))</f>
        <v/>
      </c>
      <c r="H2718" s="28"/>
      <c r="I2718" s="27"/>
      <c r="J2718" s="26"/>
      <c r="K2718" s="27"/>
      <c r="L2718" s="27"/>
      <c r="M2718" s="27"/>
      <c r="N2718" s="27"/>
      <c r="O2718" s="31" t="str">
        <f aca="false">IF(G2718="","",VLOOKUP(G2718,Setup!$A$14:$C$17,3,0))</f>
        <v/>
      </c>
      <c r="P2718" s="27"/>
      <c r="Q2718" s="33" t="str">
        <f aca="false">IF(OR(P2718="",M2718&lt;&gt;"Paid",O2718=""),"",P2718/O2718)</f>
        <v/>
      </c>
      <c r="R2718" s="34" t="str">
        <f aca="false">IF(Q2718="","",Q2718+N(H2718)*0.000000001)</f>
        <v/>
      </c>
      <c r="S2718" s="32" t="str">
        <f aca="false">IF(R2718="","",SUMPRODUCT((I$5:I$4004=I2718)*ISNUMBER(R$5:R$4004)*(R$5:R$4004&gt;R2718))+1)</f>
        <v/>
      </c>
      <c r="T2718" s="32" t="str">
        <f aca="false">IF(S2718="","",IF(S2718&lt;=Setup!$B$5,"🏆 WINNER",""))</f>
        <v/>
      </c>
      <c r="U2718" s="31" t="str">
        <f aca="false">IF(S2718="","",I2718&amp;"|"&amp;S2718)</f>
        <v/>
      </c>
    </row>
    <row r="2719" customFormat="false" ht="15" hidden="false" customHeight="false" outlineLevel="0" collapsed="false">
      <c r="A2719" s="24" t="n">
        <v>2715</v>
      </c>
      <c r="B2719" s="25" t="str">
        <f aca="false">IF(OR(C2719="",I2719="",G2719=""),"",IFERROR(VLOOKUP(I2719,Setup!$A$9:$B$11,2,0),"???")&amp;"-"&amp;G2719&amp;"-"&amp;TEXT(COUNTIFS(I$5:I2719,I2719,G$5:G2719,G2719),"0000"))</f>
        <v/>
      </c>
      <c r="C2719" s="26"/>
      <c r="D2719" s="26"/>
      <c r="E2719" s="27"/>
      <c r="F2719" s="27"/>
      <c r="G2719" s="24" t="str">
        <f aca="false">IF(F2719="","",IF(F2719&lt;=5,"A",IF(F2719&lt;=8,"B",IF(F2719&lt;=10,"C","D"))))</f>
        <v/>
      </c>
      <c r="H2719" s="28"/>
      <c r="I2719" s="27"/>
      <c r="J2719" s="26"/>
      <c r="K2719" s="27"/>
      <c r="L2719" s="27"/>
      <c r="M2719" s="27"/>
      <c r="N2719" s="27"/>
      <c r="O2719" s="24" t="str">
        <f aca="false">IF(G2719="","",VLOOKUP(G2719,Setup!$A$14:$C$17,3,0))</f>
        <v/>
      </c>
      <c r="P2719" s="27"/>
      <c r="Q2719" s="29" t="str">
        <f aca="false">IF(OR(P2719="",M2719&lt;&gt;"Paid",O2719=""),"",P2719/O2719)</f>
        <v/>
      </c>
      <c r="R2719" s="30" t="str">
        <f aca="false">IF(Q2719="","",Q2719+N(H2719)*0.000000001)</f>
        <v/>
      </c>
      <c r="S2719" s="25" t="str">
        <f aca="false">IF(R2719="","",SUMPRODUCT((I$5:I$4004=I2719)*ISNUMBER(R$5:R$4004)*(R$5:R$4004&gt;R2719))+1)</f>
        <v/>
      </c>
      <c r="T2719" s="25" t="str">
        <f aca="false">IF(S2719="","",IF(S2719&lt;=Setup!$B$5,"🏆 WINNER",""))</f>
        <v/>
      </c>
      <c r="U2719" s="24" t="str">
        <f aca="false">IF(S2719="","",I2719&amp;"|"&amp;S2719)</f>
        <v/>
      </c>
    </row>
    <row r="2720" customFormat="false" ht="15" hidden="false" customHeight="false" outlineLevel="0" collapsed="false">
      <c r="A2720" s="31" t="n">
        <v>2716</v>
      </c>
      <c r="B2720" s="32" t="str">
        <f aca="false">IF(OR(C2720="",I2720="",G2720=""),"",IFERROR(VLOOKUP(I2720,Setup!$A$9:$B$11,2,0),"???")&amp;"-"&amp;G2720&amp;"-"&amp;TEXT(COUNTIFS(I$5:I2720,I2720,G$5:G2720,G2720),"0000"))</f>
        <v/>
      </c>
      <c r="C2720" s="26"/>
      <c r="D2720" s="26"/>
      <c r="E2720" s="27"/>
      <c r="F2720" s="27"/>
      <c r="G2720" s="31" t="str">
        <f aca="false">IF(F2720="","",IF(F2720&lt;=5,"A",IF(F2720&lt;=8,"B",IF(F2720&lt;=10,"C","D"))))</f>
        <v/>
      </c>
      <c r="H2720" s="28"/>
      <c r="I2720" s="27"/>
      <c r="J2720" s="26"/>
      <c r="K2720" s="27"/>
      <c r="L2720" s="27"/>
      <c r="M2720" s="27"/>
      <c r="N2720" s="27"/>
      <c r="O2720" s="31" t="str">
        <f aca="false">IF(G2720="","",VLOOKUP(G2720,Setup!$A$14:$C$17,3,0))</f>
        <v/>
      </c>
      <c r="P2720" s="27"/>
      <c r="Q2720" s="33" t="str">
        <f aca="false">IF(OR(P2720="",M2720&lt;&gt;"Paid",O2720=""),"",P2720/O2720)</f>
        <v/>
      </c>
      <c r="R2720" s="34" t="str">
        <f aca="false">IF(Q2720="","",Q2720+N(H2720)*0.000000001)</f>
        <v/>
      </c>
      <c r="S2720" s="32" t="str">
        <f aca="false">IF(R2720="","",SUMPRODUCT((I$5:I$4004=I2720)*ISNUMBER(R$5:R$4004)*(R$5:R$4004&gt;R2720))+1)</f>
        <v/>
      </c>
      <c r="T2720" s="32" t="str">
        <f aca="false">IF(S2720="","",IF(S2720&lt;=Setup!$B$5,"🏆 WINNER",""))</f>
        <v/>
      </c>
      <c r="U2720" s="31" t="str">
        <f aca="false">IF(S2720="","",I2720&amp;"|"&amp;S2720)</f>
        <v/>
      </c>
    </row>
    <row r="2721" customFormat="false" ht="15" hidden="false" customHeight="false" outlineLevel="0" collapsed="false">
      <c r="A2721" s="24" t="n">
        <v>2717</v>
      </c>
      <c r="B2721" s="25" t="str">
        <f aca="false">IF(OR(C2721="",I2721="",G2721=""),"",IFERROR(VLOOKUP(I2721,Setup!$A$9:$B$11,2,0),"???")&amp;"-"&amp;G2721&amp;"-"&amp;TEXT(COUNTIFS(I$5:I2721,I2721,G$5:G2721,G2721),"0000"))</f>
        <v/>
      </c>
      <c r="C2721" s="26"/>
      <c r="D2721" s="26"/>
      <c r="E2721" s="27"/>
      <c r="F2721" s="27"/>
      <c r="G2721" s="24" t="str">
        <f aca="false">IF(F2721="","",IF(F2721&lt;=5,"A",IF(F2721&lt;=8,"B",IF(F2721&lt;=10,"C","D"))))</f>
        <v/>
      </c>
      <c r="H2721" s="28"/>
      <c r="I2721" s="27"/>
      <c r="J2721" s="26"/>
      <c r="K2721" s="27"/>
      <c r="L2721" s="27"/>
      <c r="M2721" s="27"/>
      <c r="N2721" s="27"/>
      <c r="O2721" s="24" t="str">
        <f aca="false">IF(G2721="","",VLOOKUP(G2721,Setup!$A$14:$C$17,3,0))</f>
        <v/>
      </c>
      <c r="P2721" s="27"/>
      <c r="Q2721" s="29" t="str">
        <f aca="false">IF(OR(P2721="",M2721&lt;&gt;"Paid",O2721=""),"",P2721/O2721)</f>
        <v/>
      </c>
      <c r="R2721" s="30" t="str">
        <f aca="false">IF(Q2721="","",Q2721+N(H2721)*0.000000001)</f>
        <v/>
      </c>
      <c r="S2721" s="25" t="str">
        <f aca="false">IF(R2721="","",SUMPRODUCT((I$5:I$4004=I2721)*ISNUMBER(R$5:R$4004)*(R$5:R$4004&gt;R2721))+1)</f>
        <v/>
      </c>
      <c r="T2721" s="25" t="str">
        <f aca="false">IF(S2721="","",IF(S2721&lt;=Setup!$B$5,"🏆 WINNER",""))</f>
        <v/>
      </c>
      <c r="U2721" s="24" t="str">
        <f aca="false">IF(S2721="","",I2721&amp;"|"&amp;S2721)</f>
        <v/>
      </c>
    </row>
    <row r="2722" customFormat="false" ht="15" hidden="false" customHeight="false" outlineLevel="0" collapsed="false">
      <c r="A2722" s="31" t="n">
        <v>2718</v>
      </c>
      <c r="B2722" s="32" t="str">
        <f aca="false">IF(OR(C2722="",I2722="",G2722=""),"",IFERROR(VLOOKUP(I2722,Setup!$A$9:$B$11,2,0),"???")&amp;"-"&amp;G2722&amp;"-"&amp;TEXT(COUNTIFS(I$5:I2722,I2722,G$5:G2722,G2722),"0000"))</f>
        <v/>
      </c>
      <c r="C2722" s="26"/>
      <c r="D2722" s="26"/>
      <c r="E2722" s="27"/>
      <c r="F2722" s="27"/>
      <c r="G2722" s="31" t="str">
        <f aca="false">IF(F2722="","",IF(F2722&lt;=5,"A",IF(F2722&lt;=8,"B",IF(F2722&lt;=10,"C","D"))))</f>
        <v/>
      </c>
      <c r="H2722" s="28"/>
      <c r="I2722" s="27"/>
      <c r="J2722" s="26"/>
      <c r="K2722" s="27"/>
      <c r="L2722" s="27"/>
      <c r="M2722" s="27"/>
      <c r="N2722" s="27"/>
      <c r="O2722" s="31" t="str">
        <f aca="false">IF(G2722="","",VLOOKUP(G2722,Setup!$A$14:$C$17,3,0))</f>
        <v/>
      </c>
      <c r="P2722" s="27"/>
      <c r="Q2722" s="33" t="str">
        <f aca="false">IF(OR(P2722="",M2722&lt;&gt;"Paid",O2722=""),"",P2722/O2722)</f>
        <v/>
      </c>
      <c r="R2722" s="34" t="str">
        <f aca="false">IF(Q2722="","",Q2722+N(H2722)*0.000000001)</f>
        <v/>
      </c>
      <c r="S2722" s="32" t="str">
        <f aca="false">IF(R2722="","",SUMPRODUCT((I$5:I$4004=I2722)*ISNUMBER(R$5:R$4004)*(R$5:R$4004&gt;R2722))+1)</f>
        <v/>
      </c>
      <c r="T2722" s="32" t="str">
        <f aca="false">IF(S2722="","",IF(S2722&lt;=Setup!$B$5,"🏆 WINNER",""))</f>
        <v/>
      </c>
      <c r="U2722" s="31" t="str">
        <f aca="false">IF(S2722="","",I2722&amp;"|"&amp;S2722)</f>
        <v/>
      </c>
    </row>
    <row r="2723" customFormat="false" ht="15" hidden="false" customHeight="false" outlineLevel="0" collapsed="false">
      <c r="A2723" s="24" t="n">
        <v>2719</v>
      </c>
      <c r="B2723" s="25" t="str">
        <f aca="false">IF(OR(C2723="",I2723="",G2723=""),"",IFERROR(VLOOKUP(I2723,Setup!$A$9:$B$11,2,0),"???")&amp;"-"&amp;G2723&amp;"-"&amp;TEXT(COUNTIFS(I$5:I2723,I2723,G$5:G2723,G2723),"0000"))</f>
        <v/>
      </c>
      <c r="C2723" s="26"/>
      <c r="D2723" s="26"/>
      <c r="E2723" s="27"/>
      <c r="F2723" s="27"/>
      <c r="G2723" s="24" t="str">
        <f aca="false">IF(F2723="","",IF(F2723&lt;=5,"A",IF(F2723&lt;=8,"B",IF(F2723&lt;=10,"C","D"))))</f>
        <v/>
      </c>
      <c r="H2723" s="28"/>
      <c r="I2723" s="27"/>
      <c r="J2723" s="26"/>
      <c r="K2723" s="27"/>
      <c r="L2723" s="27"/>
      <c r="M2723" s="27"/>
      <c r="N2723" s="27"/>
      <c r="O2723" s="24" t="str">
        <f aca="false">IF(G2723="","",VLOOKUP(G2723,Setup!$A$14:$C$17,3,0))</f>
        <v/>
      </c>
      <c r="P2723" s="27"/>
      <c r="Q2723" s="29" t="str">
        <f aca="false">IF(OR(P2723="",M2723&lt;&gt;"Paid",O2723=""),"",P2723/O2723)</f>
        <v/>
      </c>
      <c r="R2723" s="30" t="str">
        <f aca="false">IF(Q2723="","",Q2723+N(H2723)*0.000000001)</f>
        <v/>
      </c>
      <c r="S2723" s="25" t="str">
        <f aca="false">IF(R2723="","",SUMPRODUCT((I$5:I$4004=I2723)*ISNUMBER(R$5:R$4004)*(R$5:R$4004&gt;R2723))+1)</f>
        <v/>
      </c>
      <c r="T2723" s="25" t="str">
        <f aca="false">IF(S2723="","",IF(S2723&lt;=Setup!$B$5,"🏆 WINNER",""))</f>
        <v/>
      </c>
      <c r="U2723" s="24" t="str">
        <f aca="false">IF(S2723="","",I2723&amp;"|"&amp;S2723)</f>
        <v/>
      </c>
    </row>
    <row r="2724" customFormat="false" ht="15" hidden="false" customHeight="false" outlineLevel="0" collapsed="false">
      <c r="A2724" s="31" t="n">
        <v>2720</v>
      </c>
      <c r="B2724" s="32" t="str">
        <f aca="false">IF(OR(C2724="",I2724="",G2724=""),"",IFERROR(VLOOKUP(I2724,Setup!$A$9:$B$11,2,0),"???")&amp;"-"&amp;G2724&amp;"-"&amp;TEXT(COUNTIFS(I$5:I2724,I2724,G$5:G2724,G2724),"0000"))</f>
        <v/>
      </c>
      <c r="C2724" s="26"/>
      <c r="D2724" s="26"/>
      <c r="E2724" s="27"/>
      <c r="F2724" s="27"/>
      <c r="G2724" s="31" t="str">
        <f aca="false">IF(F2724="","",IF(F2724&lt;=5,"A",IF(F2724&lt;=8,"B",IF(F2724&lt;=10,"C","D"))))</f>
        <v/>
      </c>
      <c r="H2724" s="28"/>
      <c r="I2724" s="27"/>
      <c r="J2724" s="26"/>
      <c r="K2724" s="27"/>
      <c r="L2724" s="27"/>
      <c r="M2724" s="27"/>
      <c r="N2724" s="27"/>
      <c r="O2724" s="31" t="str">
        <f aca="false">IF(G2724="","",VLOOKUP(G2724,Setup!$A$14:$C$17,3,0))</f>
        <v/>
      </c>
      <c r="P2724" s="27"/>
      <c r="Q2724" s="33" t="str">
        <f aca="false">IF(OR(P2724="",M2724&lt;&gt;"Paid",O2724=""),"",P2724/O2724)</f>
        <v/>
      </c>
      <c r="R2724" s="34" t="str">
        <f aca="false">IF(Q2724="","",Q2724+N(H2724)*0.000000001)</f>
        <v/>
      </c>
      <c r="S2724" s="32" t="str">
        <f aca="false">IF(R2724="","",SUMPRODUCT((I$5:I$4004=I2724)*ISNUMBER(R$5:R$4004)*(R$5:R$4004&gt;R2724))+1)</f>
        <v/>
      </c>
      <c r="T2724" s="32" t="str">
        <f aca="false">IF(S2724="","",IF(S2724&lt;=Setup!$B$5,"🏆 WINNER",""))</f>
        <v/>
      </c>
      <c r="U2724" s="31" t="str">
        <f aca="false">IF(S2724="","",I2724&amp;"|"&amp;S2724)</f>
        <v/>
      </c>
    </row>
    <row r="2725" customFormat="false" ht="15" hidden="false" customHeight="false" outlineLevel="0" collapsed="false">
      <c r="A2725" s="24" t="n">
        <v>2721</v>
      </c>
      <c r="B2725" s="25" t="str">
        <f aca="false">IF(OR(C2725="",I2725="",G2725=""),"",IFERROR(VLOOKUP(I2725,Setup!$A$9:$B$11,2,0),"???")&amp;"-"&amp;G2725&amp;"-"&amp;TEXT(COUNTIFS(I$5:I2725,I2725,G$5:G2725,G2725),"0000"))</f>
        <v/>
      </c>
      <c r="C2725" s="26"/>
      <c r="D2725" s="26"/>
      <c r="E2725" s="27"/>
      <c r="F2725" s="27"/>
      <c r="G2725" s="24" t="str">
        <f aca="false">IF(F2725="","",IF(F2725&lt;=5,"A",IF(F2725&lt;=8,"B",IF(F2725&lt;=10,"C","D"))))</f>
        <v/>
      </c>
      <c r="H2725" s="28"/>
      <c r="I2725" s="27"/>
      <c r="J2725" s="26"/>
      <c r="K2725" s="27"/>
      <c r="L2725" s="27"/>
      <c r="M2725" s="27"/>
      <c r="N2725" s="27"/>
      <c r="O2725" s="24" t="str">
        <f aca="false">IF(G2725="","",VLOOKUP(G2725,Setup!$A$14:$C$17,3,0))</f>
        <v/>
      </c>
      <c r="P2725" s="27"/>
      <c r="Q2725" s="29" t="str">
        <f aca="false">IF(OR(P2725="",M2725&lt;&gt;"Paid",O2725=""),"",P2725/O2725)</f>
        <v/>
      </c>
      <c r="R2725" s="30" t="str">
        <f aca="false">IF(Q2725="","",Q2725+N(H2725)*0.000000001)</f>
        <v/>
      </c>
      <c r="S2725" s="25" t="str">
        <f aca="false">IF(R2725="","",SUMPRODUCT((I$5:I$4004=I2725)*ISNUMBER(R$5:R$4004)*(R$5:R$4004&gt;R2725))+1)</f>
        <v/>
      </c>
      <c r="T2725" s="25" t="str">
        <f aca="false">IF(S2725="","",IF(S2725&lt;=Setup!$B$5,"🏆 WINNER",""))</f>
        <v/>
      </c>
      <c r="U2725" s="24" t="str">
        <f aca="false">IF(S2725="","",I2725&amp;"|"&amp;S2725)</f>
        <v/>
      </c>
    </row>
    <row r="2726" customFormat="false" ht="15" hidden="false" customHeight="false" outlineLevel="0" collapsed="false">
      <c r="A2726" s="31" t="n">
        <v>2722</v>
      </c>
      <c r="B2726" s="32" t="str">
        <f aca="false">IF(OR(C2726="",I2726="",G2726=""),"",IFERROR(VLOOKUP(I2726,Setup!$A$9:$B$11,2,0),"???")&amp;"-"&amp;G2726&amp;"-"&amp;TEXT(COUNTIFS(I$5:I2726,I2726,G$5:G2726,G2726),"0000"))</f>
        <v/>
      </c>
      <c r="C2726" s="26"/>
      <c r="D2726" s="26"/>
      <c r="E2726" s="27"/>
      <c r="F2726" s="27"/>
      <c r="G2726" s="31" t="str">
        <f aca="false">IF(F2726="","",IF(F2726&lt;=5,"A",IF(F2726&lt;=8,"B",IF(F2726&lt;=10,"C","D"))))</f>
        <v/>
      </c>
      <c r="H2726" s="28"/>
      <c r="I2726" s="27"/>
      <c r="J2726" s="26"/>
      <c r="K2726" s="27"/>
      <c r="L2726" s="27"/>
      <c r="M2726" s="27"/>
      <c r="N2726" s="27"/>
      <c r="O2726" s="31" t="str">
        <f aca="false">IF(G2726="","",VLOOKUP(G2726,Setup!$A$14:$C$17,3,0))</f>
        <v/>
      </c>
      <c r="P2726" s="27"/>
      <c r="Q2726" s="33" t="str">
        <f aca="false">IF(OR(P2726="",M2726&lt;&gt;"Paid",O2726=""),"",P2726/O2726)</f>
        <v/>
      </c>
      <c r="R2726" s="34" t="str">
        <f aca="false">IF(Q2726="","",Q2726+N(H2726)*0.000000001)</f>
        <v/>
      </c>
      <c r="S2726" s="32" t="str">
        <f aca="false">IF(R2726="","",SUMPRODUCT((I$5:I$4004=I2726)*ISNUMBER(R$5:R$4004)*(R$5:R$4004&gt;R2726))+1)</f>
        <v/>
      </c>
      <c r="T2726" s="32" t="str">
        <f aca="false">IF(S2726="","",IF(S2726&lt;=Setup!$B$5,"🏆 WINNER",""))</f>
        <v/>
      </c>
      <c r="U2726" s="31" t="str">
        <f aca="false">IF(S2726="","",I2726&amp;"|"&amp;S2726)</f>
        <v/>
      </c>
    </row>
    <row r="2727" customFormat="false" ht="15" hidden="false" customHeight="false" outlineLevel="0" collapsed="false">
      <c r="A2727" s="24" t="n">
        <v>2723</v>
      </c>
      <c r="B2727" s="25" t="str">
        <f aca="false">IF(OR(C2727="",I2727="",G2727=""),"",IFERROR(VLOOKUP(I2727,Setup!$A$9:$B$11,2,0),"???")&amp;"-"&amp;G2727&amp;"-"&amp;TEXT(COUNTIFS(I$5:I2727,I2727,G$5:G2727,G2727),"0000"))</f>
        <v/>
      </c>
      <c r="C2727" s="26"/>
      <c r="D2727" s="26"/>
      <c r="E2727" s="27"/>
      <c r="F2727" s="27"/>
      <c r="G2727" s="24" t="str">
        <f aca="false">IF(F2727="","",IF(F2727&lt;=5,"A",IF(F2727&lt;=8,"B",IF(F2727&lt;=10,"C","D"))))</f>
        <v/>
      </c>
      <c r="H2727" s="28"/>
      <c r="I2727" s="27"/>
      <c r="J2727" s="26"/>
      <c r="K2727" s="27"/>
      <c r="L2727" s="27"/>
      <c r="M2727" s="27"/>
      <c r="N2727" s="27"/>
      <c r="O2727" s="24" t="str">
        <f aca="false">IF(G2727="","",VLOOKUP(G2727,Setup!$A$14:$C$17,3,0))</f>
        <v/>
      </c>
      <c r="P2727" s="27"/>
      <c r="Q2727" s="29" t="str">
        <f aca="false">IF(OR(P2727="",M2727&lt;&gt;"Paid",O2727=""),"",P2727/O2727)</f>
        <v/>
      </c>
      <c r="R2727" s="30" t="str">
        <f aca="false">IF(Q2727="","",Q2727+N(H2727)*0.000000001)</f>
        <v/>
      </c>
      <c r="S2727" s="25" t="str">
        <f aca="false">IF(R2727="","",SUMPRODUCT((I$5:I$4004=I2727)*ISNUMBER(R$5:R$4004)*(R$5:R$4004&gt;R2727))+1)</f>
        <v/>
      </c>
      <c r="T2727" s="25" t="str">
        <f aca="false">IF(S2727="","",IF(S2727&lt;=Setup!$B$5,"🏆 WINNER",""))</f>
        <v/>
      </c>
      <c r="U2727" s="24" t="str">
        <f aca="false">IF(S2727="","",I2727&amp;"|"&amp;S2727)</f>
        <v/>
      </c>
    </row>
    <row r="2728" customFormat="false" ht="15" hidden="false" customHeight="false" outlineLevel="0" collapsed="false">
      <c r="A2728" s="31" t="n">
        <v>2724</v>
      </c>
      <c r="B2728" s="32" t="str">
        <f aca="false">IF(OR(C2728="",I2728="",G2728=""),"",IFERROR(VLOOKUP(I2728,Setup!$A$9:$B$11,2,0),"???")&amp;"-"&amp;G2728&amp;"-"&amp;TEXT(COUNTIFS(I$5:I2728,I2728,G$5:G2728,G2728),"0000"))</f>
        <v/>
      </c>
      <c r="C2728" s="26"/>
      <c r="D2728" s="26"/>
      <c r="E2728" s="27"/>
      <c r="F2728" s="27"/>
      <c r="G2728" s="31" t="str">
        <f aca="false">IF(F2728="","",IF(F2728&lt;=5,"A",IF(F2728&lt;=8,"B",IF(F2728&lt;=10,"C","D"))))</f>
        <v/>
      </c>
      <c r="H2728" s="28"/>
      <c r="I2728" s="27"/>
      <c r="J2728" s="26"/>
      <c r="K2728" s="27"/>
      <c r="L2728" s="27"/>
      <c r="M2728" s="27"/>
      <c r="N2728" s="27"/>
      <c r="O2728" s="31" t="str">
        <f aca="false">IF(G2728="","",VLOOKUP(G2728,Setup!$A$14:$C$17,3,0))</f>
        <v/>
      </c>
      <c r="P2728" s="27"/>
      <c r="Q2728" s="33" t="str">
        <f aca="false">IF(OR(P2728="",M2728&lt;&gt;"Paid",O2728=""),"",P2728/O2728)</f>
        <v/>
      </c>
      <c r="R2728" s="34" t="str">
        <f aca="false">IF(Q2728="","",Q2728+N(H2728)*0.000000001)</f>
        <v/>
      </c>
      <c r="S2728" s="32" t="str">
        <f aca="false">IF(R2728="","",SUMPRODUCT((I$5:I$4004=I2728)*ISNUMBER(R$5:R$4004)*(R$5:R$4004&gt;R2728))+1)</f>
        <v/>
      </c>
      <c r="T2728" s="32" t="str">
        <f aca="false">IF(S2728="","",IF(S2728&lt;=Setup!$B$5,"🏆 WINNER",""))</f>
        <v/>
      </c>
      <c r="U2728" s="31" t="str">
        <f aca="false">IF(S2728="","",I2728&amp;"|"&amp;S2728)</f>
        <v/>
      </c>
    </row>
    <row r="2729" customFormat="false" ht="15" hidden="false" customHeight="false" outlineLevel="0" collapsed="false">
      <c r="A2729" s="24" t="n">
        <v>2725</v>
      </c>
      <c r="B2729" s="25" t="str">
        <f aca="false">IF(OR(C2729="",I2729="",G2729=""),"",IFERROR(VLOOKUP(I2729,Setup!$A$9:$B$11,2,0),"???")&amp;"-"&amp;G2729&amp;"-"&amp;TEXT(COUNTIFS(I$5:I2729,I2729,G$5:G2729,G2729),"0000"))</f>
        <v/>
      </c>
      <c r="C2729" s="26"/>
      <c r="D2729" s="26"/>
      <c r="E2729" s="27"/>
      <c r="F2729" s="27"/>
      <c r="G2729" s="24" t="str">
        <f aca="false">IF(F2729="","",IF(F2729&lt;=5,"A",IF(F2729&lt;=8,"B",IF(F2729&lt;=10,"C","D"))))</f>
        <v/>
      </c>
      <c r="H2729" s="28"/>
      <c r="I2729" s="27"/>
      <c r="J2729" s="26"/>
      <c r="K2729" s="27"/>
      <c r="L2729" s="27"/>
      <c r="M2729" s="27"/>
      <c r="N2729" s="27"/>
      <c r="O2729" s="24" t="str">
        <f aca="false">IF(G2729="","",VLOOKUP(G2729,Setup!$A$14:$C$17,3,0))</f>
        <v/>
      </c>
      <c r="P2729" s="27"/>
      <c r="Q2729" s="29" t="str">
        <f aca="false">IF(OR(P2729="",M2729&lt;&gt;"Paid",O2729=""),"",P2729/O2729)</f>
        <v/>
      </c>
      <c r="R2729" s="30" t="str">
        <f aca="false">IF(Q2729="","",Q2729+N(H2729)*0.000000001)</f>
        <v/>
      </c>
      <c r="S2729" s="25" t="str">
        <f aca="false">IF(R2729="","",SUMPRODUCT((I$5:I$4004=I2729)*ISNUMBER(R$5:R$4004)*(R$5:R$4004&gt;R2729))+1)</f>
        <v/>
      </c>
      <c r="T2729" s="25" t="str">
        <f aca="false">IF(S2729="","",IF(S2729&lt;=Setup!$B$5,"🏆 WINNER",""))</f>
        <v/>
      </c>
      <c r="U2729" s="24" t="str">
        <f aca="false">IF(S2729="","",I2729&amp;"|"&amp;S2729)</f>
        <v/>
      </c>
    </row>
    <row r="2730" customFormat="false" ht="15" hidden="false" customHeight="false" outlineLevel="0" collapsed="false">
      <c r="A2730" s="31" t="n">
        <v>2726</v>
      </c>
      <c r="B2730" s="32" t="str">
        <f aca="false">IF(OR(C2730="",I2730="",G2730=""),"",IFERROR(VLOOKUP(I2730,Setup!$A$9:$B$11,2,0),"???")&amp;"-"&amp;G2730&amp;"-"&amp;TEXT(COUNTIFS(I$5:I2730,I2730,G$5:G2730,G2730),"0000"))</f>
        <v/>
      </c>
      <c r="C2730" s="26"/>
      <c r="D2730" s="26"/>
      <c r="E2730" s="27"/>
      <c r="F2730" s="27"/>
      <c r="G2730" s="31" t="str">
        <f aca="false">IF(F2730="","",IF(F2730&lt;=5,"A",IF(F2730&lt;=8,"B",IF(F2730&lt;=10,"C","D"))))</f>
        <v/>
      </c>
      <c r="H2730" s="28"/>
      <c r="I2730" s="27"/>
      <c r="J2730" s="26"/>
      <c r="K2730" s="27"/>
      <c r="L2730" s="27"/>
      <c r="M2730" s="27"/>
      <c r="N2730" s="27"/>
      <c r="O2730" s="31" t="str">
        <f aca="false">IF(G2730="","",VLOOKUP(G2730,Setup!$A$14:$C$17,3,0))</f>
        <v/>
      </c>
      <c r="P2730" s="27"/>
      <c r="Q2730" s="33" t="str">
        <f aca="false">IF(OR(P2730="",M2730&lt;&gt;"Paid",O2730=""),"",P2730/O2730)</f>
        <v/>
      </c>
      <c r="R2730" s="34" t="str">
        <f aca="false">IF(Q2730="","",Q2730+N(H2730)*0.000000001)</f>
        <v/>
      </c>
      <c r="S2730" s="32" t="str">
        <f aca="false">IF(R2730="","",SUMPRODUCT((I$5:I$4004=I2730)*ISNUMBER(R$5:R$4004)*(R$5:R$4004&gt;R2730))+1)</f>
        <v/>
      </c>
      <c r="T2730" s="32" t="str">
        <f aca="false">IF(S2730="","",IF(S2730&lt;=Setup!$B$5,"🏆 WINNER",""))</f>
        <v/>
      </c>
      <c r="U2730" s="31" t="str">
        <f aca="false">IF(S2730="","",I2730&amp;"|"&amp;S2730)</f>
        <v/>
      </c>
    </row>
    <row r="2731" customFormat="false" ht="15" hidden="false" customHeight="false" outlineLevel="0" collapsed="false">
      <c r="A2731" s="24" t="n">
        <v>2727</v>
      </c>
      <c r="B2731" s="25" t="str">
        <f aca="false">IF(OR(C2731="",I2731="",G2731=""),"",IFERROR(VLOOKUP(I2731,Setup!$A$9:$B$11,2,0),"???")&amp;"-"&amp;G2731&amp;"-"&amp;TEXT(COUNTIFS(I$5:I2731,I2731,G$5:G2731,G2731),"0000"))</f>
        <v/>
      </c>
      <c r="C2731" s="26"/>
      <c r="D2731" s="26"/>
      <c r="E2731" s="27"/>
      <c r="F2731" s="27"/>
      <c r="G2731" s="24" t="str">
        <f aca="false">IF(F2731="","",IF(F2731&lt;=5,"A",IF(F2731&lt;=8,"B",IF(F2731&lt;=10,"C","D"))))</f>
        <v/>
      </c>
      <c r="H2731" s="28"/>
      <c r="I2731" s="27"/>
      <c r="J2731" s="26"/>
      <c r="K2731" s="27"/>
      <c r="L2731" s="27"/>
      <c r="M2731" s="27"/>
      <c r="N2731" s="27"/>
      <c r="O2731" s="24" t="str">
        <f aca="false">IF(G2731="","",VLOOKUP(G2731,Setup!$A$14:$C$17,3,0))</f>
        <v/>
      </c>
      <c r="P2731" s="27"/>
      <c r="Q2731" s="29" t="str">
        <f aca="false">IF(OR(P2731="",M2731&lt;&gt;"Paid",O2731=""),"",P2731/O2731)</f>
        <v/>
      </c>
      <c r="R2731" s="30" t="str">
        <f aca="false">IF(Q2731="","",Q2731+N(H2731)*0.000000001)</f>
        <v/>
      </c>
      <c r="S2731" s="25" t="str">
        <f aca="false">IF(R2731="","",SUMPRODUCT((I$5:I$4004=I2731)*ISNUMBER(R$5:R$4004)*(R$5:R$4004&gt;R2731))+1)</f>
        <v/>
      </c>
      <c r="T2731" s="25" t="str">
        <f aca="false">IF(S2731="","",IF(S2731&lt;=Setup!$B$5,"🏆 WINNER",""))</f>
        <v/>
      </c>
      <c r="U2731" s="24" t="str">
        <f aca="false">IF(S2731="","",I2731&amp;"|"&amp;S2731)</f>
        <v/>
      </c>
    </row>
    <row r="2732" customFormat="false" ht="15" hidden="false" customHeight="false" outlineLevel="0" collapsed="false">
      <c r="A2732" s="31" t="n">
        <v>2728</v>
      </c>
      <c r="B2732" s="32" t="str">
        <f aca="false">IF(OR(C2732="",I2732="",G2732=""),"",IFERROR(VLOOKUP(I2732,Setup!$A$9:$B$11,2,0),"???")&amp;"-"&amp;G2732&amp;"-"&amp;TEXT(COUNTIFS(I$5:I2732,I2732,G$5:G2732,G2732),"0000"))</f>
        <v/>
      </c>
      <c r="C2732" s="26"/>
      <c r="D2732" s="26"/>
      <c r="E2732" s="27"/>
      <c r="F2732" s="27"/>
      <c r="G2732" s="31" t="str">
        <f aca="false">IF(F2732="","",IF(F2732&lt;=5,"A",IF(F2732&lt;=8,"B",IF(F2732&lt;=10,"C","D"))))</f>
        <v/>
      </c>
      <c r="H2732" s="28"/>
      <c r="I2732" s="27"/>
      <c r="J2732" s="26"/>
      <c r="K2732" s="27"/>
      <c r="L2732" s="27"/>
      <c r="M2732" s="27"/>
      <c r="N2732" s="27"/>
      <c r="O2732" s="31" t="str">
        <f aca="false">IF(G2732="","",VLOOKUP(G2732,Setup!$A$14:$C$17,3,0))</f>
        <v/>
      </c>
      <c r="P2732" s="27"/>
      <c r="Q2732" s="33" t="str">
        <f aca="false">IF(OR(P2732="",M2732&lt;&gt;"Paid",O2732=""),"",P2732/O2732)</f>
        <v/>
      </c>
      <c r="R2732" s="34" t="str">
        <f aca="false">IF(Q2732="","",Q2732+N(H2732)*0.000000001)</f>
        <v/>
      </c>
      <c r="S2732" s="32" t="str">
        <f aca="false">IF(R2732="","",SUMPRODUCT((I$5:I$4004=I2732)*ISNUMBER(R$5:R$4004)*(R$5:R$4004&gt;R2732))+1)</f>
        <v/>
      </c>
      <c r="T2732" s="32" t="str">
        <f aca="false">IF(S2732="","",IF(S2732&lt;=Setup!$B$5,"🏆 WINNER",""))</f>
        <v/>
      </c>
      <c r="U2732" s="31" t="str">
        <f aca="false">IF(S2732="","",I2732&amp;"|"&amp;S2732)</f>
        <v/>
      </c>
    </row>
    <row r="2733" customFormat="false" ht="15" hidden="false" customHeight="false" outlineLevel="0" collapsed="false">
      <c r="A2733" s="24" t="n">
        <v>2729</v>
      </c>
      <c r="B2733" s="25" t="str">
        <f aca="false">IF(OR(C2733="",I2733="",G2733=""),"",IFERROR(VLOOKUP(I2733,Setup!$A$9:$B$11,2,0),"???")&amp;"-"&amp;G2733&amp;"-"&amp;TEXT(COUNTIFS(I$5:I2733,I2733,G$5:G2733,G2733),"0000"))</f>
        <v/>
      </c>
      <c r="C2733" s="26"/>
      <c r="D2733" s="26"/>
      <c r="E2733" s="27"/>
      <c r="F2733" s="27"/>
      <c r="G2733" s="24" t="str">
        <f aca="false">IF(F2733="","",IF(F2733&lt;=5,"A",IF(F2733&lt;=8,"B",IF(F2733&lt;=10,"C","D"))))</f>
        <v/>
      </c>
      <c r="H2733" s="28"/>
      <c r="I2733" s="27"/>
      <c r="J2733" s="26"/>
      <c r="K2733" s="27"/>
      <c r="L2733" s="27"/>
      <c r="M2733" s="27"/>
      <c r="N2733" s="27"/>
      <c r="O2733" s="24" t="str">
        <f aca="false">IF(G2733="","",VLOOKUP(G2733,Setup!$A$14:$C$17,3,0))</f>
        <v/>
      </c>
      <c r="P2733" s="27"/>
      <c r="Q2733" s="29" t="str">
        <f aca="false">IF(OR(P2733="",M2733&lt;&gt;"Paid",O2733=""),"",P2733/O2733)</f>
        <v/>
      </c>
      <c r="R2733" s="30" t="str">
        <f aca="false">IF(Q2733="","",Q2733+N(H2733)*0.000000001)</f>
        <v/>
      </c>
      <c r="S2733" s="25" t="str">
        <f aca="false">IF(R2733="","",SUMPRODUCT((I$5:I$4004=I2733)*ISNUMBER(R$5:R$4004)*(R$5:R$4004&gt;R2733))+1)</f>
        <v/>
      </c>
      <c r="T2733" s="25" t="str">
        <f aca="false">IF(S2733="","",IF(S2733&lt;=Setup!$B$5,"🏆 WINNER",""))</f>
        <v/>
      </c>
      <c r="U2733" s="24" t="str">
        <f aca="false">IF(S2733="","",I2733&amp;"|"&amp;S2733)</f>
        <v/>
      </c>
    </row>
    <row r="2734" customFormat="false" ht="15" hidden="false" customHeight="false" outlineLevel="0" collapsed="false">
      <c r="A2734" s="31" t="n">
        <v>2730</v>
      </c>
      <c r="B2734" s="32" t="str">
        <f aca="false">IF(OR(C2734="",I2734="",G2734=""),"",IFERROR(VLOOKUP(I2734,Setup!$A$9:$B$11,2,0),"???")&amp;"-"&amp;G2734&amp;"-"&amp;TEXT(COUNTIFS(I$5:I2734,I2734,G$5:G2734,G2734),"0000"))</f>
        <v/>
      </c>
      <c r="C2734" s="26"/>
      <c r="D2734" s="26"/>
      <c r="E2734" s="27"/>
      <c r="F2734" s="27"/>
      <c r="G2734" s="31" t="str">
        <f aca="false">IF(F2734="","",IF(F2734&lt;=5,"A",IF(F2734&lt;=8,"B",IF(F2734&lt;=10,"C","D"))))</f>
        <v/>
      </c>
      <c r="H2734" s="28"/>
      <c r="I2734" s="27"/>
      <c r="J2734" s="26"/>
      <c r="K2734" s="27"/>
      <c r="L2734" s="27"/>
      <c r="M2734" s="27"/>
      <c r="N2734" s="27"/>
      <c r="O2734" s="31" t="str">
        <f aca="false">IF(G2734="","",VLOOKUP(G2734,Setup!$A$14:$C$17,3,0))</f>
        <v/>
      </c>
      <c r="P2734" s="27"/>
      <c r="Q2734" s="33" t="str">
        <f aca="false">IF(OR(P2734="",M2734&lt;&gt;"Paid",O2734=""),"",P2734/O2734)</f>
        <v/>
      </c>
      <c r="R2734" s="34" t="str">
        <f aca="false">IF(Q2734="","",Q2734+N(H2734)*0.000000001)</f>
        <v/>
      </c>
      <c r="S2734" s="32" t="str">
        <f aca="false">IF(R2734="","",SUMPRODUCT((I$5:I$4004=I2734)*ISNUMBER(R$5:R$4004)*(R$5:R$4004&gt;R2734))+1)</f>
        <v/>
      </c>
      <c r="T2734" s="32" t="str">
        <f aca="false">IF(S2734="","",IF(S2734&lt;=Setup!$B$5,"🏆 WINNER",""))</f>
        <v/>
      </c>
      <c r="U2734" s="31" t="str">
        <f aca="false">IF(S2734="","",I2734&amp;"|"&amp;S2734)</f>
        <v/>
      </c>
    </row>
    <row r="2735" customFormat="false" ht="15" hidden="false" customHeight="false" outlineLevel="0" collapsed="false">
      <c r="A2735" s="24" t="n">
        <v>2731</v>
      </c>
      <c r="B2735" s="25" t="str">
        <f aca="false">IF(OR(C2735="",I2735="",G2735=""),"",IFERROR(VLOOKUP(I2735,Setup!$A$9:$B$11,2,0),"???")&amp;"-"&amp;G2735&amp;"-"&amp;TEXT(COUNTIFS(I$5:I2735,I2735,G$5:G2735,G2735),"0000"))</f>
        <v/>
      </c>
      <c r="C2735" s="26"/>
      <c r="D2735" s="26"/>
      <c r="E2735" s="27"/>
      <c r="F2735" s="27"/>
      <c r="G2735" s="24" t="str">
        <f aca="false">IF(F2735="","",IF(F2735&lt;=5,"A",IF(F2735&lt;=8,"B",IF(F2735&lt;=10,"C","D"))))</f>
        <v/>
      </c>
      <c r="H2735" s="28"/>
      <c r="I2735" s="27"/>
      <c r="J2735" s="26"/>
      <c r="K2735" s="27"/>
      <c r="L2735" s="27"/>
      <c r="M2735" s="27"/>
      <c r="N2735" s="27"/>
      <c r="O2735" s="24" t="str">
        <f aca="false">IF(G2735="","",VLOOKUP(G2735,Setup!$A$14:$C$17,3,0))</f>
        <v/>
      </c>
      <c r="P2735" s="27"/>
      <c r="Q2735" s="29" t="str">
        <f aca="false">IF(OR(P2735="",M2735&lt;&gt;"Paid",O2735=""),"",P2735/O2735)</f>
        <v/>
      </c>
      <c r="R2735" s="30" t="str">
        <f aca="false">IF(Q2735="","",Q2735+N(H2735)*0.000000001)</f>
        <v/>
      </c>
      <c r="S2735" s="25" t="str">
        <f aca="false">IF(R2735="","",SUMPRODUCT((I$5:I$4004=I2735)*ISNUMBER(R$5:R$4004)*(R$5:R$4004&gt;R2735))+1)</f>
        <v/>
      </c>
      <c r="T2735" s="25" t="str">
        <f aca="false">IF(S2735="","",IF(S2735&lt;=Setup!$B$5,"🏆 WINNER",""))</f>
        <v/>
      </c>
      <c r="U2735" s="24" t="str">
        <f aca="false">IF(S2735="","",I2735&amp;"|"&amp;S2735)</f>
        <v/>
      </c>
    </row>
    <row r="2736" customFormat="false" ht="15" hidden="false" customHeight="false" outlineLevel="0" collapsed="false">
      <c r="A2736" s="31" t="n">
        <v>2732</v>
      </c>
      <c r="B2736" s="32" t="str">
        <f aca="false">IF(OR(C2736="",I2736="",G2736=""),"",IFERROR(VLOOKUP(I2736,Setup!$A$9:$B$11,2,0),"???")&amp;"-"&amp;G2736&amp;"-"&amp;TEXT(COUNTIFS(I$5:I2736,I2736,G$5:G2736,G2736),"0000"))</f>
        <v/>
      </c>
      <c r="C2736" s="26"/>
      <c r="D2736" s="26"/>
      <c r="E2736" s="27"/>
      <c r="F2736" s="27"/>
      <c r="G2736" s="31" t="str">
        <f aca="false">IF(F2736="","",IF(F2736&lt;=5,"A",IF(F2736&lt;=8,"B",IF(F2736&lt;=10,"C","D"))))</f>
        <v/>
      </c>
      <c r="H2736" s="28"/>
      <c r="I2736" s="27"/>
      <c r="J2736" s="26"/>
      <c r="K2736" s="27"/>
      <c r="L2736" s="27"/>
      <c r="M2736" s="27"/>
      <c r="N2736" s="27"/>
      <c r="O2736" s="31" t="str">
        <f aca="false">IF(G2736="","",VLOOKUP(G2736,Setup!$A$14:$C$17,3,0))</f>
        <v/>
      </c>
      <c r="P2736" s="27"/>
      <c r="Q2736" s="33" t="str">
        <f aca="false">IF(OR(P2736="",M2736&lt;&gt;"Paid",O2736=""),"",P2736/O2736)</f>
        <v/>
      </c>
      <c r="R2736" s="34" t="str">
        <f aca="false">IF(Q2736="","",Q2736+N(H2736)*0.000000001)</f>
        <v/>
      </c>
      <c r="S2736" s="32" t="str">
        <f aca="false">IF(R2736="","",SUMPRODUCT((I$5:I$4004=I2736)*ISNUMBER(R$5:R$4004)*(R$5:R$4004&gt;R2736))+1)</f>
        <v/>
      </c>
      <c r="T2736" s="32" t="str">
        <f aca="false">IF(S2736="","",IF(S2736&lt;=Setup!$B$5,"🏆 WINNER",""))</f>
        <v/>
      </c>
      <c r="U2736" s="31" t="str">
        <f aca="false">IF(S2736="","",I2736&amp;"|"&amp;S2736)</f>
        <v/>
      </c>
    </row>
    <row r="2737" customFormat="false" ht="15" hidden="false" customHeight="false" outlineLevel="0" collapsed="false">
      <c r="A2737" s="24" t="n">
        <v>2733</v>
      </c>
      <c r="B2737" s="25" t="str">
        <f aca="false">IF(OR(C2737="",I2737="",G2737=""),"",IFERROR(VLOOKUP(I2737,Setup!$A$9:$B$11,2,0),"???")&amp;"-"&amp;G2737&amp;"-"&amp;TEXT(COUNTIFS(I$5:I2737,I2737,G$5:G2737,G2737),"0000"))</f>
        <v/>
      </c>
      <c r="C2737" s="26"/>
      <c r="D2737" s="26"/>
      <c r="E2737" s="27"/>
      <c r="F2737" s="27"/>
      <c r="G2737" s="24" t="str">
        <f aca="false">IF(F2737="","",IF(F2737&lt;=5,"A",IF(F2737&lt;=8,"B",IF(F2737&lt;=10,"C","D"))))</f>
        <v/>
      </c>
      <c r="H2737" s="28"/>
      <c r="I2737" s="27"/>
      <c r="J2737" s="26"/>
      <c r="K2737" s="27"/>
      <c r="L2737" s="27"/>
      <c r="M2737" s="27"/>
      <c r="N2737" s="27"/>
      <c r="O2737" s="24" t="str">
        <f aca="false">IF(G2737="","",VLOOKUP(G2737,Setup!$A$14:$C$17,3,0))</f>
        <v/>
      </c>
      <c r="P2737" s="27"/>
      <c r="Q2737" s="29" t="str">
        <f aca="false">IF(OR(P2737="",M2737&lt;&gt;"Paid",O2737=""),"",P2737/O2737)</f>
        <v/>
      </c>
      <c r="R2737" s="30" t="str">
        <f aca="false">IF(Q2737="","",Q2737+N(H2737)*0.000000001)</f>
        <v/>
      </c>
      <c r="S2737" s="25" t="str">
        <f aca="false">IF(R2737="","",SUMPRODUCT((I$5:I$4004=I2737)*ISNUMBER(R$5:R$4004)*(R$5:R$4004&gt;R2737))+1)</f>
        <v/>
      </c>
      <c r="T2737" s="25" t="str">
        <f aca="false">IF(S2737="","",IF(S2737&lt;=Setup!$B$5,"🏆 WINNER",""))</f>
        <v/>
      </c>
      <c r="U2737" s="24" t="str">
        <f aca="false">IF(S2737="","",I2737&amp;"|"&amp;S2737)</f>
        <v/>
      </c>
    </row>
    <row r="2738" customFormat="false" ht="15" hidden="false" customHeight="false" outlineLevel="0" collapsed="false">
      <c r="A2738" s="31" t="n">
        <v>2734</v>
      </c>
      <c r="B2738" s="32" t="str">
        <f aca="false">IF(OR(C2738="",I2738="",G2738=""),"",IFERROR(VLOOKUP(I2738,Setup!$A$9:$B$11,2,0),"???")&amp;"-"&amp;G2738&amp;"-"&amp;TEXT(COUNTIFS(I$5:I2738,I2738,G$5:G2738,G2738),"0000"))</f>
        <v/>
      </c>
      <c r="C2738" s="26"/>
      <c r="D2738" s="26"/>
      <c r="E2738" s="27"/>
      <c r="F2738" s="27"/>
      <c r="G2738" s="31" t="str">
        <f aca="false">IF(F2738="","",IF(F2738&lt;=5,"A",IF(F2738&lt;=8,"B",IF(F2738&lt;=10,"C","D"))))</f>
        <v/>
      </c>
      <c r="H2738" s="28"/>
      <c r="I2738" s="27"/>
      <c r="J2738" s="26"/>
      <c r="K2738" s="27"/>
      <c r="L2738" s="27"/>
      <c r="M2738" s="27"/>
      <c r="N2738" s="27"/>
      <c r="O2738" s="31" t="str">
        <f aca="false">IF(G2738="","",VLOOKUP(G2738,Setup!$A$14:$C$17,3,0))</f>
        <v/>
      </c>
      <c r="P2738" s="27"/>
      <c r="Q2738" s="33" t="str">
        <f aca="false">IF(OR(P2738="",M2738&lt;&gt;"Paid",O2738=""),"",P2738/O2738)</f>
        <v/>
      </c>
      <c r="R2738" s="34" t="str">
        <f aca="false">IF(Q2738="","",Q2738+N(H2738)*0.000000001)</f>
        <v/>
      </c>
      <c r="S2738" s="32" t="str">
        <f aca="false">IF(R2738="","",SUMPRODUCT((I$5:I$4004=I2738)*ISNUMBER(R$5:R$4004)*(R$5:R$4004&gt;R2738))+1)</f>
        <v/>
      </c>
      <c r="T2738" s="32" t="str">
        <f aca="false">IF(S2738="","",IF(S2738&lt;=Setup!$B$5,"🏆 WINNER",""))</f>
        <v/>
      </c>
      <c r="U2738" s="31" t="str">
        <f aca="false">IF(S2738="","",I2738&amp;"|"&amp;S2738)</f>
        <v/>
      </c>
    </row>
    <row r="2739" customFormat="false" ht="15" hidden="false" customHeight="false" outlineLevel="0" collapsed="false">
      <c r="A2739" s="24" t="n">
        <v>2735</v>
      </c>
      <c r="B2739" s="25" t="str">
        <f aca="false">IF(OR(C2739="",I2739="",G2739=""),"",IFERROR(VLOOKUP(I2739,Setup!$A$9:$B$11,2,0),"???")&amp;"-"&amp;G2739&amp;"-"&amp;TEXT(COUNTIFS(I$5:I2739,I2739,G$5:G2739,G2739),"0000"))</f>
        <v/>
      </c>
      <c r="C2739" s="26"/>
      <c r="D2739" s="26"/>
      <c r="E2739" s="27"/>
      <c r="F2739" s="27"/>
      <c r="G2739" s="24" t="str">
        <f aca="false">IF(F2739="","",IF(F2739&lt;=5,"A",IF(F2739&lt;=8,"B",IF(F2739&lt;=10,"C","D"))))</f>
        <v/>
      </c>
      <c r="H2739" s="28"/>
      <c r="I2739" s="27"/>
      <c r="J2739" s="26"/>
      <c r="K2739" s="27"/>
      <c r="L2739" s="27"/>
      <c r="M2739" s="27"/>
      <c r="N2739" s="27"/>
      <c r="O2739" s="24" t="str">
        <f aca="false">IF(G2739="","",VLOOKUP(G2739,Setup!$A$14:$C$17,3,0))</f>
        <v/>
      </c>
      <c r="P2739" s="27"/>
      <c r="Q2739" s="29" t="str">
        <f aca="false">IF(OR(P2739="",M2739&lt;&gt;"Paid",O2739=""),"",P2739/O2739)</f>
        <v/>
      </c>
      <c r="R2739" s="30" t="str">
        <f aca="false">IF(Q2739="","",Q2739+N(H2739)*0.000000001)</f>
        <v/>
      </c>
      <c r="S2739" s="25" t="str">
        <f aca="false">IF(R2739="","",SUMPRODUCT((I$5:I$4004=I2739)*ISNUMBER(R$5:R$4004)*(R$5:R$4004&gt;R2739))+1)</f>
        <v/>
      </c>
      <c r="T2739" s="25" t="str">
        <f aca="false">IF(S2739="","",IF(S2739&lt;=Setup!$B$5,"🏆 WINNER",""))</f>
        <v/>
      </c>
      <c r="U2739" s="24" t="str">
        <f aca="false">IF(S2739="","",I2739&amp;"|"&amp;S2739)</f>
        <v/>
      </c>
    </row>
    <row r="2740" customFormat="false" ht="15" hidden="false" customHeight="false" outlineLevel="0" collapsed="false">
      <c r="A2740" s="31" t="n">
        <v>2736</v>
      </c>
      <c r="B2740" s="32" t="str">
        <f aca="false">IF(OR(C2740="",I2740="",G2740=""),"",IFERROR(VLOOKUP(I2740,Setup!$A$9:$B$11,2,0),"???")&amp;"-"&amp;G2740&amp;"-"&amp;TEXT(COUNTIFS(I$5:I2740,I2740,G$5:G2740,G2740),"0000"))</f>
        <v/>
      </c>
      <c r="C2740" s="26"/>
      <c r="D2740" s="26"/>
      <c r="E2740" s="27"/>
      <c r="F2740" s="27"/>
      <c r="G2740" s="31" t="str">
        <f aca="false">IF(F2740="","",IF(F2740&lt;=5,"A",IF(F2740&lt;=8,"B",IF(F2740&lt;=10,"C","D"))))</f>
        <v/>
      </c>
      <c r="H2740" s="28"/>
      <c r="I2740" s="27"/>
      <c r="J2740" s="26"/>
      <c r="K2740" s="27"/>
      <c r="L2740" s="27"/>
      <c r="M2740" s="27"/>
      <c r="N2740" s="27"/>
      <c r="O2740" s="31" t="str">
        <f aca="false">IF(G2740="","",VLOOKUP(G2740,Setup!$A$14:$C$17,3,0))</f>
        <v/>
      </c>
      <c r="P2740" s="27"/>
      <c r="Q2740" s="33" t="str">
        <f aca="false">IF(OR(P2740="",M2740&lt;&gt;"Paid",O2740=""),"",P2740/O2740)</f>
        <v/>
      </c>
      <c r="R2740" s="34" t="str">
        <f aca="false">IF(Q2740="","",Q2740+N(H2740)*0.000000001)</f>
        <v/>
      </c>
      <c r="S2740" s="32" t="str">
        <f aca="false">IF(R2740="","",SUMPRODUCT((I$5:I$4004=I2740)*ISNUMBER(R$5:R$4004)*(R$5:R$4004&gt;R2740))+1)</f>
        <v/>
      </c>
      <c r="T2740" s="32" t="str">
        <f aca="false">IF(S2740="","",IF(S2740&lt;=Setup!$B$5,"🏆 WINNER",""))</f>
        <v/>
      </c>
      <c r="U2740" s="31" t="str">
        <f aca="false">IF(S2740="","",I2740&amp;"|"&amp;S2740)</f>
        <v/>
      </c>
    </row>
    <row r="2741" customFormat="false" ht="15" hidden="false" customHeight="false" outlineLevel="0" collapsed="false">
      <c r="A2741" s="24" t="n">
        <v>2737</v>
      </c>
      <c r="B2741" s="25" t="str">
        <f aca="false">IF(OR(C2741="",I2741="",G2741=""),"",IFERROR(VLOOKUP(I2741,Setup!$A$9:$B$11,2,0),"???")&amp;"-"&amp;G2741&amp;"-"&amp;TEXT(COUNTIFS(I$5:I2741,I2741,G$5:G2741,G2741),"0000"))</f>
        <v/>
      </c>
      <c r="C2741" s="26"/>
      <c r="D2741" s="26"/>
      <c r="E2741" s="27"/>
      <c r="F2741" s="27"/>
      <c r="G2741" s="24" t="str">
        <f aca="false">IF(F2741="","",IF(F2741&lt;=5,"A",IF(F2741&lt;=8,"B",IF(F2741&lt;=10,"C","D"))))</f>
        <v/>
      </c>
      <c r="H2741" s="28"/>
      <c r="I2741" s="27"/>
      <c r="J2741" s="26"/>
      <c r="K2741" s="27"/>
      <c r="L2741" s="27"/>
      <c r="M2741" s="27"/>
      <c r="N2741" s="27"/>
      <c r="O2741" s="24" t="str">
        <f aca="false">IF(G2741="","",VLOOKUP(G2741,Setup!$A$14:$C$17,3,0))</f>
        <v/>
      </c>
      <c r="P2741" s="27"/>
      <c r="Q2741" s="29" t="str">
        <f aca="false">IF(OR(P2741="",M2741&lt;&gt;"Paid",O2741=""),"",P2741/O2741)</f>
        <v/>
      </c>
      <c r="R2741" s="30" t="str">
        <f aca="false">IF(Q2741="","",Q2741+N(H2741)*0.000000001)</f>
        <v/>
      </c>
      <c r="S2741" s="25" t="str">
        <f aca="false">IF(R2741="","",SUMPRODUCT((I$5:I$4004=I2741)*ISNUMBER(R$5:R$4004)*(R$5:R$4004&gt;R2741))+1)</f>
        <v/>
      </c>
      <c r="T2741" s="25" t="str">
        <f aca="false">IF(S2741="","",IF(S2741&lt;=Setup!$B$5,"🏆 WINNER",""))</f>
        <v/>
      </c>
      <c r="U2741" s="24" t="str">
        <f aca="false">IF(S2741="","",I2741&amp;"|"&amp;S2741)</f>
        <v/>
      </c>
    </row>
    <row r="2742" customFormat="false" ht="15" hidden="false" customHeight="false" outlineLevel="0" collapsed="false">
      <c r="A2742" s="31" t="n">
        <v>2738</v>
      </c>
      <c r="B2742" s="32" t="str">
        <f aca="false">IF(OR(C2742="",I2742="",G2742=""),"",IFERROR(VLOOKUP(I2742,Setup!$A$9:$B$11,2,0),"???")&amp;"-"&amp;G2742&amp;"-"&amp;TEXT(COUNTIFS(I$5:I2742,I2742,G$5:G2742,G2742),"0000"))</f>
        <v/>
      </c>
      <c r="C2742" s="26"/>
      <c r="D2742" s="26"/>
      <c r="E2742" s="27"/>
      <c r="F2742" s="27"/>
      <c r="G2742" s="31" t="str">
        <f aca="false">IF(F2742="","",IF(F2742&lt;=5,"A",IF(F2742&lt;=8,"B",IF(F2742&lt;=10,"C","D"))))</f>
        <v/>
      </c>
      <c r="H2742" s="28"/>
      <c r="I2742" s="27"/>
      <c r="J2742" s="26"/>
      <c r="K2742" s="27"/>
      <c r="L2742" s="27"/>
      <c r="M2742" s="27"/>
      <c r="N2742" s="27"/>
      <c r="O2742" s="31" t="str">
        <f aca="false">IF(G2742="","",VLOOKUP(G2742,Setup!$A$14:$C$17,3,0))</f>
        <v/>
      </c>
      <c r="P2742" s="27"/>
      <c r="Q2742" s="33" t="str">
        <f aca="false">IF(OR(P2742="",M2742&lt;&gt;"Paid",O2742=""),"",P2742/O2742)</f>
        <v/>
      </c>
      <c r="R2742" s="34" t="str">
        <f aca="false">IF(Q2742="","",Q2742+N(H2742)*0.000000001)</f>
        <v/>
      </c>
      <c r="S2742" s="32" t="str">
        <f aca="false">IF(R2742="","",SUMPRODUCT((I$5:I$4004=I2742)*ISNUMBER(R$5:R$4004)*(R$5:R$4004&gt;R2742))+1)</f>
        <v/>
      </c>
      <c r="T2742" s="32" t="str">
        <f aca="false">IF(S2742="","",IF(S2742&lt;=Setup!$B$5,"🏆 WINNER",""))</f>
        <v/>
      </c>
      <c r="U2742" s="31" t="str">
        <f aca="false">IF(S2742="","",I2742&amp;"|"&amp;S2742)</f>
        <v/>
      </c>
    </row>
    <row r="2743" customFormat="false" ht="15" hidden="false" customHeight="false" outlineLevel="0" collapsed="false">
      <c r="A2743" s="24" t="n">
        <v>2739</v>
      </c>
      <c r="B2743" s="25" t="str">
        <f aca="false">IF(OR(C2743="",I2743="",G2743=""),"",IFERROR(VLOOKUP(I2743,Setup!$A$9:$B$11,2,0),"???")&amp;"-"&amp;G2743&amp;"-"&amp;TEXT(COUNTIFS(I$5:I2743,I2743,G$5:G2743,G2743),"0000"))</f>
        <v/>
      </c>
      <c r="C2743" s="26"/>
      <c r="D2743" s="26"/>
      <c r="E2743" s="27"/>
      <c r="F2743" s="27"/>
      <c r="G2743" s="24" t="str">
        <f aca="false">IF(F2743="","",IF(F2743&lt;=5,"A",IF(F2743&lt;=8,"B",IF(F2743&lt;=10,"C","D"))))</f>
        <v/>
      </c>
      <c r="H2743" s="28"/>
      <c r="I2743" s="27"/>
      <c r="J2743" s="26"/>
      <c r="K2743" s="27"/>
      <c r="L2743" s="27"/>
      <c r="M2743" s="27"/>
      <c r="N2743" s="27"/>
      <c r="O2743" s="24" t="str">
        <f aca="false">IF(G2743="","",VLOOKUP(G2743,Setup!$A$14:$C$17,3,0))</f>
        <v/>
      </c>
      <c r="P2743" s="27"/>
      <c r="Q2743" s="29" t="str">
        <f aca="false">IF(OR(P2743="",M2743&lt;&gt;"Paid",O2743=""),"",P2743/O2743)</f>
        <v/>
      </c>
      <c r="R2743" s="30" t="str">
        <f aca="false">IF(Q2743="","",Q2743+N(H2743)*0.000000001)</f>
        <v/>
      </c>
      <c r="S2743" s="25" t="str">
        <f aca="false">IF(R2743="","",SUMPRODUCT((I$5:I$4004=I2743)*ISNUMBER(R$5:R$4004)*(R$5:R$4004&gt;R2743))+1)</f>
        <v/>
      </c>
      <c r="T2743" s="25" t="str">
        <f aca="false">IF(S2743="","",IF(S2743&lt;=Setup!$B$5,"🏆 WINNER",""))</f>
        <v/>
      </c>
      <c r="U2743" s="24" t="str">
        <f aca="false">IF(S2743="","",I2743&amp;"|"&amp;S2743)</f>
        <v/>
      </c>
    </row>
    <row r="2744" customFormat="false" ht="15" hidden="false" customHeight="false" outlineLevel="0" collapsed="false">
      <c r="A2744" s="31" t="n">
        <v>2740</v>
      </c>
      <c r="B2744" s="32" t="str">
        <f aca="false">IF(OR(C2744="",I2744="",G2744=""),"",IFERROR(VLOOKUP(I2744,Setup!$A$9:$B$11,2,0),"???")&amp;"-"&amp;G2744&amp;"-"&amp;TEXT(COUNTIFS(I$5:I2744,I2744,G$5:G2744,G2744),"0000"))</f>
        <v/>
      </c>
      <c r="C2744" s="26"/>
      <c r="D2744" s="26"/>
      <c r="E2744" s="27"/>
      <c r="F2744" s="27"/>
      <c r="G2744" s="31" t="str">
        <f aca="false">IF(F2744="","",IF(F2744&lt;=5,"A",IF(F2744&lt;=8,"B",IF(F2744&lt;=10,"C","D"))))</f>
        <v/>
      </c>
      <c r="H2744" s="28"/>
      <c r="I2744" s="27"/>
      <c r="J2744" s="26"/>
      <c r="K2744" s="27"/>
      <c r="L2744" s="27"/>
      <c r="M2744" s="27"/>
      <c r="N2744" s="27"/>
      <c r="O2744" s="31" t="str">
        <f aca="false">IF(G2744="","",VLOOKUP(G2744,Setup!$A$14:$C$17,3,0))</f>
        <v/>
      </c>
      <c r="P2744" s="27"/>
      <c r="Q2744" s="33" t="str">
        <f aca="false">IF(OR(P2744="",M2744&lt;&gt;"Paid",O2744=""),"",P2744/O2744)</f>
        <v/>
      </c>
      <c r="R2744" s="34" t="str">
        <f aca="false">IF(Q2744="","",Q2744+N(H2744)*0.000000001)</f>
        <v/>
      </c>
      <c r="S2744" s="32" t="str">
        <f aca="false">IF(R2744="","",SUMPRODUCT((I$5:I$4004=I2744)*ISNUMBER(R$5:R$4004)*(R$5:R$4004&gt;R2744))+1)</f>
        <v/>
      </c>
      <c r="T2744" s="32" t="str">
        <f aca="false">IF(S2744="","",IF(S2744&lt;=Setup!$B$5,"🏆 WINNER",""))</f>
        <v/>
      </c>
      <c r="U2744" s="31" t="str">
        <f aca="false">IF(S2744="","",I2744&amp;"|"&amp;S2744)</f>
        <v/>
      </c>
    </row>
    <row r="2745" customFormat="false" ht="15" hidden="false" customHeight="false" outlineLevel="0" collapsed="false">
      <c r="A2745" s="24" t="n">
        <v>2741</v>
      </c>
      <c r="B2745" s="25" t="str">
        <f aca="false">IF(OR(C2745="",I2745="",G2745=""),"",IFERROR(VLOOKUP(I2745,Setup!$A$9:$B$11,2,0),"???")&amp;"-"&amp;G2745&amp;"-"&amp;TEXT(COUNTIFS(I$5:I2745,I2745,G$5:G2745,G2745),"0000"))</f>
        <v/>
      </c>
      <c r="C2745" s="26"/>
      <c r="D2745" s="26"/>
      <c r="E2745" s="27"/>
      <c r="F2745" s="27"/>
      <c r="G2745" s="24" t="str">
        <f aca="false">IF(F2745="","",IF(F2745&lt;=5,"A",IF(F2745&lt;=8,"B",IF(F2745&lt;=10,"C","D"))))</f>
        <v/>
      </c>
      <c r="H2745" s="28"/>
      <c r="I2745" s="27"/>
      <c r="J2745" s="26"/>
      <c r="K2745" s="27"/>
      <c r="L2745" s="27"/>
      <c r="M2745" s="27"/>
      <c r="N2745" s="27"/>
      <c r="O2745" s="24" t="str">
        <f aca="false">IF(G2745="","",VLOOKUP(G2745,Setup!$A$14:$C$17,3,0))</f>
        <v/>
      </c>
      <c r="P2745" s="27"/>
      <c r="Q2745" s="29" t="str">
        <f aca="false">IF(OR(P2745="",M2745&lt;&gt;"Paid",O2745=""),"",P2745/O2745)</f>
        <v/>
      </c>
      <c r="R2745" s="30" t="str">
        <f aca="false">IF(Q2745="","",Q2745+N(H2745)*0.000000001)</f>
        <v/>
      </c>
      <c r="S2745" s="25" t="str">
        <f aca="false">IF(R2745="","",SUMPRODUCT((I$5:I$4004=I2745)*ISNUMBER(R$5:R$4004)*(R$5:R$4004&gt;R2745))+1)</f>
        <v/>
      </c>
      <c r="T2745" s="25" t="str">
        <f aca="false">IF(S2745="","",IF(S2745&lt;=Setup!$B$5,"🏆 WINNER",""))</f>
        <v/>
      </c>
      <c r="U2745" s="24" t="str">
        <f aca="false">IF(S2745="","",I2745&amp;"|"&amp;S2745)</f>
        <v/>
      </c>
    </row>
    <row r="2746" customFormat="false" ht="15" hidden="false" customHeight="false" outlineLevel="0" collapsed="false">
      <c r="A2746" s="31" t="n">
        <v>2742</v>
      </c>
      <c r="B2746" s="32" t="str">
        <f aca="false">IF(OR(C2746="",I2746="",G2746=""),"",IFERROR(VLOOKUP(I2746,Setup!$A$9:$B$11,2,0),"???")&amp;"-"&amp;G2746&amp;"-"&amp;TEXT(COUNTIFS(I$5:I2746,I2746,G$5:G2746,G2746),"0000"))</f>
        <v/>
      </c>
      <c r="C2746" s="26"/>
      <c r="D2746" s="26"/>
      <c r="E2746" s="27"/>
      <c r="F2746" s="27"/>
      <c r="G2746" s="31" t="str">
        <f aca="false">IF(F2746="","",IF(F2746&lt;=5,"A",IF(F2746&lt;=8,"B",IF(F2746&lt;=10,"C","D"))))</f>
        <v/>
      </c>
      <c r="H2746" s="28"/>
      <c r="I2746" s="27"/>
      <c r="J2746" s="26"/>
      <c r="K2746" s="27"/>
      <c r="L2746" s="27"/>
      <c r="M2746" s="27"/>
      <c r="N2746" s="27"/>
      <c r="O2746" s="31" t="str">
        <f aca="false">IF(G2746="","",VLOOKUP(G2746,Setup!$A$14:$C$17,3,0))</f>
        <v/>
      </c>
      <c r="P2746" s="27"/>
      <c r="Q2746" s="33" t="str">
        <f aca="false">IF(OR(P2746="",M2746&lt;&gt;"Paid",O2746=""),"",P2746/O2746)</f>
        <v/>
      </c>
      <c r="R2746" s="34" t="str">
        <f aca="false">IF(Q2746="","",Q2746+N(H2746)*0.000000001)</f>
        <v/>
      </c>
      <c r="S2746" s="32" t="str">
        <f aca="false">IF(R2746="","",SUMPRODUCT((I$5:I$4004=I2746)*ISNUMBER(R$5:R$4004)*(R$5:R$4004&gt;R2746))+1)</f>
        <v/>
      </c>
      <c r="T2746" s="32" t="str">
        <f aca="false">IF(S2746="","",IF(S2746&lt;=Setup!$B$5,"🏆 WINNER",""))</f>
        <v/>
      </c>
      <c r="U2746" s="31" t="str">
        <f aca="false">IF(S2746="","",I2746&amp;"|"&amp;S2746)</f>
        <v/>
      </c>
    </row>
    <row r="2747" customFormat="false" ht="15" hidden="false" customHeight="false" outlineLevel="0" collapsed="false">
      <c r="A2747" s="24" t="n">
        <v>2743</v>
      </c>
      <c r="B2747" s="25" t="str">
        <f aca="false">IF(OR(C2747="",I2747="",G2747=""),"",IFERROR(VLOOKUP(I2747,Setup!$A$9:$B$11,2,0),"???")&amp;"-"&amp;G2747&amp;"-"&amp;TEXT(COUNTIFS(I$5:I2747,I2747,G$5:G2747,G2747),"0000"))</f>
        <v/>
      </c>
      <c r="C2747" s="26"/>
      <c r="D2747" s="26"/>
      <c r="E2747" s="27"/>
      <c r="F2747" s="27"/>
      <c r="G2747" s="24" t="str">
        <f aca="false">IF(F2747="","",IF(F2747&lt;=5,"A",IF(F2747&lt;=8,"B",IF(F2747&lt;=10,"C","D"))))</f>
        <v/>
      </c>
      <c r="H2747" s="28"/>
      <c r="I2747" s="27"/>
      <c r="J2747" s="26"/>
      <c r="K2747" s="27"/>
      <c r="L2747" s="27"/>
      <c r="M2747" s="27"/>
      <c r="N2747" s="27"/>
      <c r="O2747" s="24" t="str">
        <f aca="false">IF(G2747="","",VLOOKUP(G2747,Setup!$A$14:$C$17,3,0))</f>
        <v/>
      </c>
      <c r="P2747" s="27"/>
      <c r="Q2747" s="29" t="str">
        <f aca="false">IF(OR(P2747="",M2747&lt;&gt;"Paid",O2747=""),"",P2747/O2747)</f>
        <v/>
      </c>
      <c r="R2747" s="30" t="str">
        <f aca="false">IF(Q2747="","",Q2747+N(H2747)*0.000000001)</f>
        <v/>
      </c>
      <c r="S2747" s="25" t="str">
        <f aca="false">IF(R2747="","",SUMPRODUCT((I$5:I$4004=I2747)*ISNUMBER(R$5:R$4004)*(R$5:R$4004&gt;R2747))+1)</f>
        <v/>
      </c>
      <c r="T2747" s="25" t="str">
        <f aca="false">IF(S2747="","",IF(S2747&lt;=Setup!$B$5,"🏆 WINNER",""))</f>
        <v/>
      </c>
      <c r="U2747" s="24" t="str">
        <f aca="false">IF(S2747="","",I2747&amp;"|"&amp;S2747)</f>
        <v/>
      </c>
    </row>
    <row r="2748" customFormat="false" ht="15" hidden="false" customHeight="false" outlineLevel="0" collapsed="false">
      <c r="A2748" s="31" t="n">
        <v>2744</v>
      </c>
      <c r="B2748" s="32" t="str">
        <f aca="false">IF(OR(C2748="",I2748="",G2748=""),"",IFERROR(VLOOKUP(I2748,Setup!$A$9:$B$11,2,0),"???")&amp;"-"&amp;G2748&amp;"-"&amp;TEXT(COUNTIFS(I$5:I2748,I2748,G$5:G2748,G2748),"0000"))</f>
        <v/>
      </c>
      <c r="C2748" s="26"/>
      <c r="D2748" s="26"/>
      <c r="E2748" s="27"/>
      <c r="F2748" s="27"/>
      <c r="G2748" s="31" t="str">
        <f aca="false">IF(F2748="","",IF(F2748&lt;=5,"A",IF(F2748&lt;=8,"B",IF(F2748&lt;=10,"C","D"))))</f>
        <v/>
      </c>
      <c r="H2748" s="28"/>
      <c r="I2748" s="27"/>
      <c r="J2748" s="26"/>
      <c r="K2748" s="27"/>
      <c r="L2748" s="27"/>
      <c r="M2748" s="27"/>
      <c r="N2748" s="27"/>
      <c r="O2748" s="31" t="str">
        <f aca="false">IF(G2748="","",VLOOKUP(G2748,Setup!$A$14:$C$17,3,0))</f>
        <v/>
      </c>
      <c r="P2748" s="27"/>
      <c r="Q2748" s="33" t="str">
        <f aca="false">IF(OR(P2748="",M2748&lt;&gt;"Paid",O2748=""),"",P2748/O2748)</f>
        <v/>
      </c>
      <c r="R2748" s="34" t="str">
        <f aca="false">IF(Q2748="","",Q2748+N(H2748)*0.000000001)</f>
        <v/>
      </c>
      <c r="S2748" s="32" t="str">
        <f aca="false">IF(R2748="","",SUMPRODUCT((I$5:I$4004=I2748)*ISNUMBER(R$5:R$4004)*(R$5:R$4004&gt;R2748))+1)</f>
        <v/>
      </c>
      <c r="T2748" s="32" t="str">
        <f aca="false">IF(S2748="","",IF(S2748&lt;=Setup!$B$5,"🏆 WINNER",""))</f>
        <v/>
      </c>
      <c r="U2748" s="31" t="str">
        <f aca="false">IF(S2748="","",I2748&amp;"|"&amp;S2748)</f>
        <v/>
      </c>
    </row>
    <row r="2749" customFormat="false" ht="15" hidden="false" customHeight="false" outlineLevel="0" collapsed="false">
      <c r="A2749" s="24" t="n">
        <v>2745</v>
      </c>
      <c r="B2749" s="25" t="str">
        <f aca="false">IF(OR(C2749="",I2749="",G2749=""),"",IFERROR(VLOOKUP(I2749,Setup!$A$9:$B$11,2,0),"???")&amp;"-"&amp;G2749&amp;"-"&amp;TEXT(COUNTIFS(I$5:I2749,I2749,G$5:G2749,G2749),"0000"))</f>
        <v/>
      </c>
      <c r="C2749" s="26"/>
      <c r="D2749" s="26"/>
      <c r="E2749" s="27"/>
      <c r="F2749" s="27"/>
      <c r="G2749" s="24" t="str">
        <f aca="false">IF(F2749="","",IF(F2749&lt;=5,"A",IF(F2749&lt;=8,"B",IF(F2749&lt;=10,"C","D"))))</f>
        <v/>
      </c>
      <c r="H2749" s="28"/>
      <c r="I2749" s="27"/>
      <c r="J2749" s="26"/>
      <c r="K2749" s="27"/>
      <c r="L2749" s="27"/>
      <c r="M2749" s="27"/>
      <c r="N2749" s="27"/>
      <c r="O2749" s="24" t="str">
        <f aca="false">IF(G2749="","",VLOOKUP(G2749,Setup!$A$14:$C$17,3,0))</f>
        <v/>
      </c>
      <c r="P2749" s="27"/>
      <c r="Q2749" s="29" t="str">
        <f aca="false">IF(OR(P2749="",M2749&lt;&gt;"Paid",O2749=""),"",P2749/O2749)</f>
        <v/>
      </c>
      <c r="R2749" s="30" t="str">
        <f aca="false">IF(Q2749="","",Q2749+N(H2749)*0.000000001)</f>
        <v/>
      </c>
      <c r="S2749" s="25" t="str">
        <f aca="false">IF(R2749="","",SUMPRODUCT((I$5:I$4004=I2749)*ISNUMBER(R$5:R$4004)*(R$5:R$4004&gt;R2749))+1)</f>
        <v/>
      </c>
      <c r="T2749" s="25" t="str">
        <f aca="false">IF(S2749="","",IF(S2749&lt;=Setup!$B$5,"🏆 WINNER",""))</f>
        <v/>
      </c>
      <c r="U2749" s="24" t="str">
        <f aca="false">IF(S2749="","",I2749&amp;"|"&amp;S2749)</f>
        <v/>
      </c>
    </row>
    <row r="2750" customFormat="false" ht="15" hidden="false" customHeight="false" outlineLevel="0" collapsed="false">
      <c r="A2750" s="31" t="n">
        <v>2746</v>
      </c>
      <c r="B2750" s="32" t="str">
        <f aca="false">IF(OR(C2750="",I2750="",G2750=""),"",IFERROR(VLOOKUP(I2750,Setup!$A$9:$B$11,2,0),"???")&amp;"-"&amp;G2750&amp;"-"&amp;TEXT(COUNTIFS(I$5:I2750,I2750,G$5:G2750,G2750),"0000"))</f>
        <v/>
      </c>
      <c r="C2750" s="26"/>
      <c r="D2750" s="26"/>
      <c r="E2750" s="27"/>
      <c r="F2750" s="27"/>
      <c r="G2750" s="31" t="str">
        <f aca="false">IF(F2750="","",IF(F2750&lt;=5,"A",IF(F2750&lt;=8,"B",IF(F2750&lt;=10,"C","D"))))</f>
        <v/>
      </c>
      <c r="H2750" s="28"/>
      <c r="I2750" s="27"/>
      <c r="J2750" s="26"/>
      <c r="K2750" s="27"/>
      <c r="L2750" s="27"/>
      <c r="M2750" s="27"/>
      <c r="N2750" s="27"/>
      <c r="O2750" s="31" t="str">
        <f aca="false">IF(G2750="","",VLOOKUP(G2750,Setup!$A$14:$C$17,3,0))</f>
        <v/>
      </c>
      <c r="P2750" s="27"/>
      <c r="Q2750" s="33" t="str">
        <f aca="false">IF(OR(P2750="",M2750&lt;&gt;"Paid",O2750=""),"",P2750/O2750)</f>
        <v/>
      </c>
      <c r="R2750" s="34" t="str">
        <f aca="false">IF(Q2750="","",Q2750+N(H2750)*0.000000001)</f>
        <v/>
      </c>
      <c r="S2750" s="32" t="str">
        <f aca="false">IF(R2750="","",SUMPRODUCT((I$5:I$4004=I2750)*ISNUMBER(R$5:R$4004)*(R$5:R$4004&gt;R2750))+1)</f>
        <v/>
      </c>
      <c r="T2750" s="32" t="str">
        <f aca="false">IF(S2750="","",IF(S2750&lt;=Setup!$B$5,"🏆 WINNER",""))</f>
        <v/>
      </c>
      <c r="U2750" s="31" t="str">
        <f aca="false">IF(S2750="","",I2750&amp;"|"&amp;S2750)</f>
        <v/>
      </c>
    </row>
    <row r="2751" customFormat="false" ht="15" hidden="false" customHeight="false" outlineLevel="0" collapsed="false">
      <c r="A2751" s="24" t="n">
        <v>2747</v>
      </c>
      <c r="B2751" s="25" t="str">
        <f aca="false">IF(OR(C2751="",I2751="",G2751=""),"",IFERROR(VLOOKUP(I2751,Setup!$A$9:$B$11,2,0),"???")&amp;"-"&amp;G2751&amp;"-"&amp;TEXT(COUNTIFS(I$5:I2751,I2751,G$5:G2751,G2751),"0000"))</f>
        <v/>
      </c>
      <c r="C2751" s="26"/>
      <c r="D2751" s="26"/>
      <c r="E2751" s="27"/>
      <c r="F2751" s="27"/>
      <c r="G2751" s="24" t="str">
        <f aca="false">IF(F2751="","",IF(F2751&lt;=5,"A",IF(F2751&lt;=8,"B",IF(F2751&lt;=10,"C","D"))))</f>
        <v/>
      </c>
      <c r="H2751" s="28"/>
      <c r="I2751" s="27"/>
      <c r="J2751" s="26"/>
      <c r="K2751" s="27"/>
      <c r="L2751" s="27"/>
      <c r="M2751" s="27"/>
      <c r="N2751" s="27"/>
      <c r="O2751" s="24" t="str">
        <f aca="false">IF(G2751="","",VLOOKUP(G2751,Setup!$A$14:$C$17,3,0))</f>
        <v/>
      </c>
      <c r="P2751" s="27"/>
      <c r="Q2751" s="29" t="str">
        <f aca="false">IF(OR(P2751="",M2751&lt;&gt;"Paid",O2751=""),"",P2751/O2751)</f>
        <v/>
      </c>
      <c r="R2751" s="30" t="str">
        <f aca="false">IF(Q2751="","",Q2751+N(H2751)*0.000000001)</f>
        <v/>
      </c>
      <c r="S2751" s="25" t="str">
        <f aca="false">IF(R2751="","",SUMPRODUCT((I$5:I$4004=I2751)*ISNUMBER(R$5:R$4004)*(R$5:R$4004&gt;R2751))+1)</f>
        <v/>
      </c>
      <c r="T2751" s="25" t="str">
        <f aca="false">IF(S2751="","",IF(S2751&lt;=Setup!$B$5,"🏆 WINNER",""))</f>
        <v/>
      </c>
      <c r="U2751" s="24" t="str">
        <f aca="false">IF(S2751="","",I2751&amp;"|"&amp;S2751)</f>
        <v/>
      </c>
    </row>
    <row r="2752" customFormat="false" ht="15" hidden="false" customHeight="false" outlineLevel="0" collapsed="false">
      <c r="A2752" s="31" t="n">
        <v>2748</v>
      </c>
      <c r="B2752" s="32" t="str">
        <f aca="false">IF(OR(C2752="",I2752="",G2752=""),"",IFERROR(VLOOKUP(I2752,Setup!$A$9:$B$11,2,0),"???")&amp;"-"&amp;G2752&amp;"-"&amp;TEXT(COUNTIFS(I$5:I2752,I2752,G$5:G2752,G2752),"0000"))</f>
        <v/>
      </c>
      <c r="C2752" s="26"/>
      <c r="D2752" s="26"/>
      <c r="E2752" s="27"/>
      <c r="F2752" s="27"/>
      <c r="G2752" s="31" t="str">
        <f aca="false">IF(F2752="","",IF(F2752&lt;=5,"A",IF(F2752&lt;=8,"B",IF(F2752&lt;=10,"C","D"))))</f>
        <v/>
      </c>
      <c r="H2752" s="28"/>
      <c r="I2752" s="27"/>
      <c r="J2752" s="26"/>
      <c r="K2752" s="27"/>
      <c r="L2752" s="27"/>
      <c r="M2752" s="27"/>
      <c r="N2752" s="27"/>
      <c r="O2752" s="31" t="str">
        <f aca="false">IF(G2752="","",VLOOKUP(G2752,Setup!$A$14:$C$17,3,0))</f>
        <v/>
      </c>
      <c r="P2752" s="27"/>
      <c r="Q2752" s="33" t="str">
        <f aca="false">IF(OR(P2752="",M2752&lt;&gt;"Paid",O2752=""),"",P2752/O2752)</f>
        <v/>
      </c>
      <c r="R2752" s="34" t="str">
        <f aca="false">IF(Q2752="","",Q2752+N(H2752)*0.000000001)</f>
        <v/>
      </c>
      <c r="S2752" s="32" t="str">
        <f aca="false">IF(R2752="","",SUMPRODUCT((I$5:I$4004=I2752)*ISNUMBER(R$5:R$4004)*(R$5:R$4004&gt;R2752))+1)</f>
        <v/>
      </c>
      <c r="T2752" s="32" t="str">
        <f aca="false">IF(S2752="","",IF(S2752&lt;=Setup!$B$5,"🏆 WINNER",""))</f>
        <v/>
      </c>
      <c r="U2752" s="31" t="str">
        <f aca="false">IF(S2752="","",I2752&amp;"|"&amp;S2752)</f>
        <v/>
      </c>
    </row>
    <row r="2753" customFormat="false" ht="15" hidden="false" customHeight="false" outlineLevel="0" collapsed="false">
      <c r="A2753" s="24" t="n">
        <v>2749</v>
      </c>
      <c r="B2753" s="25" t="str">
        <f aca="false">IF(OR(C2753="",I2753="",G2753=""),"",IFERROR(VLOOKUP(I2753,Setup!$A$9:$B$11,2,0),"???")&amp;"-"&amp;G2753&amp;"-"&amp;TEXT(COUNTIFS(I$5:I2753,I2753,G$5:G2753,G2753),"0000"))</f>
        <v/>
      </c>
      <c r="C2753" s="26"/>
      <c r="D2753" s="26"/>
      <c r="E2753" s="27"/>
      <c r="F2753" s="27"/>
      <c r="G2753" s="24" t="str">
        <f aca="false">IF(F2753="","",IF(F2753&lt;=5,"A",IF(F2753&lt;=8,"B",IF(F2753&lt;=10,"C","D"))))</f>
        <v/>
      </c>
      <c r="H2753" s="28"/>
      <c r="I2753" s="27"/>
      <c r="J2753" s="26"/>
      <c r="K2753" s="27"/>
      <c r="L2753" s="27"/>
      <c r="M2753" s="27"/>
      <c r="N2753" s="27"/>
      <c r="O2753" s="24" t="str">
        <f aca="false">IF(G2753="","",VLOOKUP(G2753,Setup!$A$14:$C$17,3,0))</f>
        <v/>
      </c>
      <c r="P2753" s="27"/>
      <c r="Q2753" s="29" t="str">
        <f aca="false">IF(OR(P2753="",M2753&lt;&gt;"Paid",O2753=""),"",P2753/O2753)</f>
        <v/>
      </c>
      <c r="R2753" s="30" t="str">
        <f aca="false">IF(Q2753="","",Q2753+N(H2753)*0.000000001)</f>
        <v/>
      </c>
      <c r="S2753" s="25" t="str">
        <f aca="false">IF(R2753="","",SUMPRODUCT((I$5:I$4004=I2753)*ISNUMBER(R$5:R$4004)*(R$5:R$4004&gt;R2753))+1)</f>
        <v/>
      </c>
      <c r="T2753" s="25" t="str">
        <f aca="false">IF(S2753="","",IF(S2753&lt;=Setup!$B$5,"🏆 WINNER",""))</f>
        <v/>
      </c>
      <c r="U2753" s="24" t="str">
        <f aca="false">IF(S2753="","",I2753&amp;"|"&amp;S2753)</f>
        <v/>
      </c>
    </row>
    <row r="2754" customFormat="false" ht="15" hidden="false" customHeight="false" outlineLevel="0" collapsed="false">
      <c r="A2754" s="31" t="n">
        <v>2750</v>
      </c>
      <c r="B2754" s="32" t="str">
        <f aca="false">IF(OR(C2754="",I2754="",G2754=""),"",IFERROR(VLOOKUP(I2754,Setup!$A$9:$B$11,2,0),"???")&amp;"-"&amp;G2754&amp;"-"&amp;TEXT(COUNTIFS(I$5:I2754,I2754,G$5:G2754,G2754),"0000"))</f>
        <v/>
      </c>
      <c r="C2754" s="26"/>
      <c r="D2754" s="26"/>
      <c r="E2754" s="27"/>
      <c r="F2754" s="27"/>
      <c r="G2754" s="31" t="str">
        <f aca="false">IF(F2754="","",IF(F2754&lt;=5,"A",IF(F2754&lt;=8,"B",IF(F2754&lt;=10,"C","D"))))</f>
        <v/>
      </c>
      <c r="H2754" s="28"/>
      <c r="I2754" s="27"/>
      <c r="J2754" s="26"/>
      <c r="K2754" s="27"/>
      <c r="L2754" s="27"/>
      <c r="M2754" s="27"/>
      <c r="N2754" s="27"/>
      <c r="O2754" s="31" t="str">
        <f aca="false">IF(G2754="","",VLOOKUP(G2754,Setup!$A$14:$C$17,3,0))</f>
        <v/>
      </c>
      <c r="P2754" s="27"/>
      <c r="Q2754" s="33" t="str">
        <f aca="false">IF(OR(P2754="",M2754&lt;&gt;"Paid",O2754=""),"",P2754/O2754)</f>
        <v/>
      </c>
      <c r="R2754" s="34" t="str">
        <f aca="false">IF(Q2754="","",Q2754+N(H2754)*0.000000001)</f>
        <v/>
      </c>
      <c r="S2754" s="32" t="str">
        <f aca="false">IF(R2754="","",SUMPRODUCT((I$5:I$4004=I2754)*ISNUMBER(R$5:R$4004)*(R$5:R$4004&gt;R2754))+1)</f>
        <v/>
      </c>
      <c r="T2754" s="32" t="str">
        <f aca="false">IF(S2754="","",IF(S2754&lt;=Setup!$B$5,"🏆 WINNER",""))</f>
        <v/>
      </c>
      <c r="U2754" s="31" t="str">
        <f aca="false">IF(S2754="","",I2754&amp;"|"&amp;S2754)</f>
        <v/>
      </c>
    </row>
    <row r="2755" customFormat="false" ht="15" hidden="false" customHeight="false" outlineLevel="0" collapsed="false">
      <c r="A2755" s="24" t="n">
        <v>2751</v>
      </c>
      <c r="B2755" s="25" t="str">
        <f aca="false">IF(OR(C2755="",I2755="",G2755=""),"",IFERROR(VLOOKUP(I2755,Setup!$A$9:$B$11,2,0),"???")&amp;"-"&amp;G2755&amp;"-"&amp;TEXT(COUNTIFS(I$5:I2755,I2755,G$5:G2755,G2755),"0000"))</f>
        <v/>
      </c>
      <c r="C2755" s="26"/>
      <c r="D2755" s="26"/>
      <c r="E2755" s="27"/>
      <c r="F2755" s="27"/>
      <c r="G2755" s="24" t="str">
        <f aca="false">IF(F2755="","",IF(F2755&lt;=5,"A",IF(F2755&lt;=8,"B",IF(F2755&lt;=10,"C","D"))))</f>
        <v/>
      </c>
      <c r="H2755" s="28"/>
      <c r="I2755" s="27"/>
      <c r="J2755" s="26"/>
      <c r="K2755" s="27"/>
      <c r="L2755" s="27"/>
      <c r="M2755" s="27"/>
      <c r="N2755" s="27"/>
      <c r="O2755" s="24" t="str">
        <f aca="false">IF(G2755="","",VLOOKUP(G2755,Setup!$A$14:$C$17,3,0))</f>
        <v/>
      </c>
      <c r="P2755" s="27"/>
      <c r="Q2755" s="29" t="str">
        <f aca="false">IF(OR(P2755="",M2755&lt;&gt;"Paid",O2755=""),"",P2755/O2755)</f>
        <v/>
      </c>
      <c r="R2755" s="30" t="str">
        <f aca="false">IF(Q2755="","",Q2755+N(H2755)*0.000000001)</f>
        <v/>
      </c>
      <c r="S2755" s="25" t="str">
        <f aca="false">IF(R2755="","",SUMPRODUCT((I$5:I$4004=I2755)*ISNUMBER(R$5:R$4004)*(R$5:R$4004&gt;R2755))+1)</f>
        <v/>
      </c>
      <c r="T2755" s="25" t="str">
        <f aca="false">IF(S2755="","",IF(S2755&lt;=Setup!$B$5,"🏆 WINNER",""))</f>
        <v/>
      </c>
      <c r="U2755" s="24" t="str">
        <f aca="false">IF(S2755="","",I2755&amp;"|"&amp;S2755)</f>
        <v/>
      </c>
    </row>
    <row r="2756" customFormat="false" ht="15" hidden="false" customHeight="false" outlineLevel="0" collapsed="false">
      <c r="A2756" s="31" t="n">
        <v>2752</v>
      </c>
      <c r="B2756" s="32" t="str">
        <f aca="false">IF(OR(C2756="",I2756="",G2756=""),"",IFERROR(VLOOKUP(I2756,Setup!$A$9:$B$11,2,0),"???")&amp;"-"&amp;G2756&amp;"-"&amp;TEXT(COUNTIFS(I$5:I2756,I2756,G$5:G2756,G2756),"0000"))</f>
        <v/>
      </c>
      <c r="C2756" s="26"/>
      <c r="D2756" s="26"/>
      <c r="E2756" s="27"/>
      <c r="F2756" s="27"/>
      <c r="G2756" s="31" t="str">
        <f aca="false">IF(F2756="","",IF(F2756&lt;=5,"A",IF(F2756&lt;=8,"B",IF(F2756&lt;=10,"C","D"))))</f>
        <v/>
      </c>
      <c r="H2756" s="28"/>
      <c r="I2756" s="27"/>
      <c r="J2756" s="26"/>
      <c r="K2756" s="27"/>
      <c r="L2756" s="27"/>
      <c r="M2756" s="27"/>
      <c r="N2756" s="27"/>
      <c r="O2756" s="31" t="str">
        <f aca="false">IF(G2756="","",VLOOKUP(G2756,Setup!$A$14:$C$17,3,0))</f>
        <v/>
      </c>
      <c r="P2756" s="27"/>
      <c r="Q2756" s="33" t="str">
        <f aca="false">IF(OR(P2756="",M2756&lt;&gt;"Paid",O2756=""),"",P2756/O2756)</f>
        <v/>
      </c>
      <c r="R2756" s="34" t="str">
        <f aca="false">IF(Q2756="","",Q2756+N(H2756)*0.000000001)</f>
        <v/>
      </c>
      <c r="S2756" s="32" t="str">
        <f aca="false">IF(R2756="","",SUMPRODUCT((I$5:I$4004=I2756)*ISNUMBER(R$5:R$4004)*(R$5:R$4004&gt;R2756))+1)</f>
        <v/>
      </c>
      <c r="T2756" s="32" t="str">
        <f aca="false">IF(S2756="","",IF(S2756&lt;=Setup!$B$5,"🏆 WINNER",""))</f>
        <v/>
      </c>
      <c r="U2756" s="31" t="str">
        <f aca="false">IF(S2756="","",I2756&amp;"|"&amp;S2756)</f>
        <v/>
      </c>
    </row>
    <row r="2757" customFormat="false" ht="15" hidden="false" customHeight="false" outlineLevel="0" collapsed="false">
      <c r="A2757" s="24" t="n">
        <v>2753</v>
      </c>
      <c r="B2757" s="25" t="str">
        <f aca="false">IF(OR(C2757="",I2757="",G2757=""),"",IFERROR(VLOOKUP(I2757,Setup!$A$9:$B$11,2,0),"???")&amp;"-"&amp;G2757&amp;"-"&amp;TEXT(COUNTIFS(I$5:I2757,I2757,G$5:G2757,G2757),"0000"))</f>
        <v/>
      </c>
      <c r="C2757" s="26"/>
      <c r="D2757" s="26"/>
      <c r="E2757" s="27"/>
      <c r="F2757" s="27"/>
      <c r="G2757" s="24" t="str">
        <f aca="false">IF(F2757="","",IF(F2757&lt;=5,"A",IF(F2757&lt;=8,"B",IF(F2757&lt;=10,"C","D"))))</f>
        <v/>
      </c>
      <c r="H2757" s="28"/>
      <c r="I2757" s="27"/>
      <c r="J2757" s="26"/>
      <c r="K2757" s="27"/>
      <c r="L2757" s="27"/>
      <c r="M2757" s="27"/>
      <c r="N2757" s="27"/>
      <c r="O2757" s="24" t="str">
        <f aca="false">IF(G2757="","",VLOOKUP(G2757,Setup!$A$14:$C$17,3,0))</f>
        <v/>
      </c>
      <c r="P2757" s="27"/>
      <c r="Q2757" s="29" t="str">
        <f aca="false">IF(OR(P2757="",M2757&lt;&gt;"Paid",O2757=""),"",P2757/O2757)</f>
        <v/>
      </c>
      <c r="R2757" s="30" t="str">
        <f aca="false">IF(Q2757="","",Q2757+N(H2757)*0.000000001)</f>
        <v/>
      </c>
      <c r="S2757" s="25" t="str">
        <f aca="false">IF(R2757="","",SUMPRODUCT((I$5:I$4004=I2757)*ISNUMBER(R$5:R$4004)*(R$5:R$4004&gt;R2757))+1)</f>
        <v/>
      </c>
      <c r="T2757" s="25" t="str">
        <f aca="false">IF(S2757="","",IF(S2757&lt;=Setup!$B$5,"🏆 WINNER",""))</f>
        <v/>
      </c>
      <c r="U2757" s="24" t="str">
        <f aca="false">IF(S2757="","",I2757&amp;"|"&amp;S2757)</f>
        <v/>
      </c>
    </row>
    <row r="2758" customFormat="false" ht="15" hidden="false" customHeight="false" outlineLevel="0" collapsed="false">
      <c r="A2758" s="31" t="n">
        <v>2754</v>
      </c>
      <c r="B2758" s="32" t="str">
        <f aca="false">IF(OR(C2758="",I2758="",G2758=""),"",IFERROR(VLOOKUP(I2758,Setup!$A$9:$B$11,2,0),"???")&amp;"-"&amp;G2758&amp;"-"&amp;TEXT(COUNTIFS(I$5:I2758,I2758,G$5:G2758,G2758),"0000"))</f>
        <v/>
      </c>
      <c r="C2758" s="26"/>
      <c r="D2758" s="26"/>
      <c r="E2758" s="27"/>
      <c r="F2758" s="27"/>
      <c r="G2758" s="31" t="str">
        <f aca="false">IF(F2758="","",IF(F2758&lt;=5,"A",IF(F2758&lt;=8,"B",IF(F2758&lt;=10,"C","D"))))</f>
        <v/>
      </c>
      <c r="H2758" s="28"/>
      <c r="I2758" s="27"/>
      <c r="J2758" s="26"/>
      <c r="K2758" s="27"/>
      <c r="L2758" s="27"/>
      <c r="M2758" s="27"/>
      <c r="N2758" s="27"/>
      <c r="O2758" s="31" t="str">
        <f aca="false">IF(G2758="","",VLOOKUP(G2758,Setup!$A$14:$C$17,3,0))</f>
        <v/>
      </c>
      <c r="P2758" s="27"/>
      <c r="Q2758" s="33" t="str">
        <f aca="false">IF(OR(P2758="",M2758&lt;&gt;"Paid",O2758=""),"",P2758/O2758)</f>
        <v/>
      </c>
      <c r="R2758" s="34" t="str">
        <f aca="false">IF(Q2758="","",Q2758+N(H2758)*0.000000001)</f>
        <v/>
      </c>
      <c r="S2758" s="32" t="str">
        <f aca="false">IF(R2758="","",SUMPRODUCT((I$5:I$4004=I2758)*ISNUMBER(R$5:R$4004)*(R$5:R$4004&gt;R2758))+1)</f>
        <v/>
      </c>
      <c r="T2758" s="32" t="str">
        <f aca="false">IF(S2758="","",IF(S2758&lt;=Setup!$B$5,"🏆 WINNER",""))</f>
        <v/>
      </c>
      <c r="U2758" s="31" t="str">
        <f aca="false">IF(S2758="","",I2758&amp;"|"&amp;S2758)</f>
        <v/>
      </c>
    </row>
    <row r="2759" customFormat="false" ht="15" hidden="false" customHeight="false" outlineLevel="0" collapsed="false">
      <c r="A2759" s="24" t="n">
        <v>2755</v>
      </c>
      <c r="B2759" s="25" t="str">
        <f aca="false">IF(OR(C2759="",I2759="",G2759=""),"",IFERROR(VLOOKUP(I2759,Setup!$A$9:$B$11,2,0),"???")&amp;"-"&amp;G2759&amp;"-"&amp;TEXT(COUNTIFS(I$5:I2759,I2759,G$5:G2759,G2759),"0000"))</f>
        <v/>
      </c>
      <c r="C2759" s="26"/>
      <c r="D2759" s="26"/>
      <c r="E2759" s="27"/>
      <c r="F2759" s="27"/>
      <c r="G2759" s="24" t="str">
        <f aca="false">IF(F2759="","",IF(F2759&lt;=5,"A",IF(F2759&lt;=8,"B",IF(F2759&lt;=10,"C","D"))))</f>
        <v/>
      </c>
      <c r="H2759" s="28"/>
      <c r="I2759" s="27"/>
      <c r="J2759" s="26"/>
      <c r="K2759" s="27"/>
      <c r="L2759" s="27"/>
      <c r="M2759" s="27"/>
      <c r="N2759" s="27"/>
      <c r="O2759" s="24" t="str">
        <f aca="false">IF(G2759="","",VLOOKUP(G2759,Setup!$A$14:$C$17,3,0))</f>
        <v/>
      </c>
      <c r="P2759" s="27"/>
      <c r="Q2759" s="29" t="str">
        <f aca="false">IF(OR(P2759="",M2759&lt;&gt;"Paid",O2759=""),"",P2759/O2759)</f>
        <v/>
      </c>
      <c r="R2759" s="30" t="str">
        <f aca="false">IF(Q2759="","",Q2759+N(H2759)*0.000000001)</f>
        <v/>
      </c>
      <c r="S2759" s="25" t="str">
        <f aca="false">IF(R2759="","",SUMPRODUCT((I$5:I$4004=I2759)*ISNUMBER(R$5:R$4004)*(R$5:R$4004&gt;R2759))+1)</f>
        <v/>
      </c>
      <c r="T2759" s="25" t="str">
        <f aca="false">IF(S2759="","",IF(S2759&lt;=Setup!$B$5,"🏆 WINNER",""))</f>
        <v/>
      </c>
      <c r="U2759" s="24" t="str">
        <f aca="false">IF(S2759="","",I2759&amp;"|"&amp;S2759)</f>
        <v/>
      </c>
    </row>
    <row r="2760" customFormat="false" ht="15" hidden="false" customHeight="false" outlineLevel="0" collapsed="false">
      <c r="A2760" s="31" t="n">
        <v>2756</v>
      </c>
      <c r="B2760" s="32" t="str">
        <f aca="false">IF(OR(C2760="",I2760="",G2760=""),"",IFERROR(VLOOKUP(I2760,Setup!$A$9:$B$11,2,0),"???")&amp;"-"&amp;G2760&amp;"-"&amp;TEXT(COUNTIFS(I$5:I2760,I2760,G$5:G2760,G2760),"0000"))</f>
        <v/>
      </c>
      <c r="C2760" s="26"/>
      <c r="D2760" s="26"/>
      <c r="E2760" s="27"/>
      <c r="F2760" s="27"/>
      <c r="G2760" s="31" t="str">
        <f aca="false">IF(F2760="","",IF(F2760&lt;=5,"A",IF(F2760&lt;=8,"B",IF(F2760&lt;=10,"C","D"))))</f>
        <v/>
      </c>
      <c r="H2760" s="28"/>
      <c r="I2760" s="27"/>
      <c r="J2760" s="26"/>
      <c r="K2760" s="27"/>
      <c r="L2760" s="27"/>
      <c r="M2760" s="27"/>
      <c r="N2760" s="27"/>
      <c r="O2760" s="31" t="str">
        <f aca="false">IF(G2760="","",VLOOKUP(G2760,Setup!$A$14:$C$17,3,0))</f>
        <v/>
      </c>
      <c r="P2760" s="27"/>
      <c r="Q2760" s="33" t="str">
        <f aca="false">IF(OR(P2760="",M2760&lt;&gt;"Paid",O2760=""),"",P2760/O2760)</f>
        <v/>
      </c>
      <c r="R2760" s="34" t="str">
        <f aca="false">IF(Q2760="","",Q2760+N(H2760)*0.000000001)</f>
        <v/>
      </c>
      <c r="S2760" s="32" t="str">
        <f aca="false">IF(R2760="","",SUMPRODUCT((I$5:I$4004=I2760)*ISNUMBER(R$5:R$4004)*(R$5:R$4004&gt;R2760))+1)</f>
        <v/>
      </c>
      <c r="T2760" s="32" t="str">
        <f aca="false">IF(S2760="","",IF(S2760&lt;=Setup!$B$5,"🏆 WINNER",""))</f>
        <v/>
      </c>
      <c r="U2760" s="31" t="str">
        <f aca="false">IF(S2760="","",I2760&amp;"|"&amp;S2760)</f>
        <v/>
      </c>
    </row>
    <row r="2761" customFormat="false" ht="15" hidden="false" customHeight="false" outlineLevel="0" collapsed="false">
      <c r="A2761" s="24" t="n">
        <v>2757</v>
      </c>
      <c r="B2761" s="25" t="str">
        <f aca="false">IF(OR(C2761="",I2761="",G2761=""),"",IFERROR(VLOOKUP(I2761,Setup!$A$9:$B$11,2,0),"???")&amp;"-"&amp;G2761&amp;"-"&amp;TEXT(COUNTIFS(I$5:I2761,I2761,G$5:G2761,G2761),"0000"))</f>
        <v/>
      </c>
      <c r="C2761" s="26"/>
      <c r="D2761" s="26"/>
      <c r="E2761" s="27"/>
      <c r="F2761" s="27"/>
      <c r="G2761" s="24" t="str">
        <f aca="false">IF(F2761="","",IF(F2761&lt;=5,"A",IF(F2761&lt;=8,"B",IF(F2761&lt;=10,"C","D"))))</f>
        <v/>
      </c>
      <c r="H2761" s="28"/>
      <c r="I2761" s="27"/>
      <c r="J2761" s="26"/>
      <c r="K2761" s="27"/>
      <c r="L2761" s="27"/>
      <c r="M2761" s="27"/>
      <c r="N2761" s="27"/>
      <c r="O2761" s="24" t="str">
        <f aca="false">IF(G2761="","",VLOOKUP(G2761,Setup!$A$14:$C$17,3,0))</f>
        <v/>
      </c>
      <c r="P2761" s="27"/>
      <c r="Q2761" s="29" t="str">
        <f aca="false">IF(OR(P2761="",M2761&lt;&gt;"Paid",O2761=""),"",P2761/O2761)</f>
        <v/>
      </c>
      <c r="R2761" s="30" t="str">
        <f aca="false">IF(Q2761="","",Q2761+N(H2761)*0.000000001)</f>
        <v/>
      </c>
      <c r="S2761" s="25" t="str">
        <f aca="false">IF(R2761="","",SUMPRODUCT((I$5:I$4004=I2761)*ISNUMBER(R$5:R$4004)*(R$5:R$4004&gt;R2761))+1)</f>
        <v/>
      </c>
      <c r="T2761" s="25" t="str">
        <f aca="false">IF(S2761="","",IF(S2761&lt;=Setup!$B$5,"🏆 WINNER",""))</f>
        <v/>
      </c>
      <c r="U2761" s="24" t="str">
        <f aca="false">IF(S2761="","",I2761&amp;"|"&amp;S2761)</f>
        <v/>
      </c>
    </row>
    <row r="2762" customFormat="false" ht="15" hidden="false" customHeight="false" outlineLevel="0" collapsed="false">
      <c r="A2762" s="31" t="n">
        <v>2758</v>
      </c>
      <c r="B2762" s="32" t="str">
        <f aca="false">IF(OR(C2762="",I2762="",G2762=""),"",IFERROR(VLOOKUP(I2762,Setup!$A$9:$B$11,2,0),"???")&amp;"-"&amp;G2762&amp;"-"&amp;TEXT(COUNTIFS(I$5:I2762,I2762,G$5:G2762,G2762),"0000"))</f>
        <v/>
      </c>
      <c r="C2762" s="26"/>
      <c r="D2762" s="26"/>
      <c r="E2762" s="27"/>
      <c r="F2762" s="27"/>
      <c r="G2762" s="31" t="str">
        <f aca="false">IF(F2762="","",IF(F2762&lt;=5,"A",IF(F2762&lt;=8,"B",IF(F2762&lt;=10,"C","D"))))</f>
        <v/>
      </c>
      <c r="H2762" s="28"/>
      <c r="I2762" s="27"/>
      <c r="J2762" s="26"/>
      <c r="K2762" s="27"/>
      <c r="L2762" s="27"/>
      <c r="M2762" s="27"/>
      <c r="N2762" s="27"/>
      <c r="O2762" s="31" t="str">
        <f aca="false">IF(G2762="","",VLOOKUP(G2762,Setup!$A$14:$C$17,3,0))</f>
        <v/>
      </c>
      <c r="P2762" s="27"/>
      <c r="Q2762" s="33" t="str">
        <f aca="false">IF(OR(P2762="",M2762&lt;&gt;"Paid",O2762=""),"",P2762/O2762)</f>
        <v/>
      </c>
      <c r="R2762" s="34" t="str">
        <f aca="false">IF(Q2762="","",Q2762+N(H2762)*0.000000001)</f>
        <v/>
      </c>
      <c r="S2762" s="32" t="str">
        <f aca="false">IF(R2762="","",SUMPRODUCT((I$5:I$4004=I2762)*ISNUMBER(R$5:R$4004)*(R$5:R$4004&gt;R2762))+1)</f>
        <v/>
      </c>
      <c r="T2762" s="32" t="str">
        <f aca="false">IF(S2762="","",IF(S2762&lt;=Setup!$B$5,"🏆 WINNER",""))</f>
        <v/>
      </c>
      <c r="U2762" s="31" t="str">
        <f aca="false">IF(S2762="","",I2762&amp;"|"&amp;S2762)</f>
        <v/>
      </c>
    </row>
    <row r="2763" customFormat="false" ht="15" hidden="false" customHeight="false" outlineLevel="0" collapsed="false">
      <c r="A2763" s="24" t="n">
        <v>2759</v>
      </c>
      <c r="B2763" s="25" t="str">
        <f aca="false">IF(OR(C2763="",I2763="",G2763=""),"",IFERROR(VLOOKUP(I2763,Setup!$A$9:$B$11,2,0),"???")&amp;"-"&amp;G2763&amp;"-"&amp;TEXT(COUNTIFS(I$5:I2763,I2763,G$5:G2763,G2763),"0000"))</f>
        <v/>
      </c>
      <c r="C2763" s="26"/>
      <c r="D2763" s="26"/>
      <c r="E2763" s="27"/>
      <c r="F2763" s="27"/>
      <c r="G2763" s="24" t="str">
        <f aca="false">IF(F2763="","",IF(F2763&lt;=5,"A",IF(F2763&lt;=8,"B",IF(F2763&lt;=10,"C","D"))))</f>
        <v/>
      </c>
      <c r="H2763" s="28"/>
      <c r="I2763" s="27"/>
      <c r="J2763" s="26"/>
      <c r="K2763" s="27"/>
      <c r="L2763" s="27"/>
      <c r="M2763" s="27"/>
      <c r="N2763" s="27"/>
      <c r="O2763" s="24" t="str">
        <f aca="false">IF(G2763="","",VLOOKUP(G2763,Setup!$A$14:$C$17,3,0))</f>
        <v/>
      </c>
      <c r="P2763" s="27"/>
      <c r="Q2763" s="29" t="str">
        <f aca="false">IF(OR(P2763="",M2763&lt;&gt;"Paid",O2763=""),"",P2763/O2763)</f>
        <v/>
      </c>
      <c r="R2763" s="30" t="str">
        <f aca="false">IF(Q2763="","",Q2763+N(H2763)*0.000000001)</f>
        <v/>
      </c>
      <c r="S2763" s="25" t="str">
        <f aca="false">IF(R2763="","",SUMPRODUCT((I$5:I$4004=I2763)*ISNUMBER(R$5:R$4004)*(R$5:R$4004&gt;R2763))+1)</f>
        <v/>
      </c>
      <c r="T2763" s="25" t="str">
        <f aca="false">IF(S2763="","",IF(S2763&lt;=Setup!$B$5,"🏆 WINNER",""))</f>
        <v/>
      </c>
      <c r="U2763" s="24" t="str">
        <f aca="false">IF(S2763="","",I2763&amp;"|"&amp;S2763)</f>
        <v/>
      </c>
    </row>
    <row r="2764" customFormat="false" ht="15" hidden="false" customHeight="false" outlineLevel="0" collapsed="false">
      <c r="A2764" s="31" t="n">
        <v>2760</v>
      </c>
      <c r="B2764" s="32" t="str">
        <f aca="false">IF(OR(C2764="",I2764="",G2764=""),"",IFERROR(VLOOKUP(I2764,Setup!$A$9:$B$11,2,0),"???")&amp;"-"&amp;G2764&amp;"-"&amp;TEXT(COUNTIFS(I$5:I2764,I2764,G$5:G2764,G2764),"0000"))</f>
        <v/>
      </c>
      <c r="C2764" s="26"/>
      <c r="D2764" s="26"/>
      <c r="E2764" s="27"/>
      <c r="F2764" s="27"/>
      <c r="G2764" s="31" t="str">
        <f aca="false">IF(F2764="","",IF(F2764&lt;=5,"A",IF(F2764&lt;=8,"B",IF(F2764&lt;=10,"C","D"))))</f>
        <v/>
      </c>
      <c r="H2764" s="28"/>
      <c r="I2764" s="27"/>
      <c r="J2764" s="26"/>
      <c r="K2764" s="27"/>
      <c r="L2764" s="27"/>
      <c r="M2764" s="27"/>
      <c r="N2764" s="27"/>
      <c r="O2764" s="31" t="str">
        <f aca="false">IF(G2764="","",VLOOKUP(G2764,Setup!$A$14:$C$17,3,0))</f>
        <v/>
      </c>
      <c r="P2764" s="27"/>
      <c r="Q2764" s="33" t="str">
        <f aca="false">IF(OR(P2764="",M2764&lt;&gt;"Paid",O2764=""),"",P2764/O2764)</f>
        <v/>
      </c>
      <c r="R2764" s="34" t="str">
        <f aca="false">IF(Q2764="","",Q2764+N(H2764)*0.000000001)</f>
        <v/>
      </c>
      <c r="S2764" s="32" t="str">
        <f aca="false">IF(R2764="","",SUMPRODUCT((I$5:I$4004=I2764)*ISNUMBER(R$5:R$4004)*(R$5:R$4004&gt;R2764))+1)</f>
        <v/>
      </c>
      <c r="T2764" s="32" t="str">
        <f aca="false">IF(S2764="","",IF(S2764&lt;=Setup!$B$5,"🏆 WINNER",""))</f>
        <v/>
      </c>
      <c r="U2764" s="31" t="str">
        <f aca="false">IF(S2764="","",I2764&amp;"|"&amp;S2764)</f>
        <v/>
      </c>
    </row>
    <row r="2765" customFormat="false" ht="15" hidden="false" customHeight="false" outlineLevel="0" collapsed="false">
      <c r="A2765" s="24" t="n">
        <v>2761</v>
      </c>
      <c r="B2765" s="25" t="str">
        <f aca="false">IF(OR(C2765="",I2765="",G2765=""),"",IFERROR(VLOOKUP(I2765,Setup!$A$9:$B$11,2,0),"???")&amp;"-"&amp;G2765&amp;"-"&amp;TEXT(COUNTIFS(I$5:I2765,I2765,G$5:G2765,G2765),"0000"))</f>
        <v/>
      </c>
      <c r="C2765" s="26"/>
      <c r="D2765" s="26"/>
      <c r="E2765" s="27"/>
      <c r="F2765" s="27"/>
      <c r="G2765" s="24" t="str">
        <f aca="false">IF(F2765="","",IF(F2765&lt;=5,"A",IF(F2765&lt;=8,"B",IF(F2765&lt;=10,"C","D"))))</f>
        <v/>
      </c>
      <c r="H2765" s="28"/>
      <c r="I2765" s="27"/>
      <c r="J2765" s="26"/>
      <c r="K2765" s="27"/>
      <c r="L2765" s="27"/>
      <c r="M2765" s="27"/>
      <c r="N2765" s="27"/>
      <c r="O2765" s="24" t="str">
        <f aca="false">IF(G2765="","",VLOOKUP(G2765,Setup!$A$14:$C$17,3,0))</f>
        <v/>
      </c>
      <c r="P2765" s="27"/>
      <c r="Q2765" s="29" t="str">
        <f aca="false">IF(OR(P2765="",M2765&lt;&gt;"Paid",O2765=""),"",P2765/O2765)</f>
        <v/>
      </c>
      <c r="R2765" s="30" t="str">
        <f aca="false">IF(Q2765="","",Q2765+N(H2765)*0.000000001)</f>
        <v/>
      </c>
      <c r="S2765" s="25" t="str">
        <f aca="false">IF(R2765="","",SUMPRODUCT((I$5:I$4004=I2765)*ISNUMBER(R$5:R$4004)*(R$5:R$4004&gt;R2765))+1)</f>
        <v/>
      </c>
      <c r="T2765" s="25" t="str">
        <f aca="false">IF(S2765="","",IF(S2765&lt;=Setup!$B$5,"🏆 WINNER",""))</f>
        <v/>
      </c>
      <c r="U2765" s="24" t="str">
        <f aca="false">IF(S2765="","",I2765&amp;"|"&amp;S2765)</f>
        <v/>
      </c>
    </row>
    <row r="2766" customFormat="false" ht="15" hidden="false" customHeight="false" outlineLevel="0" collapsed="false">
      <c r="A2766" s="31" t="n">
        <v>2762</v>
      </c>
      <c r="B2766" s="32" t="str">
        <f aca="false">IF(OR(C2766="",I2766="",G2766=""),"",IFERROR(VLOOKUP(I2766,Setup!$A$9:$B$11,2,0),"???")&amp;"-"&amp;G2766&amp;"-"&amp;TEXT(COUNTIFS(I$5:I2766,I2766,G$5:G2766,G2766),"0000"))</f>
        <v/>
      </c>
      <c r="C2766" s="26"/>
      <c r="D2766" s="26"/>
      <c r="E2766" s="27"/>
      <c r="F2766" s="27"/>
      <c r="G2766" s="31" t="str">
        <f aca="false">IF(F2766="","",IF(F2766&lt;=5,"A",IF(F2766&lt;=8,"B",IF(F2766&lt;=10,"C","D"))))</f>
        <v/>
      </c>
      <c r="H2766" s="28"/>
      <c r="I2766" s="27"/>
      <c r="J2766" s="26"/>
      <c r="K2766" s="27"/>
      <c r="L2766" s="27"/>
      <c r="M2766" s="27"/>
      <c r="N2766" s="27"/>
      <c r="O2766" s="31" t="str">
        <f aca="false">IF(G2766="","",VLOOKUP(G2766,Setup!$A$14:$C$17,3,0))</f>
        <v/>
      </c>
      <c r="P2766" s="27"/>
      <c r="Q2766" s="33" t="str">
        <f aca="false">IF(OR(P2766="",M2766&lt;&gt;"Paid",O2766=""),"",P2766/O2766)</f>
        <v/>
      </c>
      <c r="R2766" s="34" t="str">
        <f aca="false">IF(Q2766="","",Q2766+N(H2766)*0.000000001)</f>
        <v/>
      </c>
      <c r="S2766" s="32" t="str">
        <f aca="false">IF(R2766="","",SUMPRODUCT((I$5:I$4004=I2766)*ISNUMBER(R$5:R$4004)*(R$5:R$4004&gt;R2766))+1)</f>
        <v/>
      </c>
      <c r="T2766" s="32" t="str">
        <f aca="false">IF(S2766="","",IF(S2766&lt;=Setup!$B$5,"🏆 WINNER",""))</f>
        <v/>
      </c>
      <c r="U2766" s="31" t="str">
        <f aca="false">IF(S2766="","",I2766&amp;"|"&amp;S2766)</f>
        <v/>
      </c>
    </row>
    <row r="2767" customFormat="false" ht="15" hidden="false" customHeight="false" outlineLevel="0" collapsed="false">
      <c r="A2767" s="24" t="n">
        <v>2763</v>
      </c>
      <c r="B2767" s="25" t="str">
        <f aca="false">IF(OR(C2767="",I2767="",G2767=""),"",IFERROR(VLOOKUP(I2767,Setup!$A$9:$B$11,2,0),"???")&amp;"-"&amp;G2767&amp;"-"&amp;TEXT(COUNTIFS(I$5:I2767,I2767,G$5:G2767,G2767),"0000"))</f>
        <v/>
      </c>
      <c r="C2767" s="26"/>
      <c r="D2767" s="26"/>
      <c r="E2767" s="27"/>
      <c r="F2767" s="27"/>
      <c r="G2767" s="24" t="str">
        <f aca="false">IF(F2767="","",IF(F2767&lt;=5,"A",IF(F2767&lt;=8,"B",IF(F2767&lt;=10,"C","D"))))</f>
        <v/>
      </c>
      <c r="H2767" s="28"/>
      <c r="I2767" s="27"/>
      <c r="J2767" s="26"/>
      <c r="K2767" s="27"/>
      <c r="L2767" s="27"/>
      <c r="M2767" s="27"/>
      <c r="N2767" s="27"/>
      <c r="O2767" s="24" t="str">
        <f aca="false">IF(G2767="","",VLOOKUP(G2767,Setup!$A$14:$C$17,3,0))</f>
        <v/>
      </c>
      <c r="P2767" s="27"/>
      <c r="Q2767" s="29" t="str">
        <f aca="false">IF(OR(P2767="",M2767&lt;&gt;"Paid",O2767=""),"",P2767/O2767)</f>
        <v/>
      </c>
      <c r="R2767" s="30" t="str">
        <f aca="false">IF(Q2767="","",Q2767+N(H2767)*0.000000001)</f>
        <v/>
      </c>
      <c r="S2767" s="25" t="str">
        <f aca="false">IF(R2767="","",SUMPRODUCT((I$5:I$4004=I2767)*ISNUMBER(R$5:R$4004)*(R$5:R$4004&gt;R2767))+1)</f>
        <v/>
      </c>
      <c r="T2767" s="25" t="str">
        <f aca="false">IF(S2767="","",IF(S2767&lt;=Setup!$B$5,"🏆 WINNER",""))</f>
        <v/>
      </c>
      <c r="U2767" s="24" t="str">
        <f aca="false">IF(S2767="","",I2767&amp;"|"&amp;S2767)</f>
        <v/>
      </c>
    </row>
    <row r="2768" customFormat="false" ht="15" hidden="false" customHeight="false" outlineLevel="0" collapsed="false">
      <c r="A2768" s="31" t="n">
        <v>2764</v>
      </c>
      <c r="B2768" s="32" t="str">
        <f aca="false">IF(OR(C2768="",I2768="",G2768=""),"",IFERROR(VLOOKUP(I2768,Setup!$A$9:$B$11,2,0),"???")&amp;"-"&amp;G2768&amp;"-"&amp;TEXT(COUNTIFS(I$5:I2768,I2768,G$5:G2768,G2768),"0000"))</f>
        <v/>
      </c>
      <c r="C2768" s="26"/>
      <c r="D2768" s="26"/>
      <c r="E2768" s="27"/>
      <c r="F2768" s="27"/>
      <c r="G2768" s="31" t="str">
        <f aca="false">IF(F2768="","",IF(F2768&lt;=5,"A",IF(F2768&lt;=8,"B",IF(F2768&lt;=10,"C","D"))))</f>
        <v/>
      </c>
      <c r="H2768" s="28"/>
      <c r="I2768" s="27"/>
      <c r="J2768" s="26"/>
      <c r="K2768" s="27"/>
      <c r="L2768" s="27"/>
      <c r="M2768" s="27"/>
      <c r="N2768" s="27"/>
      <c r="O2768" s="31" t="str">
        <f aca="false">IF(G2768="","",VLOOKUP(G2768,Setup!$A$14:$C$17,3,0))</f>
        <v/>
      </c>
      <c r="P2768" s="27"/>
      <c r="Q2768" s="33" t="str">
        <f aca="false">IF(OR(P2768="",M2768&lt;&gt;"Paid",O2768=""),"",P2768/O2768)</f>
        <v/>
      </c>
      <c r="R2768" s="34" t="str">
        <f aca="false">IF(Q2768="","",Q2768+N(H2768)*0.000000001)</f>
        <v/>
      </c>
      <c r="S2768" s="32" t="str">
        <f aca="false">IF(R2768="","",SUMPRODUCT((I$5:I$4004=I2768)*ISNUMBER(R$5:R$4004)*(R$5:R$4004&gt;R2768))+1)</f>
        <v/>
      </c>
      <c r="T2768" s="32" t="str">
        <f aca="false">IF(S2768="","",IF(S2768&lt;=Setup!$B$5,"🏆 WINNER",""))</f>
        <v/>
      </c>
      <c r="U2768" s="31" t="str">
        <f aca="false">IF(S2768="","",I2768&amp;"|"&amp;S2768)</f>
        <v/>
      </c>
    </row>
    <row r="2769" customFormat="false" ht="15" hidden="false" customHeight="false" outlineLevel="0" collapsed="false">
      <c r="A2769" s="24" t="n">
        <v>2765</v>
      </c>
      <c r="B2769" s="25" t="str">
        <f aca="false">IF(OR(C2769="",I2769="",G2769=""),"",IFERROR(VLOOKUP(I2769,Setup!$A$9:$B$11,2,0),"???")&amp;"-"&amp;G2769&amp;"-"&amp;TEXT(COUNTIFS(I$5:I2769,I2769,G$5:G2769,G2769),"0000"))</f>
        <v/>
      </c>
      <c r="C2769" s="26"/>
      <c r="D2769" s="26"/>
      <c r="E2769" s="27"/>
      <c r="F2769" s="27"/>
      <c r="G2769" s="24" t="str">
        <f aca="false">IF(F2769="","",IF(F2769&lt;=5,"A",IF(F2769&lt;=8,"B",IF(F2769&lt;=10,"C","D"))))</f>
        <v/>
      </c>
      <c r="H2769" s="28"/>
      <c r="I2769" s="27"/>
      <c r="J2769" s="26"/>
      <c r="K2769" s="27"/>
      <c r="L2769" s="27"/>
      <c r="M2769" s="27"/>
      <c r="N2769" s="27"/>
      <c r="O2769" s="24" t="str">
        <f aca="false">IF(G2769="","",VLOOKUP(G2769,Setup!$A$14:$C$17,3,0))</f>
        <v/>
      </c>
      <c r="P2769" s="27"/>
      <c r="Q2769" s="29" t="str">
        <f aca="false">IF(OR(P2769="",M2769&lt;&gt;"Paid",O2769=""),"",P2769/O2769)</f>
        <v/>
      </c>
      <c r="R2769" s="30" t="str">
        <f aca="false">IF(Q2769="","",Q2769+N(H2769)*0.000000001)</f>
        <v/>
      </c>
      <c r="S2769" s="25" t="str">
        <f aca="false">IF(R2769="","",SUMPRODUCT((I$5:I$4004=I2769)*ISNUMBER(R$5:R$4004)*(R$5:R$4004&gt;R2769))+1)</f>
        <v/>
      </c>
      <c r="T2769" s="25" t="str">
        <f aca="false">IF(S2769="","",IF(S2769&lt;=Setup!$B$5,"🏆 WINNER",""))</f>
        <v/>
      </c>
      <c r="U2769" s="24" t="str">
        <f aca="false">IF(S2769="","",I2769&amp;"|"&amp;S2769)</f>
        <v/>
      </c>
    </row>
    <row r="2770" customFormat="false" ht="15" hidden="false" customHeight="false" outlineLevel="0" collapsed="false">
      <c r="A2770" s="31" t="n">
        <v>2766</v>
      </c>
      <c r="B2770" s="32" t="str">
        <f aca="false">IF(OR(C2770="",I2770="",G2770=""),"",IFERROR(VLOOKUP(I2770,Setup!$A$9:$B$11,2,0),"???")&amp;"-"&amp;G2770&amp;"-"&amp;TEXT(COUNTIFS(I$5:I2770,I2770,G$5:G2770,G2770),"0000"))</f>
        <v/>
      </c>
      <c r="C2770" s="26"/>
      <c r="D2770" s="26"/>
      <c r="E2770" s="27"/>
      <c r="F2770" s="27"/>
      <c r="G2770" s="31" t="str">
        <f aca="false">IF(F2770="","",IF(F2770&lt;=5,"A",IF(F2770&lt;=8,"B",IF(F2770&lt;=10,"C","D"))))</f>
        <v/>
      </c>
      <c r="H2770" s="28"/>
      <c r="I2770" s="27"/>
      <c r="J2770" s="26"/>
      <c r="K2770" s="27"/>
      <c r="L2770" s="27"/>
      <c r="M2770" s="27"/>
      <c r="N2770" s="27"/>
      <c r="O2770" s="31" t="str">
        <f aca="false">IF(G2770="","",VLOOKUP(G2770,Setup!$A$14:$C$17,3,0))</f>
        <v/>
      </c>
      <c r="P2770" s="27"/>
      <c r="Q2770" s="33" t="str">
        <f aca="false">IF(OR(P2770="",M2770&lt;&gt;"Paid",O2770=""),"",P2770/O2770)</f>
        <v/>
      </c>
      <c r="R2770" s="34" t="str">
        <f aca="false">IF(Q2770="","",Q2770+N(H2770)*0.000000001)</f>
        <v/>
      </c>
      <c r="S2770" s="32" t="str">
        <f aca="false">IF(R2770="","",SUMPRODUCT((I$5:I$4004=I2770)*ISNUMBER(R$5:R$4004)*(R$5:R$4004&gt;R2770))+1)</f>
        <v/>
      </c>
      <c r="T2770" s="32" t="str">
        <f aca="false">IF(S2770="","",IF(S2770&lt;=Setup!$B$5,"🏆 WINNER",""))</f>
        <v/>
      </c>
      <c r="U2770" s="31" t="str">
        <f aca="false">IF(S2770="","",I2770&amp;"|"&amp;S2770)</f>
        <v/>
      </c>
    </row>
    <row r="2771" customFormat="false" ht="15" hidden="false" customHeight="false" outlineLevel="0" collapsed="false">
      <c r="A2771" s="24" t="n">
        <v>2767</v>
      </c>
      <c r="B2771" s="25" t="str">
        <f aca="false">IF(OR(C2771="",I2771="",G2771=""),"",IFERROR(VLOOKUP(I2771,Setup!$A$9:$B$11,2,0),"???")&amp;"-"&amp;G2771&amp;"-"&amp;TEXT(COUNTIFS(I$5:I2771,I2771,G$5:G2771,G2771),"0000"))</f>
        <v/>
      </c>
      <c r="C2771" s="26"/>
      <c r="D2771" s="26"/>
      <c r="E2771" s="27"/>
      <c r="F2771" s="27"/>
      <c r="G2771" s="24" t="str">
        <f aca="false">IF(F2771="","",IF(F2771&lt;=5,"A",IF(F2771&lt;=8,"B",IF(F2771&lt;=10,"C","D"))))</f>
        <v/>
      </c>
      <c r="H2771" s="28"/>
      <c r="I2771" s="27"/>
      <c r="J2771" s="26"/>
      <c r="K2771" s="27"/>
      <c r="L2771" s="27"/>
      <c r="M2771" s="27"/>
      <c r="N2771" s="27"/>
      <c r="O2771" s="24" t="str">
        <f aca="false">IF(G2771="","",VLOOKUP(G2771,Setup!$A$14:$C$17,3,0))</f>
        <v/>
      </c>
      <c r="P2771" s="27"/>
      <c r="Q2771" s="29" t="str">
        <f aca="false">IF(OR(P2771="",M2771&lt;&gt;"Paid",O2771=""),"",P2771/O2771)</f>
        <v/>
      </c>
      <c r="R2771" s="30" t="str">
        <f aca="false">IF(Q2771="","",Q2771+N(H2771)*0.000000001)</f>
        <v/>
      </c>
      <c r="S2771" s="25" t="str">
        <f aca="false">IF(R2771="","",SUMPRODUCT((I$5:I$4004=I2771)*ISNUMBER(R$5:R$4004)*(R$5:R$4004&gt;R2771))+1)</f>
        <v/>
      </c>
      <c r="T2771" s="25" t="str">
        <f aca="false">IF(S2771="","",IF(S2771&lt;=Setup!$B$5,"🏆 WINNER",""))</f>
        <v/>
      </c>
      <c r="U2771" s="24" t="str">
        <f aca="false">IF(S2771="","",I2771&amp;"|"&amp;S2771)</f>
        <v/>
      </c>
    </row>
    <row r="2772" customFormat="false" ht="15" hidden="false" customHeight="false" outlineLevel="0" collapsed="false">
      <c r="A2772" s="31" t="n">
        <v>2768</v>
      </c>
      <c r="B2772" s="32" t="str">
        <f aca="false">IF(OR(C2772="",I2772="",G2772=""),"",IFERROR(VLOOKUP(I2772,Setup!$A$9:$B$11,2,0),"???")&amp;"-"&amp;G2772&amp;"-"&amp;TEXT(COUNTIFS(I$5:I2772,I2772,G$5:G2772,G2772),"0000"))</f>
        <v/>
      </c>
      <c r="C2772" s="26"/>
      <c r="D2772" s="26"/>
      <c r="E2772" s="27"/>
      <c r="F2772" s="27"/>
      <c r="G2772" s="31" t="str">
        <f aca="false">IF(F2772="","",IF(F2772&lt;=5,"A",IF(F2772&lt;=8,"B",IF(F2772&lt;=10,"C","D"))))</f>
        <v/>
      </c>
      <c r="H2772" s="28"/>
      <c r="I2772" s="27"/>
      <c r="J2772" s="26"/>
      <c r="K2772" s="27"/>
      <c r="L2772" s="27"/>
      <c r="M2772" s="27"/>
      <c r="N2772" s="27"/>
      <c r="O2772" s="31" t="str">
        <f aca="false">IF(G2772="","",VLOOKUP(G2772,Setup!$A$14:$C$17,3,0))</f>
        <v/>
      </c>
      <c r="P2772" s="27"/>
      <c r="Q2772" s="33" t="str">
        <f aca="false">IF(OR(P2772="",M2772&lt;&gt;"Paid",O2772=""),"",P2772/O2772)</f>
        <v/>
      </c>
      <c r="R2772" s="34" t="str">
        <f aca="false">IF(Q2772="","",Q2772+N(H2772)*0.000000001)</f>
        <v/>
      </c>
      <c r="S2772" s="32" t="str">
        <f aca="false">IF(R2772="","",SUMPRODUCT((I$5:I$4004=I2772)*ISNUMBER(R$5:R$4004)*(R$5:R$4004&gt;R2772))+1)</f>
        <v/>
      </c>
      <c r="T2772" s="32" t="str">
        <f aca="false">IF(S2772="","",IF(S2772&lt;=Setup!$B$5,"🏆 WINNER",""))</f>
        <v/>
      </c>
      <c r="U2772" s="31" t="str">
        <f aca="false">IF(S2772="","",I2772&amp;"|"&amp;S2772)</f>
        <v/>
      </c>
    </row>
    <row r="2773" customFormat="false" ht="15" hidden="false" customHeight="false" outlineLevel="0" collapsed="false">
      <c r="A2773" s="24" t="n">
        <v>2769</v>
      </c>
      <c r="B2773" s="25" t="str">
        <f aca="false">IF(OR(C2773="",I2773="",G2773=""),"",IFERROR(VLOOKUP(I2773,Setup!$A$9:$B$11,2,0),"???")&amp;"-"&amp;G2773&amp;"-"&amp;TEXT(COUNTIFS(I$5:I2773,I2773,G$5:G2773,G2773),"0000"))</f>
        <v/>
      </c>
      <c r="C2773" s="26"/>
      <c r="D2773" s="26"/>
      <c r="E2773" s="27"/>
      <c r="F2773" s="27"/>
      <c r="G2773" s="24" t="str">
        <f aca="false">IF(F2773="","",IF(F2773&lt;=5,"A",IF(F2773&lt;=8,"B",IF(F2773&lt;=10,"C","D"))))</f>
        <v/>
      </c>
      <c r="H2773" s="28"/>
      <c r="I2773" s="27"/>
      <c r="J2773" s="26"/>
      <c r="K2773" s="27"/>
      <c r="L2773" s="27"/>
      <c r="M2773" s="27"/>
      <c r="N2773" s="27"/>
      <c r="O2773" s="24" t="str">
        <f aca="false">IF(G2773="","",VLOOKUP(G2773,Setup!$A$14:$C$17,3,0))</f>
        <v/>
      </c>
      <c r="P2773" s="27"/>
      <c r="Q2773" s="29" t="str">
        <f aca="false">IF(OR(P2773="",M2773&lt;&gt;"Paid",O2773=""),"",P2773/O2773)</f>
        <v/>
      </c>
      <c r="R2773" s="30" t="str">
        <f aca="false">IF(Q2773="","",Q2773+N(H2773)*0.000000001)</f>
        <v/>
      </c>
      <c r="S2773" s="25" t="str">
        <f aca="false">IF(R2773="","",SUMPRODUCT((I$5:I$4004=I2773)*ISNUMBER(R$5:R$4004)*(R$5:R$4004&gt;R2773))+1)</f>
        <v/>
      </c>
      <c r="T2773" s="25" t="str">
        <f aca="false">IF(S2773="","",IF(S2773&lt;=Setup!$B$5,"🏆 WINNER",""))</f>
        <v/>
      </c>
      <c r="U2773" s="24" t="str">
        <f aca="false">IF(S2773="","",I2773&amp;"|"&amp;S2773)</f>
        <v/>
      </c>
    </row>
    <row r="2774" customFormat="false" ht="15" hidden="false" customHeight="false" outlineLevel="0" collapsed="false">
      <c r="A2774" s="31" t="n">
        <v>2770</v>
      </c>
      <c r="B2774" s="32" t="str">
        <f aca="false">IF(OR(C2774="",I2774="",G2774=""),"",IFERROR(VLOOKUP(I2774,Setup!$A$9:$B$11,2,0),"???")&amp;"-"&amp;G2774&amp;"-"&amp;TEXT(COUNTIFS(I$5:I2774,I2774,G$5:G2774,G2774),"0000"))</f>
        <v/>
      </c>
      <c r="C2774" s="26"/>
      <c r="D2774" s="26"/>
      <c r="E2774" s="27"/>
      <c r="F2774" s="27"/>
      <c r="G2774" s="31" t="str">
        <f aca="false">IF(F2774="","",IF(F2774&lt;=5,"A",IF(F2774&lt;=8,"B",IF(F2774&lt;=10,"C","D"))))</f>
        <v/>
      </c>
      <c r="H2774" s="28"/>
      <c r="I2774" s="27"/>
      <c r="J2774" s="26"/>
      <c r="K2774" s="27"/>
      <c r="L2774" s="27"/>
      <c r="M2774" s="27"/>
      <c r="N2774" s="27"/>
      <c r="O2774" s="31" t="str">
        <f aca="false">IF(G2774="","",VLOOKUP(G2774,Setup!$A$14:$C$17,3,0))</f>
        <v/>
      </c>
      <c r="P2774" s="27"/>
      <c r="Q2774" s="33" t="str">
        <f aca="false">IF(OR(P2774="",M2774&lt;&gt;"Paid",O2774=""),"",P2774/O2774)</f>
        <v/>
      </c>
      <c r="R2774" s="34" t="str">
        <f aca="false">IF(Q2774="","",Q2774+N(H2774)*0.000000001)</f>
        <v/>
      </c>
      <c r="S2774" s="32" t="str">
        <f aca="false">IF(R2774="","",SUMPRODUCT((I$5:I$4004=I2774)*ISNUMBER(R$5:R$4004)*(R$5:R$4004&gt;R2774))+1)</f>
        <v/>
      </c>
      <c r="T2774" s="32" t="str">
        <f aca="false">IF(S2774="","",IF(S2774&lt;=Setup!$B$5,"🏆 WINNER",""))</f>
        <v/>
      </c>
      <c r="U2774" s="31" t="str">
        <f aca="false">IF(S2774="","",I2774&amp;"|"&amp;S2774)</f>
        <v/>
      </c>
    </row>
    <row r="2775" customFormat="false" ht="15" hidden="false" customHeight="false" outlineLevel="0" collapsed="false">
      <c r="A2775" s="24" t="n">
        <v>2771</v>
      </c>
      <c r="B2775" s="25" t="str">
        <f aca="false">IF(OR(C2775="",I2775="",G2775=""),"",IFERROR(VLOOKUP(I2775,Setup!$A$9:$B$11,2,0),"???")&amp;"-"&amp;G2775&amp;"-"&amp;TEXT(COUNTIFS(I$5:I2775,I2775,G$5:G2775,G2775),"0000"))</f>
        <v/>
      </c>
      <c r="C2775" s="26"/>
      <c r="D2775" s="26"/>
      <c r="E2775" s="27"/>
      <c r="F2775" s="27"/>
      <c r="G2775" s="24" t="str">
        <f aca="false">IF(F2775="","",IF(F2775&lt;=5,"A",IF(F2775&lt;=8,"B",IF(F2775&lt;=10,"C","D"))))</f>
        <v/>
      </c>
      <c r="H2775" s="28"/>
      <c r="I2775" s="27"/>
      <c r="J2775" s="26"/>
      <c r="K2775" s="27"/>
      <c r="L2775" s="27"/>
      <c r="M2775" s="27"/>
      <c r="N2775" s="27"/>
      <c r="O2775" s="24" t="str">
        <f aca="false">IF(G2775="","",VLOOKUP(G2775,Setup!$A$14:$C$17,3,0))</f>
        <v/>
      </c>
      <c r="P2775" s="27"/>
      <c r="Q2775" s="29" t="str">
        <f aca="false">IF(OR(P2775="",M2775&lt;&gt;"Paid",O2775=""),"",P2775/O2775)</f>
        <v/>
      </c>
      <c r="R2775" s="30" t="str">
        <f aca="false">IF(Q2775="","",Q2775+N(H2775)*0.000000001)</f>
        <v/>
      </c>
      <c r="S2775" s="25" t="str">
        <f aca="false">IF(R2775="","",SUMPRODUCT((I$5:I$4004=I2775)*ISNUMBER(R$5:R$4004)*(R$5:R$4004&gt;R2775))+1)</f>
        <v/>
      </c>
      <c r="T2775" s="25" t="str">
        <f aca="false">IF(S2775="","",IF(S2775&lt;=Setup!$B$5,"🏆 WINNER",""))</f>
        <v/>
      </c>
      <c r="U2775" s="24" t="str">
        <f aca="false">IF(S2775="","",I2775&amp;"|"&amp;S2775)</f>
        <v/>
      </c>
    </row>
    <row r="2776" customFormat="false" ht="15" hidden="false" customHeight="false" outlineLevel="0" collapsed="false">
      <c r="A2776" s="31" t="n">
        <v>2772</v>
      </c>
      <c r="B2776" s="32" t="str">
        <f aca="false">IF(OR(C2776="",I2776="",G2776=""),"",IFERROR(VLOOKUP(I2776,Setup!$A$9:$B$11,2,0),"???")&amp;"-"&amp;G2776&amp;"-"&amp;TEXT(COUNTIFS(I$5:I2776,I2776,G$5:G2776,G2776),"0000"))</f>
        <v/>
      </c>
      <c r="C2776" s="26"/>
      <c r="D2776" s="26"/>
      <c r="E2776" s="27"/>
      <c r="F2776" s="27"/>
      <c r="G2776" s="31" t="str">
        <f aca="false">IF(F2776="","",IF(F2776&lt;=5,"A",IF(F2776&lt;=8,"B",IF(F2776&lt;=10,"C","D"))))</f>
        <v/>
      </c>
      <c r="H2776" s="28"/>
      <c r="I2776" s="27"/>
      <c r="J2776" s="26"/>
      <c r="K2776" s="27"/>
      <c r="L2776" s="27"/>
      <c r="M2776" s="27"/>
      <c r="N2776" s="27"/>
      <c r="O2776" s="31" t="str">
        <f aca="false">IF(G2776="","",VLOOKUP(G2776,Setup!$A$14:$C$17,3,0))</f>
        <v/>
      </c>
      <c r="P2776" s="27"/>
      <c r="Q2776" s="33" t="str">
        <f aca="false">IF(OR(P2776="",M2776&lt;&gt;"Paid",O2776=""),"",P2776/O2776)</f>
        <v/>
      </c>
      <c r="R2776" s="34" t="str">
        <f aca="false">IF(Q2776="","",Q2776+N(H2776)*0.000000001)</f>
        <v/>
      </c>
      <c r="S2776" s="32" t="str">
        <f aca="false">IF(R2776="","",SUMPRODUCT((I$5:I$4004=I2776)*ISNUMBER(R$5:R$4004)*(R$5:R$4004&gt;R2776))+1)</f>
        <v/>
      </c>
      <c r="T2776" s="32" t="str">
        <f aca="false">IF(S2776="","",IF(S2776&lt;=Setup!$B$5,"🏆 WINNER",""))</f>
        <v/>
      </c>
      <c r="U2776" s="31" t="str">
        <f aca="false">IF(S2776="","",I2776&amp;"|"&amp;S2776)</f>
        <v/>
      </c>
    </row>
    <row r="2777" customFormat="false" ht="15" hidden="false" customHeight="false" outlineLevel="0" collapsed="false">
      <c r="A2777" s="24" t="n">
        <v>2773</v>
      </c>
      <c r="B2777" s="25" t="str">
        <f aca="false">IF(OR(C2777="",I2777="",G2777=""),"",IFERROR(VLOOKUP(I2777,Setup!$A$9:$B$11,2,0),"???")&amp;"-"&amp;G2777&amp;"-"&amp;TEXT(COUNTIFS(I$5:I2777,I2777,G$5:G2777,G2777),"0000"))</f>
        <v/>
      </c>
      <c r="C2777" s="26"/>
      <c r="D2777" s="26"/>
      <c r="E2777" s="27"/>
      <c r="F2777" s="27"/>
      <c r="G2777" s="24" t="str">
        <f aca="false">IF(F2777="","",IF(F2777&lt;=5,"A",IF(F2777&lt;=8,"B",IF(F2777&lt;=10,"C","D"))))</f>
        <v/>
      </c>
      <c r="H2777" s="28"/>
      <c r="I2777" s="27"/>
      <c r="J2777" s="26"/>
      <c r="K2777" s="27"/>
      <c r="L2777" s="27"/>
      <c r="M2777" s="27"/>
      <c r="N2777" s="27"/>
      <c r="O2777" s="24" t="str">
        <f aca="false">IF(G2777="","",VLOOKUP(G2777,Setup!$A$14:$C$17,3,0))</f>
        <v/>
      </c>
      <c r="P2777" s="27"/>
      <c r="Q2777" s="29" t="str">
        <f aca="false">IF(OR(P2777="",M2777&lt;&gt;"Paid",O2777=""),"",P2777/O2777)</f>
        <v/>
      </c>
      <c r="R2777" s="30" t="str">
        <f aca="false">IF(Q2777="","",Q2777+N(H2777)*0.000000001)</f>
        <v/>
      </c>
      <c r="S2777" s="25" t="str">
        <f aca="false">IF(R2777="","",SUMPRODUCT((I$5:I$4004=I2777)*ISNUMBER(R$5:R$4004)*(R$5:R$4004&gt;R2777))+1)</f>
        <v/>
      </c>
      <c r="T2777" s="25" t="str">
        <f aca="false">IF(S2777="","",IF(S2777&lt;=Setup!$B$5,"🏆 WINNER",""))</f>
        <v/>
      </c>
      <c r="U2777" s="24" t="str">
        <f aca="false">IF(S2777="","",I2777&amp;"|"&amp;S2777)</f>
        <v/>
      </c>
    </row>
    <row r="2778" customFormat="false" ht="15" hidden="false" customHeight="false" outlineLevel="0" collapsed="false">
      <c r="A2778" s="31" t="n">
        <v>2774</v>
      </c>
      <c r="B2778" s="32" t="str">
        <f aca="false">IF(OR(C2778="",I2778="",G2778=""),"",IFERROR(VLOOKUP(I2778,Setup!$A$9:$B$11,2,0),"???")&amp;"-"&amp;G2778&amp;"-"&amp;TEXT(COUNTIFS(I$5:I2778,I2778,G$5:G2778,G2778),"0000"))</f>
        <v/>
      </c>
      <c r="C2778" s="26"/>
      <c r="D2778" s="26"/>
      <c r="E2778" s="27"/>
      <c r="F2778" s="27"/>
      <c r="G2778" s="31" t="str">
        <f aca="false">IF(F2778="","",IF(F2778&lt;=5,"A",IF(F2778&lt;=8,"B",IF(F2778&lt;=10,"C","D"))))</f>
        <v/>
      </c>
      <c r="H2778" s="28"/>
      <c r="I2778" s="27"/>
      <c r="J2778" s="26"/>
      <c r="K2778" s="27"/>
      <c r="L2778" s="27"/>
      <c r="M2778" s="27"/>
      <c r="N2778" s="27"/>
      <c r="O2778" s="31" t="str">
        <f aca="false">IF(G2778="","",VLOOKUP(G2778,Setup!$A$14:$C$17,3,0))</f>
        <v/>
      </c>
      <c r="P2778" s="27"/>
      <c r="Q2778" s="33" t="str">
        <f aca="false">IF(OR(P2778="",M2778&lt;&gt;"Paid",O2778=""),"",P2778/O2778)</f>
        <v/>
      </c>
      <c r="R2778" s="34" t="str">
        <f aca="false">IF(Q2778="","",Q2778+N(H2778)*0.000000001)</f>
        <v/>
      </c>
      <c r="S2778" s="32" t="str">
        <f aca="false">IF(R2778="","",SUMPRODUCT((I$5:I$4004=I2778)*ISNUMBER(R$5:R$4004)*(R$5:R$4004&gt;R2778))+1)</f>
        <v/>
      </c>
      <c r="T2778" s="32" t="str">
        <f aca="false">IF(S2778="","",IF(S2778&lt;=Setup!$B$5,"🏆 WINNER",""))</f>
        <v/>
      </c>
      <c r="U2778" s="31" t="str">
        <f aca="false">IF(S2778="","",I2778&amp;"|"&amp;S2778)</f>
        <v/>
      </c>
    </row>
    <row r="2779" customFormat="false" ht="15" hidden="false" customHeight="false" outlineLevel="0" collapsed="false">
      <c r="A2779" s="24" t="n">
        <v>2775</v>
      </c>
      <c r="B2779" s="25" t="str">
        <f aca="false">IF(OR(C2779="",I2779="",G2779=""),"",IFERROR(VLOOKUP(I2779,Setup!$A$9:$B$11,2,0),"???")&amp;"-"&amp;G2779&amp;"-"&amp;TEXT(COUNTIFS(I$5:I2779,I2779,G$5:G2779,G2779),"0000"))</f>
        <v/>
      </c>
      <c r="C2779" s="26"/>
      <c r="D2779" s="26"/>
      <c r="E2779" s="27"/>
      <c r="F2779" s="27"/>
      <c r="G2779" s="24" t="str">
        <f aca="false">IF(F2779="","",IF(F2779&lt;=5,"A",IF(F2779&lt;=8,"B",IF(F2779&lt;=10,"C","D"))))</f>
        <v/>
      </c>
      <c r="H2779" s="28"/>
      <c r="I2779" s="27"/>
      <c r="J2779" s="26"/>
      <c r="K2779" s="27"/>
      <c r="L2779" s="27"/>
      <c r="M2779" s="27"/>
      <c r="N2779" s="27"/>
      <c r="O2779" s="24" t="str">
        <f aca="false">IF(G2779="","",VLOOKUP(G2779,Setup!$A$14:$C$17,3,0))</f>
        <v/>
      </c>
      <c r="P2779" s="27"/>
      <c r="Q2779" s="29" t="str">
        <f aca="false">IF(OR(P2779="",M2779&lt;&gt;"Paid",O2779=""),"",P2779/O2779)</f>
        <v/>
      </c>
      <c r="R2779" s="30" t="str">
        <f aca="false">IF(Q2779="","",Q2779+N(H2779)*0.000000001)</f>
        <v/>
      </c>
      <c r="S2779" s="25" t="str">
        <f aca="false">IF(R2779="","",SUMPRODUCT((I$5:I$4004=I2779)*ISNUMBER(R$5:R$4004)*(R$5:R$4004&gt;R2779))+1)</f>
        <v/>
      </c>
      <c r="T2779" s="25" t="str">
        <f aca="false">IF(S2779="","",IF(S2779&lt;=Setup!$B$5,"🏆 WINNER",""))</f>
        <v/>
      </c>
      <c r="U2779" s="24" t="str">
        <f aca="false">IF(S2779="","",I2779&amp;"|"&amp;S2779)</f>
        <v/>
      </c>
    </row>
    <row r="2780" customFormat="false" ht="15" hidden="false" customHeight="false" outlineLevel="0" collapsed="false">
      <c r="A2780" s="31" t="n">
        <v>2776</v>
      </c>
      <c r="B2780" s="32" t="str">
        <f aca="false">IF(OR(C2780="",I2780="",G2780=""),"",IFERROR(VLOOKUP(I2780,Setup!$A$9:$B$11,2,0),"???")&amp;"-"&amp;G2780&amp;"-"&amp;TEXT(COUNTIFS(I$5:I2780,I2780,G$5:G2780,G2780),"0000"))</f>
        <v/>
      </c>
      <c r="C2780" s="26"/>
      <c r="D2780" s="26"/>
      <c r="E2780" s="27"/>
      <c r="F2780" s="27"/>
      <c r="G2780" s="31" t="str">
        <f aca="false">IF(F2780="","",IF(F2780&lt;=5,"A",IF(F2780&lt;=8,"B",IF(F2780&lt;=10,"C","D"))))</f>
        <v/>
      </c>
      <c r="H2780" s="28"/>
      <c r="I2780" s="27"/>
      <c r="J2780" s="26"/>
      <c r="K2780" s="27"/>
      <c r="L2780" s="27"/>
      <c r="M2780" s="27"/>
      <c r="N2780" s="27"/>
      <c r="O2780" s="31" t="str">
        <f aca="false">IF(G2780="","",VLOOKUP(G2780,Setup!$A$14:$C$17,3,0))</f>
        <v/>
      </c>
      <c r="P2780" s="27"/>
      <c r="Q2780" s="33" t="str">
        <f aca="false">IF(OR(P2780="",M2780&lt;&gt;"Paid",O2780=""),"",P2780/O2780)</f>
        <v/>
      </c>
      <c r="R2780" s="34" t="str">
        <f aca="false">IF(Q2780="","",Q2780+N(H2780)*0.000000001)</f>
        <v/>
      </c>
      <c r="S2780" s="32" t="str">
        <f aca="false">IF(R2780="","",SUMPRODUCT((I$5:I$4004=I2780)*ISNUMBER(R$5:R$4004)*(R$5:R$4004&gt;R2780))+1)</f>
        <v/>
      </c>
      <c r="T2780" s="32" t="str">
        <f aca="false">IF(S2780="","",IF(S2780&lt;=Setup!$B$5,"🏆 WINNER",""))</f>
        <v/>
      </c>
      <c r="U2780" s="31" t="str">
        <f aca="false">IF(S2780="","",I2780&amp;"|"&amp;S2780)</f>
        <v/>
      </c>
    </row>
    <row r="2781" customFormat="false" ht="15" hidden="false" customHeight="false" outlineLevel="0" collapsed="false">
      <c r="A2781" s="24" t="n">
        <v>2777</v>
      </c>
      <c r="B2781" s="25" t="str">
        <f aca="false">IF(OR(C2781="",I2781="",G2781=""),"",IFERROR(VLOOKUP(I2781,Setup!$A$9:$B$11,2,0),"???")&amp;"-"&amp;G2781&amp;"-"&amp;TEXT(COUNTIFS(I$5:I2781,I2781,G$5:G2781,G2781),"0000"))</f>
        <v/>
      </c>
      <c r="C2781" s="26"/>
      <c r="D2781" s="26"/>
      <c r="E2781" s="27"/>
      <c r="F2781" s="27"/>
      <c r="G2781" s="24" t="str">
        <f aca="false">IF(F2781="","",IF(F2781&lt;=5,"A",IF(F2781&lt;=8,"B",IF(F2781&lt;=10,"C","D"))))</f>
        <v/>
      </c>
      <c r="H2781" s="28"/>
      <c r="I2781" s="27"/>
      <c r="J2781" s="26"/>
      <c r="K2781" s="27"/>
      <c r="L2781" s="27"/>
      <c r="M2781" s="27"/>
      <c r="N2781" s="27"/>
      <c r="O2781" s="24" t="str">
        <f aca="false">IF(G2781="","",VLOOKUP(G2781,Setup!$A$14:$C$17,3,0))</f>
        <v/>
      </c>
      <c r="P2781" s="27"/>
      <c r="Q2781" s="29" t="str">
        <f aca="false">IF(OR(P2781="",M2781&lt;&gt;"Paid",O2781=""),"",P2781/O2781)</f>
        <v/>
      </c>
      <c r="R2781" s="30" t="str">
        <f aca="false">IF(Q2781="","",Q2781+N(H2781)*0.000000001)</f>
        <v/>
      </c>
      <c r="S2781" s="25" t="str">
        <f aca="false">IF(R2781="","",SUMPRODUCT((I$5:I$4004=I2781)*ISNUMBER(R$5:R$4004)*(R$5:R$4004&gt;R2781))+1)</f>
        <v/>
      </c>
      <c r="T2781" s="25" t="str">
        <f aca="false">IF(S2781="","",IF(S2781&lt;=Setup!$B$5,"🏆 WINNER",""))</f>
        <v/>
      </c>
      <c r="U2781" s="24" t="str">
        <f aca="false">IF(S2781="","",I2781&amp;"|"&amp;S2781)</f>
        <v/>
      </c>
    </row>
    <row r="2782" customFormat="false" ht="15" hidden="false" customHeight="false" outlineLevel="0" collapsed="false">
      <c r="A2782" s="31" t="n">
        <v>2778</v>
      </c>
      <c r="B2782" s="32" t="str">
        <f aca="false">IF(OR(C2782="",I2782="",G2782=""),"",IFERROR(VLOOKUP(I2782,Setup!$A$9:$B$11,2,0),"???")&amp;"-"&amp;G2782&amp;"-"&amp;TEXT(COUNTIFS(I$5:I2782,I2782,G$5:G2782,G2782),"0000"))</f>
        <v/>
      </c>
      <c r="C2782" s="26"/>
      <c r="D2782" s="26"/>
      <c r="E2782" s="27"/>
      <c r="F2782" s="27"/>
      <c r="G2782" s="31" t="str">
        <f aca="false">IF(F2782="","",IF(F2782&lt;=5,"A",IF(F2782&lt;=8,"B",IF(F2782&lt;=10,"C","D"))))</f>
        <v/>
      </c>
      <c r="H2782" s="28"/>
      <c r="I2782" s="27"/>
      <c r="J2782" s="26"/>
      <c r="K2782" s="27"/>
      <c r="L2782" s="27"/>
      <c r="M2782" s="27"/>
      <c r="N2782" s="27"/>
      <c r="O2782" s="31" t="str">
        <f aca="false">IF(G2782="","",VLOOKUP(G2782,Setup!$A$14:$C$17,3,0))</f>
        <v/>
      </c>
      <c r="P2782" s="27"/>
      <c r="Q2782" s="33" t="str">
        <f aca="false">IF(OR(P2782="",M2782&lt;&gt;"Paid",O2782=""),"",P2782/O2782)</f>
        <v/>
      </c>
      <c r="R2782" s="34" t="str">
        <f aca="false">IF(Q2782="","",Q2782+N(H2782)*0.000000001)</f>
        <v/>
      </c>
      <c r="S2782" s="32" t="str">
        <f aca="false">IF(R2782="","",SUMPRODUCT((I$5:I$4004=I2782)*ISNUMBER(R$5:R$4004)*(R$5:R$4004&gt;R2782))+1)</f>
        <v/>
      </c>
      <c r="T2782" s="32" t="str">
        <f aca="false">IF(S2782="","",IF(S2782&lt;=Setup!$B$5,"🏆 WINNER",""))</f>
        <v/>
      </c>
      <c r="U2782" s="31" t="str">
        <f aca="false">IF(S2782="","",I2782&amp;"|"&amp;S2782)</f>
        <v/>
      </c>
    </row>
    <row r="2783" customFormat="false" ht="15" hidden="false" customHeight="false" outlineLevel="0" collapsed="false">
      <c r="A2783" s="24" t="n">
        <v>2779</v>
      </c>
      <c r="B2783" s="25" t="str">
        <f aca="false">IF(OR(C2783="",I2783="",G2783=""),"",IFERROR(VLOOKUP(I2783,Setup!$A$9:$B$11,2,0),"???")&amp;"-"&amp;G2783&amp;"-"&amp;TEXT(COUNTIFS(I$5:I2783,I2783,G$5:G2783,G2783),"0000"))</f>
        <v/>
      </c>
      <c r="C2783" s="26"/>
      <c r="D2783" s="26"/>
      <c r="E2783" s="27"/>
      <c r="F2783" s="27"/>
      <c r="G2783" s="24" t="str">
        <f aca="false">IF(F2783="","",IF(F2783&lt;=5,"A",IF(F2783&lt;=8,"B",IF(F2783&lt;=10,"C","D"))))</f>
        <v/>
      </c>
      <c r="H2783" s="28"/>
      <c r="I2783" s="27"/>
      <c r="J2783" s="26"/>
      <c r="K2783" s="27"/>
      <c r="L2783" s="27"/>
      <c r="M2783" s="27"/>
      <c r="N2783" s="27"/>
      <c r="O2783" s="24" t="str">
        <f aca="false">IF(G2783="","",VLOOKUP(G2783,Setup!$A$14:$C$17,3,0))</f>
        <v/>
      </c>
      <c r="P2783" s="27"/>
      <c r="Q2783" s="29" t="str">
        <f aca="false">IF(OR(P2783="",M2783&lt;&gt;"Paid",O2783=""),"",P2783/O2783)</f>
        <v/>
      </c>
      <c r="R2783" s="30" t="str">
        <f aca="false">IF(Q2783="","",Q2783+N(H2783)*0.000000001)</f>
        <v/>
      </c>
      <c r="S2783" s="25" t="str">
        <f aca="false">IF(R2783="","",SUMPRODUCT((I$5:I$4004=I2783)*ISNUMBER(R$5:R$4004)*(R$5:R$4004&gt;R2783))+1)</f>
        <v/>
      </c>
      <c r="T2783" s="25" t="str">
        <f aca="false">IF(S2783="","",IF(S2783&lt;=Setup!$B$5,"🏆 WINNER",""))</f>
        <v/>
      </c>
      <c r="U2783" s="24" t="str">
        <f aca="false">IF(S2783="","",I2783&amp;"|"&amp;S2783)</f>
        <v/>
      </c>
    </row>
    <row r="2784" customFormat="false" ht="15" hidden="false" customHeight="false" outlineLevel="0" collapsed="false">
      <c r="A2784" s="31" t="n">
        <v>2780</v>
      </c>
      <c r="B2784" s="32" t="str">
        <f aca="false">IF(OR(C2784="",I2784="",G2784=""),"",IFERROR(VLOOKUP(I2784,Setup!$A$9:$B$11,2,0),"???")&amp;"-"&amp;G2784&amp;"-"&amp;TEXT(COUNTIFS(I$5:I2784,I2784,G$5:G2784,G2784),"0000"))</f>
        <v/>
      </c>
      <c r="C2784" s="26"/>
      <c r="D2784" s="26"/>
      <c r="E2784" s="27"/>
      <c r="F2784" s="27"/>
      <c r="G2784" s="31" t="str">
        <f aca="false">IF(F2784="","",IF(F2784&lt;=5,"A",IF(F2784&lt;=8,"B",IF(F2784&lt;=10,"C","D"))))</f>
        <v/>
      </c>
      <c r="H2784" s="28"/>
      <c r="I2784" s="27"/>
      <c r="J2784" s="26"/>
      <c r="K2784" s="27"/>
      <c r="L2784" s="27"/>
      <c r="M2784" s="27"/>
      <c r="N2784" s="27"/>
      <c r="O2784" s="31" t="str">
        <f aca="false">IF(G2784="","",VLOOKUP(G2784,Setup!$A$14:$C$17,3,0))</f>
        <v/>
      </c>
      <c r="P2784" s="27"/>
      <c r="Q2784" s="33" t="str">
        <f aca="false">IF(OR(P2784="",M2784&lt;&gt;"Paid",O2784=""),"",P2784/O2784)</f>
        <v/>
      </c>
      <c r="R2784" s="34" t="str">
        <f aca="false">IF(Q2784="","",Q2784+N(H2784)*0.000000001)</f>
        <v/>
      </c>
      <c r="S2784" s="32" t="str">
        <f aca="false">IF(R2784="","",SUMPRODUCT((I$5:I$4004=I2784)*ISNUMBER(R$5:R$4004)*(R$5:R$4004&gt;R2784))+1)</f>
        <v/>
      </c>
      <c r="T2784" s="32" t="str">
        <f aca="false">IF(S2784="","",IF(S2784&lt;=Setup!$B$5,"🏆 WINNER",""))</f>
        <v/>
      </c>
      <c r="U2784" s="31" t="str">
        <f aca="false">IF(S2784="","",I2784&amp;"|"&amp;S2784)</f>
        <v/>
      </c>
    </row>
    <row r="2785" customFormat="false" ht="15" hidden="false" customHeight="false" outlineLevel="0" collapsed="false">
      <c r="A2785" s="24" t="n">
        <v>2781</v>
      </c>
      <c r="B2785" s="25" t="str">
        <f aca="false">IF(OR(C2785="",I2785="",G2785=""),"",IFERROR(VLOOKUP(I2785,Setup!$A$9:$B$11,2,0),"???")&amp;"-"&amp;G2785&amp;"-"&amp;TEXT(COUNTIFS(I$5:I2785,I2785,G$5:G2785,G2785),"0000"))</f>
        <v/>
      </c>
      <c r="C2785" s="26"/>
      <c r="D2785" s="26"/>
      <c r="E2785" s="27"/>
      <c r="F2785" s="27"/>
      <c r="G2785" s="24" t="str">
        <f aca="false">IF(F2785="","",IF(F2785&lt;=5,"A",IF(F2785&lt;=8,"B",IF(F2785&lt;=10,"C","D"))))</f>
        <v/>
      </c>
      <c r="H2785" s="28"/>
      <c r="I2785" s="27"/>
      <c r="J2785" s="26"/>
      <c r="K2785" s="27"/>
      <c r="L2785" s="27"/>
      <c r="M2785" s="27"/>
      <c r="N2785" s="27"/>
      <c r="O2785" s="24" t="str">
        <f aca="false">IF(G2785="","",VLOOKUP(G2785,Setup!$A$14:$C$17,3,0))</f>
        <v/>
      </c>
      <c r="P2785" s="27"/>
      <c r="Q2785" s="29" t="str">
        <f aca="false">IF(OR(P2785="",M2785&lt;&gt;"Paid",O2785=""),"",P2785/O2785)</f>
        <v/>
      </c>
      <c r="R2785" s="30" t="str">
        <f aca="false">IF(Q2785="","",Q2785+N(H2785)*0.000000001)</f>
        <v/>
      </c>
      <c r="S2785" s="25" t="str">
        <f aca="false">IF(R2785="","",SUMPRODUCT((I$5:I$4004=I2785)*ISNUMBER(R$5:R$4004)*(R$5:R$4004&gt;R2785))+1)</f>
        <v/>
      </c>
      <c r="T2785" s="25" t="str">
        <f aca="false">IF(S2785="","",IF(S2785&lt;=Setup!$B$5,"🏆 WINNER",""))</f>
        <v/>
      </c>
      <c r="U2785" s="24" t="str">
        <f aca="false">IF(S2785="","",I2785&amp;"|"&amp;S2785)</f>
        <v/>
      </c>
    </row>
    <row r="2786" customFormat="false" ht="15" hidden="false" customHeight="false" outlineLevel="0" collapsed="false">
      <c r="A2786" s="31" t="n">
        <v>2782</v>
      </c>
      <c r="B2786" s="32" t="str">
        <f aca="false">IF(OR(C2786="",I2786="",G2786=""),"",IFERROR(VLOOKUP(I2786,Setup!$A$9:$B$11,2,0),"???")&amp;"-"&amp;G2786&amp;"-"&amp;TEXT(COUNTIFS(I$5:I2786,I2786,G$5:G2786,G2786),"0000"))</f>
        <v/>
      </c>
      <c r="C2786" s="26"/>
      <c r="D2786" s="26"/>
      <c r="E2786" s="27"/>
      <c r="F2786" s="27"/>
      <c r="G2786" s="31" t="str">
        <f aca="false">IF(F2786="","",IF(F2786&lt;=5,"A",IF(F2786&lt;=8,"B",IF(F2786&lt;=10,"C","D"))))</f>
        <v/>
      </c>
      <c r="H2786" s="28"/>
      <c r="I2786" s="27"/>
      <c r="J2786" s="26"/>
      <c r="K2786" s="27"/>
      <c r="L2786" s="27"/>
      <c r="M2786" s="27"/>
      <c r="N2786" s="27"/>
      <c r="O2786" s="31" t="str">
        <f aca="false">IF(G2786="","",VLOOKUP(G2786,Setup!$A$14:$C$17,3,0))</f>
        <v/>
      </c>
      <c r="P2786" s="27"/>
      <c r="Q2786" s="33" t="str">
        <f aca="false">IF(OR(P2786="",M2786&lt;&gt;"Paid",O2786=""),"",P2786/O2786)</f>
        <v/>
      </c>
      <c r="R2786" s="34" t="str">
        <f aca="false">IF(Q2786="","",Q2786+N(H2786)*0.000000001)</f>
        <v/>
      </c>
      <c r="S2786" s="32" t="str">
        <f aca="false">IF(R2786="","",SUMPRODUCT((I$5:I$4004=I2786)*ISNUMBER(R$5:R$4004)*(R$5:R$4004&gt;R2786))+1)</f>
        <v/>
      </c>
      <c r="T2786" s="32" t="str">
        <f aca="false">IF(S2786="","",IF(S2786&lt;=Setup!$B$5,"🏆 WINNER",""))</f>
        <v/>
      </c>
      <c r="U2786" s="31" t="str">
        <f aca="false">IF(S2786="","",I2786&amp;"|"&amp;S2786)</f>
        <v/>
      </c>
    </row>
    <row r="2787" customFormat="false" ht="15" hidden="false" customHeight="false" outlineLevel="0" collapsed="false">
      <c r="A2787" s="24" t="n">
        <v>2783</v>
      </c>
      <c r="B2787" s="25" t="str">
        <f aca="false">IF(OR(C2787="",I2787="",G2787=""),"",IFERROR(VLOOKUP(I2787,Setup!$A$9:$B$11,2,0),"???")&amp;"-"&amp;G2787&amp;"-"&amp;TEXT(COUNTIFS(I$5:I2787,I2787,G$5:G2787,G2787),"0000"))</f>
        <v/>
      </c>
      <c r="C2787" s="26"/>
      <c r="D2787" s="26"/>
      <c r="E2787" s="27"/>
      <c r="F2787" s="27"/>
      <c r="G2787" s="24" t="str">
        <f aca="false">IF(F2787="","",IF(F2787&lt;=5,"A",IF(F2787&lt;=8,"B",IF(F2787&lt;=10,"C","D"))))</f>
        <v/>
      </c>
      <c r="H2787" s="28"/>
      <c r="I2787" s="27"/>
      <c r="J2787" s="26"/>
      <c r="K2787" s="27"/>
      <c r="L2787" s="27"/>
      <c r="M2787" s="27"/>
      <c r="N2787" s="27"/>
      <c r="O2787" s="24" t="str">
        <f aca="false">IF(G2787="","",VLOOKUP(G2787,Setup!$A$14:$C$17,3,0))</f>
        <v/>
      </c>
      <c r="P2787" s="27"/>
      <c r="Q2787" s="29" t="str">
        <f aca="false">IF(OR(P2787="",M2787&lt;&gt;"Paid",O2787=""),"",P2787/O2787)</f>
        <v/>
      </c>
      <c r="R2787" s="30" t="str">
        <f aca="false">IF(Q2787="","",Q2787+N(H2787)*0.000000001)</f>
        <v/>
      </c>
      <c r="S2787" s="25" t="str">
        <f aca="false">IF(R2787="","",SUMPRODUCT((I$5:I$4004=I2787)*ISNUMBER(R$5:R$4004)*(R$5:R$4004&gt;R2787))+1)</f>
        <v/>
      </c>
      <c r="T2787" s="25" t="str">
        <f aca="false">IF(S2787="","",IF(S2787&lt;=Setup!$B$5,"🏆 WINNER",""))</f>
        <v/>
      </c>
      <c r="U2787" s="24" t="str">
        <f aca="false">IF(S2787="","",I2787&amp;"|"&amp;S2787)</f>
        <v/>
      </c>
    </row>
    <row r="2788" customFormat="false" ht="15" hidden="false" customHeight="false" outlineLevel="0" collapsed="false">
      <c r="A2788" s="31" t="n">
        <v>2784</v>
      </c>
      <c r="B2788" s="32" t="str">
        <f aca="false">IF(OR(C2788="",I2788="",G2788=""),"",IFERROR(VLOOKUP(I2788,Setup!$A$9:$B$11,2,0),"???")&amp;"-"&amp;G2788&amp;"-"&amp;TEXT(COUNTIFS(I$5:I2788,I2788,G$5:G2788,G2788),"0000"))</f>
        <v/>
      </c>
      <c r="C2788" s="26"/>
      <c r="D2788" s="26"/>
      <c r="E2788" s="27"/>
      <c r="F2788" s="27"/>
      <c r="G2788" s="31" t="str">
        <f aca="false">IF(F2788="","",IF(F2788&lt;=5,"A",IF(F2788&lt;=8,"B",IF(F2788&lt;=10,"C","D"))))</f>
        <v/>
      </c>
      <c r="H2788" s="28"/>
      <c r="I2788" s="27"/>
      <c r="J2788" s="26"/>
      <c r="K2788" s="27"/>
      <c r="L2788" s="27"/>
      <c r="M2788" s="27"/>
      <c r="N2788" s="27"/>
      <c r="O2788" s="31" t="str">
        <f aca="false">IF(G2788="","",VLOOKUP(G2788,Setup!$A$14:$C$17,3,0))</f>
        <v/>
      </c>
      <c r="P2788" s="27"/>
      <c r="Q2788" s="33" t="str">
        <f aca="false">IF(OR(P2788="",M2788&lt;&gt;"Paid",O2788=""),"",P2788/O2788)</f>
        <v/>
      </c>
      <c r="R2788" s="34" t="str">
        <f aca="false">IF(Q2788="","",Q2788+N(H2788)*0.000000001)</f>
        <v/>
      </c>
      <c r="S2788" s="32" t="str">
        <f aca="false">IF(R2788="","",SUMPRODUCT((I$5:I$4004=I2788)*ISNUMBER(R$5:R$4004)*(R$5:R$4004&gt;R2788))+1)</f>
        <v/>
      </c>
      <c r="T2788" s="32" t="str">
        <f aca="false">IF(S2788="","",IF(S2788&lt;=Setup!$B$5,"🏆 WINNER",""))</f>
        <v/>
      </c>
      <c r="U2788" s="31" t="str">
        <f aca="false">IF(S2788="","",I2788&amp;"|"&amp;S2788)</f>
        <v/>
      </c>
    </row>
    <row r="2789" customFormat="false" ht="15" hidden="false" customHeight="false" outlineLevel="0" collapsed="false">
      <c r="A2789" s="24" t="n">
        <v>2785</v>
      </c>
      <c r="B2789" s="25" t="str">
        <f aca="false">IF(OR(C2789="",I2789="",G2789=""),"",IFERROR(VLOOKUP(I2789,Setup!$A$9:$B$11,2,0),"???")&amp;"-"&amp;G2789&amp;"-"&amp;TEXT(COUNTIFS(I$5:I2789,I2789,G$5:G2789,G2789),"0000"))</f>
        <v/>
      </c>
      <c r="C2789" s="26"/>
      <c r="D2789" s="26"/>
      <c r="E2789" s="27"/>
      <c r="F2789" s="27"/>
      <c r="G2789" s="24" t="str">
        <f aca="false">IF(F2789="","",IF(F2789&lt;=5,"A",IF(F2789&lt;=8,"B",IF(F2789&lt;=10,"C","D"))))</f>
        <v/>
      </c>
      <c r="H2789" s="28"/>
      <c r="I2789" s="27"/>
      <c r="J2789" s="26"/>
      <c r="K2789" s="27"/>
      <c r="L2789" s="27"/>
      <c r="M2789" s="27"/>
      <c r="N2789" s="27"/>
      <c r="O2789" s="24" t="str">
        <f aca="false">IF(G2789="","",VLOOKUP(G2789,Setup!$A$14:$C$17,3,0))</f>
        <v/>
      </c>
      <c r="P2789" s="27"/>
      <c r="Q2789" s="29" t="str">
        <f aca="false">IF(OR(P2789="",M2789&lt;&gt;"Paid",O2789=""),"",P2789/O2789)</f>
        <v/>
      </c>
      <c r="R2789" s="30" t="str">
        <f aca="false">IF(Q2789="","",Q2789+N(H2789)*0.000000001)</f>
        <v/>
      </c>
      <c r="S2789" s="25" t="str">
        <f aca="false">IF(R2789="","",SUMPRODUCT((I$5:I$4004=I2789)*ISNUMBER(R$5:R$4004)*(R$5:R$4004&gt;R2789))+1)</f>
        <v/>
      </c>
      <c r="T2789" s="25" t="str">
        <f aca="false">IF(S2789="","",IF(S2789&lt;=Setup!$B$5,"🏆 WINNER",""))</f>
        <v/>
      </c>
      <c r="U2789" s="24" t="str">
        <f aca="false">IF(S2789="","",I2789&amp;"|"&amp;S2789)</f>
        <v/>
      </c>
    </row>
    <row r="2790" customFormat="false" ht="15" hidden="false" customHeight="false" outlineLevel="0" collapsed="false">
      <c r="A2790" s="31" t="n">
        <v>2786</v>
      </c>
      <c r="B2790" s="32" t="str">
        <f aca="false">IF(OR(C2790="",I2790="",G2790=""),"",IFERROR(VLOOKUP(I2790,Setup!$A$9:$B$11,2,0),"???")&amp;"-"&amp;G2790&amp;"-"&amp;TEXT(COUNTIFS(I$5:I2790,I2790,G$5:G2790,G2790),"0000"))</f>
        <v/>
      </c>
      <c r="C2790" s="26"/>
      <c r="D2790" s="26"/>
      <c r="E2790" s="27"/>
      <c r="F2790" s="27"/>
      <c r="G2790" s="31" t="str">
        <f aca="false">IF(F2790="","",IF(F2790&lt;=5,"A",IF(F2790&lt;=8,"B",IF(F2790&lt;=10,"C","D"))))</f>
        <v/>
      </c>
      <c r="H2790" s="28"/>
      <c r="I2790" s="27"/>
      <c r="J2790" s="26"/>
      <c r="K2790" s="27"/>
      <c r="L2790" s="27"/>
      <c r="M2790" s="27"/>
      <c r="N2790" s="27"/>
      <c r="O2790" s="31" t="str">
        <f aca="false">IF(G2790="","",VLOOKUP(G2790,Setup!$A$14:$C$17,3,0))</f>
        <v/>
      </c>
      <c r="P2790" s="27"/>
      <c r="Q2790" s="33" t="str">
        <f aca="false">IF(OR(P2790="",M2790&lt;&gt;"Paid",O2790=""),"",P2790/O2790)</f>
        <v/>
      </c>
      <c r="R2790" s="34" t="str">
        <f aca="false">IF(Q2790="","",Q2790+N(H2790)*0.000000001)</f>
        <v/>
      </c>
      <c r="S2790" s="32" t="str">
        <f aca="false">IF(R2790="","",SUMPRODUCT((I$5:I$4004=I2790)*ISNUMBER(R$5:R$4004)*(R$5:R$4004&gt;R2790))+1)</f>
        <v/>
      </c>
      <c r="T2790" s="32" t="str">
        <f aca="false">IF(S2790="","",IF(S2790&lt;=Setup!$B$5,"🏆 WINNER",""))</f>
        <v/>
      </c>
      <c r="U2790" s="31" t="str">
        <f aca="false">IF(S2790="","",I2790&amp;"|"&amp;S2790)</f>
        <v/>
      </c>
    </row>
    <row r="2791" customFormat="false" ht="15" hidden="false" customHeight="false" outlineLevel="0" collapsed="false">
      <c r="A2791" s="24" t="n">
        <v>2787</v>
      </c>
      <c r="B2791" s="25" t="str">
        <f aca="false">IF(OR(C2791="",I2791="",G2791=""),"",IFERROR(VLOOKUP(I2791,Setup!$A$9:$B$11,2,0),"???")&amp;"-"&amp;G2791&amp;"-"&amp;TEXT(COUNTIFS(I$5:I2791,I2791,G$5:G2791,G2791),"0000"))</f>
        <v/>
      </c>
      <c r="C2791" s="26"/>
      <c r="D2791" s="26"/>
      <c r="E2791" s="27"/>
      <c r="F2791" s="27"/>
      <c r="G2791" s="24" t="str">
        <f aca="false">IF(F2791="","",IF(F2791&lt;=5,"A",IF(F2791&lt;=8,"B",IF(F2791&lt;=10,"C","D"))))</f>
        <v/>
      </c>
      <c r="H2791" s="28"/>
      <c r="I2791" s="27"/>
      <c r="J2791" s="26"/>
      <c r="K2791" s="27"/>
      <c r="L2791" s="27"/>
      <c r="M2791" s="27"/>
      <c r="N2791" s="27"/>
      <c r="O2791" s="24" t="str">
        <f aca="false">IF(G2791="","",VLOOKUP(G2791,Setup!$A$14:$C$17,3,0))</f>
        <v/>
      </c>
      <c r="P2791" s="27"/>
      <c r="Q2791" s="29" t="str">
        <f aca="false">IF(OR(P2791="",M2791&lt;&gt;"Paid",O2791=""),"",P2791/O2791)</f>
        <v/>
      </c>
      <c r="R2791" s="30" t="str">
        <f aca="false">IF(Q2791="","",Q2791+N(H2791)*0.000000001)</f>
        <v/>
      </c>
      <c r="S2791" s="25" t="str">
        <f aca="false">IF(R2791="","",SUMPRODUCT((I$5:I$4004=I2791)*ISNUMBER(R$5:R$4004)*(R$5:R$4004&gt;R2791))+1)</f>
        <v/>
      </c>
      <c r="T2791" s="25" t="str">
        <f aca="false">IF(S2791="","",IF(S2791&lt;=Setup!$B$5,"🏆 WINNER",""))</f>
        <v/>
      </c>
      <c r="U2791" s="24" t="str">
        <f aca="false">IF(S2791="","",I2791&amp;"|"&amp;S2791)</f>
        <v/>
      </c>
    </row>
    <row r="2792" customFormat="false" ht="15" hidden="false" customHeight="false" outlineLevel="0" collapsed="false">
      <c r="A2792" s="31" t="n">
        <v>2788</v>
      </c>
      <c r="B2792" s="32" t="str">
        <f aca="false">IF(OR(C2792="",I2792="",G2792=""),"",IFERROR(VLOOKUP(I2792,Setup!$A$9:$B$11,2,0),"???")&amp;"-"&amp;G2792&amp;"-"&amp;TEXT(COUNTIFS(I$5:I2792,I2792,G$5:G2792,G2792),"0000"))</f>
        <v/>
      </c>
      <c r="C2792" s="26"/>
      <c r="D2792" s="26"/>
      <c r="E2792" s="27"/>
      <c r="F2792" s="27"/>
      <c r="G2792" s="31" t="str">
        <f aca="false">IF(F2792="","",IF(F2792&lt;=5,"A",IF(F2792&lt;=8,"B",IF(F2792&lt;=10,"C","D"))))</f>
        <v/>
      </c>
      <c r="H2792" s="28"/>
      <c r="I2792" s="27"/>
      <c r="J2792" s="26"/>
      <c r="K2792" s="27"/>
      <c r="L2792" s="27"/>
      <c r="M2792" s="27"/>
      <c r="N2792" s="27"/>
      <c r="O2792" s="31" t="str">
        <f aca="false">IF(G2792="","",VLOOKUP(G2792,Setup!$A$14:$C$17,3,0))</f>
        <v/>
      </c>
      <c r="P2792" s="27"/>
      <c r="Q2792" s="33" t="str">
        <f aca="false">IF(OR(P2792="",M2792&lt;&gt;"Paid",O2792=""),"",P2792/O2792)</f>
        <v/>
      </c>
      <c r="R2792" s="34" t="str">
        <f aca="false">IF(Q2792="","",Q2792+N(H2792)*0.000000001)</f>
        <v/>
      </c>
      <c r="S2792" s="32" t="str">
        <f aca="false">IF(R2792="","",SUMPRODUCT((I$5:I$4004=I2792)*ISNUMBER(R$5:R$4004)*(R$5:R$4004&gt;R2792))+1)</f>
        <v/>
      </c>
      <c r="T2792" s="32" t="str">
        <f aca="false">IF(S2792="","",IF(S2792&lt;=Setup!$B$5,"🏆 WINNER",""))</f>
        <v/>
      </c>
      <c r="U2792" s="31" t="str">
        <f aca="false">IF(S2792="","",I2792&amp;"|"&amp;S2792)</f>
        <v/>
      </c>
    </row>
    <row r="2793" customFormat="false" ht="15" hidden="false" customHeight="false" outlineLevel="0" collapsed="false">
      <c r="A2793" s="24" t="n">
        <v>2789</v>
      </c>
      <c r="B2793" s="25" t="str">
        <f aca="false">IF(OR(C2793="",I2793="",G2793=""),"",IFERROR(VLOOKUP(I2793,Setup!$A$9:$B$11,2,0),"???")&amp;"-"&amp;G2793&amp;"-"&amp;TEXT(COUNTIFS(I$5:I2793,I2793,G$5:G2793,G2793),"0000"))</f>
        <v/>
      </c>
      <c r="C2793" s="26"/>
      <c r="D2793" s="26"/>
      <c r="E2793" s="27"/>
      <c r="F2793" s="27"/>
      <c r="G2793" s="24" t="str">
        <f aca="false">IF(F2793="","",IF(F2793&lt;=5,"A",IF(F2793&lt;=8,"B",IF(F2793&lt;=10,"C","D"))))</f>
        <v/>
      </c>
      <c r="H2793" s="28"/>
      <c r="I2793" s="27"/>
      <c r="J2793" s="26"/>
      <c r="K2793" s="27"/>
      <c r="L2793" s="27"/>
      <c r="M2793" s="27"/>
      <c r="N2793" s="27"/>
      <c r="O2793" s="24" t="str">
        <f aca="false">IF(G2793="","",VLOOKUP(G2793,Setup!$A$14:$C$17,3,0))</f>
        <v/>
      </c>
      <c r="P2793" s="27"/>
      <c r="Q2793" s="29" t="str">
        <f aca="false">IF(OR(P2793="",M2793&lt;&gt;"Paid",O2793=""),"",P2793/O2793)</f>
        <v/>
      </c>
      <c r="R2793" s="30" t="str">
        <f aca="false">IF(Q2793="","",Q2793+N(H2793)*0.000000001)</f>
        <v/>
      </c>
      <c r="S2793" s="25" t="str">
        <f aca="false">IF(R2793="","",SUMPRODUCT((I$5:I$4004=I2793)*ISNUMBER(R$5:R$4004)*(R$5:R$4004&gt;R2793))+1)</f>
        <v/>
      </c>
      <c r="T2793" s="25" t="str">
        <f aca="false">IF(S2793="","",IF(S2793&lt;=Setup!$B$5,"🏆 WINNER",""))</f>
        <v/>
      </c>
      <c r="U2793" s="24" t="str">
        <f aca="false">IF(S2793="","",I2793&amp;"|"&amp;S2793)</f>
        <v/>
      </c>
    </row>
    <row r="2794" customFormat="false" ht="15" hidden="false" customHeight="false" outlineLevel="0" collapsed="false">
      <c r="A2794" s="31" t="n">
        <v>2790</v>
      </c>
      <c r="B2794" s="32" t="str">
        <f aca="false">IF(OR(C2794="",I2794="",G2794=""),"",IFERROR(VLOOKUP(I2794,Setup!$A$9:$B$11,2,0),"???")&amp;"-"&amp;G2794&amp;"-"&amp;TEXT(COUNTIFS(I$5:I2794,I2794,G$5:G2794,G2794),"0000"))</f>
        <v/>
      </c>
      <c r="C2794" s="26"/>
      <c r="D2794" s="26"/>
      <c r="E2794" s="27"/>
      <c r="F2794" s="27"/>
      <c r="G2794" s="31" t="str">
        <f aca="false">IF(F2794="","",IF(F2794&lt;=5,"A",IF(F2794&lt;=8,"B",IF(F2794&lt;=10,"C","D"))))</f>
        <v/>
      </c>
      <c r="H2794" s="28"/>
      <c r="I2794" s="27"/>
      <c r="J2794" s="26"/>
      <c r="K2794" s="27"/>
      <c r="L2794" s="27"/>
      <c r="M2794" s="27"/>
      <c r="N2794" s="27"/>
      <c r="O2794" s="31" t="str">
        <f aca="false">IF(G2794="","",VLOOKUP(G2794,Setup!$A$14:$C$17,3,0))</f>
        <v/>
      </c>
      <c r="P2794" s="27"/>
      <c r="Q2794" s="33" t="str">
        <f aca="false">IF(OR(P2794="",M2794&lt;&gt;"Paid",O2794=""),"",P2794/O2794)</f>
        <v/>
      </c>
      <c r="R2794" s="34" t="str">
        <f aca="false">IF(Q2794="","",Q2794+N(H2794)*0.000000001)</f>
        <v/>
      </c>
      <c r="S2794" s="32" t="str">
        <f aca="false">IF(R2794="","",SUMPRODUCT((I$5:I$4004=I2794)*ISNUMBER(R$5:R$4004)*(R$5:R$4004&gt;R2794))+1)</f>
        <v/>
      </c>
      <c r="T2794" s="32" t="str">
        <f aca="false">IF(S2794="","",IF(S2794&lt;=Setup!$B$5,"🏆 WINNER",""))</f>
        <v/>
      </c>
      <c r="U2794" s="31" t="str">
        <f aca="false">IF(S2794="","",I2794&amp;"|"&amp;S2794)</f>
        <v/>
      </c>
    </row>
    <row r="2795" customFormat="false" ht="15" hidden="false" customHeight="false" outlineLevel="0" collapsed="false">
      <c r="A2795" s="24" t="n">
        <v>2791</v>
      </c>
      <c r="B2795" s="25" t="str">
        <f aca="false">IF(OR(C2795="",I2795="",G2795=""),"",IFERROR(VLOOKUP(I2795,Setup!$A$9:$B$11,2,0),"???")&amp;"-"&amp;G2795&amp;"-"&amp;TEXT(COUNTIFS(I$5:I2795,I2795,G$5:G2795,G2795),"0000"))</f>
        <v/>
      </c>
      <c r="C2795" s="26"/>
      <c r="D2795" s="26"/>
      <c r="E2795" s="27"/>
      <c r="F2795" s="27"/>
      <c r="G2795" s="24" t="str">
        <f aca="false">IF(F2795="","",IF(F2795&lt;=5,"A",IF(F2795&lt;=8,"B",IF(F2795&lt;=10,"C","D"))))</f>
        <v/>
      </c>
      <c r="H2795" s="28"/>
      <c r="I2795" s="27"/>
      <c r="J2795" s="26"/>
      <c r="K2795" s="27"/>
      <c r="L2795" s="27"/>
      <c r="M2795" s="27"/>
      <c r="N2795" s="27"/>
      <c r="O2795" s="24" t="str">
        <f aca="false">IF(G2795="","",VLOOKUP(G2795,Setup!$A$14:$C$17,3,0))</f>
        <v/>
      </c>
      <c r="P2795" s="27"/>
      <c r="Q2795" s="29" t="str">
        <f aca="false">IF(OR(P2795="",M2795&lt;&gt;"Paid",O2795=""),"",P2795/O2795)</f>
        <v/>
      </c>
      <c r="R2795" s="30" t="str">
        <f aca="false">IF(Q2795="","",Q2795+N(H2795)*0.000000001)</f>
        <v/>
      </c>
      <c r="S2795" s="25" t="str">
        <f aca="false">IF(R2795="","",SUMPRODUCT((I$5:I$4004=I2795)*ISNUMBER(R$5:R$4004)*(R$5:R$4004&gt;R2795))+1)</f>
        <v/>
      </c>
      <c r="T2795" s="25" t="str">
        <f aca="false">IF(S2795="","",IF(S2795&lt;=Setup!$B$5,"🏆 WINNER",""))</f>
        <v/>
      </c>
      <c r="U2795" s="24" t="str">
        <f aca="false">IF(S2795="","",I2795&amp;"|"&amp;S2795)</f>
        <v/>
      </c>
    </row>
    <row r="2796" customFormat="false" ht="15" hidden="false" customHeight="false" outlineLevel="0" collapsed="false">
      <c r="A2796" s="31" t="n">
        <v>2792</v>
      </c>
      <c r="B2796" s="32" t="str">
        <f aca="false">IF(OR(C2796="",I2796="",G2796=""),"",IFERROR(VLOOKUP(I2796,Setup!$A$9:$B$11,2,0),"???")&amp;"-"&amp;G2796&amp;"-"&amp;TEXT(COUNTIFS(I$5:I2796,I2796,G$5:G2796,G2796),"0000"))</f>
        <v/>
      </c>
      <c r="C2796" s="26"/>
      <c r="D2796" s="26"/>
      <c r="E2796" s="27"/>
      <c r="F2796" s="27"/>
      <c r="G2796" s="31" t="str">
        <f aca="false">IF(F2796="","",IF(F2796&lt;=5,"A",IF(F2796&lt;=8,"B",IF(F2796&lt;=10,"C","D"))))</f>
        <v/>
      </c>
      <c r="H2796" s="28"/>
      <c r="I2796" s="27"/>
      <c r="J2796" s="26"/>
      <c r="K2796" s="27"/>
      <c r="L2796" s="27"/>
      <c r="M2796" s="27"/>
      <c r="N2796" s="27"/>
      <c r="O2796" s="31" t="str">
        <f aca="false">IF(G2796="","",VLOOKUP(G2796,Setup!$A$14:$C$17,3,0))</f>
        <v/>
      </c>
      <c r="P2796" s="27"/>
      <c r="Q2796" s="33" t="str">
        <f aca="false">IF(OR(P2796="",M2796&lt;&gt;"Paid",O2796=""),"",P2796/O2796)</f>
        <v/>
      </c>
      <c r="R2796" s="34" t="str">
        <f aca="false">IF(Q2796="","",Q2796+N(H2796)*0.000000001)</f>
        <v/>
      </c>
      <c r="S2796" s="32" t="str">
        <f aca="false">IF(R2796="","",SUMPRODUCT((I$5:I$4004=I2796)*ISNUMBER(R$5:R$4004)*(R$5:R$4004&gt;R2796))+1)</f>
        <v/>
      </c>
      <c r="T2796" s="32" t="str">
        <f aca="false">IF(S2796="","",IF(S2796&lt;=Setup!$B$5,"🏆 WINNER",""))</f>
        <v/>
      </c>
      <c r="U2796" s="31" t="str">
        <f aca="false">IF(S2796="","",I2796&amp;"|"&amp;S2796)</f>
        <v/>
      </c>
    </row>
    <row r="2797" customFormat="false" ht="15" hidden="false" customHeight="false" outlineLevel="0" collapsed="false">
      <c r="A2797" s="24" t="n">
        <v>2793</v>
      </c>
      <c r="B2797" s="25" t="str">
        <f aca="false">IF(OR(C2797="",I2797="",G2797=""),"",IFERROR(VLOOKUP(I2797,Setup!$A$9:$B$11,2,0),"???")&amp;"-"&amp;G2797&amp;"-"&amp;TEXT(COUNTIFS(I$5:I2797,I2797,G$5:G2797,G2797),"0000"))</f>
        <v/>
      </c>
      <c r="C2797" s="26"/>
      <c r="D2797" s="26"/>
      <c r="E2797" s="27"/>
      <c r="F2797" s="27"/>
      <c r="G2797" s="24" t="str">
        <f aca="false">IF(F2797="","",IF(F2797&lt;=5,"A",IF(F2797&lt;=8,"B",IF(F2797&lt;=10,"C","D"))))</f>
        <v/>
      </c>
      <c r="H2797" s="28"/>
      <c r="I2797" s="27"/>
      <c r="J2797" s="26"/>
      <c r="K2797" s="27"/>
      <c r="L2797" s="27"/>
      <c r="M2797" s="27"/>
      <c r="N2797" s="27"/>
      <c r="O2797" s="24" t="str">
        <f aca="false">IF(G2797="","",VLOOKUP(G2797,Setup!$A$14:$C$17,3,0))</f>
        <v/>
      </c>
      <c r="P2797" s="27"/>
      <c r="Q2797" s="29" t="str">
        <f aca="false">IF(OR(P2797="",M2797&lt;&gt;"Paid",O2797=""),"",P2797/O2797)</f>
        <v/>
      </c>
      <c r="R2797" s="30" t="str">
        <f aca="false">IF(Q2797="","",Q2797+N(H2797)*0.000000001)</f>
        <v/>
      </c>
      <c r="S2797" s="25" t="str">
        <f aca="false">IF(R2797="","",SUMPRODUCT((I$5:I$4004=I2797)*ISNUMBER(R$5:R$4004)*(R$5:R$4004&gt;R2797))+1)</f>
        <v/>
      </c>
      <c r="T2797" s="25" t="str">
        <f aca="false">IF(S2797="","",IF(S2797&lt;=Setup!$B$5,"🏆 WINNER",""))</f>
        <v/>
      </c>
      <c r="U2797" s="24" t="str">
        <f aca="false">IF(S2797="","",I2797&amp;"|"&amp;S2797)</f>
        <v/>
      </c>
    </row>
    <row r="2798" customFormat="false" ht="15" hidden="false" customHeight="false" outlineLevel="0" collapsed="false">
      <c r="A2798" s="31" t="n">
        <v>2794</v>
      </c>
      <c r="B2798" s="32" t="str">
        <f aca="false">IF(OR(C2798="",I2798="",G2798=""),"",IFERROR(VLOOKUP(I2798,Setup!$A$9:$B$11,2,0),"???")&amp;"-"&amp;G2798&amp;"-"&amp;TEXT(COUNTIFS(I$5:I2798,I2798,G$5:G2798,G2798),"0000"))</f>
        <v/>
      </c>
      <c r="C2798" s="26"/>
      <c r="D2798" s="26"/>
      <c r="E2798" s="27"/>
      <c r="F2798" s="27"/>
      <c r="G2798" s="31" t="str">
        <f aca="false">IF(F2798="","",IF(F2798&lt;=5,"A",IF(F2798&lt;=8,"B",IF(F2798&lt;=10,"C","D"))))</f>
        <v/>
      </c>
      <c r="H2798" s="28"/>
      <c r="I2798" s="27"/>
      <c r="J2798" s="26"/>
      <c r="K2798" s="27"/>
      <c r="L2798" s="27"/>
      <c r="M2798" s="27"/>
      <c r="N2798" s="27"/>
      <c r="O2798" s="31" t="str">
        <f aca="false">IF(G2798="","",VLOOKUP(G2798,Setup!$A$14:$C$17,3,0))</f>
        <v/>
      </c>
      <c r="P2798" s="27"/>
      <c r="Q2798" s="33" t="str">
        <f aca="false">IF(OR(P2798="",M2798&lt;&gt;"Paid",O2798=""),"",P2798/O2798)</f>
        <v/>
      </c>
      <c r="R2798" s="34" t="str">
        <f aca="false">IF(Q2798="","",Q2798+N(H2798)*0.000000001)</f>
        <v/>
      </c>
      <c r="S2798" s="32" t="str">
        <f aca="false">IF(R2798="","",SUMPRODUCT((I$5:I$4004=I2798)*ISNUMBER(R$5:R$4004)*(R$5:R$4004&gt;R2798))+1)</f>
        <v/>
      </c>
      <c r="T2798" s="32" t="str">
        <f aca="false">IF(S2798="","",IF(S2798&lt;=Setup!$B$5,"🏆 WINNER",""))</f>
        <v/>
      </c>
      <c r="U2798" s="31" t="str">
        <f aca="false">IF(S2798="","",I2798&amp;"|"&amp;S2798)</f>
        <v/>
      </c>
    </row>
    <row r="2799" customFormat="false" ht="15" hidden="false" customHeight="false" outlineLevel="0" collapsed="false">
      <c r="A2799" s="24" t="n">
        <v>2795</v>
      </c>
      <c r="B2799" s="25" t="str">
        <f aca="false">IF(OR(C2799="",I2799="",G2799=""),"",IFERROR(VLOOKUP(I2799,Setup!$A$9:$B$11,2,0),"???")&amp;"-"&amp;G2799&amp;"-"&amp;TEXT(COUNTIFS(I$5:I2799,I2799,G$5:G2799,G2799),"0000"))</f>
        <v/>
      </c>
      <c r="C2799" s="26"/>
      <c r="D2799" s="26"/>
      <c r="E2799" s="27"/>
      <c r="F2799" s="27"/>
      <c r="G2799" s="24" t="str">
        <f aca="false">IF(F2799="","",IF(F2799&lt;=5,"A",IF(F2799&lt;=8,"B",IF(F2799&lt;=10,"C","D"))))</f>
        <v/>
      </c>
      <c r="H2799" s="28"/>
      <c r="I2799" s="27"/>
      <c r="J2799" s="26"/>
      <c r="K2799" s="27"/>
      <c r="L2799" s="27"/>
      <c r="M2799" s="27"/>
      <c r="N2799" s="27"/>
      <c r="O2799" s="24" t="str">
        <f aca="false">IF(G2799="","",VLOOKUP(G2799,Setup!$A$14:$C$17,3,0))</f>
        <v/>
      </c>
      <c r="P2799" s="27"/>
      <c r="Q2799" s="29" t="str">
        <f aca="false">IF(OR(P2799="",M2799&lt;&gt;"Paid",O2799=""),"",P2799/O2799)</f>
        <v/>
      </c>
      <c r="R2799" s="30" t="str">
        <f aca="false">IF(Q2799="","",Q2799+N(H2799)*0.000000001)</f>
        <v/>
      </c>
      <c r="S2799" s="25" t="str">
        <f aca="false">IF(R2799="","",SUMPRODUCT((I$5:I$4004=I2799)*ISNUMBER(R$5:R$4004)*(R$5:R$4004&gt;R2799))+1)</f>
        <v/>
      </c>
      <c r="T2799" s="25" t="str">
        <f aca="false">IF(S2799="","",IF(S2799&lt;=Setup!$B$5,"🏆 WINNER",""))</f>
        <v/>
      </c>
      <c r="U2799" s="24" t="str">
        <f aca="false">IF(S2799="","",I2799&amp;"|"&amp;S2799)</f>
        <v/>
      </c>
    </row>
    <row r="2800" customFormat="false" ht="15" hidden="false" customHeight="false" outlineLevel="0" collapsed="false">
      <c r="A2800" s="31" t="n">
        <v>2796</v>
      </c>
      <c r="B2800" s="32" t="str">
        <f aca="false">IF(OR(C2800="",I2800="",G2800=""),"",IFERROR(VLOOKUP(I2800,Setup!$A$9:$B$11,2,0),"???")&amp;"-"&amp;G2800&amp;"-"&amp;TEXT(COUNTIFS(I$5:I2800,I2800,G$5:G2800,G2800),"0000"))</f>
        <v/>
      </c>
      <c r="C2800" s="26"/>
      <c r="D2800" s="26"/>
      <c r="E2800" s="27"/>
      <c r="F2800" s="27"/>
      <c r="G2800" s="31" t="str">
        <f aca="false">IF(F2800="","",IF(F2800&lt;=5,"A",IF(F2800&lt;=8,"B",IF(F2800&lt;=10,"C","D"))))</f>
        <v/>
      </c>
      <c r="H2800" s="28"/>
      <c r="I2800" s="27"/>
      <c r="J2800" s="26"/>
      <c r="K2800" s="27"/>
      <c r="L2800" s="27"/>
      <c r="M2800" s="27"/>
      <c r="N2800" s="27"/>
      <c r="O2800" s="31" t="str">
        <f aca="false">IF(G2800="","",VLOOKUP(G2800,Setup!$A$14:$C$17,3,0))</f>
        <v/>
      </c>
      <c r="P2800" s="27"/>
      <c r="Q2800" s="33" t="str">
        <f aca="false">IF(OR(P2800="",M2800&lt;&gt;"Paid",O2800=""),"",P2800/O2800)</f>
        <v/>
      </c>
      <c r="R2800" s="34" t="str">
        <f aca="false">IF(Q2800="","",Q2800+N(H2800)*0.000000001)</f>
        <v/>
      </c>
      <c r="S2800" s="32" t="str">
        <f aca="false">IF(R2800="","",SUMPRODUCT((I$5:I$4004=I2800)*ISNUMBER(R$5:R$4004)*(R$5:R$4004&gt;R2800))+1)</f>
        <v/>
      </c>
      <c r="T2800" s="32" t="str">
        <f aca="false">IF(S2800="","",IF(S2800&lt;=Setup!$B$5,"🏆 WINNER",""))</f>
        <v/>
      </c>
      <c r="U2800" s="31" t="str">
        <f aca="false">IF(S2800="","",I2800&amp;"|"&amp;S2800)</f>
        <v/>
      </c>
    </row>
    <row r="2801" customFormat="false" ht="15" hidden="false" customHeight="false" outlineLevel="0" collapsed="false">
      <c r="A2801" s="24" t="n">
        <v>2797</v>
      </c>
      <c r="B2801" s="25" t="str">
        <f aca="false">IF(OR(C2801="",I2801="",G2801=""),"",IFERROR(VLOOKUP(I2801,Setup!$A$9:$B$11,2,0),"???")&amp;"-"&amp;G2801&amp;"-"&amp;TEXT(COUNTIFS(I$5:I2801,I2801,G$5:G2801,G2801),"0000"))</f>
        <v/>
      </c>
      <c r="C2801" s="26"/>
      <c r="D2801" s="26"/>
      <c r="E2801" s="27"/>
      <c r="F2801" s="27"/>
      <c r="G2801" s="24" t="str">
        <f aca="false">IF(F2801="","",IF(F2801&lt;=5,"A",IF(F2801&lt;=8,"B",IF(F2801&lt;=10,"C","D"))))</f>
        <v/>
      </c>
      <c r="H2801" s="28"/>
      <c r="I2801" s="27"/>
      <c r="J2801" s="26"/>
      <c r="K2801" s="27"/>
      <c r="L2801" s="27"/>
      <c r="M2801" s="27"/>
      <c r="N2801" s="27"/>
      <c r="O2801" s="24" t="str">
        <f aca="false">IF(G2801="","",VLOOKUP(G2801,Setup!$A$14:$C$17,3,0))</f>
        <v/>
      </c>
      <c r="P2801" s="27"/>
      <c r="Q2801" s="29" t="str">
        <f aca="false">IF(OR(P2801="",M2801&lt;&gt;"Paid",O2801=""),"",P2801/O2801)</f>
        <v/>
      </c>
      <c r="R2801" s="30" t="str">
        <f aca="false">IF(Q2801="","",Q2801+N(H2801)*0.000000001)</f>
        <v/>
      </c>
      <c r="S2801" s="25" t="str">
        <f aca="false">IF(R2801="","",SUMPRODUCT((I$5:I$4004=I2801)*ISNUMBER(R$5:R$4004)*(R$5:R$4004&gt;R2801))+1)</f>
        <v/>
      </c>
      <c r="T2801" s="25" t="str">
        <f aca="false">IF(S2801="","",IF(S2801&lt;=Setup!$B$5,"🏆 WINNER",""))</f>
        <v/>
      </c>
      <c r="U2801" s="24" t="str">
        <f aca="false">IF(S2801="","",I2801&amp;"|"&amp;S2801)</f>
        <v/>
      </c>
    </row>
    <row r="2802" customFormat="false" ht="15" hidden="false" customHeight="false" outlineLevel="0" collapsed="false">
      <c r="A2802" s="31" t="n">
        <v>2798</v>
      </c>
      <c r="B2802" s="32" t="str">
        <f aca="false">IF(OR(C2802="",I2802="",G2802=""),"",IFERROR(VLOOKUP(I2802,Setup!$A$9:$B$11,2,0),"???")&amp;"-"&amp;G2802&amp;"-"&amp;TEXT(COUNTIFS(I$5:I2802,I2802,G$5:G2802,G2802),"0000"))</f>
        <v/>
      </c>
      <c r="C2802" s="26"/>
      <c r="D2802" s="26"/>
      <c r="E2802" s="27"/>
      <c r="F2802" s="27"/>
      <c r="G2802" s="31" t="str">
        <f aca="false">IF(F2802="","",IF(F2802&lt;=5,"A",IF(F2802&lt;=8,"B",IF(F2802&lt;=10,"C","D"))))</f>
        <v/>
      </c>
      <c r="H2802" s="28"/>
      <c r="I2802" s="27"/>
      <c r="J2802" s="26"/>
      <c r="K2802" s="27"/>
      <c r="L2802" s="27"/>
      <c r="M2802" s="27"/>
      <c r="N2802" s="27"/>
      <c r="O2802" s="31" t="str">
        <f aca="false">IF(G2802="","",VLOOKUP(G2802,Setup!$A$14:$C$17,3,0))</f>
        <v/>
      </c>
      <c r="P2802" s="27"/>
      <c r="Q2802" s="33" t="str">
        <f aca="false">IF(OR(P2802="",M2802&lt;&gt;"Paid",O2802=""),"",P2802/O2802)</f>
        <v/>
      </c>
      <c r="R2802" s="34" t="str">
        <f aca="false">IF(Q2802="","",Q2802+N(H2802)*0.000000001)</f>
        <v/>
      </c>
      <c r="S2802" s="32" t="str">
        <f aca="false">IF(R2802="","",SUMPRODUCT((I$5:I$4004=I2802)*ISNUMBER(R$5:R$4004)*(R$5:R$4004&gt;R2802))+1)</f>
        <v/>
      </c>
      <c r="T2802" s="32" t="str">
        <f aca="false">IF(S2802="","",IF(S2802&lt;=Setup!$B$5,"🏆 WINNER",""))</f>
        <v/>
      </c>
      <c r="U2802" s="31" t="str">
        <f aca="false">IF(S2802="","",I2802&amp;"|"&amp;S2802)</f>
        <v/>
      </c>
    </row>
    <row r="2803" customFormat="false" ht="15" hidden="false" customHeight="false" outlineLevel="0" collapsed="false">
      <c r="A2803" s="24" t="n">
        <v>2799</v>
      </c>
      <c r="B2803" s="25" t="str">
        <f aca="false">IF(OR(C2803="",I2803="",G2803=""),"",IFERROR(VLOOKUP(I2803,Setup!$A$9:$B$11,2,0),"???")&amp;"-"&amp;G2803&amp;"-"&amp;TEXT(COUNTIFS(I$5:I2803,I2803,G$5:G2803,G2803),"0000"))</f>
        <v/>
      </c>
      <c r="C2803" s="26"/>
      <c r="D2803" s="26"/>
      <c r="E2803" s="27"/>
      <c r="F2803" s="27"/>
      <c r="G2803" s="24" t="str">
        <f aca="false">IF(F2803="","",IF(F2803&lt;=5,"A",IF(F2803&lt;=8,"B",IF(F2803&lt;=10,"C","D"))))</f>
        <v/>
      </c>
      <c r="H2803" s="28"/>
      <c r="I2803" s="27"/>
      <c r="J2803" s="26"/>
      <c r="K2803" s="27"/>
      <c r="L2803" s="27"/>
      <c r="M2803" s="27"/>
      <c r="N2803" s="27"/>
      <c r="O2803" s="24" t="str">
        <f aca="false">IF(G2803="","",VLOOKUP(G2803,Setup!$A$14:$C$17,3,0))</f>
        <v/>
      </c>
      <c r="P2803" s="27"/>
      <c r="Q2803" s="29" t="str">
        <f aca="false">IF(OR(P2803="",M2803&lt;&gt;"Paid",O2803=""),"",P2803/O2803)</f>
        <v/>
      </c>
      <c r="R2803" s="30" t="str">
        <f aca="false">IF(Q2803="","",Q2803+N(H2803)*0.000000001)</f>
        <v/>
      </c>
      <c r="S2803" s="25" t="str">
        <f aca="false">IF(R2803="","",SUMPRODUCT((I$5:I$4004=I2803)*ISNUMBER(R$5:R$4004)*(R$5:R$4004&gt;R2803))+1)</f>
        <v/>
      </c>
      <c r="T2803" s="25" t="str">
        <f aca="false">IF(S2803="","",IF(S2803&lt;=Setup!$B$5,"🏆 WINNER",""))</f>
        <v/>
      </c>
      <c r="U2803" s="24" t="str">
        <f aca="false">IF(S2803="","",I2803&amp;"|"&amp;S2803)</f>
        <v/>
      </c>
    </row>
    <row r="2804" customFormat="false" ht="15" hidden="false" customHeight="false" outlineLevel="0" collapsed="false">
      <c r="A2804" s="31" t="n">
        <v>2800</v>
      </c>
      <c r="B2804" s="32" t="str">
        <f aca="false">IF(OR(C2804="",I2804="",G2804=""),"",IFERROR(VLOOKUP(I2804,Setup!$A$9:$B$11,2,0),"???")&amp;"-"&amp;G2804&amp;"-"&amp;TEXT(COUNTIFS(I$5:I2804,I2804,G$5:G2804,G2804),"0000"))</f>
        <v/>
      </c>
      <c r="C2804" s="26"/>
      <c r="D2804" s="26"/>
      <c r="E2804" s="27"/>
      <c r="F2804" s="27"/>
      <c r="G2804" s="31" t="str">
        <f aca="false">IF(F2804="","",IF(F2804&lt;=5,"A",IF(F2804&lt;=8,"B",IF(F2804&lt;=10,"C","D"))))</f>
        <v/>
      </c>
      <c r="H2804" s="28"/>
      <c r="I2804" s="27"/>
      <c r="J2804" s="26"/>
      <c r="K2804" s="27"/>
      <c r="L2804" s="27"/>
      <c r="M2804" s="27"/>
      <c r="N2804" s="27"/>
      <c r="O2804" s="31" t="str">
        <f aca="false">IF(G2804="","",VLOOKUP(G2804,Setup!$A$14:$C$17,3,0))</f>
        <v/>
      </c>
      <c r="P2804" s="27"/>
      <c r="Q2804" s="33" t="str">
        <f aca="false">IF(OR(P2804="",M2804&lt;&gt;"Paid",O2804=""),"",P2804/O2804)</f>
        <v/>
      </c>
      <c r="R2804" s="34" t="str">
        <f aca="false">IF(Q2804="","",Q2804+N(H2804)*0.000000001)</f>
        <v/>
      </c>
      <c r="S2804" s="32" t="str">
        <f aca="false">IF(R2804="","",SUMPRODUCT((I$5:I$4004=I2804)*ISNUMBER(R$5:R$4004)*(R$5:R$4004&gt;R2804))+1)</f>
        <v/>
      </c>
      <c r="T2804" s="32" t="str">
        <f aca="false">IF(S2804="","",IF(S2804&lt;=Setup!$B$5,"🏆 WINNER",""))</f>
        <v/>
      </c>
      <c r="U2804" s="31" t="str">
        <f aca="false">IF(S2804="","",I2804&amp;"|"&amp;S2804)</f>
        <v/>
      </c>
    </row>
    <row r="2805" customFormat="false" ht="15" hidden="false" customHeight="false" outlineLevel="0" collapsed="false">
      <c r="A2805" s="24" t="n">
        <v>2801</v>
      </c>
      <c r="B2805" s="25" t="str">
        <f aca="false">IF(OR(C2805="",I2805="",G2805=""),"",IFERROR(VLOOKUP(I2805,Setup!$A$9:$B$11,2,0),"???")&amp;"-"&amp;G2805&amp;"-"&amp;TEXT(COUNTIFS(I$5:I2805,I2805,G$5:G2805,G2805),"0000"))</f>
        <v/>
      </c>
      <c r="C2805" s="26"/>
      <c r="D2805" s="26"/>
      <c r="E2805" s="27"/>
      <c r="F2805" s="27"/>
      <c r="G2805" s="24" t="str">
        <f aca="false">IF(F2805="","",IF(F2805&lt;=5,"A",IF(F2805&lt;=8,"B",IF(F2805&lt;=10,"C","D"))))</f>
        <v/>
      </c>
      <c r="H2805" s="28"/>
      <c r="I2805" s="27"/>
      <c r="J2805" s="26"/>
      <c r="K2805" s="27"/>
      <c r="L2805" s="27"/>
      <c r="M2805" s="27"/>
      <c r="N2805" s="27"/>
      <c r="O2805" s="24" t="str">
        <f aca="false">IF(G2805="","",VLOOKUP(G2805,Setup!$A$14:$C$17,3,0))</f>
        <v/>
      </c>
      <c r="P2805" s="27"/>
      <c r="Q2805" s="29" t="str">
        <f aca="false">IF(OR(P2805="",M2805&lt;&gt;"Paid",O2805=""),"",P2805/O2805)</f>
        <v/>
      </c>
      <c r="R2805" s="30" t="str">
        <f aca="false">IF(Q2805="","",Q2805+N(H2805)*0.000000001)</f>
        <v/>
      </c>
      <c r="S2805" s="25" t="str">
        <f aca="false">IF(R2805="","",SUMPRODUCT((I$5:I$4004=I2805)*ISNUMBER(R$5:R$4004)*(R$5:R$4004&gt;R2805))+1)</f>
        <v/>
      </c>
      <c r="T2805" s="25" t="str">
        <f aca="false">IF(S2805="","",IF(S2805&lt;=Setup!$B$5,"🏆 WINNER",""))</f>
        <v/>
      </c>
      <c r="U2805" s="24" t="str">
        <f aca="false">IF(S2805="","",I2805&amp;"|"&amp;S2805)</f>
        <v/>
      </c>
    </row>
    <row r="2806" customFormat="false" ht="15" hidden="false" customHeight="false" outlineLevel="0" collapsed="false">
      <c r="A2806" s="31" t="n">
        <v>2802</v>
      </c>
      <c r="B2806" s="32" t="str">
        <f aca="false">IF(OR(C2806="",I2806="",G2806=""),"",IFERROR(VLOOKUP(I2806,Setup!$A$9:$B$11,2,0),"???")&amp;"-"&amp;G2806&amp;"-"&amp;TEXT(COUNTIFS(I$5:I2806,I2806,G$5:G2806,G2806),"0000"))</f>
        <v/>
      </c>
      <c r="C2806" s="26"/>
      <c r="D2806" s="26"/>
      <c r="E2806" s="27"/>
      <c r="F2806" s="27"/>
      <c r="G2806" s="31" t="str">
        <f aca="false">IF(F2806="","",IF(F2806&lt;=5,"A",IF(F2806&lt;=8,"B",IF(F2806&lt;=10,"C","D"))))</f>
        <v/>
      </c>
      <c r="H2806" s="28"/>
      <c r="I2806" s="27"/>
      <c r="J2806" s="26"/>
      <c r="K2806" s="27"/>
      <c r="L2806" s="27"/>
      <c r="M2806" s="27"/>
      <c r="N2806" s="27"/>
      <c r="O2806" s="31" t="str">
        <f aca="false">IF(G2806="","",VLOOKUP(G2806,Setup!$A$14:$C$17,3,0))</f>
        <v/>
      </c>
      <c r="P2806" s="27"/>
      <c r="Q2806" s="33" t="str">
        <f aca="false">IF(OR(P2806="",M2806&lt;&gt;"Paid",O2806=""),"",P2806/O2806)</f>
        <v/>
      </c>
      <c r="R2806" s="34" t="str">
        <f aca="false">IF(Q2806="","",Q2806+N(H2806)*0.000000001)</f>
        <v/>
      </c>
      <c r="S2806" s="32" t="str">
        <f aca="false">IF(R2806="","",SUMPRODUCT((I$5:I$4004=I2806)*ISNUMBER(R$5:R$4004)*(R$5:R$4004&gt;R2806))+1)</f>
        <v/>
      </c>
      <c r="T2806" s="32" t="str">
        <f aca="false">IF(S2806="","",IF(S2806&lt;=Setup!$B$5,"🏆 WINNER",""))</f>
        <v/>
      </c>
      <c r="U2806" s="31" t="str">
        <f aca="false">IF(S2806="","",I2806&amp;"|"&amp;S2806)</f>
        <v/>
      </c>
    </row>
    <row r="2807" customFormat="false" ht="15" hidden="false" customHeight="false" outlineLevel="0" collapsed="false">
      <c r="A2807" s="24" t="n">
        <v>2803</v>
      </c>
      <c r="B2807" s="25" t="str">
        <f aca="false">IF(OR(C2807="",I2807="",G2807=""),"",IFERROR(VLOOKUP(I2807,Setup!$A$9:$B$11,2,0),"???")&amp;"-"&amp;G2807&amp;"-"&amp;TEXT(COUNTIFS(I$5:I2807,I2807,G$5:G2807,G2807),"0000"))</f>
        <v/>
      </c>
      <c r="C2807" s="26"/>
      <c r="D2807" s="26"/>
      <c r="E2807" s="27"/>
      <c r="F2807" s="27"/>
      <c r="G2807" s="24" t="str">
        <f aca="false">IF(F2807="","",IF(F2807&lt;=5,"A",IF(F2807&lt;=8,"B",IF(F2807&lt;=10,"C","D"))))</f>
        <v/>
      </c>
      <c r="H2807" s="28"/>
      <c r="I2807" s="27"/>
      <c r="J2807" s="26"/>
      <c r="K2807" s="27"/>
      <c r="L2807" s="27"/>
      <c r="M2807" s="27"/>
      <c r="N2807" s="27"/>
      <c r="O2807" s="24" t="str">
        <f aca="false">IF(G2807="","",VLOOKUP(G2807,Setup!$A$14:$C$17,3,0))</f>
        <v/>
      </c>
      <c r="P2807" s="27"/>
      <c r="Q2807" s="29" t="str">
        <f aca="false">IF(OR(P2807="",M2807&lt;&gt;"Paid",O2807=""),"",P2807/O2807)</f>
        <v/>
      </c>
      <c r="R2807" s="30" t="str">
        <f aca="false">IF(Q2807="","",Q2807+N(H2807)*0.000000001)</f>
        <v/>
      </c>
      <c r="S2807" s="25" t="str">
        <f aca="false">IF(R2807="","",SUMPRODUCT((I$5:I$4004=I2807)*ISNUMBER(R$5:R$4004)*(R$5:R$4004&gt;R2807))+1)</f>
        <v/>
      </c>
      <c r="T2807" s="25" t="str">
        <f aca="false">IF(S2807="","",IF(S2807&lt;=Setup!$B$5,"🏆 WINNER",""))</f>
        <v/>
      </c>
      <c r="U2807" s="24" t="str">
        <f aca="false">IF(S2807="","",I2807&amp;"|"&amp;S2807)</f>
        <v/>
      </c>
    </row>
    <row r="2808" customFormat="false" ht="15" hidden="false" customHeight="false" outlineLevel="0" collapsed="false">
      <c r="A2808" s="31" t="n">
        <v>2804</v>
      </c>
      <c r="B2808" s="32" t="str">
        <f aca="false">IF(OR(C2808="",I2808="",G2808=""),"",IFERROR(VLOOKUP(I2808,Setup!$A$9:$B$11,2,0),"???")&amp;"-"&amp;G2808&amp;"-"&amp;TEXT(COUNTIFS(I$5:I2808,I2808,G$5:G2808,G2808),"0000"))</f>
        <v/>
      </c>
      <c r="C2808" s="26"/>
      <c r="D2808" s="26"/>
      <c r="E2808" s="27"/>
      <c r="F2808" s="27"/>
      <c r="G2808" s="31" t="str">
        <f aca="false">IF(F2808="","",IF(F2808&lt;=5,"A",IF(F2808&lt;=8,"B",IF(F2808&lt;=10,"C","D"))))</f>
        <v/>
      </c>
      <c r="H2808" s="28"/>
      <c r="I2808" s="27"/>
      <c r="J2808" s="26"/>
      <c r="K2808" s="27"/>
      <c r="L2808" s="27"/>
      <c r="M2808" s="27"/>
      <c r="N2808" s="27"/>
      <c r="O2808" s="31" t="str">
        <f aca="false">IF(G2808="","",VLOOKUP(G2808,Setup!$A$14:$C$17,3,0))</f>
        <v/>
      </c>
      <c r="P2808" s="27"/>
      <c r="Q2808" s="33" t="str">
        <f aca="false">IF(OR(P2808="",M2808&lt;&gt;"Paid",O2808=""),"",P2808/O2808)</f>
        <v/>
      </c>
      <c r="R2808" s="34" t="str">
        <f aca="false">IF(Q2808="","",Q2808+N(H2808)*0.000000001)</f>
        <v/>
      </c>
      <c r="S2808" s="32" t="str">
        <f aca="false">IF(R2808="","",SUMPRODUCT((I$5:I$4004=I2808)*ISNUMBER(R$5:R$4004)*(R$5:R$4004&gt;R2808))+1)</f>
        <v/>
      </c>
      <c r="T2808" s="32" t="str">
        <f aca="false">IF(S2808="","",IF(S2808&lt;=Setup!$B$5,"🏆 WINNER",""))</f>
        <v/>
      </c>
      <c r="U2808" s="31" t="str">
        <f aca="false">IF(S2808="","",I2808&amp;"|"&amp;S2808)</f>
        <v/>
      </c>
    </row>
    <row r="2809" customFormat="false" ht="15" hidden="false" customHeight="false" outlineLevel="0" collapsed="false">
      <c r="A2809" s="24" t="n">
        <v>2805</v>
      </c>
      <c r="B2809" s="25" t="str">
        <f aca="false">IF(OR(C2809="",I2809="",G2809=""),"",IFERROR(VLOOKUP(I2809,Setup!$A$9:$B$11,2,0),"???")&amp;"-"&amp;G2809&amp;"-"&amp;TEXT(COUNTIFS(I$5:I2809,I2809,G$5:G2809,G2809),"0000"))</f>
        <v/>
      </c>
      <c r="C2809" s="26"/>
      <c r="D2809" s="26"/>
      <c r="E2809" s="27"/>
      <c r="F2809" s="27"/>
      <c r="G2809" s="24" t="str">
        <f aca="false">IF(F2809="","",IF(F2809&lt;=5,"A",IF(F2809&lt;=8,"B",IF(F2809&lt;=10,"C","D"))))</f>
        <v/>
      </c>
      <c r="H2809" s="28"/>
      <c r="I2809" s="27"/>
      <c r="J2809" s="26"/>
      <c r="K2809" s="27"/>
      <c r="L2809" s="27"/>
      <c r="M2809" s="27"/>
      <c r="N2809" s="27"/>
      <c r="O2809" s="24" t="str">
        <f aca="false">IF(G2809="","",VLOOKUP(G2809,Setup!$A$14:$C$17,3,0))</f>
        <v/>
      </c>
      <c r="P2809" s="27"/>
      <c r="Q2809" s="29" t="str">
        <f aca="false">IF(OR(P2809="",M2809&lt;&gt;"Paid",O2809=""),"",P2809/O2809)</f>
        <v/>
      </c>
      <c r="R2809" s="30" t="str">
        <f aca="false">IF(Q2809="","",Q2809+N(H2809)*0.000000001)</f>
        <v/>
      </c>
      <c r="S2809" s="25" t="str">
        <f aca="false">IF(R2809="","",SUMPRODUCT((I$5:I$4004=I2809)*ISNUMBER(R$5:R$4004)*(R$5:R$4004&gt;R2809))+1)</f>
        <v/>
      </c>
      <c r="T2809" s="25" t="str">
        <f aca="false">IF(S2809="","",IF(S2809&lt;=Setup!$B$5,"🏆 WINNER",""))</f>
        <v/>
      </c>
      <c r="U2809" s="24" t="str">
        <f aca="false">IF(S2809="","",I2809&amp;"|"&amp;S2809)</f>
        <v/>
      </c>
    </row>
    <row r="2810" customFormat="false" ht="15" hidden="false" customHeight="false" outlineLevel="0" collapsed="false">
      <c r="A2810" s="31" t="n">
        <v>2806</v>
      </c>
      <c r="B2810" s="32" t="str">
        <f aca="false">IF(OR(C2810="",I2810="",G2810=""),"",IFERROR(VLOOKUP(I2810,Setup!$A$9:$B$11,2,0),"???")&amp;"-"&amp;G2810&amp;"-"&amp;TEXT(COUNTIFS(I$5:I2810,I2810,G$5:G2810,G2810),"0000"))</f>
        <v/>
      </c>
      <c r="C2810" s="26"/>
      <c r="D2810" s="26"/>
      <c r="E2810" s="27"/>
      <c r="F2810" s="27"/>
      <c r="G2810" s="31" t="str">
        <f aca="false">IF(F2810="","",IF(F2810&lt;=5,"A",IF(F2810&lt;=8,"B",IF(F2810&lt;=10,"C","D"))))</f>
        <v/>
      </c>
      <c r="H2810" s="28"/>
      <c r="I2810" s="27"/>
      <c r="J2810" s="26"/>
      <c r="K2810" s="27"/>
      <c r="L2810" s="27"/>
      <c r="M2810" s="27"/>
      <c r="N2810" s="27"/>
      <c r="O2810" s="31" t="str">
        <f aca="false">IF(G2810="","",VLOOKUP(G2810,Setup!$A$14:$C$17,3,0))</f>
        <v/>
      </c>
      <c r="P2810" s="27"/>
      <c r="Q2810" s="33" t="str">
        <f aca="false">IF(OR(P2810="",M2810&lt;&gt;"Paid",O2810=""),"",P2810/O2810)</f>
        <v/>
      </c>
      <c r="R2810" s="34" t="str">
        <f aca="false">IF(Q2810="","",Q2810+N(H2810)*0.000000001)</f>
        <v/>
      </c>
      <c r="S2810" s="32" t="str">
        <f aca="false">IF(R2810="","",SUMPRODUCT((I$5:I$4004=I2810)*ISNUMBER(R$5:R$4004)*(R$5:R$4004&gt;R2810))+1)</f>
        <v/>
      </c>
      <c r="T2810" s="32" t="str">
        <f aca="false">IF(S2810="","",IF(S2810&lt;=Setup!$B$5,"🏆 WINNER",""))</f>
        <v/>
      </c>
      <c r="U2810" s="31" t="str">
        <f aca="false">IF(S2810="","",I2810&amp;"|"&amp;S2810)</f>
        <v/>
      </c>
    </row>
    <row r="2811" customFormat="false" ht="15" hidden="false" customHeight="false" outlineLevel="0" collapsed="false">
      <c r="A2811" s="24" t="n">
        <v>2807</v>
      </c>
      <c r="B2811" s="25" t="str">
        <f aca="false">IF(OR(C2811="",I2811="",G2811=""),"",IFERROR(VLOOKUP(I2811,Setup!$A$9:$B$11,2,0),"???")&amp;"-"&amp;G2811&amp;"-"&amp;TEXT(COUNTIFS(I$5:I2811,I2811,G$5:G2811,G2811),"0000"))</f>
        <v/>
      </c>
      <c r="C2811" s="26"/>
      <c r="D2811" s="26"/>
      <c r="E2811" s="27"/>
      <c r="F2811" s="27"/>
      <c r="G2811" s="24" t="str">
        <f aca="false">IF(F2811="","",IF(F2811&lt;=5,"A",IF(F2811&lt;=8,"B",IF(F2811&lt;=10,"C","D"))))</f>
        <v/>
      </c>
      <c r="H2811" s="28"/>
      <c r="I2811" s="27"/>
      <c r="J2811" s="26"/>
      <c r="K2811" s="27"/>
      <c r="L2811" s="27"/>
      <c r="M2811" s="27"/>
      <c r="N2811" s="27"/>
      <c r="O2811" s="24" t="str">
        <f aca="false">IF(G2811="","",VLOOKUP(G2811,Setup!$A$14:$C$17,3,0))</f>
        <v/>
      </c>
      <c r="P2811" s="27"/>
      <c r="Q2811" s="29" t="str">
        <f aca="false">IF(OR(P2811="",M2811&lt;&gt;"Paid",O2811=""),"",P2811/O2811)</f>
        <v/>
      </c>
      <c r="R2811" s="30" t="str">
        <f aca="false">IF(Q2811="","",Q2811+N(H2811)*0.000000001)</f>
        <v/>
      </c>
      <c r="S2811" s="25" t="str">
        <f aca="false">IF(R2811="","",SUMPRODUCT((I$5:I$4004=I2811)*ISNUMBER(R$5:R$4004)*(R$5:R$4004&gt;R2811))+1)</f>
        <v/>
      </c>
      <c r="T2811" s="25" t="str">
        <f aca="false">IF(S2811="","",IF(S2811&lt;=Setup!$B$5,"🏆 WINNER",""))</f>
        <v/>
      </c>
      <c r="U2811" s="24" t="str">
        <f aca="false">IF(S2811="","",I2811&amp;"|"&amp;S2811)</f>
        <v/>
      </c>
    </row>
    <row r="2812" customFormat="false" ht="15" hidden="false" customHeight="false" outlineLevel="0" collapsed="false">
      <c r="A2812" s="31" t="n">
        <v>2808</v>
      </c>
      <c r="B2812" s="32" t="str">
        <f aca="false">IF(OR(C2812="",I2812="",G2812=""),"",IFERROR(VLOOKUP(I2812,Setup!$A$9:$B$11,2,0),"???")&amp;"-"&amp;G2812&amp;"-"&amp;TEXT(COUNTIFS(I$5:I2812,I2812,G$5:G2812,G2812),"0000"))</f>
        <v/>
      </c>
      <c r="C2812" s="26"/>
      <c r="D2812" s="26"/>
      <c r="E2812" s="27"/>
      <c r="F2812" s="27"/>
      <c r="G2812" s="31" t="str">
        <f aca="false">IF(F2812="","",IF(F2812&lt;=5,"A",IF(F2812&lt;=8,"B",IF(F2812&lt;=10,"C","D"))))</f>
        <v/>
      </c>
      <c r="H2812" s="28"/>
      <c r="I2812" s="27"/>
      <c r="J2812" s="26"/>
      <c r="K2812" s="27"/>
      <c r="L2812" s="27"/>
      <c r="M2812" s="27"/>
      <c r="N2812" s="27"/>
      <c r="O2812" s="31" t="str">
        <f aca="false">IF(G2812="","",VLOOKUP(G2812,Setup!$A$14:$C$17,3,0))</f>
        <v/>
      </c>
      <c r="P2812" s="27"/>
      <c r="Q2812" s="33" t="str">
        <f aca="false">IF(OR(P2812="",M2812&lt;&gt;"Paid",O2812=""),"",P2812/O2812)</f>
        <v/>
      </c>
      <c r="R2812" s="34" t="str">
        <f aca="false">IF(Q2812="","",Q2812+N(H2812)*0.000000001)</f>
        <v/>
      </c>
      <c r="S2812" s="32" t="str">
        <f aca="false">IF(R2812="","",SUMPRODUCT((I$5:I$4004=I2812)*ISNUMBER(R$5:R$4004)*(R$5:R$4004&gt;R2812))+1)</f>
        <v/>
      </c>
      <c r="T2812" s="32" t="str">
        <f aca="false">IF(S2812="","",IF(S2812&lt;=Setup!$B$5,"🏆 WINNER",""))</f>
        <v/>
      </c>
      <c r="U2812" s="31" t="str">
        <f aca="false">IF(S2812="","",I2812&amp;"|"&amp;S2812)</f>
        <v/>
      </c>
    </row>
    <row r="2813" customFormat="false" ht="15" hidden="false" customHeight="false" outlineLevel="0" collapsed="false">
      <c r="A2813" s="24" t="n">
        <v>2809</v>
      </c>
      <c r="B2813" s="25" t="str">
        <f aca="false">IF(OR(C2813="",I2813="",G2813=""),"",IFERROR(VLOOKUP(I2813,Setup!$A$9:$B$11,2,0),"???")&amp;"-"&amp;G2813&amp;"-"&amp;TEXT(COUNTIFS(I$5:I2813,I2813,G$5:G2813,G2813),"0000"))</f>
        <v/>
      </c>
      <c r="C2813" s="26"/>
      <c r="D2813" s="26"/>
      <c r="E2813" s="27"/>
      <c r="F2813" s="27"/>
      <c r="G2813" s="24" t="str">
        <f aca="false">IF(F2813="","",IF(F2813&lt;=5,"A",IF(F2813&lt;=8,"B",IF(F2813&lt;=10,"C","D"))))</f>
        <v/>
      </c>
      <c r="H2813" s="28"/>
      <c r="I2813" s="27"/>
      <c r="J2813" s="26"/>
      <c r="K2813" s="27"/>
      <c r="L2813" s="27"/>
      <c r="M2813" s="27"/>
      <c r="N2813" s="27"/>
      <c r="O2813" s="24" t="str">
        <f aca="false">IF(G2813="","",VLOOKUP(G2813,Setup!$A$14:$C$17,3,0))</f>
        <v/>
      </c>
      <c r="P2813" s="27"/>
      <c r="Q2813" s="29" t="str">
        <f aca="false">IF(OR(P2813="",M2813&lt;&gt;"Paid",O2813=""),"",P2813/O2813)</f>
        <v/>
      </c>
      <c r="R2813" s="30" t="str">
        <f aca="false">IF(Q2813="","",Q2813+N(H2813)*0.000000001)</f>
        <v/>
      </c>
      <c r="S2813" s="25" t="str">
        <f aca="false">IF(R2813="","",SUMPRODUCT((I$5:I$4004=I2813)*ISNUMBER(R$5:R$4004)*(R$5:R$4004&gt;R2813))+1)</f>
        <v/>
      </c>
      <c r="T2813" s="25" t="str">
        <f aca="false">IF(S2813="","",IF(S2813&lt;=Setup!$B$5,"🏆 WINNER",""))</f>
        <v/>
      </c>
      <c r="U2813" s="24" t="str">
        <f aca="false">IF(S2813="","",I2813&amp;"|"&amp;S2813)</f>
        <v/>
      </c>
    </row>
    <row r="2814" customFormat="false" ht="15" hidden="false" customHeight="false" outlineLevel="0" collapsed="false">
      <c r="A2814" s="31" t="n">
        <v>2810</v>
      </c>
      <c r="B2814" s="32" t="str">
        <f aca="false">IF(OR(C2814="",I2814="",G2814=""),"",IFERROR(VLOOKUP(I2814,Setup!$A$9:$B$11,2,0),"???")&amp;"-"&amp;G2814&amp;"-"&amp;TEXT(COUNTIFS(I$5:I2814,I2814,G$5:G2814,G2814),"0000"))</f>
        <v/>
      </c>
      <c r="C2814" s="26"/>
      <c r="D2814" s="26"/>
      <c r="E2814" s="27"/>
      <c r="F2814" s="27"/>
      <c r="G2814" s="31" t="str">
        <f aca="false">IF(F2814="","",IF(F2814&lt;=5,"A",IF(F2814&lt;=8,"B",IF(F2814&lt;=10,"C","D"))))</f>
        <v/>
      </c>
      <c r="H2814" s="28"/>
      <c r="I2814" s="27"/>
      <c r="J2814" s="26"/>
      <c r="K2814" s="27"/>
      <c r="L2814" s="27"/>
      <c r="M2814" s="27"/>
      <c r="N2814" s="27"/>
      <c r="O2814" s="31" t="str">
        <f aca="false">IF(G2814="","",VLOOKUP(G2814,Setup!$A$14:$C$17,3,0))</f>
        <v/>
      </c>
      <c r="P2814" s="27"/>
      <c r="Q2814" s="33" t="str">
        <f aca="false">IF(OR(P2814="",M2814&lt;&gt;"Paid",O2814=""),"",P2814/O2814)</f>
        <v/>
      </c>
      <c r="R2814" s="34" t="str">
        <f aca="false">IF(Q2814="","",Q2814+N(H2814)*0.000000001)</f>
        <v/>
      </c>
      <c r="S2814" s="32" t="str">
        <f aca="false">IF(R2814="","",SUMPRODUCT((I$5:I$4004=I2814)*ISNUMBER(R$5:R$4004)*(R$5:R$4004&gt;R2814))+1)</f>
        <v/>
      </c>
      <c r="T2814" s="32" t="str">
        <f aca="false">IF(S2814="","",IF(S2814&lt;=Setup!$B$5,"🏆 WINNER",""))</f>
        <v/>
      </c>
      <c r="U2814" s="31" t="str">
        <f aca="false">IF(S2814="","",I2814&amp;"|"&amp;S2814)</f>
        <v/>
      </c>
    </row>
    <row r="2815" customFormat="false" ht="15" hidden="false" customHeight="false" outlineLevel="0" collapsed="false">
      <c r="A2815" s="24" t="n">
        <v>2811</v>
      </c>
      <c r="B2815" s="25" t="str">
        <f aca="false">IF(OR(C2815="",I2815="",G2815=""),"",IFERROR(VLOOKUP(I2815,Setup!$A$9:$B$11,2,0),"???")&amp;"-"&amp;G2815&amp;"-"&amp;TEXT(COUNTIFS(I$5:I2815,I2815,G$5:G2815,G2815),"0000"))</f>
        <v/>
      </c>
      <c r="C2815" s="26"/>
      <c r="D2815" s="26"/>
      <c r="E2815" s="27"/>
      <c r="F2815" s="27"/>
      <c r="G2815" s="24" t="str">
        <f aca="false">IF(F2815="","",IF(F2815&lt;=5,"A",IF(F2815&lt;=8,"B",IF(F2815&lt;=10,"C","D"))))</f>
        <v/>
      </c>
      <c r="H2815" s="28"/>
      <c r="I2815" s="27"/>
      <c r="J2815" s="26"/>
      <c r="K2815" s="27"/>
      <c r="L2815" s="27"/>
      <c r="M2815" s="27"/>
      <c r="N2815" s="27"/>
      <c r="O2815" s="24" t="str">
        <f aca="false">IF(G2815="","",VLOOKUP(G2815,Setup!$A$14:$C$17,3,0))</f>
        <v/>
      </c>
      <c r="P2815" s="27"/>
      <c r="Q2815" s="29" t="str">
        <f aca="false">IF(OR(P2815="",M2815&lt;&gt;"Paid",O2815=""),"",P2815/O2815)</f>
        <v/>
      </c>
      <c r="R2815" s="30" t="str">
        <f aca="false">IF(Q2815="","",Q2815+N(H2815)*0.000000001)</f>
        <v/>
      </c>
      <c r="S2815" s="25" t="str">
        <f aca="false">IF(R2815="","",SUMPRODUCT((I$5:I$4004=I2815)*ISNUMBER(R$5:R$4004)*(R$5:R$4004&gt;R2815))+1)</f>
        <v/>
      </c>
      <c r="T2815" s="25" t="str">
        <f aca="false">IF(S2815="","",IF(S2815&lt;=Setup!$B$5,"🏆 WINNER",""))</f>
        <v/>
      </c>
      <c r="U2815" s="24" t="str">
        <f aca="false">IF(S2815="","",I2815&amp;"|"&amp;S2815)</f>
        <v/>
      </c>
    </row>
    <row r="2816" customFormat="false" ht="15" hidden="false" customHeight="false" outlineLevel="0" collapsed="false">
      <c r="A2816" s="31" t="n">
        <v>2812</v>
      </c>
      <c r="B2816" s="32" t="str">
        <f aca="false">IF(OR(C2816="",I2816="",G2816=""),"",IFERROR(VLOOKUP(I2816,Setup!$A$9:$B$11,2,0),"???")&amp;"-"&amp;G2816&amp;"-"&amp;TEXT(COUNTIFS(I$5:I2816,I2816,G$5:G2816,G2816),"0000"))</f>
        <v/>
      </c>
      <c r="C2816" s="26"/>
      <c r="D2816" s="26"/>
      <c r="E2816" s="27"/>
      <c r="F2816" s="27"/>
      <c r="G2816" s="31" t="str">
        <f aca="false">IF(F2816="","",IF(F2816&lt;=5,"A",IF(F2816&lt;=8,"B",IF(F2816&lt;=10,"C","D"))))</f>
        <v/>
      </c>
      <c r="H2816" s="28"/>
      <c r="I2816" s="27"/>
      <c r="J2816" s="26"/>
      <c r="K2816" s="27"/>
      <c r="L2816" s="27"/>
      <c r="M2816" s="27"/>
      <c r="N2816" s="27"/>
      <c r="O2816" s="31" t="str">
        <f aca="false">IF(G2816="","",VLOOKUP(G2816,Setup!$A$14:$C$17,3,0))</f>
        <v/>
      </c>
      <c r="P2816" s="27"/>
      <c r="Q2816" s="33" t="str">
        <f aca="false">IF(OR(P2816="",M2816&lt;&gt;"Paid",O2816=""),"",P2816/O2816)</f>
        <v/>
      </c>
      <c r="R2816" s="34" t="str">
        <f aca="false">IF(Q2816="","",Q2816+N(H2816)*0.000000001)</f>
        <v/>
      </c>
      <c r="S2816" s="32" t="str">
        <f aca="false">IF(R2816="","",SUMPRODUCT((I$5:I$4004=I2816)*ISNUMBER(R$5:R$4004)*(R$5:R$4004&gt;R2816))+1)</f>
        <v/>
      </c>
      <c r="T2816" s="32" t="str">
        <f aca="false">IF(S2816="","",IF(S2816&lt;=Setup!$B$5,"🏆 WINNER",""))</f>
        <v/>
      </c>
      <c r="U2816" s="31" t="str">
        <f aca="false">IF(S2816="","",I2816&amp;"|"&amp;S2816)</f>
        <v/>
      </c>
    </row>
    <row r="2817" customFormat="false" ht="15" hidden="false" customHeight="false" outlineLevel="0" collapsed="false">
      <c r="A2817" s="24" t="n">
        <v>2813</v>
      </c>
      <c r="B2817" s="25" t="str">
        <f aca="false">IF(OR(C2817="",I2817="",G2817=""),"",IFERROR(VLOOKUP(I2817,Setup!$A$9:$B$11,2,0),"???")&amp;"-"&amp;G2817&amp;"-"&amp;TEXT(COUNTIFS(I$5:I2817,I2817,G$5:G2817,G2817),"0000"))</f>
        <v/>
      </c>
      <c r="C2817" s="26"/>
      <c r="D2817" s="26"/>
      <c r="E2817" s="27"/>
      <c r="F2817" s="27"/>
      <c r="G2817" s="24" t="str">
        <f aca="false">IF(F2817="","",IF(F2817&lt;=5,"A",IF(F2817&lt;=8,"B",IF(F2817&lt;=10,"C","D"))))</f>
        <v/>
      </c>
      <c r="H2817" s="28"/>
      <c r="I2817" s="27"/>
      <c r="J2817" s="26"/>
      <c r="K2817" s="27"/>
      <c r="L2817" s="27"/>
      <c r="M2817" s="27"/>
      <c r="N2817" s="27"/>
      <c r="O2817" s="24" t="str">
        <f aca="false">IF(G2817="","",VLOOKUP(G2817,Setup!$A$14:$C$17,3,0))</f>
        <v/>
      </c>
      <c r="P2817" s="27"/>
      <c r="Q2817" s="29" t="str">
        <f aca="false">IF(OR(P2817="",M2817&lt;&gt;"Paid",O2817=""),"",P2817/O2817)</f>
        <v/>
      </c>
      <c r="R2817" s="30" t="str">
        <f aca="false">IF(Q2817="","",Q2817+N(H2817)*0.000000001)</f>
        <v/>
      </c>
      <c r="S2817" s="25" t="str">
        <f aca="false">IF(R2817="","",SUMPRODUCT((I$5:I$4004=I2817)*ISNUMBER(R$5:R$4004)*(R$5:R$4004&gt;R2817))+1)</f>
        <v/>
      </c>
      <c r="T2817" s="25" t="str">
        <f aca="false">IF(S2817="","",IF(S2817&lt;=Setup!$B$5,"🏆 WINNER",""))</f>
        <v/>
      </c>
      <c r="U2817" s="24" t="str">
        <f aca="false">IF(S2817="","",I2817&amp;"|"&amp;S2817)</f>
        <v/>
      </c>
    </row>
    <row r="2818" customFormat="false" ht="15" hidden="false" customHeight="false" outlineLevel="0" collapsed="false">
      <c r="A2818" s="31" t="n">
        <v>2814</v>
      </c>
      <c r="B2818" s="32" t="str">
        <f aca="false">IF(OR(C2818="",I2818="",G2818=""),"",IFERROR(VLOOKUP(I2818,Setup!$A$9:$B$11,2,0),"???")&amp;"-"&amp;G2818&amp;"-"&amp;TEXT(COUNTIFS(I$5:I2818,I2818,G$5:G2818,G2818),"0000"))</f>
        <v/>
      </c>
      <c r="C2818" s="26"/>
      <c r="D2818" s="26"/>
      <c r="E2818" s="27"/>
      <c r="F2818" s="27"/>
      <c r="G2818" s="31" t="str">
        <f aca="false">IF(F2818="","",IF(F2818&lt;=5,"A",IF(F2818&lt;=8,"B",IF(F2818&lt;=10,"C","D"))))</f>
        <v/>
      </c>
      <c r="H2818" s="28"/>
      <c r="I2818" s="27"/>
      <c r="J2818" s="26"/>
      <c r="K2818" s="27"/>
      <c r="L2818" s="27"/>
      <c r="M2818" s="27"/>
      <c r="N2818" s="27"/>
      <c r="O2818" s="31" t="str">
        <f aca="false">IF(G2818="","",VLOOKUP(G2818,Setup!$A$14:$C$17,3,0))</f>
        <v/>
      </c>
      <c r="P2818" s="27"/>
      <c r="Q2818" s="33" t="str">
        <f aca="false">IF(OR(P2818="",M2818&lt;&gt;"Paid",O2818=""),"",P2818/O2818)</f>
        <v/>
      </c>
      <c r="R2818" s="34" t="str">
        <f aca="false">IF(Q2818="","",Q2818+N(H2818)*0.000000001)</f>
        <v/>
      </c>
      <c r="S2818" s="32" t="str">
        <f aca="false">IF(R2818="","",SUMPRODUCT((I$5:I$4004=I2818)*ISNUMBER(R$5:R$4004)*(R$5:R$4004&gt;R2818))+1)</f>
        <v/>
      </c>
      <c r="T2818" s="32" t="str">
        <f aca="false">IF(S2818="","",IF(S2818&lt;=Setup!$B$5,"🏆 WINNER",""))</f>
        <v/>
      </c>
      <c r="U2818" s="31" t="str">
        <f aca="false">IF(S2818="","",I2818&amp;"|"&amp;S2818)</f>
        <v/>
      </c>
    </row>
    <row r="2819" customFormat="false" ht="15" hidden="false" customHeight="false" outlineLevel="0" collapsed="false">
      <c r="A2819" s="24" t="n">
        <v>2815</v>
      </c>
      <c r="B2819" s="25" t="str">
        <f aca="false">IF(OR(C2819="",I2819="",G2819=""),"",IFERROR(VLOOKUP(I2819,Setup!$A$9:$B$11,2,0),"???")&amp;"-"&amp;G2819&amp;"-"&amp;TEXT(COUNTIFS(I$5:I2819,I2819,G$5:G2819,G2819),"0000"))</f>
        <v/>
      </c>
      <c r="C2819" s="26"/>
      <c r="D2819" s="26"/>
      <c r="E2819" s="27"/>
      <c r="F2819" s="27"/>
      <c r="G2819" s="24" t="str">
        <f aca="false">IF(F2819="","",IF(F2819&lt;=5,"A",IF(F2819&lt;=8,"B",IF(F2819&lt;=10,"C","D"))))</f>
        <v/>
      </c>
      <c r="H2819" s="28"/>
      <c r="I2819" s="27"/>
      <c r="J2819" s="26"/>
      <c r="K2819" s="27"/>
      <c r="L2819" s="27"/>
      <c r="M2819" s="27"/>
      <c r="N2819" s="27"/>
      <c r="O2819" s="24" t="str">
        <f aca="false">IF(G2819="","",VLOOKUP(G2819,Setup!$A$14:$C$17,3,0))</f>
        <v/>
      </c>
      <c r="P2819" s="27"/>
      <c r="Q2819" s="29" t="str">
        <f aca="false">IF(OR(P2819="",M2819&lt;&gt;"Paid",O2819=""),"",P2819/O2819)</f>
        <v/>
      </c>
      <c r="R2819" s="30" t="str">
        <f aca="false">IF(Q2819="","",Q2819+N(H2819)*0.000000001)</f>
        <v/>
      </c>
      <c r="S2819" s="25" t="str">
        <f aca="false">IF(R2819="","",SUMPRODUCT((I$5:I$4004=I2819)*ISNUMBER(R$5:R$4004)*(R$5:R$4004&gt;R2819))+1)</f>
        <v/>
      </c>
      <c r="T2819" s="25" t="str">
        <f aca="false">IF(S2819="","",IF(S2819&lt;=Setup!$B$5,"🏆 WINNER",""))</f>
        <v/>
      </c>
      <c r="U2819" s="24" t="str">
        <f aca="false">IF(S2819="","",I2819&amp;"|"&amp;S2819)</f>
        <v/>
      </c>
    </row>
    <row r="2820" customFormat="false" ht="15" hidden="false" customHeight="false" outlineLevel="0" collapsed="false">
      <c r="A2820" s="31" t="n">
        <v>2816</v>
      </c>
      <c r="B2820" s="32" t="str">
        <f aca="false">IF(OR(C2820="",I2820="",G2820=""),"",IFERROR(VLOOKUP(I2820,Setup!$A$9:$B$11,2,0),"???")&amp;"-"&amp;G2820&amp;"-"&amp;TEXT(COUNTIFS(I$5:I2820,I2820,G$5:G2820,G2820),"0000"))</f>
        <v/>
      </c>
      <c r="C2820" s="26"/>
      <c r="D2820" s="26"/>
      <c r="E2820" s="27"/>
      <c r="F2820" s="27"/>
      <c r="G2820" s="31" t="str">
        <f aca="false">IF(F2820="","",IF(F2820&lt;=5,"A",IF(F2820&lt;=8,"B",IF(F2820&lt;=10,"C","D"))))</f>
        <v/>
      </c>
      <c r="H2820" s="28"/>
      <c r="I2820" s="27"/>
      <c r="J2820" s="26"/>
      <c r="K2820" s="27"/>
      <c r="L2820" s="27"/>
      <c r="M2820" s="27"/>
      <c r="N2820" s="27"/>
      <c r="O2820" s="31" t="str">
        <f aca="false">IF(G2820="","",VLOOKUP(G2820,Setup!$A$14:$C$17,3,0))</f>
        <v/>
      </c>
      <c r="P2820" s="27"/>
      <c r="Q2820" s="33" t="str">
        <f aca="false">IF(OR(P2820="",M2820&lt;&gt;"Paid",O2820=""),"",P2820/O2820)</f>
        <v/>
      </c>
      <c r="R2820" s="34" t="str">
        <f aca="false">IF(Q2820="","",Q2820+N(H2820)*0.000000001)</f>
        <v/>
      </c>
      <c r="S2820" s="32" t="str">
        <f aca="false">IF(R2820="","",SUMPRODUCT((I$5:I$4004=I2820)*ISNUMBER(R$5:R$4004)*(R$5:R$4004&gt;R2820))+1)</f>
        <v/>
      </c>
      <c r="T2820" s="32" t="str">
        <f aca="false">IF(S2820="","",IF(S2820&lt;=Setup!$B$5,"🏆 WINNER",""))</f>
        <v/>
      </c>
      <c r="U2820" s="31" t="str">
        <f aca="false">IF(S2820="","",I2820&amp;"|"&amp;S2820)</f>
        <v/>
      </c>
    </row>
    <row r="2821" customFormat="false" ht="15" hidden="false" customHeight="false" outlineLevel="0" collapsed="false">
      <c r="A2821" s="24" t="n">
        <v>2817</v>
      </c>
      <c r="B2821" s="25" t="str">
        <f aca="false">IF(OR(C2821="",I2821="",G2821=""),"",IFERROR(VLOOKUP(I2821,Setup!$A$9:$B$11,2,0),"???")&amp;"-"&amp;G2821&amp;"-"&amp;TEXT(COUNTIFS(I$5:I2821,I2821,G$5:G2821,G2821),"0000"))</f>
        <v/>
      </c>
      <c r="C2821" s="26"/>
      <c r="D2821" s="26"/>
      <c r="E2821" s="27"/>
      <c r="F2821" s="27"/>
      <c r="G2821" s="24" t="str">
        <f aca="false">IF(F2821="","",IF(F2821&lt;=5,"A",IF(F2821&lt;=8,"B",IF(F2821&lt;=10,"C","D"))))</f>
        <v/>
      </c>
      <c r="H2821" s="28"/>
      <c r="I2821" s="27"/>
      <c r="J2821" s="26"/>
      <c r="K2821" s="27"/>
      <c r="L2821" s="27"/>
      <c r="M2821" s="27"/>
      <c r="N2821" s="27"/>
      <c r="O2821" s="24" t="str">
        <f aca="false">IF(G2821="","",VLOOKUP(G2821,Setup!$A$14:$C$17,3,0))</f>
        <v/>
      </c>
      <c r="P2821" s="27"/>
      <c r="Q2821" s="29" t="str">
        <f aca="false">IF(OR(P2821="",M2821&lt;&gt;"Paid",O2821=""),"",P2821/O2821)</f>
        <v/>
      </c>
      <c r="R2821" s="30" t="str">
        <f aca="false">IF(Q2821="","",Q2821+N(H2821)*0.000000001)</f>
        <v/>
      </c>
      <c r="S2821" s="25" t="str">
        <f aca="false">IF(R2821="","",SUMPRODUCT((I$5:I$4004=I2821)*ISNUMBER(R$5:R$4004)*(R$5:R$4004&gt;R2821))+1)</f>
        <v/>
      </c>
      <c r="T2821" s="25" t="str">
        <f aca="false">IF(S2821="","",IF(S2821&lt;=Setup!$B$5,"🏆 WINNER",""))</f>
        <v/>
      </c>
      <c r="U2821" s="24" t="str">
        <f aca="false">IF(S2821="","",I2821&amp;"|"&amp;S2821)</f>
        <v/>
      </c>
    </row>
    <row r="2822" customFormat="false" ht="15" hidden="false" customHeight="false" outlineLevel="0" collapsed="false">
      <c r="A2822" s="31" t="n">
        <v>2818</v>
      </c>
      <c r="B2822" s="32" t="str">
        <f aca="false">IF(OR(C2822="",I2822="",G2822=""),"",IFERROR(VLOOKUP(I2822,Setup!$A$9:$B$11,2,0),"???")&amp;"-"&amp;G2822&amp;"-"&amp;TEXT(COUNTIFS(I$5:I2822,I2822,G$5:G2822,G2822),"0000"))</f>
        <v/>
      </c>
      <c r="C2822" s="26"/>
      <c r="D2822" s="26"/>
      <c r="E2822" s="27"/>
      <c r="F2822" s="27"/>
      <c r="G2822" s="31" t="str">
        <f aca="false">IF(F2822="","",IF(F2822&lt;=5,"A",IF(F2822&lt;=8,"B",IF(F2822&lt;=10,"C","D"))))</f>
        <v/>
      </c>
      <c r="H2822" s="28"/>
      <c r="I2822" s="27"/>
      <c r="J2822" s="26"/>
      <c r="K2822" s="27"/>
      <c r="L2822" s="27"/>
      <c r="M2822" s="27"/>
      <c r="N2822" s="27"/>
      <c r="O2822" s="31" t="str">
        <f aca="false">IF(G2822="","",VLOOKUP(G2822,Setup!$A$14:$C$17,3,0))</f>
        <v/>
      </c>
      <c r="P2822" s="27"/>
      <c r="Q2822" s="33" t="str">
        <f aca="false">IF(OR(P2822="",M2822&lt;&gt;"Paid",O2822=""),"",P2822/O2822)</f>
        <v/>
      </c>
      <c r="R2822" s="34" t="str">
        <f aca="false">IF(Q2822="","",Q2822+N(H2822)*0.000000001)</f>
        <v/>
      </c>
      <c r="S2822" s="32" t="str">
        <f aca="false">IF(R2822="","",SUMPRODUCT((I$5:I$4004=I2822)*ISNUMBER(R$5:R$4004)*(R$5:R$4004&gt;R2822))+1)</f>
        <v/>
      </c>
      <c r="T2822" s="32" t="str">
        <f aca="false">IF(S2822="","",IF(S2822&lt;=Setup!$B$5,"🏆 WINNER",""))</f>
        <v/>
      </c>
      <c r="U2822" s="31" t="str">
        <f aca="false">IF(S2822="","",I2822&amp;"|"&amp;S2822)</f>
        <v/>
      </c>
    </row>
    <row r="2823" customFormat="false" ht="15" hidden="false" customHeight="false" outlineLevel="0" collapsed="false">
      <c r="A2823" s="24" t="n">
        <v>2819</v>
      </c>
      <c r="B2823" s="25" t="str">
        <f aca="false">IF(OR(C2823="",I2823="",G2823=""),"",IFERROR(VLOOKUP(I2823,Setup!$A$9:$B$11,2,0),"???")&amp;"-"&amp;G2823&amp;"-"&amp;TEXT(COUNTIFS(I$5:I2823,I2823,G$5:G2823,G2823),"0000"))</f>
        <v/>
      </c>
      <c r="C2823" s="26"/>
      <c r="D2823" s="26"/>
      <c r="E2823" s="27"/>
      <c r="F2823" s="27"/>
      <c r="G2823" s="24" t="str">
        <f aca="false">IF(F2823="","",IF(F2823&lt;=5,"A",IF(F2823&lt;=8,"B",IF(F2823&lt;=10,"C","D"))))</f>
        <v/>
      </c>
      <c r="H2823" s="28"/>
      <c r="I2823" s="27"/>
      <c r="J2823" s="26"/>
      <c r="K2823" s="27"/>
      <c r="L2823" s="27"/>
      <c r="M2823" s="27"/>
      <c r="N2823" s="27"/>
      <c r="O2823" s="24" t="str">
        <f aca="false">IF(G2823="","",VLOOKUP(G2823,Setup!$A$14:$C$17,3,0))</f>
        <v/>
      </c>
      <c r="P2823" s="27"/>
      <c r="Q2823" s="29" t="str">
        <f aca="false">IF(OR(P2823="",M2823&lt;&gt;"Paid",O2823=""),"",P2823/O2823)</f>
        <v/>
      </c>
      <c r="R2823" s="30" t="str">
        <f aca="false">IF(Q2823="","",Q2823+N(H2823)*0.000000001)</f>
        <v/>
      </c>
      <c r="S2823" s="25" t="str">
        <f aca="false">IF(R2823="","",SUMPRODUCT((I$5:I$4004=I2823)*ISNUMBER(R$5:R$4004)*(R$5:R$4004&gt;R2823))+1)</f>
        <v/>
      </c>
      <c r="T2823" s="25" t="str">
        <f aca="false">IF(S2823="","",IF(S2823&lt;=Setup!$B$5,"🏆 WINNER",""))</f>
        <v/>
      </c>
      <c r="U2823" s="24" t="str">
        <f aca="false">IF(S2823="","",I2823&amp;"|"&amp;S2823)</f>
        <v/>
      </c>
    </row>
    <row r="2824" customFormat="false" ht="15" hidden="false" customHeight="false" outlineLevel="0" collapsed="false">
      <c r="A2824" s="31" t="n">
        <v>2820</v>
      </c>
      <c r="B2824" s="32" t="str">
        <f aca="false">IF(OR(C2824="",I2824="",G2824=""),"",IFERROR(VLOOKUP(I2824,Setup!$A$9:$B$11,2,0),"???")&amp;"-"&amp;G2824&amp;"-"&amp;TEXT(COUNTIFS(I$5:I2824,I2824,G$5:G2824,G2824),"0000"))</f>
        <v/>
      </c>
      <c r="C2824" s="26"/>
      <c r="D2824" s="26"/>
      <c r="E2824" s="27"/>
      <c r="F2824" s="27"/>
      <c r="G2824" s="31" t="str">
        <f aca="false">IF(F2824="","",IF(F2824&lt;=5,"A",IF(F2824&lt;=8,"B",IF(F2824&lt;=10,"C","D"))))</f>
        <v/>
      </c>
      <c r="H2824" s="28"/>
      <c r="I2824" s="27"/>
      <c r="J2824" s="26"/>
      <c r="K2824" s="27"/>
      <c r="L2824" s="27"/>
      <c r="M2824" s="27"/>
      <c r="N2824" s="27"/>
      <c r="O2824" s="31" t="str">
        <f aca="false">IF(G2824="","",VLOOKUP(G2824,Setup!$A$14:$C$17,3,0))</f>
        <v/>
      </c>
      <c r="P2824" s="27"/>
      <c r="Q2824" s="33" t="str">
        <f aca="false">IF(OR(P2824="",M2824&lt;&gt;"Paid",O2824=""),"",P2824/O2824)</f>
        <v/>
      </c>
      <c r="R2824" s="34" t="str">
        <f aca="false">IF(Q2824="","",Q2824+N(H2824)*0.000000001)</f>
        <v/>
      </c>
      <c r="S2824" s="32" t="str">
        <f aca="false">IF(R2824="","",SUMPRODUCT((I$5:I$4004=I2824)*ISNUMBER(R$5:R$4004)*(R$5:R$4004&gt;R2824))+1)</f>
        <v/>
      </c>
      <c r="T2824" s="32" t="str">
        <f aca="false">IF(S2824="","",IF(S2824&lt;=Setup!$B$5,"🏆 WINNER",""))</f>
        <v/>
      </c>
      <c r="U2824" s="31" t="str">
        <f aca="false">IF(S2824="","",I2824&amp;"|"&amp;S2824)</f>
        <v/>
      </c>
    </row>
    <row r="2825" customFormat="false" ht="15" hidden="false" customHeight="false" outlineLevel="0" collapsed="false">
      <c r="A2825" s="24" t="n">
        <v>2821</v>
      </c>
      <c r="B2825" s="25" t="str">
        <f aca="false">IF(OR(C2825="",I2825="",G2825=""),"",IFERROR(VLOOKUP(I2825,Setup!$A$9:$B$11,2,0),"???")&amp;"-"&amp;G2825&amp;"-"&amp;TEXT(COUNTIFS(I$5:I2825,I2825,G$5:G2825,G2825),"0000"))</f>
        <v/>
      </c>
      <c r="C2825" s="26"/>
      <c r="D2825" s="26"/>
      <c r="E2825" s="27"/>
      <c r="F2825" s="27"/>
      <c r="G2825" s="24" t="str">
        <f aca="false">IF(F2825="","",IF(F2825&lt;=5,"A",IF(F2825&lt;=8,"B",IF(F2825&lt;=10,"C","D"))))</f>
        <v/>
      </c>
      <c r="H2825" s="28"/>
      <c r="I2825" s="27"/>
      <c r="J2825" s="26"/>
      <c r="K2825" s="27"/>
      <c r="L2825" s="27"/>
      <c r="M2825" s="27"/>
      <c r="N2825" s="27"/>
      <c r="O2825" s="24" t="str">
        <f aca="false">IF(G2825="","",VLOOKUP(G2825,Setup!$A$14:$C$17,3,0))</f>
        <v/>
      </c>
      <c r="P2825" s="27"/>
      <c r="Q2825" s="29" t="str">
        <f aca="false">IF(OR(P2825="",M2825&lt;&gt;"Paid",O2825=""),"",P2825/O2825)</f>
        <v/>
      </c>
      <c r="R2825" s="30" t="str">
        <f aca="false">IF(Q2825="","",Q2825+N(H2825)*0.000000001)</f>
        <v/>
      </c>
      <c r="S2825" s="25" t="str">
        <f aca="false">IF(R2825="","",SUMPRODUCT((I$5:I$4004=I2825)*ISNUMBER(R$5:R$4004)*(R$5:R$4004&gt;R2825))+1)</f>
        <v/>
      </c>
      <c r="T2825" s="25" t="str">
        <f aca="false">IF(S2825="","",IF(S2825&lt;=Setup!$B$5,"🏆 WINNER",""))</f>
        <v/>
      </c>
      <c r="U2825" s="24" t="str">
        <f aca="false">IF(S2825="","",I2825&amp;"|"&amp;S2825)</f>
        <v/>
      </c>
    </row>
    <row r="2826" customFormat="false" ht="15" hidden="false" customHeight="false" outlineLevel="0" collapsed="false">
      <c r="A2826" s="31" t="n">
        <v>2822</v>
      </c>
      <c r="B2826" s="32" t="str">
        <f aca="false">IF(OR(C2826="",I2826="",G2826=""),"",IFERROR(VLOOKUP(I2826,Setup!$A$9:$B$11,2,0),"???")&amp;"-"&amp;G2826&amp;"-"&amp;TEXT(COUNTIFS(I$5:I2826,I2826,G$5:G2826,G2826),"0000"))</f>
        <v/>
      </c>
      <c r="C2826" s="26"/>
      <c r="D2826" s="26"/>
      <c r="E2826" s="27"/>
      <c r="F2826" s="27"/>
      <c r="G2826" s="31" t="str">
        <f aca="false">IF(F2826="","",IF(F2826&lt;=5,"A",IF(F2826&lt;=8,"B",IF(F2826&lt;=10,"C","D"))))</f>
        <v/>
      </c>
      <c r="H2826" s="28"/>
      <c r="I2826" s="27"/>
      <c r="J2826" s="26"/>
      <c r="K2826" s="27"/>
      <c r="L2826" s="27"/>
      <c r="M2826" s="27"/>
      <c r="N2826" s="27"/>
      <c r="O2826" s="31" t="str">
        <f aca="false">IF(G2826="","",VLOOKUP(G2826,Setup!$A$14:$C$17,3,0))</f>
        <v/>
      </c>
      <c r="P2826" s="27"/>
      <c r="Q2826" s="33" t="str">
        <f aca="false">IF(OR(P2826="",M2826&lt;&gt;"Paid",O2826=""),"",P2826/O2826)</f>
        <v/>
      </c>
      <c r="R2826" s="34" t="str">
        <f aca="false">IF(Q2826="","",Q2826+N(H2826)*0.000000001)</f>
        <v/>
      </c>
      <c r="S2826" s="32" t="str">
        <f aca="false">IF(R2826="","",SUMPRODUCT((I$5:I$4004=I2826)*ISNUMBER(R$5:R$4004)*(R$5:R$4004&gt;R2826))+1)</f>
        <v/>
      </c>
      <c r="T2826" s="32" t="str">
        <f aca="false">IF(S2826="","",IF(S2826&lt;=Setup!$B$5,"🏆 WINNER",""))</f>
        <v/>
      </c>
      <c r="U2826" s="31" t="str">
        <f aca="false">IF(S2826="","",I2826&amp;"|"&amp;S2826)</f>
        <v/>
      </c>
    </row>
    <row r="2827" customFormat="false" ht="15" hidden="false" customHeight="false" outlineLevel="0" collapsed="false">
      <c r="A2827" s="24" t="n">
        <v>2823</v>
      </c>
      <c r="B2827" s="25" t="str">
        <f aca="false">IF(OR(C2827="",I2827="",G2827=""),"",IFERROR(VLOOKUP(I2827,Setup!$A$9:$B$11,2,0),"???")&amp;"-"&amp;G2827&amp;"-"&amp;TEXT(COUNTIFS(I$5:I2827,I2827,G$5:G2827,G2827),"0000"))</f>
        <v/>
      </c>
      <c r="C2827" s="26"/>
      <c r="D2827" s="26"/>
      <c r="E2827" s="27"/>
      <c r="F2827" s="27"/>
      <c r="G2827" s="24" t="str">
        <f aca="false">IF(F2827="","",IF(F2827&lt;=5,"A",IF(F2827&lt;=8,"B",IF(F2827&lt;=10,"C","D"))))</f>
        <v/>
      </c>
      <c r="H2827" s="28"/>
      <c r="I2827" s="27"/>
      <c r="J2827" s="26"/>
      <c r="K2827" s="27"/>
      <c r="L2827" s="27"/>
      <c r="M2827" s="27"/>
      <c r="N2827" s="27"/>
      <c r="O2827" s="24" t="str">
        <f aca="false">IF(G2827="","",VLOOKUP(G2827,Setup!$A$14:$C$17,3,0))</f>
        <v/>
      </c>
      <c r="P2827" s="27"/>
      <c r="Q2827" s="29" t="str">
        <f aca="false">IF(OR(P2827="",M2827&lt;&gt;"Paid",O2827=""),"",P2827/O2827)</f>
        <v/>
      </c>
      <c r="R2827" s="30" t="str">
        <f aca="false">IF(Q2827="","",Q2827+N(H2827)*0.000000001)</f>
        <v/>
      </c>
      <c r="S2827" s="25" t="str">
        <f aca="false">IF(R2827="","",SUMPRODUCT((I$5:I$4004=I2827)*ISNUMBER(R$5:R$4004)*(R$5:R$4004&gt;R2827))+1)</f>
        <v/>
      </c>
      <c r="T2827" s="25" t="str">
        <f aca="false">IF(S2827="","",IF(S2827&lt;=Setup!$B$5,"🏆 WINNER",""))</f>
        <v/>
      </c>
      <c r="U2827" s="24" t="str">
        <f aca="false">IF(S2827="","",I2827&amp;"|"&amp;S2827)</f>
        <v/>
      </c>
    </row>
    <row r="2828" customFormat="false" ht="15" hidden="false" customHeight="false" outlineLevel="0" collapsed="false">
      <c r="A2828" s="31" t="n">
        <v>2824</v>
      </c>
      <c r="B2828" s="32" t="str">
        <f aca="false">IF(OR(C2828="",I2828="",G2828=""),"",IFERROR(VLOOKUP(I2828,Setup!$A$9:$B$11,2,0),"???")&amp;"-"&amp;G2828&amp;"-"&amp;TEXT(COUNTIFS(I$5:I2828,I2828,G$5:G2828,G2828),"0000"))</f>
        <v/>
      </c>
      <c r="C2828" s="26"/>
      <c r="D2828" s="26"/>
      <c r="E2828" s="27"/>
      <c r="F2828" s="27"/>
      <c r="G2828" s="31" t="str">
        <f aca="false">IF(F2828="","",IF(F2828&lt;=5,"A",IF(F2828&lt;=8,"B",IF(F2828&lt;=10,"C","D"))))</f>
        <v/>
      </c>
      <c r="H2828" s="28"/>
      <c r="I2828" s="27"/>
      <c r="J2828" s="26"/>
      <c r="K2828" s="27"/>
      <c r="L2828" s="27"/>
      <c r="M2828" s="27"/>
      <c r="N2828" s="27"/>
      <c r="O2828" s="31" t="str">
        <f aca="false">IF(G2828="","",VLOOKUP(G2828,Setup!$A$14:$C$17,3,0))</f>
        <v/>
      </c>
      <c r="P2828" s="27"/>
      <c r="Q2828" s="33" t="str">
        <f aca="false">IF(OR(P2828="",M2828&lt;&gt;"Paid",O2828=""),"",P2828/O2828)</f>
        <v/>
      </c>
      <c r="R2828" s="34" t="str">
        <f aca="false">IF(Q2828="","",Q2828+N(H2828)*0.000000001)</f>
        <v/>
      </c>
      <c r="S2828" s="32" t="str">
        <f aca="false">IF(R2828="","",SUMPRODUCT((I$5:I$4004=I2828)*ISNUMBER(R$5:R$4004)*(R$5:R$4004&gt;R2828))+1)</f>
        <v/>
      </c>
      <c r="T2828" s="32" t="str">
        <f aca="false">IF(S2828="","",IF(S2828&lt;=Setup!$B$5,"🏆 WINNER",""))</f>
        <v/>
      </c>
      <c r="U2828" s="31" t="str">
        <f aca="false">IF(S2828="","",I2828&amp;"|"&amp;S2828)</f>
        <v/>
      </c>
    </row>
    <row r="2829" customFormat="false" ht="15" hidden="false" customHeight="false" outlineLevel="0" collapsed="false">
      <c r="A2829" s="24" t="n">
        <v>2825</v>
      </c>
      <c r="B2829" s="25" t="str">
        <f aca="false">IF(OR(C2829="",I2829="",G2829=""),"",IFERROR(VLOOKUP(I2829,Setup!$A$9:$B$11,2,0),"???")&amp;"-"&amp;G2829&amp;"-"&amp;TEXT(COUNTIFS(I$5:I2829,I2829,G$5:G2829,G2829),"0000"))</f>
        <v/>
      </c>
      <c r="C2829" s="26"/>
      <c r="D2829" s="26"/>
      <c r="E2829" s="27"/>
      <c r="F2829" s="27"/>
      <c r="G2829" s="24" t="str">
        <f aca="false">IF(F2829="","",IF(F2829&lt;=5,"A",IF(F2829&lt;=8,"B",IF(F2829&lt;=10,"C","D"))))</f>
        <v/>
      </c>
      <c r="H2829" s="28"/>
      <c r="I2829" s="27"/>
      <c r="J2829" s="26"/>
      <c r="K2829" s="27"/>
      <c r="L2829" s="27"/>
      <c r="M2829" s="27"/>
      <c r="N2829" s="27"/>
      <c r="O2829" s="24" t="str">
        <f aca="false">IF(G2829="","",VLOOKUP(G2829,Setup!$A$14:$C$17,3,0))</f>
        <v/>
      </c>
      <c r="P2829" s="27"/>
      <c r="Q2829" s="29" t="str">
        <f aca="false">IF(OR(P2829="",M2829&lt;&gt;"Paid",O2829=""),"",P2829/O2829)</f>
        <v/>
      </c>
      <c r="R2829" s="30" t="str">
        <f aca="false">IF(Q2829="","",Q2829+N(H2829)*0.000000001)</f>
        <v/>
      </c>
      <c r="S2829" s="25" t="str">
        <f aca="false">IF(R2829="","",SUMPRODUCT((I$5:I$4004=I2829)*ISNUMBER(R$5:R$4004)*(R$5:R$4004&gt;R2829))+1)</f>
        <v/>
      </c>
      <c r="T2829" s="25" t="str">
        <f aca="false">IF(S2829="","",IF(S2829&lt;=Setup!$B$5,"🏆 WINNER",""))</f>
        <v/>
      </c>
      <c r="U2829" s="24" t="str">
        <f aca="false">IF(S2829="","",I2829&amp;"|"&amp;S2829)</f>
        <v/>
      </c>
    </row>
    <row r="2830" customFormat="false" ht="15" hidden="false" customHeight="false" outlineLevel="0" collapsed="false">
      <c r="A2830" s="31" t="n">
        <v>2826</v>
      </c>
      <c r="B2830" s="32" t="str">
        <f aca="false">IF(OR(C2830="",I2830="",G2830=""),"",IFERROR(VLOOKUP(I2830,Setup!$A$9:$B$11,2,0),"???")&amp;"-"&amp;G2830&amp;"-"&amp;TEXT(COUNTIFS(I$5:I2830,I2830,G$5:G2830,G2830),"0000"))</f>
        <v/>
      </c>
      <c r="C2830" s="26"/>
      <c r="D2830" s="26"/>
      <c r="E2830" s="27"/>
      <c r="F2830" s="27"/>
      <c r="G2830" s="31" t="str">
        <f aca="false">IF(F2830="","",IF(F2830&lt;=5,"A",IF(F2830&lt;=8,"B",IF(F2830&lt;=10,"C","D"))))</f>
        <v/>
      </c>
      <c r="H2830" s="28"/>
      <c r="I2830" s="27"/>
      <c r="J2830" s="26"/>
      <c r="K2830" s="27"/>
      <c r="L2830" s="27"/>
      <c r="M2830" s="27"/>
      <c r="N2830" s="27"/>
      <c r="O2830" s="31" t="str">
        <f aca="false">IF(G2830="","",VLOOKUP(G2830,Setup!$A$14:$C$17,3,0))</f>
        <v/>
      </c>
      <c r="P2830" s="27"/>
      <c r="Q2830" s="33" t="str">
        <f aca="false">IF(OR(P2830="",M2830&lt;&gt;"Paid",O2830=""),"",P2830/O2830)</f>
        <v/>
      </c>
      <c r="R2830" s="34" t="str">
        <f aca="false">IF(Q2830="","",Q2830+N(H2830)*0.000000001)</f>
        <v/>
      </c>
      <c r="S2830" s="32" t="str">
        <f aca="false">IF(R2830="","",SUMPRODUCT((I$5:I$4004=I2830)*ISNUMBER(R$5:R$4004)*(R$5:R$4004&gt;R2830))+1)</f>
        <v/>
      </c>
      <c r="T2830" s="32" t="str">
        <f aca="false">IF(S2830="","",IF(S2830&lt;=Setup!$B$5,"🏆 WINNER",""))</f>
        <v/>
      </c>
      <c r="U2830" s="31" t="str">
        <f aca="false">IF(S2830="","",I2830&amp;"|"&amp;S2830)</f>
        <v/>
      </c>
    </row>
    <row r="2831" customFormat="false" ht="15" hidden="false" customHeight="false" outlineLevel="0" collapsed="false">
      <c r="A2831" s="24" t="n">
        <v>2827</v>
      </c>
      <c r="B2831" s="25" t="str">
        <f aca="false">IF(OR(C2831="",I2831="",G2831=""),"",IFERROR(VLOOKUP(I2831,Setup!$A$9:$B$11,2,0),"???")&amp;"-"&amp;G2831&amp;"-"&amp;TEXT(COUNTIFS(I$5:I2831,I2831,G$5:G2831,G2831),"0000"))</f>
        <v/>
      </c>
      <c r="C2831" s="26"/>
      <c r="D2831" s="26"/>
      <c r="E2831" s="27"/>
      <c r="F2831" s="27"/>
      <c r="G2831" s="24" t="str">
        <f aca="false">IF(F2831="","",IF(F2831&lt;=5,"A",IF(F2831&lt;=8,"B",IF(F2831&lt;=10,"C","D"))))</f>
        <v/>
      </c>
      <c r="H2831" s="28"/>
      <c r="I2831" s="27"/>
      <c r="J2831" s="26"/>
      <c r="K2831" s="27"/>
      <c r="L2831" s="27"/>
      <c r="M2831" s="27"/>
      <c r="N2831" s="27"/>
      <c r="O2831" s="24" t="str">
        <f aca="false">IF(G2831="","",VLOOKUP(G2831,Setup!$A$14:$C$17,3,0))</f>
        <v/>
      </c>
      <c r="P2831" s="27"/>
      <c r="Q2831" s="29" t="str">
        <f aca="false">IF(OR(P2831="",M2831&lt;&gt;"Paid",O2831=""),"",P2831/O2831)</f>
        <v/>
      </c>
      <c r="R2831" s="30" t="str">
        <f aca="false">IF(Q2831="","",Q2831+N(H2831)*0.000000001)</f>
        <v/>
      </c>
      <c r="S2831" s="25" t="str">
        <f aca="false">IF(R2831="","",SUMPRODUCT((I$5:I$4004=I2831)*ISNUMBER(R$5:R$4004)*(R$5:R$4004&gt;R2831))+1)</f>
        <v/>
      </c>
      <c r="T2831" s="25" t="str">
        <f aca="false">IF(S2831="","",IF(S2831&lt;=Setup!$B$5,"🏆 WINNER",""))</f>
        <v/>
      </c>
      <c r="U2831" s="24" t="str">
        <f aca="false">IF(S2831="","",I2831&amp;"|"&amp;S2831)</f>
        <v/>
      </c>
    </row>
    <row r="2832" customFormat="false" ht="15" hidden="false" customHeight="false" outlineLevel="0" collapsed="false">
      <c r="A2832" s="31" t="n">
        <v>2828</v>
      </c>
      <c r="B2832" s="32" t="str">
        <f aca="false">IF(OR(C2832="",I2832="",G2832=""),"",IFERROR(VLOOKUP(I2832,Setup!$A$9:$B$11,2,0),"???")&amp;"-"&amp;G2832&amp;"-"&amp;TEXT(COUNTIFS(I$5:I2832,I2832,G$5:G2832,G2832),"0000"))</f>
        <v/>
      </c>
      <c r="C2832" s="26"/>
      <c r="D2832" s="26"/>
      <c r="E2832" s="27"/>
      <c r="F2832" s="27"/>
      <c r="G2832" s="31" t="str">
        <f aca="false">IF(F2832="","",IF(F2832&lt;=5,"A",IF(F2832&lt;=8,"B",IF(F2832&lt;=10,"C","D"))))</f>
        <v/>
      </c>
      <c r="H2832" s="28"/>
      <c r="I2832" s="27"/>
      <c r="J2832" s="26"/>
      <c r="K2832" s="27"/>
      <c r="L2832" s="27"/>
      <c r="M2832" s="27"/>
      <c r="N2832" s="27"/>
      <c r="O2832" s="31" t="str">
        <f aca="false">IF(G2832="","",VLOOKUP(G2832,Setup!$A$14:$C$17,3,0))</f>
        <v/>
      </c>
      <c r="P2832" s="27"/>
      <c r="Q2832" s="33" t="str">
        <f aca="false">IF(OR(P2832="",M2832&lt;&gt;"Paid",O2832=""),"",P2832/O2832)</f>
        <v/>
      </c>
      <c r="R2832" s="34" t="str">
        <f aca="false">IF(Q2832="","",Q2832+N(H2832)*0.000000001)</f>
        <v/>
      </c>
      <c r="S2832" s="32" t="str">
        <f aca="false">IF(R2832="","",SUMPRODUCT((I$5:I$4004=I2832)*ISNUMBER(R$5:R$4004)*(R$5:R$4004&gt;R2832))+1)</f>
        <v/>
      </c>
      <c r="T2832" s="32" t="str">
        <f aca="false">IF(S2832="","",IF(S2832&lt;=Setup!$B$5,"🏆 WINNER",""))</f>
        <v/>
      </c>
      <c r="U2832" s="31" t="str">
        <f aca="false">IF(S2832="","",I2832&amp;"|"&amp;S2832)</f>
        <v/>
      </c>
    </row>
    <row r="2833" customFormat="false" ht="15" hidden="false" customHeight="false" outlineLevel="0" collapsed="false">
      <c r="A2833" s="24" t="n">
        <v>2829</v>
      </c>
      <c r="B2833" s="25" t="str">
        <f aca="false">IF(OR(C2833="",I2833="",G2833=""),"",IFERROR(VLOOKUP(I2833,Setup!$A$9:$B$11,2,0),"???")&amp;"-"&amp;G2833&amp;"-"&amp;TEXT(COUNTIFS(I$5:I2833,I2833,G$5:G2833,G2833),"0000"))</f>
        <v/>
      </c>
      <c r="C2833" s="26"/>
      <c r="D2833" s="26"/>
      <c r="E2833" s="27"/>
      <c r="F2833" s="27"/>
      <c r="G2833" s="24" t="str">
        <f aca="false">IF(F2833="","",IF(F2833&lt;=5,"A",IF(F2833&lt;=8,"B",IF(F2833&lt;=10,"C","D"))))</f>
        <v/>
      </c>
      <c r="H2833" s="28"/>
      <c r="I2833" s="27"/>
      <c r="J2833" s="26"/>
      <c r="K2833" s="27"/>
      <c r="L2833" s="27"/>
      <c r="M2833" s="27"/>
      <c r="N2833" s="27"/>
      <c r="O2833" s="24" t="str">
        <f aca="false">IF(G2833="","",VLOOKUP(G2833,Setup!$A$14:$C$17,3,0))</f>
        <v/>
      </c>
      <c r="P2833" s="27"/>
      <c r="Q2833" s="29" t="str">
        <f aca="false">IF(OR(P2833="",M2833&lt;&gt;"Paid",O2833=""),"",P2833/O2833)</f>
        <v/>
      </c>
      <c r="R2833" s="30" t="str">
        <f aca="false">IF(Q2833="","",Q2833+N(H2833)*0.000000001)</f>
        <v/>
      </c>
      <c r="S2833" s="25" t="str">
        <f aca="false">IF(R2833="","",SUMPRODUCT((I$5:I$4004=I2833)*ISNUMBER(R$5:R$4004)*(R$5:R$4004&gt;R2833))+1)</f>
        <v/>
      </c>
      <c r="T2833" s="25" t="str">
        <f aca="false">IF(S2833="","",IF(S2833&lt;=Setup!$B$5,"🏆 WINNER",""))</f>
        <v/>
      </c>
      <c r="U2833" s="24" t="str">
        <f aca="false">IF(S2833="","",I2833&amp;"|"&amp;S2833)</f>
        <v/>
      </c>
    </row>
    <row r="2834" customFormat="false" ht="15" hidden="false" customHeight="false" outlineLevel="0" collapsed="false">
      <c r="A2834" s="31" t="n">
        <v>2830</v>
      </c>
      <c r="B2834" s="32" t="str">
        <f aca="false">IF(OR(C2834="",I2834="",G2834=""),"",IFERROR(VLOOKUP(I2834,Setup!$A$9:$B$11,2,0),"???")&amp;"-"&amp;G2834&amp;"-"&amp;TEXT(COUNTIFS(I$5:I2834,I2834,G$5:G2834,G2834),"0000"))</f>
        <v/>
      </c>
      <c r="C2834" s="26"/>
      <c r="D2834" s="26"/>
      <c r="E2834" s="27"/>
      <c r="F2834" s="27"/>
      <c r="G2834" s="31" t="str">
        <f aca="false">IF(F2834="","",IF(F2834&lt;=5,"A",IF(F2834&lt;=8,"B",IF(F2834&lt;=10,"C","D"))))</f>
        <v/>
      </c>
      <c r="H2834" s="28"/>
      <c r="I2834" s="27"/>
      <c r="J2834" s="26"/>
      <c r="K2834" s="27"/>
      <c r="L2834" s="27"/>
      <c r="M2834" s="27"/>
      <c r="N2834" s="27"/>
      <c r="O2834" s="31" t="str">
        <f aca="false">IF(G2834="","",VLOOKUP(G2834,Setup!$A$14:$C$17,3,0))</f>
        <v/>
      </c>
      <c r="P2834" s="27"/>
      <c r="Q2834" s="33" t="str">
        <f aca="false">IF(OR(P2834="",M2834&lt;&gt;"Paid",O2834=""),"",P2834/O2834)</f>
        <v/>
      </c>
      <c r="R2834" s="34" t="str">
        <f aca="false">IF(Q2834="","",Q2834+N(H2834)*0.000000001)</f>
        <v/>
      </c>
      <c r="S2834" s="32" t="str">
        <f aca="false">IF(R2834="","",SUMPRODUCT((I$5:I$4004=I2834)*ISNUMBER(R$5:R$4004)*(R$5:R$4004&gt;R2834))+1)</f>
        <v/>
      </c>
      <c r="T2834" s="32" t="str">
        <f aca="false">IF(S2834="","",IF(S2834&lt;=Setup!$B$5,"🏆 WINNER",""))</f>
        <v/>
      </c>
      <c r="U2834" s="31" t="str">
        <f aca="false">IF(S2834="","",I2834&amp;"|"&amp;S2834)</f>
        <v/>
      </c>
    </row>
    <row r="2835" customFormat="false" ht="15" hidden="false" customHeight="false" outlineLevel="0" collapsed="false">
      <c r="A2835" s="24" t="n">
        <v>2831</v>
      </c>
      <c r="B2835" s="25" t="str">
        <f aca="false">IF(OR(C2835="",I2835="",G2835=""),"",IFERROR(VLOOKUP(I2835,Setup!$A$9:$B$11,2,0),"???")&amp;"-"&amp;G2835&amp;"-"&amp;TEXT(COUNTIFS(I$5:I2835,I2835,G$5:G2835,G2835),"0000"))</f>
        <v/>
      </c>
      <c r="C2835" s="26"/>
      <c r="D2835" s="26"/>
      <c r="E2835" s="27"/>
      <c r="F2835" s="27"/>
      <c r="G2835" s="24" t="str">
        <f aca="false">IF(F2835="","",IF(F2835&lt;=5,"A",IF(F2835&lt;=8,"B",IF(F2835&lt;=10,"C","D"))))</f>
        <v/>
      </c>
      <c r="H2835" s="28"/>
      <c r="I2835" s="27"/>
      <c r="J2835" s="26"/>
      <c r="K2835" s="27"/>
      <c r="L2835" s="27"/>
      <c r="M2835" s="27"/>
      <c r="N2835" s="27"/>
      <c r="O2835" s="24" t="str">
        <f aca="false">IF(G2835="","",VLOOKUP(G2835,Setup!$A$14:$C$17,3,0))</f>
        <v/>
      </c>
      <c r="P2835" s="27"/>
      <c r="Q2835" s="29" t="str">
        <f aca="false">IF(OR(P2835="",M2835&lt;&gt;"Paid",O2835=""),"",P2835/O2835)</f>
        <v/>
      </c>
      <c r="R2835" s="30" t="str">
        <f aca="false">IF(Q2835="","",Q2835+N(H2835)*0.000000001)</f>
        <v/>
      </c>
      <c r="S2835" s="25" t="str">
        <f aca="false">IF(R2835="","",SUMPRODUCT((I$5:I$4004=I2835)*ISNUMBER(R$5:R$4004)*(R$5:R$4004&gt;R2835))+1)</f>
        <v/>
      </c>
      <c r="T2835" s="25" t="str">
        <f aca="false">IF(S2835="","",IF(S2835&lt;=Setup!$B$5,"🏆 WINNER",""))</f>
        <v/>
      </c>
      <c r="U2835" s="24" t="str">
        <f aca="false">IF(S2835="","",I2835&amp;"|"&amp;S2835)</f>
        <v/>
      </c>
    </row>
    <row r="2836" customFormat="false" ht="15" hidden="false" customHeight="false" outlineLevel="0" collapsed="false">
      <c r="A2836" s="31" t="n">
        <v>2832</v>
      </c>
      <c r="B2836" s="32" t="str">
        <f aca="false">IF(OR(C2836="",I2836="",G2836=""),"",IFERROR(VLOOKUP(I2836,Setup!$A$9:$B$11,2,0),"???")&amp;"-"&amp;G2836&amp;"-"&amp;TEXT(COUNTIFS(I$5:I2836,I2836,G$5:G2836,G2836),"0000"))</f>
        <v/>
      </c>
      <c r="C2836" s="26"/>
      <c r="D2836" s="26"/>
      <c r="E2836" s="27"/>
      <c r="F2836" s="27"/>
      <c r="G2836" s="31" t="str">
        <f aca="false">IF(F2836="","",IF(F2836&lt;=5,"A",IF(F2836&lt;=8,"B",IF(F2836&lt;=10,"C","D"))))</f>
        <v/>
      </c>
      <c r="H2836" s="28"/>
      <c r="I2836" s="27"/>
      <c r="J2836" s="26"/>
      <c r="K2836" s="27"/>
      <c r="L2836" s="27"/>
      <c r="M2836" s="27"/>
      <c r="N2836" s="27"/>
      <c r="O2836" s="31" t="str">
        <f aca="false">IF(G2836="","",VLOOKUP(G2836,Setup!$A$14:$C$17,3,0))</f>
        <v/>
      </c>
      <c r="P2836" s="27"/>
      <c r="Q2836" s="33" t="str">
        <f aca="false">IF(OR(P2836="",M2836&lt;&gt;"Paid",O2836=""),"",P2836/O2836)</f>
        <v/>
      </c>
      <c r="R2836" s="34" t="str">
        <f aca="false">IF(Q2836="","",Q2836+N(H2836)*0.000000001)</f>
        <v/>
      </c>
      <c r="S2836" s="32" t="str">
        <f aca="false">IF(R2836="","",SUMPRODUCT((I$5:I$4004=I2836)*ISNUMBER(R$5:R$4004)*(R$5:R$4004&gt;R2836))+1)</f>
        <v/>
      </c>
      <c r="T2836" s="32" t="str">
        <f aca="false">IF(S2836="","",IF(S2836&lt;=Setup!$B$5,"🏆 WINNER",""))</f>
        <v/>
      </c>
      <c r="U2836" s="31" t="str">
        <f aca="false">IF(S2836="","",I2836&amp;"|"&amp;S2836)</f>
        <v/>
      </c>
    </row>
    <row r="2837" customFormat="false" ht="15" hidden="false" customHeight="false" outlineLevel="0" collapsed="false">
      <c r="A2837" s="24" t="n">
        <v>2833</v>
      </c>
      <c r="B2837" s="25" t="str">
        <f aca="false">IF(OR(C2837="",I2837="",G2837=""),"",IFERROR(VLOOKUP(I2837,Setup!$A$9:$B$11,2,0),"???")&amp;"-"&amp;G2837&amp;"-"&amp;TEXT(COUNTIFS(I$5:I2837,I2837,G$5:G2837,G2837),"0000"))</f>
        <v/>
      </c>
      <c r="C2837" s="26"/>
      <c r="D2837" s="26"/>
      <c r="E2837" s="27"/>
      <c r="F2837" s="27"/>
      <c r="G2837" s="24" t="str">
        <f aca="false">IF(F2837="","",IF(F2837&lt;=5,"A",IF(F2837&lt;=8,"B",IF(F2837&lt;=10,"C","D"))))</f>
        <v/>
      </c>
      <c r="H2837" s="28"/>
      <c r="I2837" s="27"/>
      <c r="J2837" s="26"/>
      <c r="K2837" s="27"/>
      <c r="L2837" s="27"/>
      <c r="M2837" s="27"/>
      <c r="N2837" s="27"/>
      <c r="O2837" s="24" t="str">
        <f aca="false">IF(G2837="","",VLOOKUP(G2837,Setup!$A$14:$C$17,3,0))</f>
        <v/>
      </c>
      <c r="P2837" s="27"/>
      <c r="Q2837" s="29" t="str">
        <f aca="false">IF(OR(P2837="",M2837&lt;&gt;"Paid",O2837=""),"",P2837/O2837)</f>
        <v/>
      </c>
      <c r="R2837" s="30" t="str">
        <f aca="false">IF(Q2837="","",Q2837+N(H2837)*0.000000001)</f>
        <v/>
      </c>
      <c r="S2837" s="25" t="str">
        <f aca="false">IF(R2837="","",SUMPRODUCT((I$5:I$4004=I2837)*ISNUMBER(R$5:R$4004)*(R$5:R$4004&gt;R2837))+1)</f>
        <v/>
      </c>
      <c r="T2837" s="25" t="str">
        <f aca="false">IF(S2837="","",IF(S2837&lt;=Setup!$B$5,"🏆 WINNER",""))</f>
        <v/>
      </c>
      <c r="U2837" s="24" t="str">
        <f aca="false">IF(S2837="","",I2837&amp;"|"&amp;S2837)</f>
        <v/>
      </c>
    </row>
    <row r="2838" customFormat="false" ht="15" hidden="false" customHeight="false" outlineLevel="0" collapsed="false">
      <c r="A2838" s="31" t="n">
        <v>2834</v>
      </c>
      <c r="B2838" s="32" t="str">
        <f aca="false">IF(OR(C2838="",I2838="",G2838=""),"",IFERROR(VLOOKUP(I2838,Setup!$A$9:$B$11,2,0),"???")&amp;"-"&amp;G2838&amp;"-"&amp;TEXT(COUNTIFS(I$5:I2838,I2838,G$5:G2838,G2838),"0000"))</f>
        <v/>
      </c>
      <c r="C2838" s="26"/>
      <c r="D2838" s="26"/>
      <c r="E2838" s="27"/>
      <c r="F2838" s="27"/>
      <c r="G2838" s="31" t="str">
        <f aca="false">IF(F2838="","",IF(F2838&lt;=5,"A",IF(F2838&lt;=8,"B",IF(F2838&lt;=10,"C","D"))))</f>
        <v/>
      </c>
      <c r="H2838" s="28"/>
      <c r="I2838" s="27"/>
      <c r="J2838" s="26"/>
      <c r="K2838" s="27"/>
      <c r="L2838" s="27"/>
      <c r="M2838" s="27"/>
      <c r="N2838" s="27"/>
      <c r="O2838" s="31" t="str">
        <f aca="false">IF(G2838="","",VLOOKUP(G2838,Setup!$A$14:$C$17,3,0))</f>
        <v/>
      </c>
      <c r="P2838" s="27"/>
      <c r="Q2838" s="33" t="str">
        <f aca="false">IF(OR(P2838="",M2838&lt;&gt;"Paid",O2838=""),"",P2838/O2838)</f>
        <v/>
      </c>
      <c r="R2838" s="34" t="str">
        <f aca="false">IF(Q2838="","",Q2838+N(H2838)*0.000000001)</f>
        <v/>
      </c>
      <c r="S2838" s="32" t="str">
        <f aca="false">IF(R2838="","",SUMPRODUCT((I$5:I$4004=I2838)*ISNUMBER(R$5:R$4004)*(R$5:R$4004&gt;R2838))+1)</f>
        <v/>
      </c>
      <c r="T2838" s="32" t="str">
        <f aca="false">IF(S2838="","",IF(S2838&lt;=Setup!$B$5,"🏆 WINNER",""))</f>
        <v/>
      </c>
      <c r="U2838" s="31" t="str">
        <f aca="false">IF(S2838="","",I2838&amp;"|"&amp;S2838)</f>
        <v/>
      </c>
    </row>
    <row r="2839" customFormat="false" ht="15" hidden="false" customHeight="false" outlineLevel="0" collapsed="false">
      <c r="A2839" s="24" t="n">
        <v>2835</v>
      </c>
      <c r="B2839" s="25" t="str">
        <f aca="false">IF(OR(C2839="",I2839="",G2839=""),"",IFERROR(VLOOKUP(I2839,Setup!$A$9:$B$11,2,0),"???")&amp;"-"&amp;G2839&amp;"-"&amp;TEXT(COUNTIFS(I$5:I2839,I2839,G$5:G2839,G2839),"0000"))</f>
        <v/>
      </c>
      <c r="C2839" s="26"/>
      <c r="D2839" s="26"/>
      <c r="E2839" s="27"/>
      <c r="F2839" s="27"/>
      <c r="G2839" s="24" t="str">
        <f aca="false">IF(F2839="","",IF(F2839&lt;=5,"A",IF(F2839&lt;=8,"B",IF(F2839&lt;=10,"C","D"))))</f>
        <v/>
      </c>
      <c r="H2839" s="28"/>
      <c r="I2839" s="27"/>
      <c r="J2839" s="26"/>
      <c r="K2839" s="27"/>
      <c r="L2839" s="27"/>
      <c r="M2839" s="27"/>
      <c r="N2839" s="27"/>
      <c r="O2839" s="24" t="str">
        <f aca="false">IF(G2839="","",VLOOKUP(G2839,Setup!$A$14:$C$17,3,0))</f>
        <v/>
      </c>
      <c r="P2839" s="27"/>
      <c r="Q2839" s="29" t="str">
        <f aca="false">IF(OR(P2839="",M2839&lt;&gt;"Paid",O2839=""),"",P2839/O2839)</f>
        <v/>
      </c>
      <c r="R2839" s="30" t="str">
        <f aca="false">IF(Q2839="","",Q2839+N(H2839)*0.000000001)</f>
        <v/>
      </c>
      <c r="S2839" s="25" t="str">
        <f aca="false">IF(R2839="","",SUMPRODUCT((I$5:I$4004=I2839)*ISNUMBER(R$5:R$4004)*(R$5:R$4004&gt;R2839))+1)</f>
        <v/>
      </c>
      <c r="T2839" s="25" t="str">
        <f aca="false">IF(S2839="","",IF(S2839&lt;=Setup!$B$5,"🏆 WINNER",""))</f>
        <v/>
      </c>
      <c r="U2839" s="24" t="str">
        <f aca="false">IF(S2839="","",I2839&amp;"|"&amp;S2839)</f>
        <v/>
      </c>
    </row>
    <row r="2840" customFormat="false" ht="15" hidden="false" customHeight="false" outlineLevel="0" collapsed="false">
      <c r="A2840" s="31" t="n">
        <v>2836</v>
      </c>
      <c r="B2840" s="32" t="str">
        <f aca="false">IF(OR(C2840="",I2840="",G2840=""),"",IFERROR(VLOOKUP(I2840,Setup!$A$9:$B$11,2,0),"???")&amp;"-"&amp;G2840&amp;"-"&amp;TEXT(COUNTIFS(I$5:I2840,I2840,G$5:G2840,G2840),"0000"))</f>
        <v/>
      </c>
      <c r="C2840" s="26"/>
      <c r="D2840" s="26"/>
      <c r="E2840" s="27"/>
      <c r="F2840" s="27"/>
      <c r="G2840" s="31" t="str">
        <f aca="false">IF(F2840="","",IF(F2840&lt;=5,"A",IF(F2840&lt;=8,"B",IF(F2840&lt;=10,"C","D"))))</f>
        <v/>
      </c>
      <c r="H2840" s="28"/>
      <c r="I2840" s="27"/>
      <c r="J2840" s="26"/>
      <c r="K2840" s="27"/>
      <c r="L2840" s="27"/>
      <c r="M2840" s="27"/>
      <c r="N2840" s="27"/>
      <c r="O2840" s="31" t="str">
        <f aca="false">IF(G2840="","",VLOOKUP(G2840,Setup!$A$14:$C$17,3,0))</f>
        <v/>
      </c>
      <c r="P2840" s="27"/>
      <c r="Q2840" s="33" t="str">
        <f aca="false">IF(OR(P2840="",M2840&lt;&gt;"Paid",O2840=""),"",P2840/O2840)</f>
        <v/>
      </c>
      <c r="R2840" s="34" t="str">
        <f aca="false">IF(Q2840="","",Q2840+N(H2840)*0.000000001)</f>
        <v/>
      </c>
      <c r="S2840" s="32" t="str">
        <f aca="false">IF(R2840="","",SUMPRODUCT((I$5:I$4004=I2840)*ISNUMBER(R$5:R$4004)*(R$5:R$4004&gt;R2840))+1)</f>
        <v/>
      </c>
      <c r="T2840" s="32" t="str">
        <f aca="false">IF(S2840="","",IF(S2840&lt;=Setup!$B$5,"🏆 WINNER",""))</f>
        <v/>
      </c>
      <c r="U2840" s="31" t="str">
        <f aca="false">IF(S2840="","",I2840&amp;"|"&amp;S2840)</f>
        <v/>
      </c>
    </row>
    <row r="2841" customFormat="false" ht="15" hidden="false" customHeight="false" outlineLevel="0" collapsed="false">
      <c r="A2841" s="24" t="n">
        <v>2837</v>
      </c>
      <c r="B2841" s="25" t="str">
        <f aca="false">IF(OR(C2841="",I2841="",G2841=""),"",IFERROR(VLOOKUP(I2841,Setup!$A$9:$B$11,2,0),"???")&amp;"-"&amp;G2841&amp;"-"&amp;TEXT(COUNTIFS(I$5:I2841,I2841,G$5:G2841,G2841),"0000"))</f>
        <v/>
      </c>
      <c r="C2841" s="26"/>
      <c r="D2841" s="26"/>
      <c r="E2841" s="27"/>
      <c r="F2841" s="27"/>
      <c r="G2841" s="24" t="str">
        <f aca="false">IF(F2841="","",IF(F2841&lt;=5,"A",IF(F2841&lt;=8,"B",IF(F2841&lt;=10,"C","D"))))</f>
        <v/>
      </c>
      <c r="H2841" s="28"/>
      <c r="I2841" s="27"/>
      <c r="J2841" s="26"/>
      <c r="K2841" s="27"/>
      <c r="L2841" s="27"/>
      <c r="M2841" s="27"/>
      <c r="N2841" s="27"/>
      <c r="O2841" s="24" t="str">
        <f aca="false">IF(G2841="","",VLOOKUP(G2841,Setup!$A$14:$C$17,3,0))</f>
        <v/>
      </c>
      <c r="P2841" s="27"/>
      <c r="Q2841" s="29" t="str">
        <f aca="false">IF(OR(P2841="",M2841&lt;&gt;"Paid",O2841=""),"",P2841/O2841)</f>
        <v/>
      </c>
      <c r="R2841" s="30" t="str">
        <f aca="false">IF(Q2841="","",Q2841+N(H2841)*0.000000001)</f>
        <v/>
      </c>
      <c r="S2841" s="25" t="str">
        <f aca="false">IF(R2841="","",SUMPRODUCT((I$5:I$4004=I2841)*ISNUMBER(R$5:R$4004)*(R$5:R$4004&gt;R2841))+1)</f>
        <v/>
      </c>
      <c r="T2841" s="25" t="str">
        <f aca="false">IF(S2841="","",IF(S2841&lt;=Setup!$B$5,"🏆 WINNER",""))</f>
        <v/>
      </c>
      <c r="U2841" s="24" t="str">
        <f aca="false">IF(S2841="","",I2841&amp;"|"&amp;S2841)</f>
        <v/>
      </c>
    </row>
    <row r="2842" customFormat="false" ht="15" hidden="false" customHeight="false" outlineLevel="0" collapsed="false">
      <c r="A2842" s="31" t="n">
        <v>2838</v>
      </c>
      <c r="B2842" s="32" t="str">
        <f aca="false">IF(OR(C2842="",I2842="",G2842=""),"",IFERROR(VLOOKUP(I2842,Setup!$A$9:$B$11,2,0),"???")&amp;"-"&amp;G2842&amp;"-"&amp;TEXT(COUNTIFS(I$5:I2842,I2842,G$5:G2842,G2842),"0000"))</f>
        <v/>
      </c>
      <c r="C2842" s="26"/>
      <c r="D2842" s="26"/>
      <c r="E2842" s="27"/>
      <c r="F2842" s="27"/>
      <c r="G2842" s="31" t="str">
        <f aca="false">IF(F2842="","",IF(F2842&lt;=5,"A",IF(F2842&lt;=8,"B",IF(F2842&lt;=10,"C","D"))))</f>
        <v/>
      </c>
      <c r="H2842" s="28"/>
      <c r="I2842" s="27"/>
      <c r="J2842" s="26"/>
      <c r="K2842" s="27"/>
      <c r="L2842" s="27"/>
      <c r="M2842" s="27"/>
      <c r="N2842" s="27"/>
      <c r="O2842" s="31" t="str">
        <f aca="false">IF(G2842="","",VLOOKUP(G2842,Setup!$A$14:$C$17,3,0))</f>
        <v/>
      </c>
      <c r="P2842" s="27"/>
      <c r="Q2842" s="33" t="str">
        <f aca="false">IF(OR(P2842="",M2842&lt;&gt;"Paid",O2842=""),"",P2842/O2842)</f>
        <v/>
      </c>
      <c r="R2842" s="34" t="str">
        <f aca="false">IF(Q2842="","",Q2842+N(H2842)*0.000000001)</f>
        <v/>
      </c>
      <c r="S2842" s="32" t="str">
        <f aca="false">IF(R2842="","",SUMPRODUCT((I$5:I$4004=I2842)*ISNUMBER(R$5:R$4004)*(R$5:R$4004&gt;R2842))+1)</f>
        <v/>
      </c>
      <c r="T2842" s="32" t="str">
        <f aca="false">IF(S2842="","",IF(S2842&lt;=Setup!$B$5,"🏆 WINNER",""))</f>
        <v/>
      </c>
      <c r="U2842" s="31" t="str">
        <f aca="false">IF(S2842="","",I2842&amp;"|"&amp;S2842)</f>
        <v/>
      </c>
    </row>
    <row r="2843" customFormat="false" ht="15" hidden="false" customHeight="false" outlineLevel="0" collapsed="false">
      <c r="A2843" s="24" t="n">
        <v>2839</v>
      </c>
      <c r="B2843" s="25" t="str">
        <f aca="false">IF(OR(C2843="",I2843="",G2843=""),"",IFERROR(VLOOKUP(I2843,Setup!$A$9:$B$11,2,0),"???")&amp;"-"&amp;G2843&amp;"-"&amp;TEXT(COUNTIFS(I$5:I2843,I2843,G$5:G2843,G2843),"0000"))</f>
        <v/>
      </c>
      <c r="C2843" s="26"/>
      <c r="D2843" s="26"/>
      <c r="E2843" s="27"/>
      <c r="F2843" s="27"/>
      <c r="G2843" s="24" t="str">
        <f aca="false">IF(F2843="","",IF(F2843&lt;=5,"A",IF(F2843&lt;=8,"B",IF(F2843&lt;=10,"C","D"))))</f>
        <v/>
      </c>
      <c r="H2843" s="28"/>
      <c r="I2843" s="27"/>
      <c r="J2843" s="26"/>
      <c r="K2843" s="27"/>
      <c r="L2843" s="27"/>
      <c r="M2843" s="27"/>
      <c r="N2843" s="27"/>
      <c r="O2843" s="24" t="str">
        <f aca="false">IF(G2843="","",VLOOKUP(G2843,Setup!$A$14:$C$17,3,0))</f>
        <v/>
      </c>
      <c r="P2843" s="27"/>
      <c r="Q2843" s="29" t="str">
        <f aca="false">IF(OR(P2843="",M2843&lt;&gt;"Paid",O2843=""),"",P2843/O2843)</f>
        <v/>
      </c>
      <c r="R2843" s="30" t="str">
        <f aca="false">IF(Q2843="","",Q2843+N(H2843)*0.000000001)</f>
        <v/>
      </c>
      <c r="S2843" s="25" t="str">
        <f aca="false">IF(R2843="","",SUMPRODUCT((I$5:I$4004=I2843)*ISNUMBER(R$5:R$4004)*(R$5:R$4004&gt;R2843))+1)</f>
        <v/>
      </c>
      <c r="T2843" s="25" t="str">
        <f aca="false">IF(S2843="","",IF(S2843&lt;=Setup!$B$5,"🏆 WINNER",""))</f>
        <v/>
      </c>
      <c r="U2843" s="24" t="str">
        <f aca="false">IF(S2843="","",I2843&amp;"|"&amp;S2843)</f>
        <v/>
      </c>
    </row>
    <row r="2844" customFormat="false" ht="15" hidden="false" customHeight="false" outlineLevel="0" collapsed="false">
      <c r="A2844" s="31" t="n">
        <v>2840</v>
      </c>
      <c r="B2844" s="32" t="str">
        <f aca="false">IF(OR(C2844="",I2844="",G2844=""),"",IFERROR(VLOOKUP(I2844,Setup!$A$9:$B$11,2,0),"???")&amp;"-"&amp;G2844&amp;"-"&amp;TEXT(COUNTIFS(I$5:I2844,I2844,G$5:G2844,G2844),"0000"))</f>
        <v/>
      </c>
      <c r="C2844" s="26"/>
      <c r="D2844" s="26"/>
      <c r="E2844" s="27"/>
      <c r="F2844" s="27"/>
      <c r="G2844" s="31" t="str">
        <f aca="false">IF(F2844="","",IF(F2844&lt;=5,"A",IF(F2844&lt;=8,"B",IF(F2844&lt;=10,"C","D"))))</f>
        <v/>
      </c>
      <c r="H2844" s="28"/>
      <c r="I2844" s="27"/>
      <c r="J2844" s="26"/>
      <c r="K2844" s="27"/>
      <c r="L2844" s="27"/>
      <c r="M2844" s="27"/>
      <c r="N2844" s="27"/>
      <c r="O2844" s="31" t="str">
        <f aca="false">IF(G2844="","",VLOOKUP(G2844,Setup!$A$14:$C$17,3,0))</f>
        <v/>
      </c>
      <c r="P2844" s="27"/>
      <c r="Q2844" s="33" t="str">
        <f aca="false">IF(OR(P2844="",M2844&lt;&gt;"Paid",O2844=""),"",P2844/O2844)</f>
        <v/>
      </c>
      <c r="R2844" s="34" t="str">
        <f aca="false">IF(Q2844="","",Q2844+N(H2844)*0.000000001)</f>
        <v/>
      </c>
      <c r="S2844" s="32" t="str">
        <f aca="false">IF(R2844="","",SUMPRODUCT((I$5:I$4004=I2844)*ISNUMBER(R$5:R$4004)*(R$5:R$4004&gt;R2844))+1)</f>
        <v/>
      </c>
      <c r="T2844" s="32" t="str">
        <f aca="false">IF(S2844="","",IF(S2844&lt;=Setup!$B$5,"🏆 WINNER",""))</f>
        <v/>
      </c>
      <c r="U2844" s="31" t="str">
        <f aca="false">IF(S2844="","",I2844&amp;"|"&amp;S2844)</f>
        <v/>
      </c>
    </row>
    <row r="2845" customFormat="false" ht="15" hidden="false" customHeight="false" outlineLevel="0" collapsed="false">
      <c r="A2845" s="24" t="n">
        <v>2841</v>
      </c>
      <c r="B2845" s="25" t="str">
        <f aca="false">IF(OR(C2845="",I2845="",G2845=""),"",IFERROR(VLOOKUP(I2845,Setup!$A$9:$B$11,2,0),"???")&amp;"-"&amp;G2845&amp;"-"&amp;TEXT(COUNTIFS(I$5:I2845,I2845,G$5:G2845,G2845),"0000"))</f>
        <v/>
      </c>
      <c r="C2845" s="26"/>
      <c r="D2845" s="26"/>
      <c r="E2845" s="27"/>
      <c r="F2845" s="27"/>
      <c r="G2845" s="24" t="str">
        <f aca="false">IF(F2845="","",IF(F2845&lt;=5,"A",IF(F2845&lt;=8,"B",IF(F2845&lt;=10,"C","D"))))</f>
        <v/>
      </c>
      <c r="H2845" s="28"/>
      <c r="I2845" s="27"/>
      <c r="J2845" s="26"/>
      <c r="K2845" s="27"/>
      <c r="L2845" s="27"/>
      <c r="M2845" s="27"/>
      <c r="N2845" s="27"/>
      <c r="O2845" s="24" t="str">
        <f aca="false">IF(G2845="","",VLOOKUP(G2845,Setup!$A$14:$C$17,3,0))</f>
        <v/>
      </c>
      <c r="P2845" s="27"/>
      <c r="Q2845" s="29" t="str">
        <f aca="false">IF(OR(P2845="",M2845&lt;&gt;"Paid",O2845=""),"",P2845/O2845)</f>
        <v/>
      </c>
      <c r="R2845" s="30" t="str">
        <f aca="false">IF(Q2845="","",Q2845+N(H2845)*0.000000001)</f>
        <v/>
      </c>
      <c r="S2845" s="25" t="str">
        <f aca="false">IF(R2845="","",SUMPRODUCT((I$5:I$4004=I2845)*ISNUMBER(R$5:R$4004)*(R$5:R$4004&gt;R2845))+1)</f>
        <v/>
      </c>
      <c r="T2845" s="25" t="str">
        <f aca="false">IF(S2845="","",IF(S2845&lt;=Setup!$B$5,"🏆 WINNER",""))</f>
        <v/>
      </c>
      <c r="U2845" s="24" t="str">
        <f aca="false">IF(S2845="","",I2845&amp;"|"&amp;S2845)</f>
        <v/>
      </c>
    </row>
    <row r="2846" customFormat="false" ht="15" hidden="false" customHeight="false" outlineLevel="0" collapsed="false">
      <c r="A2846" s="31" t="n">
        <v>2842</v>
      </c>
      <c r="B2846" s="32" t="str">
        <f aca="false">IF(OR(C2846="",I2846="",G2846=""),"",IFERROR(VLOOKUP(I2846,Setup!$A$9:$B$11,2,0),"???")&amp;"-"&amp;G2846&amp;"-"&amp;TEXT(COUNTIFS(I$5:I2846,I2846,G$5:G2846,G2846),"0000"))</f>
        <v/>
      </c>
      <c r="C2846" s="26"/>
      <c r="D2846" s="26"/>
      <c r="E2846" s="27"/>
      <c r="F2846" s="27"/>
      <c r="G2846" s="31" t="str">
        <f aca="false">IF(F2846="","",IF(F2846&lt;=5,"A",IF(F2846&lt;=8,"B",IF(F2846&lt;=10,"C","D"))))</f>
        <v/>
      </c>
      <c r="H2846" s="28"/>
      <c r="I2846" s="27"/>
      <c r="J2846" s="26"/>
      <c r="K2846" s="27"/>
      <c r="L2846" s="27"/>
      <c r="M2846" s="27"/>
      <c r="N2846" s="27"/>
      <c r="O2846" s="31" t="str">
        <f aca="false">IF(G2846="","",VLOOKUP(G2846,Setup!$A$14:$C$17,3,0))</f>
        <v/>
      </c>
      <c r="P2846" s="27"/>
      <c r="Q2846" s="33" t="str">
        <f aca="false">IF(OR(P2846="",M2846&lt;&gt;"Paid",O2846=""),"",P2846/O2846)</f>
        <v/>
      </c>
      <c r="R2846" s="34" t="str">
        <f aca="false">IF(Q2846="","",Q2846+N(H2846)*0.000000001)</f>
        <v/>
      </c>
      <c r="S2846" s="32" t="str">
        <f aca="false">IF(R2846="","",SUMPRODUCT((I$5:I$4004=I2846)*ISNUMBER(R$5:R$4004)*(R$5:R$4004&gt;R2846))+1)</f>
        <v/>
      </c>
      <c r="T2846" s="32" t="str">
        <f aca="false">IF(S2846="","",IF(S2846&lt;=Setup!$B$5,"🏆 WINNER",""))</f>
        <v/>
      </c>
      <c r="U2846" s="31" t="str">
        <f aca="false">IF(S2846="","",I2846&amp;"|"&amp;S2846)</f>
        <v/>
      </c>
    </row>
    <row r="2847" customFormat="false" ht="15" hidden="false" customHeight="false" outlineLevel="0" collapsed="false">
      <c r="A2847" s="24" t="n">
        <v>2843</v>
      </c>
      <c r="B2847" s="25" t="str">
        <f aca="false">IF(OR(C2847="",I2847="",G2847=""),"",IFERROR(VLOOKUP(I2847,Setup!$A$9:$B$11,2,0),"???")&amp;"-"&amp;G2847&amp;"-"&amp;TEXT(COUNTIFS(I$5:I2847,I2847,G$5:G2847,G2847),"0000"))</f>
        <v/>
      </c>
      <c r="C2847" s="26"/>
      <c r="D2847" s="26"/>
      <c r="E2847" s="27"/>
      <c r="F2847" s="27"/>
      <c r="G2847" s="24" t="str">
        <f aca="false">IF(F2847="","",IF(F2847&lt;=5,"A",IF(F2847&lt;=8,"B",IF(F2847&lt;=10,"C","D"))))</f>
        <v/>
      </c>
      <c r="H2847" s="28"/>
      <c r="I2847" s="27"/>
      <c r="J2847" s="26"/>
      <c r="K2847" s="27"/>
      <c r="L2847" s="27"/>
      <c r="M2847" s="27"/>
      <c r="N2847" s="27"/>
      <c r="O2847" s="24" t="str">
        <f aca="false">IF(G2847="","",VLOOKUP(G2847,Setup!$A$14:$C$17,3,0))</f>
        <v/>
      </c>
      <c r="P2847" s="27"/>
      <c r="Q2847" s="29" t="str">
        <f aca="false">IF(OR(P2847="",M2847&lt;&gt;"Paid",O2847=""),"",P2847/O2847)</f>
        <v/>
      </c>
      <c r="R2847" s="30" t="str">
        <f aca="false">IF(Q2847="","",Q2847+N(H2847)*0.000000001)</f>
        <v/>
      </c>
      <c r="S2847" s="25" t="str">
        <f aca="false">IF(R2847="","",SUMPRODUCT((I$5:I$4004=I2847)*ISNUMBER(R$5:R$4004)*(R$5:R$4004&gt;R2847))+1)</f>
        <v/>
      </c>
      <c r="T2847" s="25" t="str">
        <f aca="false">IF(S2847="","",IF(S2847&lt;=Setup!$B$5,"🏆 WINNER",""))</f>
        <v/>
      </c>
      <c r="U2847" s="24" t="str">
        <f aca="false">IF(S2847="","",I2847&amp;"|"&amp;S2847)</f>
        <v/>
      </c>
    </row>
    <row r="2848" customFormat="false" ht="15" hidden="false" customHeight="false" outlineLevel="0" collapsed="false">
      <c r="A2848" s="31" t="n">
        <v>2844</v>
      </c>
      <c r="B2848" s="32" t="str">
        <f aca="false">IF(OR(C2848="",I2848="",G2848=""),"",IFERROR(VLOOKUP(I2848,Setup!$A$9:$B$11,2,0),"???")&amp;"-"&amp;G2848&amp;"-"&amp;TEXT(COUNTIFS(I$5:I2848,I2848,G$5:G2848,G2848),"0000"))</f>
        <v/>
      </c>
      <c r="C2848" s="26"/>
      <c r="D2848" s="26"/>
      <c r="E2848" s="27"/>
      <c r="F2848" s="27"/>
      <c r="G2848" s="31" t="str">
        <f aca="false">IF(F2848="","",IF(F2848&lt;=5,"A",IF(F2848&lt;=8,"B",IF(F2848&lt;=10,"C","D"))))</f>
        <v/>
      </c>
      <c r="H2848" s="28"/>
      <c r="I2848" s="27"/>
      <c r="J2848" s="26"/>
      <c r="K2848" s="27"/>
      <c r="L2848" s="27"/>
      <c r="M2848" s="27"/>
      <c r="N2848" s="27"/>
      <c r="O2848" s="31" t="str">
        <f aca="false">IF(G2848="","",VLOOKUP(G2848,Setup!$A$14:$C$17,3,0))</f>
        <v/>
      </c>
      <c r="P2848" s="27"/>
      <c r="Q2848" s="33" t="str">
        <f aca="false">IF(OR(P2848="",M2848&lt;&gt;"Paid",O2848=""),"",P2848/O2848)</f>
        <v/>
      </c>
      <c r="R2848" s="34" t="str">
        <f aca="false">IF(Q2848="","",Q2848+N(H2848)*0.000000001)</f>
        <v/>
      </c>
      <c r="S2848" s="32" t="str">
        <f aca="false">IF(R2848="","",SUMPRODUCT((I$5:I$4004=I2848)*ISNUMBER(R$5:R$4004)*(R$5:R$4004&gt;R2848))+1)</f>
        <v/>
      </c>
      <c r="T2848" s="32" t="str">
        <f aca="false">IF(S2848="","",IF(S2848&lt;=Setup!$B$5,"🏆 WINNER",""))</f>
        <v/>
      </c>
      <c r="U2848" s="31" t="str">
        <f aca="false">IF(S2848="","",I2848&amp;"|"&amp;S2848)</f>
        <v/>
      </c>
    </row>
    <row r="2849" customFormat="false" ht="15" hidden="false" customHeight="false" outlineLevel="0" collapsed="false">
      <c r="A2849" s="24" t="n">
        <v>2845</v>
      </c>
      <c r="B2849" s="25" t="str">
        <f aca="false">IF(OR(C2849="",I2849="",G2849=""),"",IFERROR(VLOOKUP(I2849,Setup!$A$9:$B$11,2,0),"???")&amp;"-"&amp;G2849&amp;"-"&amp;TEXT(COUNTIFS(I$5:I2849,I2849,G$5:G2849,G2849),"0000"))</f>
        <v/>
      </c>
      <c r="C2849" s="26"/>
      <c r="D2849" s="26"/>
      <c r="E2849" s="27"/>
      <c r="F2849" s="27"/>
      <c r="G2849" s="24" t="str">
        <f aca="false">IF(F2849="","",IF(F2849&lt;=5,"A",IF(F2849&lt;=8,"B",IF(F2849&lt;=10,"C","D"))))</f>
        <v/>
      </c>
      <c r="H2849" s="28"/>
      <c r="I2849" s="27"/>
      <c r="J2849" s="26"/>
      <c r="K2849" s="27"/>
      <c r="L2849" s="27"/>
      <c r="M2849" s="27"/>
      <c r="N2849" s="27"/>
      <c r="O2849" s="24" t="str">
        <f aca="false">IF(G2849="","",VLOOKUP(G2849,Setup!$A$14:$C$17,3,0))</f>
        <v/>
      </c>
      <c r="P2849" s="27"/>
      <c r="Q2849" s="29" t="str">
        <f aca="false">IF(OR(P2849="",M2849&lt;&gt;"Paid",O2849=""),"",P2849/O2849)</f>
        <v/>
      </c>
      <c r="R2849" s="30" t="str">
        <f aca="false">IF(Q2849="","",Q2849+N(H2849)*0.000000001)</f>
        <v/>
      </c>
      <c r="S2849" s="25" t="str">
        <f aca="false">IF(R2849="","",SUMPRODUCT((I$5:I$4004=I2849)*ISNUMBER(R$5:R$4004)*(R$5:R$4004&gt;R2849))+1)</f>
        <v/>
      </c>
      <c r="T2849" s="25" t="str">
        <f aca="false">IF(S2849="","",IF(S2849&lt;=Setup!$B$5,"🏆 WINNER",""))</f>
        <v/>
      </c>
      <c r="U2849" s="24" t="str">
        <f aca="false">IF(S2849="","",I2849&amp;"|"&amp;S2849)</f>
        <v/>
      </c>
    </row>
    <row r="2850" customFormat="false" ht="15" hidden="false" customHeight="false" outlineLevel="0" collapsed="false">
      <c r="A2850" s="31" t="n">
        <v>2846</v>
      </c>
      <c r="B2850" s="32" t="str">
        <f aca="false">IF(OR(C2850="",I2850="",G2850=""),"",IFERROR(VLOOKUP(I2850,Setup!$A$9:$B$11,2,0),"???")&amp;"-"&amp;G2850&amp;"-"&amp;TEXT(COUNTIFS(I$5:I2850,I2850,G$5:G2850,G2850),"0000"))</f>
        <v/>
      </c>
      <c r="C2850" s="26"/>
      <c r="D2850" s="26"/>
      <c r="E2850" s="27"/>
      <c r="F2850" s="27"/>
      <c r="G2850" s="31" t="str">
        <f aca="false">IF(F2850="","",IF(F2850&lt;=5,"A",IF(F2850&lt;=8,"B",IF(F2850&lt;=10,"C","D"))))</f>
        <v/>
      </c>
      <c r="H2850" s="28"/>
      <c r="I2850" s="27"/>
      <c r="J2850" s="26"/>
      <c r="K2850" s="27"/>
      <c r="L2850" s="27"/>
      <c r="M2850" s="27"/>
      <c r="N2850" s="27"/>
      <c r="O2850" s="31" t="str">
        <f aca="false">IF(G2850="","",VLOOKUP(G2850,Setup!$A$14:$C$17,3,0))</f>
        <v/>
      </c>
      <c r="P2850" s="27"/>
      <c r="Q2850" s="33" t="str">
        <f aca="false">IF(OR(P2850="",M2850&lt;&gt;"Paid",O2850=""),"",P2850/O2850)</f>
        <v/>
      </c>
      <c r="R2850" s="34" t="str">
        <f aca="false">IF(Q2850="","",Q2850+N(H2850)*0.000000001)</f>
        <v/>
      </c>
      <c r="S2850" s="32" t="str">
        <f aca="false">IF(R2850="","",SUMPRODUCT((I$5:I$4004=I2850)*ISNUMBER(R$5:R$4004)*(R$5:R$4004&gt;R2850))+1)</f>
        <v/>
      </c>
      <c r="T2850" s="32" t="str">
        <f aca="false">IF(S2850="","",IF(S2850&lt;=Setup!$B$5,"🏆 WINNER",""))</f>
        <v/>
      </c>
      <c r="U2850" s="31" t="str">
        <f aca="false">IF(S2850="","",I2850&amp;"|"&amp;S2850)</f>
        <v/>
      </c>
    </row>
    <row r="2851" customFormat="false" ht="15" hidden="false" customHeight="false" outlineLevel="0" collapsed="false">
      <c r="A2851" s="24" t="n">
        <v>2847</v>
      </c>
      <c r="B2851" s="25" t="str">
        <f aca="false">IF(OR(C2851="",I2851="",G2851=""),"",IFERROR(VLOOKUP(I2851,Setup!$A$9:$B$11,2,0),"???")&amp;"-"&amp;G2851&amp;"-"&amp;TEXT(COUNTIFS(I$5:I2851,I2851,G$5:G2851,G2851),"0000"))</f>
        <v/>
      </c>
      <c r="C2851" s="26"/>
      <c r="D2851" s="26"/>
      <c r="E2851" s="27"/>
      <c r="F2851" s="27"/>
      <c r="G2851" s="24" t="str">
        <f aca="false">IF(F2851="","",IF(F2851&lt;=5,"A",IF(F2851&lt;=8,"B",IF(F2851&lt;=10,"C","D"))))</f>
        <v/>
      </c>
      <c r="H2851" s="28"/>
      <c r="I2851" s="27"/>
      <c r="J2851" s="26"/>
      <c r="K2851" s="27"/>
      <c r="L2851" s="27"/>
      <c r="M2851" s="27"/>
      <c r="N2851" s="27"/>
      <c r="O2851" s="24" t="str">
        <f aca="false">IF(G2851="","",VLOOKUP(G2851,Setup!$A$14:$C$17,3,0))</f>
        <v/>
      </c>
      <c r="P2851" s="27"/>
      <c r="Q2851" s="29" t="str">
        <f aca="false">IF(OR(P2851="",M2851&lt;&gt;"Paid",O2851=""),"",P2851/O2851)</f>
        <v/>
      </c>
      <c r="R2851" s="30" t="str">
        <f aca="false">IF(Q2851="","",Q2851+N(H2851)*0.000000001)</f>
        <v/>
      </c>
      <c r="S2851" s="25" t="str">
        <f aca="false">IF(R2851="","",SUMPRODUCT((I$5:I$4004=I2851)*ISNUMBER(R$5:R$4004)*(R$5:R$4004&gt;R2851))+1)</f>
        <v/>
      </c>
      <c r="T2851" s="25" t="str">
        <f aca="false">IF(S2851="","",IF(S2851&lt;=Setup!$B$5,"🏆 WINNER",""))</f>
        <v/>
      </c>
      <c r="U2851" s="24" t="str">
        <f aca="false">IF(S2851="","",I2851&amp;"|"&amp;S2851)</f>
        <v/>
      </c>
    </row>
    <row r="2852" customFormat="false" ht="15" hidden="false" customHeight="false" outlineLevel="0" collapsed="false">
      <c r="A2852" s="31" t="n">
        <v>2848</v>
      </c>
      <c r="B2852" s="32" t="str">
        <f aca="false">IF(OR(C2852="",I2852="",G2852=""),"",IFERROR(VLOOKUP(I2852,Setup!$A$9:$B$11,2,0),"???")&amp;"-"&amp;G2852&amp;"-"&amp;TEXT(COUNTIFS(I$5:I2852,I2852,G$5:G2852,G2852),"0000"))</f>
        <v/>
      </c>
      <c r="C2852" s="26"/>
      <c r="D2852" s="26"/>
      <c r="E2852" s="27"/>
      <c r="F2852" s="27"/>
      <c r="G2852" s="31" t="str">
        <f aca="false">IF(F2852="","",IF(F2852&lt;=5,"A",IF(F2852&lt;=8,"B",IF(F2852&lt;=10,"C","D"))))</f>
        <v/>
      </c>
      <c r="H2852" s="28"/>
      <c r="I2852" s="27"/>
      <c r="J2852" s="26"/>
      <c r="K2852" s="27"/>
      <c r="L2852" s="27"/>
      <c r="M2852" s="27"/>
      <c r="N2852" s="27"/>
      <c r="O2852" s="31" t="str">
        <f aca="false">IF(G2852="","",VLOOKUP(G2852,Setup!$A$14:$C$17,3,0))</f>
        <v/>
      </c>
      <c r="P2852" s="27"/>
      <c r="Q2852" s="33" t="str">
        <f aca="false">IF(OR(P2852="",M2852&lt;&gt;"Paid",O2852=""),"",P2852/O2852)</f>
        <v/>
      </c>
      <c r="R2852" s="34" t="str">
        <f aca="false">IF(Q2852="","",Q2852+N(H2852)*0.000000001)</f>
        <v/>
      </c>
      <c r="S2852" s="32" t="str">
        <f aca="false">IF(R2852="","",SUMPRODUCT((I$5:I$4004=I2852)*ISNUMBER(R$5:R$4004)*(R$5:R$4004&gt;R2852))+1)</f>
        <v/>
      </c>
      <c r="T2852" s="32" t="str">
        <f aca="false">IF(S2852="","",IF(S2852&lt;=Setup!$B$5,"🏆 WINNER",""))</f>
        <v/>
      </c>
      <c r="U2852" s="31" t="str">
        <f aca="false">IF(S2852="","",I2852&amp;"|"&amp;S2852)</f>
        <v/>
      </c>
    </row>
    <row r="2853" customFormat="false" ht="15" hidden="false" customHeight="false" outlineLevel="0" collapsed="false">
      <c r="A2853" s="24" t="n">
        <v>2849</v>
      </c>
      <c r="B2853" s="25" t="str">
        <f aca="false">IF(OR(C2853="",I2853="",G2853=""),"",IFERROR(VLOOKUP(I2853,Setup!$A$9:$B$11,2,0),"???")&amp;"-"&amp;G2853&amp;"-"&amp;TEXT(COUNTIFS(I$5:I2853,I2853,G$5:G2853,G2853),"0000"))</f>
        <v/>
      </c>
      <c r="C2853" s="26"/>
      <c r="D2853" s="26"/>
      <c r="E2853" s="27"/>
      <c r="F2853" s="27"/>
      <c r="G2853" s="24" t="str">
        <f aca="false">IF(F2853="","",IF(F2853&lt;=5,"A",IF(F2853&lt;=8,"B",IF(F2853&lt;=10,"C","D"))))</f>
        <v/>
      </c>
      <c r="H2853" s="28"/>
      <c r="I2853" s="27"/>
      <c r="J2853" s="26"/>
      <c r="K2853" s="27"/>
      <c r="L2853" s="27"/>
      <c r="M2853" s="27"/>
      <c r="N2853" s="27"/>
      <c r="O2853" s="24" t="str">
        <f aca="false">IF(G2853="","",VLOOKUP(G2853,Setup!$A$14:$C$17,3,0))</f>
        <v/>
      </c>
      <c r="P2853" s="27"/>
      <c r="Q2853" s="29" t="str">
        <f aca="false">IF(OR(P2853="",M2853&lt;&gt;"Paid",O2853=""),"",P2853/O2853)</f>
        <v/>
      </c>
      <c r="R2853" s="30" t="str">
        <f aca="false">IF(Q2853="","",Q2853+N(H2853)*0.000000001)</f>
        <v/>
      </c>
      <c r="S2853" s="25" t="str">
        <f aca="false">IF(R2853="","",SUMPRODUCT((I$5:I$4004=I2853)*ISNUMBER(R$5:R$4004)*(R$5:R$4004&gt;R2853))+1)</f>
        <v/>
      </c>
      <c r="T2853" s="25" t="str">
        <f aca="false">IF(S2853="","",IF(S2853&lt;=Setup!$B$5,"🏆 WINNER",""))</f>
        <v/>
      </c>
      <c r="U2853" s="24" t="str">
        <f aca="false">IF(S2853="","",I2853&amp;"|"&amp;S2853)</f>
        <v/>
      </c>
    </row>
    <row r="2854" customFormat="false" ht="15" hidden="false" customHeight="false" outlineLevel="0" collapsed="false">
      <c r="A2854" s="31" t="n">
        <v>2850</v>
      </c>
      <c r="B2854" s="32" t="str">
        <f aca="false">IF(OR(C2854="",I2854="",G2854=""),"",IFERROR(VLOOKUP(I2854,Setup!$A$9:$B$11,2,0),"???")&amp;"-"&amp;G2854&amp;"-"&amp;TEXT(COUNTIFS(I$5:I2854,I2854,G$5:G2854,G2854),"0000"))</f>
        <v/>
      </c>
      <c r="C2854" s="26"/>
      <c r="D2854" s="26"/>
      <c r="E2854" s="27"/>
      <c r="F2854" s="27"/>
      <c r="G2854" s="31" t="str">
        <f aca="false">IF(F2854="","",IF(F2854&lt;=5,"A",IF(F2854&lt;=8,"B",IF(F2854&lt;=10,"C","D"))))</f>
        <v/>
      </c>
      <c r="H2854" s="28"/>
      <c r="I2854" s="27"/>
      <c r="J2854" s="26"/>
      <c r="K2854" s="27"/>
      <c r="L2854" s="27"/>
      <c r="M2854" s="27"/>
      <c r="N2854" s="27"/>
      <c r="O2854" s="31" t="str">
        <f aca="false">IF(G2854="","",VLOOKUP(G2854,Setup!$A$14:$C$17,3,0))</f>
        <v/>
      </c>
      <c r="P2854" s="27"/>
      <c r="Q2854" s="33" t="str">
        <f aca="false">IF(OR(P2854="",M2854&lt;&gt;"Paid",O2854=""),"",P2854/O2854)</f>
        <v/>
      </c>
      <c r="R2854" s="34" t="str">
        <f aca="false">IF(Q2854="","",Q2854+N(H2854)*0.000000001)</f>
        <v/>
      </c>
      <c r="S2854" s="32" t="str">
        <f aca="false">IF(R2854="","",SUMPRODUCT((I$5:I$4004=I2854)*ISNUMBER(R$5:R$4004)*(R$5:R$4004&gt;R2854))+1)</f>
        <v/>
      </c>
      <c r="T2854" s="32" t="str">
        <f aca="false">IF(S2854="","",IF(S2854&lt;=Setup!$B$5,"🏆 WINNER",""))</f>
        <v/>
      </c>
      <c r="U2854" s="31" t="str">
        <f aca="false">IF(S2854="","",I2854&amp;"|"&amp;S2854)</f>
        <v/>
      </c>
    </row>
    <row r="2855" customFormat="false" ht="15" hidden="false" customHeight="false" outlineLevel="0" collapsed="false">
      <c r="A2855" s="24" t="n">
        <v>2851</v>
      </c>
      <c r="B2855" s="25" t="str">
        <f aca="false">IF(OR(C2855="",I2855="",G2855=""),"",IFERROR(VLOOKUP(I2855,Setup!$A$9:$B$11,2,0),"???")&amp;"-"&amp;G2855&amp;"-"&amp;TEXT(COUNTIFS(I$5:I2855,I2855,G$5:G2855,G2855),"0000"))</f>
        <v/>
      </c>
      <c r="C2855" s="26"/>
      <c r="D2855" s="26"/>
      <c r="E2855" s="27"/>
      <c r="F2855" s="27"/>
      <c r="G2855" s="24" t="str">
        <f aca="false">IF(F2855="","",IF(F2855&lt;=5,"A",IF(F2855&lt;=8,"B",IF(F2855&lt;=10,"C","D"))))</f>
        <v/>
      </c>
      <c r="H2855" s="28"/>
      <c r="I2855" s="27"/>
      <c r="J2855" s="26"/>
      <c r="K2855" s="27"/>
      <c r="L2855" s="27"/>
      <c r="M2855" s="27"/>
      <c r="N2855" s="27"/>
      <c r="O2855" s="24" t="str">
        <f aca="false">IF(G2855="","",VLOOKUP(G2855,Setup!$A$14:$C$17,3,0))</f>
        <v/>
      </c>
      <c r="P2855" s="27"/>
      <c r="Q2855" s="29" t="str">
        <f aca="false">IF(OR(P2855="",M2855&lt;&gt;"Paid",O2855=""),"",P2855/O2855)</f>
        <v/>
      </c>
      <c r="R2855" s="30" t="str">
        <f aca="false">IF(Q2855="","",Q2855+N(H2855)*0.000000001)</f>
        <v/>
      </c>
      <c r="S2855" s="25" t="str">
        <f aca="false">IF(R2855="","",SUMPRODUCT((I$5:I$4004=I2855)*ISNUMBER(R$5:R$4004)*(R$5:R$4004&gt;R2855))+1)</f>
        <v/>
      </c>
      <c r="T2855" s="25" t="str">
        <f aca="false">IF(S2855="","",IF(S2855&lt;=Setup!$B$5,"🏆 WINNER",""))</f>
        <v/>
      </c>
      <c r="U2855" s="24" t="str">
        <f aca="false">IF(S2855="","",I2855&amp;"|"&amp;S2855)</f>
        <v/>
      </c>
    </row>
    <row r="2856" customFormat="false" ht="15" hidden="false" customHeight="false" outlineLevel="0" collapsed="false">
      <c r="A2856" s="31" t="n">
        <v>2852</v>
      </c>
      <c r="B2856" s="32" t="str">
        <f aca="false">IF(OR(C2856="",I2856="",G2856=""),"",IFERROR(VLOOKUP(I2856,Setup!$A$9:$B$11,2,0),"???")&amp;"-"&amp;G2856&amp;"-"&amp;TEXT(COUNTIFS(I$5:I2856,I2856,G$5:G2856,G2856),"0000"))</f>
        <v/>
      </c>
      <c r="C2856" s="26"/>
      <c r="D2856" s="26"/>
      <c r="E2856" s="27"/>
      <c r="F2856" s="27"/>
      <c r="G2856" s="31" t="str">
        <f aca="false">IF(F2856="","",IF(F2856&lt;=5,"A",IF(F2856&lt;=8,"B",IF(F2856&lt;=10,"C","D"))))</f>
        <v/>
      </c>
      <c r="H2856" s="28"/>
      <c r="I2856" s="27"/>
      <c r="J2856" s="26"/>
      <c r="K2856" s="27"/>
      <c r="L2856" s="27"/>
      <c r="M2856" s="27"/>
      <c r="N2856" s="27"/>
      <c r="O2856" s="31" t="str">
        <f aca="false">IF(G2856="","",VLOOKUP(G2856,Setup!$A$14:$C$17,3,0))</f>
        <v/>
      </c>
      <c r="P2856" s="27"/>
      <c r="Q2856" s="33" t="str">
        <f aca="false">IF(OR(P2856="",M2856&lt;&gt;"Paid",O2856=""),"",P2856/O2856)</f>
        <v/>
      </c>
      <c r="R2856" s="34" t="str">
        <f aca="false">IF(Q2856="","",Q2856+N(H2856)*0.000000001)</f>
        <v/>
      </c>
      <c r="S2856" s="32" t="str">
        <f aca="false">IF(R2856="","",SUMPRODUCT((I$5:I$4004=I2856)*ISNUMBER(R$5:R$4004)*(R$5:R$4004&gt;R2856))+1)</f>
        <v/>
      </c>
      <c r="T2856" s="32" t="str">
        <f aca="false">IF(S2856="","",IF(S2856&lt;=Setup!$B$5,"🏆 WINNER",""))</f>
        <v/>
      </c>
      <c r="U2856" s="31" t="str">
        <f aca="false">IF(S2856="","",I2856&amp;"|"&amp;S2856)</f>
        <v/>
      </c>
    </row>
    <row r="2857" customFormat="false" ht="15" hidden="false" customHeight="false" outlineLevel="0" collapsed="false">
      <c r="A2857" s="24" t="n">
        <v>2853</v>
      </c>
      <c r="B2857" s="25" t="str">
        <f aca="false">IF(OR(C2857="",I2857="",G2857=""),"",IFERROR(VLOOKUP(I2857,Setup!$A$9:$B$11,2,0),"???")&amp;"-"&amp;G2857&amp;"-"&amp;TEXT(COUNTIFS(I$5:I2857,I2857,G$5:G2857,G2857),"0000"))</f>
        <v/>
      </c>
      <c r="C2857" s="26"/>
      <c r="D2857" s="26"/>
      <c r="E2857" s="27"/>
      <c r="F2857" s="27"/>
      <c r="G2857" s="24" t="str">
        <f aca="false">IF(F2857="","",IF(F2857&lt;=5,"A",IF(F2857&lt;=8,"B",IF(F2857&lt;=10,"C","D"))))</f>
        <v/>
      </c>
      <c r="H2857" s="28"/>
      <c r="I2857" s="27"/>
      <c r="J2857" s="26"/>
      <c r="K2857" s="27"/>
      <c r="L2857" s="27"/>
      <c r="M2857" s="27"/>
      <c r="N2857" s="27"/>
      <c r="O2857" s="24" t="str">
        <f aca="false">IF(G2857="","",VLOOKUP(G2857,Setup!$A$14:$C$17,3,0))</f>
        <v/>
      </c>
      <c r="P2857" s="27"/>
      <c r="Q2857" s="29" t="str">
        <f aca="false">IF(OR(P2857="",M2857&lt;&gt;"Paid",O2857=""),"",P2857/O2857)</f>
        <v/>
      </c>
      <c r="R2857" s="30" t="str">
        <f aca="false">IF(Q2857="","",Q2857+N(H2857)*0.000000001)</f>
        <v/>
      </c>
      <c r="S2857" s="25" t="str">
        <f aca="false">IF(R2857="","",SUMPRODUCT((I$5:I$4004=I2857)*ISNUMBER(R$5:R$4004)*(R$5:R$4004&gt;R2857))+1)</f>
        <v/>
      </c>
      <c r="T2857" s="25" t="str">
        <f aca="false">IF(S2857="","",IF(S2857&lt;=Setup!$B$5,"🏆 WINNER",""))</f>
        <v/>
      </c>
      <c r="U2857" s="24" t="str">
        <f aca="false">IF(S2857="","",I2857&amp;"|"&amp;S2857)</f>
        <v/>
      </c>
    </row>
    <row r="2858" customFormat="false" ht="15" hidden="false" customHeight="false" outlineLevel="0" collapsed="false">
      <c r="A2858" s="31" t="n">
        <v>2854</v>
      </c>
      <c r="B2858" s="32" t="str">
        <f aca="false">IF(OR(C2858="",I2858="",G2858=""),"",IFERROR(VLOOKUP(I2858,Setup!$A$9:$B$11,2,0),"???")&amp;"-"&amp;G2858&amp;"-"&amp;TEXT(COUNTIFS(I$5:I2858,I2858,G$5:G2858,G2858),"0000"))</f>
        <v/>
      </c>
      <c r="C2858" s="26"/>
      <c r="D2858" s="26"/>
      <c r="E2858" s="27"/>
      <c r="F2858" s="27"/>
      <c r="G2858" s="31" t="str">
        <f aca="false">IF(F2858="","",IF(F2858&lt;=5,"A",IF(F2858&lt;=8,"B",IF(F2858&lt;=10,"C","D"))))</f>
        <v/>
      </c>
      <c r="H2858" s="28"/>
      <c r="I2858" s="27"/>
      <c r="J2858" s="26"/>
      <c r="K2858" s="27"/>
      <c r="L2858" s="27"/>
      <c r="M2858" s="27"/>
      <c r="N2858" s="27"/>
      <c r="O2858" s="31" t="str">
        <f aca="false">IF(G2858="","",VLOOKUP(G2858,Setup!$A$14:$C$17,3,0))</f>
        <v/>
      </c>
      <c r="P2858" s="27"/>
      <c r="Q2858" s="33" t="str">
        <f aca="false">IF(OR(P2858="",M2858&lt;&gt;"Paid",O2858=""),"",P2858/O2858)</f>
        <v/>
      </c>
      <c r="R2858" s="34" t="str">
        <f aca="false">IF(Q2858="","",Q2858+N(H2858)*0.000000001)</f>
        <v/>
      </c>
      <c r="S2858" s="32" t="str">
        <f aca="false">IF(R2858="","",SUMPRODUCT((I$5:I$4004=I2858)*ISNUMBER(R$5:R$4004)*(R$5:R$4004&gt;R2858))+1)</f>
        <v/>
      </c>
      <c r="T2858" s="32" t="str">
        <f aca="false">IF(S2858="","",IF(S2858&lt;=Setup!$B$5,"🏆 WINNER",""))</f>
        <v/>
      </c>
      <c r="U2858" s="31" t="str">
        <f aca="false">IF(S2858="","",I2858&amp;"|"&amp;S2858)</f>
        <v/>
      </c>
    </row>
    <row r="2859" customFormat="false" ht="15" hidden="false" customHeight="false" outlineLevel="0" collapsed="false">
      <c r="A2859" s="24" t="n">
        <v>2855</v>
      </c>
      <c r="B2859" s="25" t="str">
        <f aca="false">IF(OR(C2859="",I2859="",G2859=""),"",IFERROR(VLOOKUP(I2859,Setup!$A$9:$B$11,2,0),"???")&amp;"-"&amp;G2859&amp;"-"&amp;TEXT(COUNTIFS(I$5:I2859,I2859,G$5:G2859,G2859),"0000"))</f>
        <v/>
      </c>
      <c r="C2859" s="26"/>
      <c r="D2859" s="26"/>
      <c r="E2859" s="27"/>
      <c r="F2859" s="27"/>
      <c r="G2859" s="24" t="str">
        <f aca="false">IF(F2859="","",IF(F2859&lt;=5,"A",IF(F2859&lt;=8,"B",IF(F2859&lt;=10,"C","D"))))</f>
        <v/>
      </c>
      <c r="H2859" s="28"/>
      <c r="I2859" s="27"/>
      <c r="J2859" s="26"/>
      <c r="K2859" s="27"/>
      <c r="L2859" s="27"/>
      <c r="M2859" s="27"/>
      <c r="N2859" s="27"/>
      <c r="O2859" s="24" t="str">
        <f aca="false">IF(G2859="","",VLOOKUP(G2859,Setup!$A$14:$C$17,3,0))</f>
        <v/>
      </c>
      <c r="P2859" s="27"/>
      <c r="Q2859" s="29" t="str">
        <f aca="false">IF(OR(P2859="",M2859&lt;&gt;"Paid",O2859=""),"",P2859/O2859)</f>
        <v/>
      </c>
      <c r="R2859" s="30" t="str">
        <f aca="false">IF(Q2859="","",Q2859+N(H2859)*0.000000001)</f>
        <v/>
      </c>
      <c r="S2859" s="25" t="str">
        <f aca="false">IF(R2859="","",SUMPRODUCT((I$5:I$4004=I2859)*ISNUMBER(R$5:R$4004)*(R$5:R$4004&gt;R2859))+1)</f>
        <v/>
      </c>
      <c r="T2859" s="25" t="str">
        <f aca="false">IF(S2859="","",IF(S2859&lt;=Setup!$B$5,"🏆 WINNER",""))</f>
        <v/>
      </c>
      <c r="U2859" s="24" t="str">
        <f aca="false">IF(S2859="","",I2859&amp;"|"&amp;S2859)</f>
        <v/>
      </c>
    </row>
    <row r="2860" customFormat="false" ht="15" hidden="false" customHeight="false" outlineLevel="0" collapsed="false">
      <c r="A2860" s="31" t="n">
        <v>2856</v>
      </c>
      <c r="B2860" s="32" t="str">
        <f aca="false">IF(OR(C2860="",I2860="",G2860=""),"",IFERROR(VLOOKUP(I2860,Setup!$A$9:$B$11,2,0),"???")&amp;"-"&amp;G2860&amp;"-"&amp;TEXT(COUNTIFS(I$5:I2860,I2860,G$5:G2860,G2860),"0000"))</f>
        <v/>
      </c>
      <c r="C2860" s="26"/>
      <c r="D2860" s="26"/>
      <c r="E2860" s="27"/>
      <c r="F2860" s="27"/>
      <c r="G2860" s="31" t="str">
        <f aca="false">IF(F2860="","",IF(F2860&lt;=5,"A",IF(F2860&lt;=8,"B",IF(F2860&lt;=10,"C","D"))))</f>
        <v/>
      </c>
      <c r="H2860" s="28"/>
      <c r="I2860" s="27"/>
      <c r="J2860" s="26"/>
      <c r="K2860" s="27"/>
      <c r="L2860" s="27"/>
      <c r="M2860" s="27"/>
      <c r="N2860" s="27"/>
      <c r="O2860" s="31" t="str">
        <f aca="false">IF(G2860="","",VLOOKUP(G2860,Setup!$A$14:$C$17,3,0))</f>
        <v/>
      </c>
      <c r="P2860" s="27"/>
      <c r="Q2860" s="33" t="str">
        <f aca="false">IF(OR(P2860="",M2860&lt;&gt;"Paid",O2860=""),"",P2860/O2860)</f>
        <v/>
      </c>
      <c r="R2860" s="34" t="str">
        <f aca="false">IF(Q2860="","",Q2860+N(H2860)*0.000000001)</f>
        <v/>
      </c>
      <c r="S2860" s="32" t="str">
        <f aca="false">IF(R2860="","",SUMPRODUCT((I$5:I$4004=I2860)*ISNUMBER(R$5:R$4004)*(R$5:R$4004&gt;R2860))+1)</f>
        <v/>
      </c>
      <c r="T2860" s="32" t="str">
        <f aca="false">IF(S2860="","",IF(S2860&lt;=Setup!$B$5,"🏆 WINNER",""))</f>
        <v/>
      </c>
      <c r="U2860" s="31" t="str">
        <f aca="false">IF(S2860="","",I2860&amp;"|"&amp;S2860)</f>
        <v/>
      </c>
    </row>
    <row r="2861" customFormat="false" ht="15" hidden="false" customHeight="false" outlineLevel="0" collapsed="false">
      <c r="A2861" s="24" t="n">
        <v>2857</v>
      </c>
      <c r="B2861" s="25" t="str">
        <f aca="false">IF(OR(C2861="",I2861="",G2861=""),"",IFERROR(VLOOKUP(I2861,Setup!$A$9:$B$11,2,0),"???")&amp;"-"&amp;G2861&amp;"-"&amp;TEXT(COUNTIFS(I$5:I2861,I2861,G$5:G2861,G2861),"0000"))</f>
        <v/>
      </c>
      <c r="C2861" s="26"/>
      <c r="D2861" s="26"/>
      <c r="E2861" s="27"/>
      <c r="F2861" s="27"/>
      <c r="G2861" s="24" t="str">
        <f aca="false">IF(F2861="","",IF(F2861&lt;=5,"A",IF(F2861&lt;=8,"B",IF(F2861&lt;=10,"C","D"))))</f>
        <v/>
      </c>
      <c r="H2861" s="28"/>
      <c r="I2861" s="27"/>
      <c r="J2861" s="26"/>
      <c r="K2861" s="27"/>
      <c r="L2861" s="27"/>
      <c r="M2861" s="27"/>
      <c r="N2861" s="27"/>
      <c r="O2861" s="24" t="str">
        <f aca="false">IF(G2861="","",VLOOKUP(G2861,Setup!$A$14:$C$17,3,0))</f>
        <v/>
      </c>
      <c r="P2861" s="27"/>
      <c r="Q2861" s="29" t="str">
        <f aca="false">IF(OR(P2861="",M2861&lt;&gt;"Paid",O2861=""),"",P2861/O2861)</f>
        <v/>
      </c>
      <c r="R2861" s="30" t="str">
        <f aca="false">IF(Q2861="","",Q2861+N(H2861)*0.000000001)</f>
        <v/>
      </c>
      <c r="S2861" s="25" t="str">
        <f aca="false">IF(R2861="","",SUMPRODUCT((I$5:I$4004=I2861)*ISNUMBER(R$5:R$4004)*(R$5:R$4004&gt;R2861))+1)</f>
        <v/>
      </c>
      <c r="T2861" s="25" t="str">
        <f aca="false">IF(S2861="","",IF(S2861&lt;=Setup!$B$5,"🏆 WINNER",""))</f>
        <v/>
      </c>
      <c r="U2861" s="24" t="str">
        <f aca="false">IF(S2861="","",I2861&amp;"|"&amp;S2861)</f>
        <v/>
      </c>
    </row>
    <row r="2862" customFormat="false" ht="15" hidden="false" customHeight="false" outlineLevel="0" collapsed="false">
      <c r="A2862" s="31" t="n">
        <v>2858</v>
      </c>
      <c r="B2862" s="32" t="str">
        <f aca="false">IF(OR(C2862="",I2862="",G2862=""),"",IFERROR(VLOOKUP(I2862,Setup!$A$9:$B$11,2,0),"???")&amp;"-"&amp;G2862&amp;"-"&amp;TEXT(COUNTIFS(I$5:I2862,I2862,G$5:G2862,G2862),"0000"))</f>
        <v/>
      </c>
      <c r="C2862" s="26"/>
      <c r="D2862" s="26"/>
      <c r="E2862" s="27"/>
      <c r="F2862" s="27"/>
      <c r="G2862" s="31" t="str">
        <f aca="false">IF(F2862="","",IF(F2862&lt;=5,"A",IF(F2862&lt;=8,"B",IF(F2862&lt;=10,"C","D"))))</f>
        <v/>
      </c>
      <c r="H2862" s="28"/>
      <c r="I2862" s="27"/>
      <c r="J2862" s="26"/>
      <c r="K2862" s="27"/>
      <c r="L2862" s="27"/>
      <c r="M2862" s="27"/>
      <c r="N2862" s="27"/>
      <c r="O2862" s="31" t="str">
        <f aca="false">IF(G2862="","",VLOOKUP(G2862,Setup!$A$14:$C$17,3,0))</f>
        <v/>
      </c>
      <c r="P2862" s="27"/>
      <c r="Q2862" s="33" t="str">
        <f aca="false">IF(OR(P2862="",M2862&lt;&gt;"Paid",O2862=""),"",P2862/O2862)</f>
        <v/>
      </c>
      <c r="R2862" s="34" t="str">
        <f aca="false">IF(Q2862="","",Q2862+N(H2862)*0.000000001)</f>
        <v/>
      </c>
      <c r="S2862" s="32" t="str">
        <f aca="false">IF(R2862="","",SUMPRODUCT((I$5:I$4004=I2862)*ISNUMBER(R$5:R$4004)*(R$5:R$4004&gt;R2862))+1)</f>
        <v/>
      </c>
      <c r="T2862" s="32" t="str">
        <f aca="false">IF(S2862="","",IF(S2862&lt;=Setup!$B$5,"🏆 WINNER",""))</f>
        <v/>
      </c>
      <c r="U2862" s="31" t="str">
        <f aca="false">IF(S2862="","",I2862&amp;"|"&amp;S2862)</f>
        <v/>
      </c>
    </row>
    <row r="2863" customFormat="false" ht="15" hidden="false" customHeight="false" outlineLevel="0" collapsed="false">
      <c r="A2863" s="24" t="n">
        <v>2859</v>
      </c>
      <c r="B2863" s="25" t="str">
        <f aca="false">IF(OR(C2863="",I2863="",G2863=""),"",IFERROR(VLOOKUP(I2863,Setup!$A$9:$B$11,2,0),"???")&amp;"-"&amp;G2863&amp;"-"&amp;TEXT(COUNTIFS(I$5:I2863,I2863,G$5:G2863,G2863),"0000"))</f>
        <v/>
      </c>
      <c r="C2863" s="26"/>
      <c r="D2863" s="26"/>
      <c r="E2863" s="27"/>
      <c r="F2863" s="27"/>
      <c r="G2863" s="24" t="str">
        <f aca="false">IF(F2863="","",IF(F2863&lt;=5,"A",IF(F2863&lt;=8,"B",IF(F2863&lt;=10,"C","D"))))</f>
        <v/>
      </c>
      <c r="H2863" s="28"/>
      <c r="I2863" s="27"/>
      <c r="J2863" s="26"/>
      <c r="K2863" s="27"/>
      <c r="L2863" s="27"/>
      <c r="M2863" s="27"/>
      <c r="N2863" s="27"/>
      <c r="O2863" s="24" t="str">
        <f aca="false">IF(G2863="","",VLOOKUP(G2863,Setup!$A$14:$C$17,3,0))</f>
        <v/>
      </c>
      <c r="P2863" s="27"/>
      <c r="Q2863" s="29" t="str">
        <f aca="false">IF(OR(P2863="",M2863&lt;&gt;"Paid",O2863=""),"",P2863/O2863)</f>
        <v/>
      </c>
      <c r="R2863" s="30" t="str">
        <f aca="false">IF(Q2863="","",Q2863+N(H2863)*0.000000001)</f>
        <v/>
      </c>
      <c r="S2863" s="25" t="str">
        <f aca="false">IF(R2863="","",SUMPRODUCT((I$5:I$4004=I2863)*ISNUMBER(R$5:R$4004)*(R$5:R$4004&gt;R2863))+1)</f>
        <v/>
      </c>
      <c r="T2863" s="25" t="str">
        <f aca="false">IF(S2863="","",IF(S2863&lt;=Setup!$B$5,"🏆 WINNER",""))</f>
        <v/>
      </c>
      <c r="U2863" s="24" t="str">
        <f aca="false">IF(S2863="","",I2863&amp;"|"&amp;S2863)</f>
        <v/>
      </c>
    </row>
    <row r="2864" customFormat="false" ht="15" hidden="false" customHeight="false" outlineLevel="0" collapsed="false">
      <c r="A2864" s="31" t="n">
        <v>2860</v>
      </c>
      <c r="B2864" s="32" t="str">
        <f aca="false">IF(OR(C2864="",I2864="",G2864=""),"",IFERROR(VLOOKUP(I2864,Setup!$A$9:$B$11,2,0),"???")&amp;"-"&amp;G2864&amp;"-"&amp;TEXT(COUNTIFS(I$5:I2864,I2864,G$5:G2864,G2864),"0000"))</f>
        <v/>
      </c>
      <c r="C2864" s="26"/>
      <c r="D2864" s="26"/>
      <c r="E2864" s="27"/>
      <c r="F2864" s="27"/>
      <c r="G2864" s="31" t="str">
        <f aca="false">IF(F2864="","",IF(F2864&lt;=5,"A",IF(F2864&lt;=8,"B",IF(F2864&lt;=10,"C","D"))))</f>
        <v/>
      </c>
      <c r="H2864" s="28"/>
      <c r="I2864" s="27"/>
      <c r="J2864" s="26"/>
      <c r="K2864" s="27"/>
      <c r="L2864" s="27"/>
      <c r="M2864" s="27"/>
      <c r="N2864" s="27"/>
      <c r="O2864" s="31" t="str">
        <f aca="false">IF(G2864="","",VLOOKUP(G2864,Setup!$A$14:$C$17,3,0))</f>
        <v/>
      </c>
      <c r="P2864" s="27"/>
      <c r="Q2864" s="33" t="str">
        <f aca="false">IF(OR(P2864="",M2864&lt;&gt;"Paid",O2864=""),"",P2864/O2864)</f>
        <v/>
      </c>
      <c r="R2864" s="34" t="str">
        <f aca="false">IF(Q2864="","",Q2864+N(H2864)*0.000000001)</f>
        <v/>
      </c>
      <c r="S2864" s="32" t="str">
        <f aca="false">IF(R2864="","",SUMPRODUCT((I$5:I$4004=I2864)*ISNUMBER(R$5:R$4004)*(R$5:R$4004&gt;R2864))+1)</f>
        <v/>
      </c>
      <c r="T2864" s="32" t="str">
        <f aca="false">IF(S2864="","",IF(S2864&lt;=Setup!$B$5,"🏆 WINNER",""))</f>
        <v/>
      </c>
      <c r="U2864" s="31" t="str">
        <f aca="false">IF(S2864="","",I2864&amp;"|"&amp;S2864)</f>
        <v/>
      </c>
    </row>
    <row r="2865" customFormat="false" ht="15" hidden="false" customHeight="false" outlineLevel="0" collapsed="false">
      <c r="A2865" s="24" t="n">
        <v>2861</v>
      </c>
      <c r="B2865" s="25" t="str">
        <f aca="false">IF(OR(C2865="",I2865="",G2865=""),"",IFERROR(VLOOKUP(I2865,Setup!$A$9:$B$11,2,0),"???")&amp;"-"&amp;G2865&amp;"-"&amp;TEXT(COUNTIFS(I$5:I2865,I2865,G$5:G2865,G2865),"0000"))</f>
        <v/>
      </c>
      <c r="C2865" s="26"/>
      <c r="D2865" s="26"/>
      <c r="E2865" s="27"/>
      <c r="F2865" s="27"/>
      <c r="G2865" s="24" t="str">
        <f aca="false">IF(F2865="","",IF(F2865&lt;=5,"A",IF(F2865&lt;=8,"B",IF(F2865&lt;=10,"C","D"))))</f>
        <v/>
      </c>
      <c r="H2865" s="28"/>
      <c r="I2865" s="27"/>
      <c r="J2865" s="26"/>
      <c r="K2865" s="27"/>
      <c r="L2865" s="27"/>
      <c r="M2865" s="27"/>
      <c r="N2865" s="27"/>
      <c r="O2865" s="24" t="str">
        <f aca="false">IF(G2865="","",VLOOKUP(G2865,Setup!$A$14:$C$17,3,0))</f>
        <v/>
      </c>
      <c r="P2865" s="27"/>
      <c r="Q2865" s="29" t="str">
        <f aca="false">IF(OR(P2865="",M2865&lt;&gt;"Paid",O2865=""),"",P2865/O2865)</f>
        <v/>
      </c>
      <c r="R2865" s="30" t="str">
        <f aca="false">IF(Q2865="","",Q2865+N(H2865)*0.000000001)</f>
        <v/>
      </c>
      <c r="S2865" s="25" t="str">
        <f aca="false">IF(R2865="","",SUMPRODUCT((I$5:I$4004=I2865)*ISNUMBER(R$5:R$4004)*(R$5:R$4004&gt;R2865))+1)</f>
        <v/>
      </c>
      <c r="T2865" s="25" t="str">
        <f aca="false">IF(S2865="","",IF(S2865&lt;=Setup!$B$5,"🏆 WINNER",""))</f>
        <v/>
      </c>
      <c r="U2865" s="24" t="str">
        <f aca="false">IF(S2865="","",I2865&amp;"|"&amp;S2865)</f>
        <v/>
      </c>
    </row>
    <row r="2866" customFormat="false" ht="15" hidden="false" customHeight="false" outlineLevel="0" collapsed="false">
      <c r="A2866" s="31" t="n">
        <v>2862</v>
      </c>
      <c r="B2866" s="32" t="str">
        <f aca="false">IF(OR(C2866="",I2866="",G2866=""),"",IFERROR(VLOOKUP(I2866,Setup!$A$9:$B$11,2,0),"???")&amp;"-"&amp;G2866&amp;"-"&amp;TEXT(COUNTIFS(I$5:I2866,I2866,G$5:G2866,G2866),"0000"))</f>
        <v/>
      </c>
      <c r="C2866" s="26"/>
      <c r="D2866" s="26"/>
      <c r="E2866" s="27"/>
      <c r="F2866" s="27"/>
      <c r="G2866" s="31" t="str">
        <f aca="false">IF(F2866="","",IF(F2866&lt;=5,"A",IF(F2866&lt;=8,"B",IF(F2866&lt;=10,"C","D"))))</f>
        <v/>
      </c>
      <c r="H2866" s="28"/>
      <c r="I2866" s="27"/>
      <c r="J2866" s="26"/>
      <c r="K2866" s="27"/>
      <c r="L2866" s="27"/>
      <c r="M2866" s="27"/>
      <c r="N2866" s="27"/>
      <c r="O2866" s="31" t="str">
        <f aca="false">IF(G2866="","",VLOOKUP(G2866,Setup!$A$14:$C$17,3,0))</f>
        <v/>
      </c>
      <c r="P2866" s="27"/>
      <c r="Q2866" s="33" t="str">
        <f aca="false">IF(OR(P2866="",M2866&lt;&gt;"Paid",O2866=""),"",P2866/O2866)</f>
        <v/>
      </c>
      <c r="R2866" s="34" t="str">
        <f aca="false">IF(Q2866="","",Q2866+N(H2866)*0.000000001)</f>
        <v/>
      </c>
      <c r="S2866" s="32" t="str">
        <f aca="false">IF(R2866="","",SUMPRODUCT((I$5:I$4004=I2866)*ISNUMBER(R$5:R$4004)*(R$5:R$4004&gt;R2866))+1)</f>
        <v/>
      </c>
      <c r="T2866" s="32" t="str">
        <f aca="false">IF(S2866="","",IF(S2866&lt;=Setup!$B$5,"🏆 WINNER",""))</f>
        <v/>
      </c>
      <c r="U2866" s="31" t="str">
        <f aca="false">IF(S2866="","",I2866&amp;"|"&amp;S2866)</f>
        <v/>
      </c>
    </row>
    <row r="2867" customFormat="false" ht="15" hidden="false" customHeight="false" outlineLevel="0" collapsed="false">
      <c r="A2867" s="24" t="n">
        <v>2863</v>
      </c>
      <c r="B2867" s="25" t="str">
        <f aca="false">IF(OR(C2867="",I2867="",G2867=""),"",IFERROR(VLOOKUP(I2867,Setup!$A$9:$B$11,2,0),"???")&amp;"-"&amp;G2867&amp;"-"&amp;TEXT(COUNTIFS(I$5:I2867,I2867,G$5:G2867,G2867),"0000"))</f>
        <v/>
      </c>
      <c r="C2867" s="26"/>
      <c r="D2867" s="26"/>
      <c r="E2867" s="27"/>
      <c r="F2867" s="27"/>
      <c r="G2867" s="24" t="str">
        <f aca="false">IF(F2867="","",IF(F2867&lt;=5,"A",IF(F2867&lt;=8,"B",IF(F2867&lt;=10,"C","D"))))</f>
        <v/>
      </c>
      <c r="H2867" s="28"/>
      <c r="I2867" s="27"/>
      <c r="J2867" s="26"/>
      <c r="K2867" s="27"/>
      <c r="L2867" s="27"/>
      <c r="M2867" s="27"/>
      <c r="N2867" s="27"/>
      <c r="O2867" s="24" t="str">
        <f aca="false">IF(G2867="","",VLOOKUP(G2867,Setup!$A$14:$C$17,3,0))</f>
        <v/>
      </c>
      <c r="P2867" s="27"/>
      <c r="Q2867" s="29" t="str">
        <f aca="false">IF(OR(P2867="",M2867&lt;&gt;"Paid",O2867=""),"",P2867/O2867)</f>
        <v/>
      </c>
      <c r="R2867" s="30" t="str">
        <f aca="false">IF(Q2867="","",Q2867+N(H2867)*0.000000001)</f>
        <v/>
      </c>
      <c r="S2867" s="25" t="str">
        <f aca="false">IF(R2867="","",SUMPRODUCT((I$5:I$4004=I2867)*ISNUMBER(R$5:R$4004)*(R$5:R$4004&gt;R2867))+1)</f>
        <v/>
      </c>
      <c r="T2867" s="25" t="str">
        <f aca="false">IF(S2867="","",IF(S2867&lt;=Setup!$B$5,"🏆 WINNER",""))</f>
        <v/>
      </c>
      <c r="U2867" s="24" t="str">
        <f aca="false">IF(S2867="","",I2867&amp;"|"&amp;S2867)</f>
        <v/>
      </c>
    </row>
    <row r="2868" customFormat="false" ht="15" hidden="false" customHeight="false" outlineLevel="0" collapsed="false">
      <c r="A2868" s="31" t="n">
        <v>2864</v>
      </c>
      <c r="B2868" s="32" t="str">
        <f aca="false">IF(OR(C2868="",I2868="",G2868=""),"",IFERROR(VLOOKUP(I2868,Setup!$A$9:$B$11,2,0),"???")&amp;"-"&amp;G2868&amp;"-"&amp;TEXT(COUNTIFS(I$5:I2868,I2868,G$5:G2868,G2868),"0000"))</f>
        <v/>
      </c>
      <c r="C2868" s="26"/>
      <c r="D2868" s="26"/>
      <c r="E2868" s="27"/>
      <c r="F2868" s="27"/>
      <c r="G2868" s="31" t="str">
        <f aca="false">IF(F2868="","",IF(F2868&lt;=5,"A",IF(F2868&lt;=8,"B",IF(F2868&lt;=10,"C","D"))))</f>
        <v/>
      </c>
      <c r="H2868" s="28"/>
      <c r="I2868" s="27"/>
      <c r="J2868" s="26"/>
      <c r="K2868" s="27"/>
      <c r="L2868" s="27"/>
      <c r="M2868" s="27"/>
      <c r="N2868" s="27"/>
      <c r="O2868" s="31" t="str">
        <f aca="false">IF(G2868="","",VLOOKUP(G2868,Setup!$A$14:$C$17,3,0))</f>
        <v/>
      </c>
      <c r="P2868" s="27"/>
      <c r="Q2868" s="33" t="str">
        <f aca="false">IF(OR(P2868="",M2868&lt;&gt;"Paid",O2868=""),"",P2868/O2868)</f>
        <v/>
      </c>
      <c r="R2868" s="34" t="str">
        <f aca="false">IF(Q2868="","",Q2868+N(H2868)*0.000000001)</f>
        <v/>
      </c>
      <c r="S2868" s="32" t="str">
        <f aca="false">IF(R2868="","",SUMPRODUCT((I$5:I$4004=I2868)*ISNUMBER(R$5:R$4004)*(R$5:R$4004&gt;R2868))+1)</f>
        <v/>
      </c>
      <c r="T2868" s="32" t="str">
        <f aca="false">IF(S2868="","",IF(S2868&lt;=Setup!$B$5,"🏆 WINNER",""))</f>
        <v/>
      </c>
      <c r="U2868" s="31" t="str">
        <f aca="false">IF(S2868="","",I2868&amp;"|"&amp;S2868)</f>
        <v/>
      </c>
    </row>
    <row r="2869" customFormat="false" ht="15" hidden="false" customHeight="false" outlineLevel="0" collapsed="false">
      <c r="A2869" s="24" t="n">
        <v>2865</v>
      </c>
      <c r="B2869" s="25" t="str">
        <f aca="false">IF(OR(C2869="",I2869="",G2869=""),"",IFERROR(VLOOKUP(I2869,Setup!$A$9:$B$11,2,0),"???")&amp;"-"&amp;G2869&amp;"-"&amp;TEXT(COUNTIFS(I$5:I2869,I2869,G$5:G2869,G2869),"0000"))</f>
        <v/>
      </c>
      <c r="C2869" s="26"/>
      <c r="D2869" s="26"/>
      <c r="E2869" s="27"/>
      <c r="F2869" s="27"/>
      <c r="G2869" s="24" t="str">
        <f aca="false">IF(F2869="","",IF(F2869&lt;=5,"A",IF(F2869&lt;=8,"B",IF(F2869&lt;=10,"C","D"))))</f>
        <v/>
      </c>
      <c r="H2869" s="28"/>
      <c r="I2869" s="27"/>
      <c r="J2869" s="26"/>
      <c r="K2869" s="27"/>
      <c r="L2869" s="27"/>
      <c r="M2869" s="27"/>
      <c r="N2869" s="27"/>
      <c r="O2869" s="24" t="str">
        <f aca="false">IF(G2869="","",VLOOKUP(G2869,Setup!$A$14:$C$17,3,0))</f>
        <v/>
      </c>
      <c r="P2869" s="27"/>
      <c r="Q2869" s="29" t="str">
        <f aca="false">IF(OR(P2869="",M2869&lt;&gt;"Paid",O2869=""),"",P2869/O2869)</f>
        <v/>
      </c>
      <c r="R2869" s="30" t="str">
        <f aca="false">IF(Q2869="","",Q2869+N(H2869)*0.000000001)</f>
        <v/>
      </c>
      <c r="S2869" s="25" t="str">
        <f aca="false">IF(R2869="","",SUMPRODUCT((I$5:I$4004=I2869)*ISNUMBER(R$5:R$4004)*(R$5:R$4004&gt;R2869))+1)</f>
        <v/>
      </c>
      <c r="T2869" s="25" t="str">
        <f aca="false">IF(S2869="","",IF(S2869&lt;=Setup!$B$5,"🏆 WINNER",""))</f>
        <v/>
      </c>
      <c r="U2869" s="24" t="str">
        <f aca="false">IF(S2869="","",I2869&amp;"|"&amp;S2869)</f>
        <v/>
      </c>
    </row>
    <row r="2870" customFormat="false" ht="15" hidden="false" customHeight="false" outlineLevel="0" collapsed="false">
      <c r="A2870" s="31" t="n">
        <v>2866</v>
      </c>
      <c r="B2870" s="32" t="str">
        <f aca="false">IF(OR(C2870="",I2870="",G2870=""),"",IFERROR(VLOOKUP(I2870,Setup!$A$9:$B$11,2,0),"???")&amp;"-"&amp;G2870&amp;"-"&amp;TEXT(COUNTIFS(I$5:I2870,I2870,G$5:G2870,G2870),"0000"))</f>
        <v/>
      </c>
      <c r="C2870" s="26"/>
      <c r="D2870" s="26"/>
      <c r="E2870" s="27"/>
      <c r="F2870" s="27"/>
      <c r="G2870" s="31" t="str">
        <f aca="false">IF(F2870="","",IF(F2870&lt;=5,"A",IF(F2870&lt;=8,"B",IF(F2870&lt;=10,"C","D"))))</f>
        <v/>
      </c>
      <c r="H2870" s="28"/>
      <c r="I2870" s="27"/>
      <c r="J2870" s="26"/>
      <c r="K2870" s="27"/>
      <c r="L2870" s="27"/>
      <c r="M2870" s="27"/>
      <c r="N2870" s="27"/>
      <c r="O2870" s="31" t="str">
        <f aca="false">IF(G2870="","",VLOOKUP(G2870,Setup!$A$14:$C$17,3,0))</f>
        <v/>
      </c>
      <c r="P2870" s="27"/>
      <c r="Q2870" s="33" t="str">
        <f aca="false">IF(OR(P2870="",M2870&lt;&gt;"Paid",O2870=""),"",P2870/O2870)</f>
        <v/>
      </c>
      <c r="R2870" s="34" t="str">
        <f aca="false">IF(Q2870="","",Q2870+N(H2870)*0.000000001)</f>
        <v/>
      </c>
      <c r="S2870" s="32" t="str">
        <f aca="false">IF(R2870="","",SUMPRODUCT((I$5:I$4004=I2870)*ISNUMBER(R$5:R$4004)*(R$5:R$4004&gt;R2870))+1)</f>
        <v/>
      </c>
      <c r="T2870" s="32" t="str">
        <f aca="false">IF(S2870="","",IF(S2870&lt;=Setup!$B$5,"🏆 WINNER",""))</f>
        <v/>
      </c>
      <c r="U2870" s="31" t="str">
        <f aca="false">IF(S2870="","",I2870&amp;"|"&amp;S2870)</f>
        <v/>
      </c>
    </row>
    <row r="2871" customFormat="false" ht="15" hidden="false" customHeight="false" outlineLevel="0" collapsed="false">
      <c r="A2871" s="24" t="n">
        <v>2867</v>
      </c>
      <c r="B2871" s="25" t="str">
        <f aca="false">IF(OR(C2871="",I2871="",G2871=""),"",IFERROR(VLOOKUP(I2871,Setup!$A$9:$B$11,2,0),"???")&amp;"-"&amp;G2871&amp;"-"&amp;TEXT(COUNTIFS(I$5:I2871,I2871,G$5:G2871,G2871),"0000"))</f>
        <v/>
      </c>
      <c r="C2871" s="26"/>
      <c r="D2871" s="26"/>
      <c r="E2871" s="27"/>
      <c r="F2871" s="27"/>
      <c r="G2871" s="24" t="str">
        <f aca="false">IF(F2871="","",IF(F2871&lt;=5,"A",IF(F2871&lt;=8,"B",IF(F2871&lt;=10,"C","D"))))</f>
        <v/>
      </c>
      <c r="H2871" s="28"/>
      <c r="I2871" s="27"/>
      <c r="J2871" s="26"/>
      <c r="K2871" s="27"/>
      <c r="L2871" s="27"/>
      <c r="M2871" s="27"/>
      <c r="N2871" s="27"/>
      <c r="O2871" s="24" t="str">
        <f aca="false">IF(G2871="","",VLOOKUP(G2871,Setup!$A$14:$C$17,3,0))</f>
        <v/>
      </c>
      <c r="P2871" s="27"/>
      <c r="Q2871" s="29" t="str">
        <f aca="false">IF(OR(P2871="",M2871&lt;&gt;"Paid",O2871=""),"",P2871/O2871)</f>
        <v/>
      </c>
      <c r="R2871" s="30" t="str">
        <f aca="false">IF(Q2871="","",Q2871+N(H2871)*0.000000001)</f>
        <v/>
      </c>
      <c r="S2871" s="25" t="str">
        <f aca="false">IF(R2871="","",SUMPRODUCT((I$5:I$4004=I2871)*ISNUMBER(R$5:R$4004)*(R$5:R$4004&gt;R2871))+1)</f>
        <v/>
      </c>
      <c r="T2871" s="25" t="str">
        <f aca="false">IF(S2871="","",IF(S2871&lt;=Setup!$B$5,"🏆 WINNER",""))</f>
        <v/>
      </c>
      <c r="U2871" s="24" t="str">
        <f aca="false">IF(S2871="","",I2871&amp;"|"&amp;S2871)</f>
        <v/>
      </c>
    </row>
    <row r="2872" customFormat="false" ht="15" hidden="false" customHeight="false" outlineLevel="0" collapsed="false">
      <c r="A2872" s="31" t="n">
        <v>2868</v>
      </c>
      <c r="B2872" s="32" t="str">
        <f aca="false">IF(OR(C2872="",I2872="",G2872=""),"",IFERROR(VLOOKUP(I2872,Setup!$A$9:$B$11,2,0),"???")&amp;"-"&amp;G2872&amp;"-"&amp;TEXT(COUNTIFS(I$5:I2872,I2872,G$5:G2872,G2872),"0000"))</f>
        <v/>
      </c>
      <c r="C2872" s="26"/>
      <c r="D2872" s="26"/>
      <c r="E2872" s="27"/>
      <c r="F2872" s="27"/>
      <c r="G2872" s="31" t="str">
        <f aca="false">IF(F2872="","",IF(F2872&lt;=5,"A",IF(F2872&lt;=8,"B",IF(F2872&lt;=10,"C","D"))))</f>
        <v/>
      </c>
      <c r="H2872" s="28"/>
      <c r="I2872" s="27"/>
      <c r="J2872" s="26"/>
      <c r="K2872" s="27"/>
      <c r="L2872" s="27"/>
      <c r="M2872" s="27"/>
      <c r="N2872" s="27"/>
      <c r="O2872" s="31" t="str">
        <f aca="false">IF(G2872="","",VLOOKUP(G2872,Setup!$A$14:$C$17,3,0))</f>
        <v/>
      </c>
      <c r="P2872" s="27"/>
      <c r="Q2872" s="33" t="str">
        <f aca="false">IF(OR(P2872="",M2872&lt;&gt;"Paid",O2872=""),"",P2872/O2872)</f>
        <v/>
      </c>
      <c r="R2872" s="34" t="str">
        <f aca="false">IF(Q2872="","",Q2872+N(H2872)*0.000000001)</f>
        <v/>
      </c>
      <c r="S2872" s="32" t="str">
        <f aca="false">IF(R2872="","",SUMPRODUCT((I$5:I$4004=I2872)*ISNUMBER(R$5:R$4004)*(R$5:R$4004&gt;R2872))+1)</f>
        <v/>
      </c>
      <c r="T2872" s="32" t="str">
        <f aca="false">IF(S2872="","",IF(S2872&lt;=Setup!$B$5,"🏆 WINNER",""))</f>
        <v/>
      </c>
      <c r="U2872" s="31" t="str">
        <f aca="false">IF(S2872="","",I2872&amp;"|"&amp;S2872)</f>
        <v/>
      </c>
    </row>
    <row r="2873" customFormat="false" ht="15" hidden="false" customHeight="false" outlineLevel="0" collapsed="false">
      <c r="A2873" s="24" t="n">
        <v>2869</v>
      </c>
      <c r="B2873" s="25" t="str">
        <f aca="false">IF(OR(C2873="",I2873="",G2873=""),"",IFERROR(VLOOKUP(I2873,Setup!$A$9:$B$11,2,0),"???")&amp;"-"&amp;G2873&amp;"-"&amp;TEXT(COUNTIFS(I$5:I2873,I2873,G$5:G2873,G2873),"0000"))</f>
        <v/>
      </c>
      <c r="C2873" s="26"/>
      <c r="D2873" s="26"/>
      <c r="E2873" s="27"/>
      <c r="F2873" s="27"/>
      <c r="G2873" s="24" t="str">
        <f aca="false">IF(F2873="","",IF(F2873&lt;=5,"A",IF(F2873&lt;=8,"B",IF(F2873&lt;=10,"C","D"))))</f>
        <v/>
      </c>
      <c r="H2873" s="28"/>
      <c r="I2873" s="27"/>
      <c r="J2873" s="26"/>
      <c r="K2873" s="27"/>
      <c r="L2873" s="27"/>
      <c r="M2873" s="27"/>
      <c r="N2873" s="27"/>
      <c r="O2873" s="24" t="str">
        <f aca="false">IF(G2873="","",VLOOKUP(G2873,Setup!$A$14:$C$17,3,0))</f>
        <v/>
      </c>
      <c r="P2873" s="27"/>
      <c r="Q2873" s="29" t="str">
        <f aca="false">IF(OR(P2873="",M2873&lt;&gt;"Paid",O2873=""),"",P2873/O2873)</f>
        <v/>
      </c>
      <c r="R2873" s="30" t="str">
        <f aca="false">IF(Q2873="","",Q2873+N(H2873)*0.000000001)</f>
        <v/>
      </c>
      <c r="S2873" s="25" t="str">
        <f aca="false">IF(R2873="","",SUMPRODUCT((I$5:I$4004=I2873)*ISNUMBER(R$5:R$4004)*(R$5:R$4004&gt;R2873))+1)</f>
        <v/>
      </c>
      <c r="T2873" s="25" t="str">
        <f aca="false">IF(S2873="","",IF(S2873&lt;=Setup!$B$5,"🏆 WINNER",""))</f>
        <v/>
      </c>
      <c r="U2873" s="24" t="str">
        <f aca="false">IF(S2873="","",I2873&amp;"|"&amp;S2873)</f>
        <v/>
      </c>
    </row>
    <row r="2874" customFormat="false" ht="15" hidden="false" customHeight="false" outlineLevel="0" collapsed="false">
      <c r="A2874" s="31" t="n">
        <v>2870</v>
      </c>
      <c r="B2874" s="32" t="str">
        <f aca="false">IF(OR(C2874="",I2874="",G2874=""),"",IFERROR(VLOOKUP(I2874,Setup!$A$9:$B$11,2,0),"???")&amp;"-"&amp;G2874&amp;"-"&amp;TEXT(COUNTIFS(I$5:I2874,I2874,G$5:G2874,G2874),"0000"))</f>
        <v/>
      </c>
      <c r="C2874" s="26"/>
      <c r="D2874" s="26"/>
      <c r="E2874" s="27"/>
      <c r="F2874" s="27"/>
      <c r="G2874" s="31" t="str">
        <f aca="false">IF(F2874="","",IF(F2874&lt;=5,"A",IF(F2874&lt;=8,"B",IF(F2874&lt;=10,"C","D"))))</f>
        <v/>
      </c>
      <c r="H2874" s="28"/>
      <c r="I2874" s="27"/>
      <c r="J2874" s="26"/>
      <c r="K2874" s="27"/>
      <c r="L2874" s="27"/>
      <c r="M2874" s="27"/>
      <c r="N2874" s="27"/>
      <c r="O2874" s="31" t="str">
        <f aca="false">IF(G2874="","",VLOOKUP(G2874,Setup!$A$14:$C$17,3,0))</f>
        <v/>
      </c>
      <c r="P2874" s="27"/>
      <c r="Q2874" s="33" t="str">
        <f aca="false">IF(OR(P2874="",M2874&lt;&gt;"Paid",O2874=""),"",P2874/O2874)</f>
        <v/>
      </c>
      <c r="R2874" s="34" t="str">
        <f aca="false">IF(Q2874="","",Q2874+N(H2874)*0.000000001)</f>
        <v/>
      </c>
      <c r="S2874" s="32" t="str">
        <f aca="false">IF(R2874="","",SUMPRODUCT((I$5:I$4004=I2874)*ISNUMBER(R$5:R$4004)*(R$5:R$4004&gt;R2874))+1)</f>
        <v/>
      </c>
      <c r="T2874" s="32" t="str">
        <f aca="false">IF(S2874="","",IF(S2874&lt;=Setup!$B$5,"🏆 WINNER",""))</f>
        <v/>
      </c>
      <c r="U2874" s="31" t="str">
        <f aca="false">IF(S2874="","",I2874&amp;"|"&amp;S2874)</f>
        <v/>
      </c>
    </row>
    <row r="2875" customFormat="false" ht="15" hidden="false" customHeight="false" outlineLevel="0" collapsed="false">
      <c r="A2875" s="24" t="n">
        <v>2871</v>
      </c>
      <c r="B2875" s="25" t="str">
        <f aca="false">IF(OR(C2875="",I2875="",G2875=""),"",IFERROR(VLOOKUP(I2875,Setup!$A$9:$B$11,2,0),"???")&amp;"-"&amp;G2875&amp;"-"&amp;TEXT(COUNTIFS(I$5:I2875,I2875,G$5:G2875,G2875),"0000"))</f>
        <v/>
      </c>
      <c r="C2875" s="26"/>
      <c r="D2875" s="26"/>
      <c r="E2875" s="27"/>
      <c r="F2875" s="27"/>
      <c r="G2875" s="24" t="str">
        <f aca="false">IF(F2875="","",IF(F2875&lt;=5,"A",IF(F2875&lt;=8,"B",IF(F2875&lt;=10,"C","D"))))</f>
        <v/>
      </c>
      <c r="H2875" s="28"/>
      <c r="I2875" s="27"/>
      <c r="J2875" s="26"/>
      <c r="K2875" s="27"/>
      <c r="L2875" s="27"/>
      <c r="M2875" s="27"/>
      <c r="N2875" s="27"/>
      <c r="O2875" s="24" t="str">
        <f aca="false">IF(G2875="","",VLOOKUP(G2875,Setup!$A$14:$C$17,3,0))</f>
        <v/>
      </c>
      <c r="P2875" s="27"/>
      <c r="Q2875" s="29" t="str">
        <f aca="false">IF(OR(P2875="",M2875&lt;&gt;"Paid",O2875=""),"",P2875/O2875)</f>
        <v/>
      </c>
      <c r="R2875" s="30" t="str">
        <f aca="false">IF(Q2875="","",Q2875+N(H2875)*0.000000001)</f>
        <v/>
      </c>
      <c r="S2875" s="25" t="str">
        <f aca="false">IF(R2875="","",SUMPRODUCT((I$5:I$4004=I2875)*ISNUMBER(R$5:R$4004)*(R$5:R$4004&gt;R2875))+1)</f>
        <v/>
      </c>
      <c r="T2875" s="25" t="str">
        <f aca="false">IF(S2875="","",IF(S2875&lt;=Setup!$B$5,"🏆 WINNER",""))</f>
        <v/>
      </c>
      <c r="U2875" s="24" t="str">
        <f aca="false">IF(S2875="","",I2875&amp;"|"&amp;S2875)</f>
        <v/>
      </c>
    </row>
    <row r="2876" customFormat="false" ht="15" hidden="false" customHeight="false" outlineLevel="0" collapsed="false">
      <c r="A2876" s="31" t="n">
        <v>2872</v>
      </c>
      <c r="B2876" s="32" t="str">
        <f aca="false">IF(OR(C2876="",I2876="",G2876=""),"",IFERROR(VLOOKUP(I2876,Setup!$A$9:$B$11,2,0),"???")&amp;"-"&amp;G2876&amp;"-"&amp;TEXT(COUNTIFS(I$5:I2876,I2876,G$5:G2876,G2876),"0000"))</f>
        <v/>
      </c>
      <c r="C2876" s="26"/>
      <c r="D2876" s="26"/>
      <c r="E2876" s="27"/>
      <c r="F2876" s="27"/>
      <c r="G2876" s="31" t="str">
        <f aca="false">IF(F2876="","",IF(F2876&lt;=5,"A",IF(F2876&lt;=8,"B",IF(F2876&lt;=10,"C","D"))))</f>
        <v/>
      </c>
      <c r="H2876" s="28"/>
      <c r="I2876" s="27"/>
      <c r="J2876" s="26"/>
      <c r="K2876" s="27"/>
      <c r="L2876" s="27"/>
      <c r="M2876" s="27"/>
      <c r="N2876" s="27"/>
      <c r="O2876" s="31" t="str">
        <f aca="false">IF(G2876="","",VLOOKUP(G2876,Setup!$A$14:$C$17,3,0))</f>
        <v/>
      </c>
      <c r="P2876" s="27"/>
      <c r="Q2876" s="33" t="str">
        <f aca="false">IF(OR(P2876="",M2876&lt;&gt;"Paid",O2876=""),"",P2876/O2876)</f>
        <v/>
      </c>
      <c r="R2876" s="34" t="str">
        <f aca="false">IF(Q2876="","",Q2876+N(H2876)*0.000000001)</f>
        <v/>
      </c>
      <c r="S2876" s="32" t="str">
        <f aca="false">IF(R2876="","",SUMPRODUCT((I$5:I$4004=I2876)*ISNUMBER(R$5:R$4004)*(R$5:R$4004&gt;R2876))+1)</f>
        <v/>
      </c>
      <c r="T2876" s="32" t="str">
        <f aca="false">IF(S2876="","",IF(S2876&lt;=Setup!$B$5,"🏆 WINNER",""))</f>
        <v/>
      </c>
      <c r="U2876" s="31" t="str">
        <f aca="false">IF(S2876="","",I2876&amp;"|"&amp;S2876)</f>
        <v/>
      </c>
    </row>
    <row r="2877" customFormat="false" ht="15" hidden="false" customHeight="false" outlineLevel="0" collapsed="false">
      <c r="A2877" s="24" t="n">
        <v>2873</v>
      </c>
      <c r="B2877" s="25" t="str">
        <f aca="false">IF(OR(C2877="",I2877="",G2877=""),"",IFERROR(VLOOKUP(I2877,Setup!$A$9:$B$11,2,0),"???")&amp;"-"&amp;G2877&amp;"-"&amp;TEXT(COUNTIFS(I$5:I2877,I2877,G$5:G2877,G2877),"0000"))</f>
        <v/>
      </c>
      <c r="C2877" s="26"/>
      <c r="D2877" s="26"/>
      <c r="E2877" s="27"/>
      <c r="F2877" s="27"/>
      <c r="G2877" s="24" t="str">
        <f aca="false">IF(F2877="","",IF(F2877&lt;=5,"A",IF(F2877&lt;=8,"B",IF(F2877&lt;=10,"C","D"))))</f>
        <v/>
      </c>
      <c r="H2877" s="28"/>
      <c r="I2877" s="27"/>
      <c r="J2877" s="26"/>
      <c r="K2877" s="27"/>
      <c r="L2877" s="27"/>
      <c r="M2877" s="27"/>
      <c r="N2877" s="27"/>
      <c r="O2877" s="24" t="str">
        <f aca="false">IF(G2877="","",VLOOKUP(G2877,Setup!$A$14:$C$17,3,0))</f>
        <v/>
      </c>
      <c r="P2877" s="27"/>
      <c r="Q2877" s="29" t="str">
        <f aca="false">IF(OR(P2877="",M2877&lt;&gt;"Paid",O2877=""),"",P2877/O2877)</f>
        <v/>
      </c>
      <c r="R2877" s="30" t="str">
        <f aca="false">IF(Q2877="","",Q2877+N(H2877)*0.000000001)</f>
        <v/>
      </c>
      <c r="S2877" s="25" t="str">
        <f aca="false">IF(R2877="","",SUMPRODUCT((I$5:I$4004=I2877)*ISNUMBER(R$5:R$4004)*(R$5:R$4004&gt;R2877))+1)</f>
        <v/>
      </c>
      <c r="T2877" s="25" t="str">
        <f aca="false">IF(S2877="","",IF(S2877&lt;=Setup!$B$5,"🏆 WINNER",""))</f>
        <v/>
      </c>
      <c r="U2877" s="24" t="str">
        <f aca="false">IF(S2877="","",I2877&amp;"|"&amp;S2877)</f>
        <v/>
      </c>
    </row>
    <row r="2878" customFormat="false" ht="15" hidden="false" customHeight="false" outlineLevel="0" collapsed="false">
      <c r="A2878" s="31" t="n">
        <v>2874</v>
      </c>
      <c r="B2878" s="32" t="str">
        <f aca="false">IF(OR(C2878="",I2878="",G2878=""),"",IFERROR(VLOOKUP(I2878,Setup!$A$9:$B$11,2,0),"???")&amp;"-"&amp;G2878&amp;"-"&amp;TEXT(COUNTIFS(I$5:I2878,I2878,G$5:G2878,G2878),"0000"))</f>
        <v/>
      </c>
      <c r="C2878" s="26"/>
      <c r="D2878" s="26"/>
      <c r="E2878" s="27"/>
      <c r="F2878" s="27"/>
      <c r="G2878" s="31" t="str">
        <f aca="false">IF(F2878="","",IF(F2878&lt;=5,"A",IF(F2878&lt;=8,"B",IF(F2878&lt;=10,"C","D"))))</f>
        <v/>
      </c>
      <c r="H2878" s="28"/>
      <c r="I2878" s="27"/>
      <c r="J2878" s="26"/>
      <c r="K2878" s="27"/>
      <c r="L2878" s="27"/>
      <c r="M2878" s="27"/>
      <c r="N2878" s="27"/>
      <c r="O2878" s="31" t="str">
        <f aca="false">IF(G2878="","",VLOOKUP(G2878,Setup!$A$14:$C$17,3,0))</f>
        <v/>
      </c>
      <c r="P2878" s="27"/>
      <c r="Q2878" s="33" t="str">
        <f aca="false">IF(OR(P2878="",M2878&lt;&gt;"Paid",O2878=""),"",P2878/O2878)</f>
        <v/>
      </c>
      <c r="R2878" s="34" t="str">
        <f aca="false">IF(Q2878="","",Q2878+N(H2878)*0.000000001)</f>
        <v/>
      </c>
      <c r="S2878" s="32" t="str">
        <f aca="false">IF(R2878="","",SUMPRODUCT((I$5:I$4004=I2878)*ISNUMBER(R$5:R$4004)*(R$5:R$4004&gt;R2878))+1)</f>
        <v/>
      </c>
      <c r="T2878" s="32" t="str">
        <f aca="false">IF(S2878="","",IF(S2878&lt;=Setup!$B$5,"🏆 WINNER",""))</f>
        <v/>
      </c>
      <c r="U2878" s="31" t="str">
        <f aca="false">IF(S2878="","",I2878&amp;"|"&amp;S2878)</f>
        <v/>
      </c>
    </row>
    <row r="2879" customFormat="false" ht="15" hidden="false" customHeight="false" outlineLevel="0" collapsed="false">
      <c r="A2879" s="24" t="n">
        <v>2875</v>
      </c>
      <c r="B2879" s="25" t="str">
        <f aca="false">IF(OR(C2879="",I2879="",G2879=""),"",IFERROR(VLOOKUP(I2879,Setup!$A$9:$B$11,2,0),"???")&amp;"-"&amp;G2879&amp;"-"&amp;TEXT(COUNTIFS(I$5:I2879,I2879,G$5:G2879,G2879),"0000"))</f>
        <v/>
      </c>
      <c r="C2879" s="26"/>
      <c r="D2879" s="26"/>
      <c r="E2879" s="27"/>
      <c r="F2879" s="27"/>
      <c r="G2879" s="24" t="str">
        <f aca="false">IF(F2879="","",IF(F2879&lt;=5,"A",IF(F2879&lt;=8,"B",IF(F2879&lt;=10,"C","D"))))</f>
        <v/>
      </c>
      <c r="H2879" s="28"/>
      <c r="I2879" s="27"/>
      <c r="J2879" s="26"/>
      <c r="K2879" s="27"/>
      <c r="L2879" s="27"/>
      <c r="M2879" s="27"/>
      <c r="N2879" s="27"/>
      <c r="O2879" s="24" t="str">
        <f aca="false">IF(G2879="","",VLOOKUP(G2879,Setup!$A$14:$C$17,3,0))</f>
        <v/>
      </c>
      <c r="P2879" s="27"/>
      <c r="Q2879" s="29" t="str">
        <f aca="false">IF(OR(P2879="",M2879&lt;&gt;"Paid",O2879=""),"",P2879/O2879)</f>
        <v/>
      </c>
      <c r="R2879" s="30" t="str">
        <f aca="false">IF(Q2879="","",Q2879+N(H2879)*0.000000001)</f>
        <v/>
      </c>
      <c r="S2879" s="25" t="str">
        <f aca="false">IF(R2879="","",SUMPRODUCT((I$5:I$4004=I2879)*ISNUMBER(R$5:R$4004)*(R$5:R$4004&gt;R2879))+1)</f>
        <v/>
      </c>
      <c r="T2879" s="25" t="str">
        <f aca="false">IF(S2879="","",IF(S2879&lt;=Setup!$B$5,"🏆 WINNER",""))</f>
        <v/>
      </c>
      <c r="U2879" s="24" t="str">
        <f aca="false">IF(S2879="","",I2879&amp;"|"&amp;S2879)</f>
        <v/>
      </c>
    </row>
    <row r="2880" customFormat="false" ht="15" hidden="false" customHeight="false" outlineLevel="0" collapsed="false">
      <c r="A2880" s="31" t="n">
        <v>2876</v>
      </c>
      <c r="B2880" s="32" t="str">
        <f aca="false">IF(OR(C2880="",I2880="",G2880=""),"",IFERROR(VLOOKUP(I2880,Setup!$A$9:$B$11,2,0),"???")&amp;"-"&amp;G2880&amp;"-"&amp;TEXT(COUNTIFS(I$5:I2880,I2880,G$5:G2880,G2880),"0000"))</f>
        <v/>
      </c>
      <c r="C2880" s="26"/>
      <c r="D2880" s="26"/>
      <c r="E2880" s="27"/>
      <c r="F2880" s="27"/>
      <c r="G2880" s="31" t="str">
        <f aca="false">IF(F2880="","",IF(F2880&lt;=5,"A",IF(F2880&lt;=8,"B",IF(F2880&lt;=10,"C","D"))))</f>
        <v/>
      </c>
      <c r="H2880" s="28"/>
      <c r="I2880" s="27"/>
      <c r="J2880" s="26"/>
      <c r="K2880" s="27"/>
      <c r="L2880" s="27"/>
      <c r="M2880" s="27"/>
      <c r="N2880" s="27"/>
      <c r="O2880" s="31" t="str">
        <f aca="false">IF(G2880="","",VLOOKUP(G2880,Setup!$A$14:$C$17,3,0))</f>
        <v/>
      </c>
      <c r="P2880" s="27"/>
      <c r="Q2880" s="33" t="str">
        <f aca="false">IF(OR(P2880="",M2880&lt;&gt;"Paid",O2880=""),"",P2880/O2880)</f>
        <v/>
      </c>
      <c r="R2880" s="34" t="str">
        <f aca="false">IF(Q2880="","",Q2880+N(H2880)*0.000000001)</f>
        <v/>
      </c>
      <c r="S2880" s="32" t="str">
        <f aca="false">IF(R2880="","",SUMPRODUCT((I$5:I$4004=I2880)*ISNUMBER(R$5:R$4004)*(R$5:R$4004&gt;R2880))+1)</f>
        <v/>
      </c>
      <c r="T2880" s="32" t="str">
        <f aca="false">IF(S2880="","",IF(S2880&lt;=Setup!$B$5,"🏆 WINNER",""))</f>
        <v/>
      </c>
      <c r="U2880" s="31" t="str">
        <f aca="false">IF(S2880="","",I2880&amp;"|"&amp;S2880)</f>
        <v/>
      </c>
    </row>
    <row r="2881" customFormat="false" ht="15" hidden="false" customHeight="false" outlineLevel="0" collapsed="false">
      <c r="A2881" s="24" t="n">
        <v>2877</v>
      </c>
      <c r="B2881" s="25" t="str">
        <f aca="false">IF(OR(C2881="",I2881="",G2881=""),"",IFERROR(VLOOKUP(I2881,Setup!$A$9:$B$11,2,0),"???")&amp;"-"&amp;G2881&amp;"-"&amp;TEXT(COUNTIFS(I$5:I2881,I2881,G$5:G2881,G2881),"0000"))</f>
        <v/>
      </c>
      <c r="C2881" s="26"/>
      <c r="D2881" s="26"/>
      <c r="E2881" s="27"/>
      <c r="F2881" s="27"/>
      <c r="G2881" s="24" t="str">
        <f aca="false">IF(F2881="","",IF(F2881&lt;=5,"A",IF(F2881&lt;=8,"B",IF(F2881&lt;=10,"C","D"))))</f>
        <v/>
      </c>
      <c r="H2881" s="28"/>
      <c r="I2881" s="27"/>
      <c r="J2881" s="26"/>
      <c r="K2881" s="27"/>
      <c r="L2881" s="27"/>
      <c r="M2881" s="27"/>
      <c r="N2881" s="27"/>
      <c r="O2881" s="24" t="str">
        <f aca="false">IF(G2881="","",VLOOKUP(G2881,Setup!$A$14:$C$17,3,0))</f>
        <v/>
      </c>
      <c r="P2881" s="27"/>
      <c r="Q2881" s="29" t="str">
        <f aca="false">IF(OR(P2881="",M2881&lt;&gt;"Paid",O2881=""),"",P2881/O2881)</f>
        <v/>
      </c>
      <c r="R2881" s="30" t="str">
        <f aca="false">IF(Q2881="","",Q2881+N(H2881)*0.000000001)</f>
        <v/>
      </c>
      <c r="S2881" s="25" t="str">
        <f aca="false">IF(R2881="","",SUMPRODUCT((I$5:I$4004=I2881)*ISNUMBER(R$5:R$4004)*(R$5:R$4004&gt;R2881))+1)</f>
        <v/>
      </c>
      <c r="T2881" s="25" t="str">
        <f aca="false">IF(S2881="","",IF(S2881&lt;=Setup!$B$5,"🏆 WINNER",""))</f>
        <v/>
      </c>
      <c r="U2881" s="24" t="str">
        <f aca="false">IF(S2881="","",I2881&amp;"|"&amp;S2881)</f>
        <v/>
      </c>
    </row>
    <row r="2882" customFormat="false" ht="15" hidden="false" customHeight="false" outlineLevel="0" collapsed="false">
      <c r="A2882" s="31" t="n">
        <v>2878</v>
      </c>
      <c r="B2882" s="32" t="str">
        <f aca="false">IF(OR(C2882="",I2882="",G2882=""),"",IFERROR(VLOOKUP(I2882,Setup!$A$9:$B$11,2,0),"???")&amp;"-"&amp;G2882&amp;"-"&amp;TEXT(COUNTIFS(I$5:I2882,I2882,G$5:G2882,G2882),"0000"))</f>
        <v/>
      </c>
      <c r="C2882" s="26"/>
      <c r="D2882" s="26"/>
      <c r="E2882" s="27"/>
      <c r="F2882" s="27"/>
      <c r="G2882" s="31" t="str">
        <f aca="false">IF(F2882="","",IF(F2882&lt;=5,"A",IF(F2882&lt;=8,"B",IF(F2882&lt;=10,"C","D"))))</f>
        <v/>
      </c>
      <c r="H2882" s="28"/>
      <c r="I2882" s="27"/>
      <c r="J2882" s="26"/>
      <c r="K2882" s="27"/>
      <c r="L2882" s="27"/>
      <c r="M2882" s="27"/>
      <c r="N2882" s="27"/>
      <c r="O2882" s="31" t="str">
        <f aca="false">IF(G2882="","",VLOOKUP(G2882,Setup!$A$14:$C$17,3,0))</f>
        <v/>
      </c>
      <c r="P2882" s="27"/>
      <c r="Q2882" s="33" t="str">
        <f aca="false">IF(OR(P2882="",M2882&lt;&gt;"Paid",O2882=""),"",P2882/O2882)</f>
        <v/>
      </c>
      <c r="R2882" s="34" t="str">
        <f aca="false">IF(Q2882="","",Q2882+N(H2882)*0.000000001)</f>
        <v/>
      </c>
      <c r="S2882" s="32" t="str">
        <f aca="false">IF(R2882="","",SUMPRODUCT((I$5:I$4004=I2882)*ISNUMBER(R$5:R$4004)*(R$5:R$4004&gt;R2882))+1)</f>
        <v/>
      </c>
      <c r="T2882" s="32" t="str">
        <f aca="false">IF(S2882="","",IF(S2882&lt;=Setup!$B$5,"🏆 WINNER",""))</f>
        <v/>
      </c>
      <c r="U2882" s="31" t="str">
        <f aca="false">IF(S2882="","",I2882&amp;"|"&amp;S2882)</f>
        <v/>
      </c>
    </row>
    <row r="2883" customFormat="false" ht="15" hidden="false" customHeight="false" outlineLevel="0" collapsed="false">
      <c r="A2883" s="24" t="n">
        <v>2879</v>
      </c>
      <c r="B2883" s="25" t="str">
        <f aca="false">IF(OR(C2883="",I2883="",G2883=""),"",IFERROR(VLOOKUP(I2883,Setup!$A$9:$B$11,2,0),"???")&amp;"-"&amp;G2883&amp;"-"&amp;TEXT(COUNTIFS(I$5:I2883,I2883,G$5:G2883,G2883),"0000"))</f>
        <v/>
      </c>
      <c r="C2883" s="26"/>
      <c r="D2883" s="26"/>
      <c r="E2883" s="27"/>
      <c r="F2883" s="27"/>
      <c r="G2883" s="24" t="str">
        <f aca="false">IF(F2883="","",IF(F2883&lt;=5,"A",IF(F2883&lt;=8,"B",IF(F2883&lt;=10,"C","D"))))</f>
        <v/>
      </c>
      <c r="H2883" s="28"/>
      <c r="I2883" s="27"/>
      <c r="J2883" s="26"/>
      <c r="K2883" s="27"/>
      <c r="L2883" s="27"/>
      <c r="M2883" s="27"/>
      <c r="N2883" s="27"/>
      <c r="O2883" s="24" t="str">
        <f aca="false">IF(G2883="","",VLOOKUP(G2883,Setup!$A$14:$C$17,3,0))</f>
        <v/>
      </c>
      <c r="P2883" s="27"/>
      <c r="Q2883" s="29" t="str">
        <f aca="false">IF(OR(P2883="",M2883&lt;&gt;"Paid",O2883=""),"",P2883/O2883)</f>
        <v/>
      </c>
      <c r="R2883" s="30" t="str">
        <f aca="false">IF(Q2883="","",Q2883+N(H2883)*0.000000001)</f>
        <v/>
      </c>
      <c r="S2883" s="25" t="str">
        <f aca="false">IF(R2883="","",SUMPRODUCT((I$5:I$4004=I2883)*ISNUMBER(R$5:R$4004)*(R$5:R$4004&gt;R2883))+1)</f>
        <v/>
      </c>
      <c r="T2883" s="25" t="str">
        <f aca="false">IF(S2883="","",IF(S2883&lt;=Setup!$B$5,"🏆 WINNER",""))</f>
        <v/>
      </c>
      <c r="U2883" s="24" t="str">
        <f aca="false">IF(S2883="","",I2883&amp;"|"&amp;S2883)</f>
        <v/>
      </c>
    </row>
    <row r="2884" customFormat="false" ht="15" hidden="false" customHeight="false" outlineLevel="0" collapsed="false">
      <c r="A2884" s="31" t="n">
        <v>2880</v>
      </c>
      <c r="B2884" s="32" t="str">
        <f aca="false">IF(OR(C2884="",I2884="",G2884=""),"",IFERROR(VLOOKUP(I2884,Setup!$A$9:$B$11,2,0),"???")&amp;"-"&amp;G2884&amp;"-"&amp;TEXT(COUNTIFS(I$5:I2884,I2884,G$5:G2884,G2884),"0000"))</f>
        <v/>
      </c>
      <c r="C2884" s="26"/>
      <c r="D2884" s="26"/>
      <c r="E2884" s="27"/>
      <c r="F2884" s="27"/>
      <c r="G2884" s="31" t="str">
        <f aca="false">IF(F2884="","",IF(F2884&lt;=5,"A",IF(F2884&lt;=8,"B",IF(F2884&lt;=10,"C","D"))))</f>
        <v/>
      </c>
      <c r="H2884" s="28"/>
      <c r="I2884" s="27"/>
      <c r="J2884" s="26"/>
      <c r="K2884" s="27"/>
      <c r="L2884" s="27"/>
      <c r="M2884" s="27"/>
      <c r="N2884" s="27"/>
      <c r="O2884" s="31" t="str">
        <f aca="false">IF(G2884="","",VLOOKUP(G2884,Setup!$A$14:$C$17,3,0))</f>
        <v/>
      </c>
      <c r="P2884" s="27"/>
      <c r="Q2884" s="33" t="str">
        <f aca="false">IF(OR(P2884="",M2884&lt;&gt;"Paid",O2884=""),"",P2884/O2884)</f>
        <v/>
      </c>
      <c r="R2884" s="34" t="str">
        <f aca="false">IF(Q2884="","",Q2884+N(H2884)*0.000000001)</f>
        <v/>
      </c>
      <c r="S2884" s="32" t="str">
        <f aca="false">IF(R2884="","",SUMPRODUCT((I$5:I$4004=I2884)*ISNUMBER(R$5:R$4004)*(R$5:R$4004&gt;R2884))+1)</f>
        <v/>
      </c>
      <c r="T2884" s="32" t="str">
        <f aca="false">IF(S2884="","",IF(S2884&lt;=Setup!$B$5,"🏆 WINNER",""))</f>
        <v/>
      </c>
      <c r="U2884" s="31" t="str">
        <f aca="false">IF(S2884="","",I2884&amp;"|"&amp;S2884)</f>
        <v/>
      </c>
    </row>
    <row r="2885" customFormat="false" ht="15" hidden="false" customHeight="false" outlineLevel="0" collapsed="false">
      <c r="A2885" s="24" t="n">
        <v>2881</v>
      </c>
      <c r="B2885" s="25" t="str">
        <f aca="false">IF(OR(C2885="",I2885="",G2885=""),"",IFERROR(VLOOKUP(I2885,Setup!$A$9:$B$11,2,0),"???")&amp;"-"&amp;G2885&amp;"-"&amp;TEXT(COUNTIFS(I$5:I2885,I2885,G$5:G2885,G2885),"0000"))</f>
        <v/>
      </c>
      <c r="C2885" s="26"/>
      <c r="D2885" s="26"/>
      <c r="E2885" s="27"/>
      <c r="F2885" s="27"/>
      <c r="G2885" s="24" t="str">
        <f aca="false">IF(F2885="","",IF(F2885&lt;=5,"A",IF(F2885&lt;=8,"B",IF(F2885&lt;=10,"C","D"))))</f>
        <v/>
      </c>
      <c r="H2885" s="28"/>
      <c r="I2885" s="27"/>
      <c r="J2885" s="26"/>
      <c r="K2885" s="27"/>
      <c r="L2885" s="27"/>
      <c r="M2885" s="27"/>
      <c r="N2885" s="27"/>
      <c r="O2885" s="24" t="str">
        <f aca="false">IF(G2885="","",VLOOKUP(G2885,Setup!$A$14:$C$17,3,0))</f>
        <v/>
      </c>
      <c r="P2885" s="27"/>
      <c r="Q2885" s="29" t="str">
        <f aca="false">IF(OR(P2885="",M2885&lt;&gt;"Paid",O2885=""),"",P2885/O2885)</f>
        <v/>
      </c>
      <c r="R2885" s="30" t="str">
        <f aca="false">IF(Q2885="","",Q2885+N(H2885)*0.000000001)</f>
        <v/>
      </c>
      <c r="S2885" s="25" t="str">
        <f aca="false">IF(R2885="","",SUMPRODUCT((I$5:I$4004=I2885)*ISNUMBER(R$5:R$4004)*(R$5:R$4004&gt;R2885))+1)</f>
        <v/>
      </c>
      <c r="T2885" s="25" t="str">
        <f aca="false">IF(S2885="","",IF(S2885&lt;=Setup!$B$5,"🏆 WINNER",""))</f>
        <v/>
      </c>
      <c r="U2885" s="24" t="str">
        <f aca="false">IF(S2885="","",I2885&amp;"|"&amp;S2885)</f>
        <v/>
      </c>
    </row>
    <row r="2886" customFormat="false" ht="15" hidden="false" customHeight="false" outlineLevel="0" collapsed="false">
      <c r="A2886" s="31" t="n">
        <v>2882</v>
      </c>
      <c r="B2886" s="32" t="str">
        <f aca="false">IF(OR(C2886="",I2886="",G2886=""),"",IFERROR(VLOOKUP(I2886,Setup!$A$9:$B$11,2,0),"???")&amp;"-"&amp;G2886&amp;"-"&amp;TEXT(COUNTIFS(I$5:I2886,I2886,G$5:G2886,G2886),"0000"))</f>
        <v/>
      </c>
      <c r="C2886" s="26"/>
      <c r="D2886" s="26"/>
      <c r="E2886" s="27"/>
      <c r="F2886" s="27"/>
      <c r="G2886" s="31" t="str">
        <f aca="false">IF(F2886="","",IF(F2886&lt;=5,"A",IF(F2886&lt;=8,"B",IF(F2886&lt;=10,"C","D"))))</f>
        <v/>
      </c>
      <c r="H2886" s="28"/>
      <c r="I2886" s="27"/>
      <c r="J2886" s="26"/>
      <c r="K2886" s="27"/>
      <c r="L2886" s="27"/>
      <c r="M2886" s="27"/>
      <c r="N2886" s="27"/>
      <c r="O2886" s="31" t="str">
        <f aca="false">IF(G2886="","",VLOOKUP(G2886,Setup!$A$14:$C$17,3,0))</f>
        <v/>
      </c>
      <c r="P2886" s="27"/>
      <c r="Q2886" s="33" t="str">
        <f aca="false">IF(OR(P2886="",M2886&lt;&gt;"Paid",O2886=""),"",P2886/O2886)</f>
        <v/>
      </c>
      <c r="R2886" s="34" t="str">
        <f aca="false">IF(Q2886="","",Q2886+N(H2886)*0.000000001)</f>
        <v/>
      </c>
      <c r="S2886" s="32" t="str">
        <f aca="false">IF(R2886="","",SUMPRODUCT((I$5:I$4004=I2886)*ISNUMBER(R$5:R$4004)*(R$5:R$4004&gt;R2886))+1)</f>
        <v/>
      </c>
      <c r="T2886" s="32" t="str">
        <f aca="false">IF(S2886="","",IF(S2886&lt;=Setup!$B$5,"🏆 WINNER",""))</f>
        <v/>
      </c>
      <c r="U2886" s="31" t="str">
        <f aca="false">IF(S2886="","",I2886&amp;"|"&amp;S2886)</f>
        <v/>
      </c>
    </row>
    <row r="2887" customFormat="false" ht="15" hidden="false" customHeight="false" outlineLevel="0" collapsed="false">
      <c r="A2887" s="24" t="n">
        <v>2883</v>
      </c>
      <c r="B2887" s="25" t="str">
        <f aca="false">IF(OR(C2887="",I2887="",G2887=""),"",IFERROR(VLOOKUP(I2887,Setup!$A$9:$B$11,2,0),"???")&amp;"-"&amp;G2887&amp;"-"&amp;TEXT(COUNTIFS(I$5:I2887,I2887,G$5:G2887,G2887),"0000"))</f>
        <v/>
      </c>
      <c r="C2887" s="26"/>
      <c r="D2887" s="26"/>
      <c r="E2887" s="27"/>
      <c r="F2887" s="27"/>
      <c r="G2887" s="24" t="str">
        <f aca="false">IF(F2887="","",IF(F2887&lt;=5,"A",IF(F2887&lt;=8,"B",IF(F2887&lt;=10,"C","D"))))</f>
        <v/>
      </c>
      <c r="H2887" s="28"/>
      <c r="I2887" s="27"/>
      <c r="J2887" s="26"/>
      <c r="K2887" s="27"/>
      <c r="L2887" s="27"/>
      <c r="M2887" s="27"/>
      <c r="N2887" s="27"/>
      <c r="O2887" s="24" t="str">
        <f aca="false">IF(G2887="","",VLOOKUP(G2887,Setup!$A$14:$C$17,3,0))</f>
        <v/>
      </c>
      <c r="P2887" s="27"/>
      <c r="Q2887" s="29" t="str">
        <f aca="false">IF(OR(P2887="",M2887&lt;&gt;"Paid",O2887=""),"",P2887/O2887)</f>
        <v/>
      </c>
      <c r="R2887" s="30" t="str">
        <f aca="false">IF(Q2887="","",Q2887+N(H2887)*0.000000001)</f>
        <v/>
      </c>
      <c r="S2887" s="25" t="str">
        <f aca="false">IF(R2887="","",SUMPRODUCT((I$5:I$4004=I2887)*ISNUMBER(R$5:R$4004)*(R$5:R$4004&gt;R2887))+1)</f>
        <v/>
      </c>
      <c r="T2887" s="25" t="str">
        <f aca="false">IF(S2887="","",IF(S2887&lt;=Setup!$B$5,"🏆 WINNER",""))</f>
        <v/>
      </c>
      <c r="U2887" s="24" t="str">
        <f aca="false">IF(S2887="","",I2887&amp;"|"&amp;S2887)</f>
        <v/>
      </c>
    </row>
    <row r="2888" customFormat="false" ht="15" hidden="false" customHeight="false" outlineLevel="0" collapsed="false">
      <c r="A2888" s="31" t="n">
        <v>2884</v>
      </c>
      <c r="B2888" s="32" t="str">
        <f aca="false">IF(OR(C2888="",I2888="",G2888=""),"",IFERROR(VLOOKUP(I2888,Setup!$A$9:$B$11,2,0),"???")&amp;"-"&amp;G2888&amp;"-"&amp;TEXT(COUNTIFS(I$5:I2888,I2888,G$5:G2888,G2888),"0000"))</f>
        <v/>
      </c>
      <c r="C2888" s="26"/>
      <c r="D2888" s="26"/>
      <c r="E2888" s="27"/>
      <c r="F2888" s="27"/>
      <c r="G2888" s="31" t="str">
        <f aca="false">IF(F2888="","",IF(F2888&lt;=5,"A",IF(F2888&lt;=8,"B",IF(F2888&lt;=10,"C","D"))))</f>
        <v/>
      </c>
      <c r="H2888" s="28"/>
      <c r="I2888" s="27"/>
      <c r="J2888" s="26"/>
      <c r="K2888" s="27"/>
      <c r="L2888" s="27"/>
      <c r="M2888" s="27"/>
      <c r="N2888" s="27"/>
      <c r="O2888" s="31" t="str">
        <f aca="false">IF(G2888="","",VLOOKUP(G2888,Setup!$A$14:$C$17,3,0))</f>
        <v/>
      </c>
      <c r="P2888" s="27"/>
      <c r="Q2888" s="33" t="str">
        <f aca="false">IF(OR(P2888="",M2888&lt;&gt;"Paid",O2888=""),"",P2888/O2888)</f>
        <v/>
      </c>
      <c r="R2888" s="34" t="str">
        <f aca="false">IF(Q2888="","",Q2888+N(H2888)*0.000000001)</f>
        <v/>
      </c>
      <c r="S2888" s="32" t="str">
        <f aca="false">IF(R2888="","",SUMPRODUCT((I$5:I$4004=I2888)*ISNUMBER(R$5:R$4004)*(R$5:R$4004&gt;R2888))+1)</f>
        <v/>
      </c>
      <c r="T2888" s="32" t="str">
        <f aca="false">IF(S2888="","",IF(S2888&lt;=Setup!$B$5,"🏆 WINNER",""))</f>
        <v/>
      </c>
      <c r="U2888" s="31" t="str">
        <f aca="false">IF(S2888="","",I2888&amp;"|"&amp;S2888)</f>
        <v/>
      </c>
    </row>
    <row r="2889" customFormat="false" ht="15" hidden="false" customHeight="false" outlineLevel="0" collapsed="false">
      <c r="A2889" s="24" t="n">
        <v>2885</v>
      </c>
      <c r="B2889" s="25" t="str">
        <f aca="false">IF(OR(C2889="",I2889="",G2889=""),"",IFERROR(VLOOKUP(I2889,Setup!$A$9:$B$11,2,0),"???")&amp;"-"&amp;G2889&amp;"-"&amp;TEXT(COUNTIFS(I$5:I2889,I2889,G$5:G2889,G2889),"0000"))</f>
        <v/>
      </c>
      <c r="C2889" s="26"/>
      <c r="D2889" s="26"/>
      <c r="E2889" s="27"/>
      <c r="F2889" s="27"/>
      <c r="G2889" s="24" t="str">
        <f aca="false">IF(F2889="","",IF(F2889&lt;=5,"A",IF(F2889&lt;=8,"B",IF(F2889&lt;=10,"C","D"))))</f>
        <v/>
      </c>
      <c r="H2889" s="28"/>
      <c r="I2889" s="27"/>
      <c r="J2889" s="26"/>
      <c r="K2889" s="27"/>
      <c r="L2889" s="27"/>
      <c r="M2889" s="27"/>
      <c r="N2889" s="27"/>
      <c r="O2889" s="24" t="str">
        <f aca="false">IF(G2889="","",VLOOKUP(G2889,Setup!$A$14:$C$17,3,0))</f>
        <v/>
      </c>
      <c r="P2889" s="27"/>
      <c r="Q2889" s="29" t="str">
        <f aca="false">IF(OR(P2889="",M2889&lt;&gt;"Paid",O2889=""),"",P2889/O2889)</f>
        <v/>
      </c>
      <c r="R2889" s="30" t="str">
        <f aca="false">IF(Q2889="","",Q2889+N(H2889)*0.000000001)</f>
        <v/>
      </c>
      <c r="S2889" s="25" t="str">
        <f aca="false">IF(R2889="","",SUMPRODUCT((I$5:I$4004=I2889)*ISNUMBER(R$5:R$4004)*(R$5:R$4004&gt;R2889))+1)</f>
        <v/>
      </c>
      <c r="T2889" s="25" t="str">
        <f aca="false">IF(S2889="","",IF(S2889&lt;=Setup!$B$5,"🏆 WINNER",""))</f>
        <v/>
      </c>
      <c r="U2889" s="24" t="str">
        <f aca="false">IF(S2889="","",I2889&amp;"|"&amp;S2889)</f>
        <v/>
      </c>
    </row>
    <row r="2890" customFormat="false" ht="15" hidden="false" customHeight="false" outlineLevel="0" collapsed="false">
      <c r="A2890" s="31" t="n">
        <v>2886</v>
      </c>
      <c r="B2890" s="32" t="str">
        <f aca="false">IF(OR(C2890="",I2890="",G2890=""),"",IFERROR(VLOOKUP(I2890,Setup!$A$9:$B$11,2,0),"???")&amp;"-"&amp;G2890&amp;"-"&amp;TEXT(COUNTIFS(I$5:I2890,I2890,G$5:G2890,G2890),"0000"))</f>
        <v/>
      </c>
      <c r="C2890" s="26"/>
      <c r="D2890" s="26"/>
      <c r="E2890" s="27"/>
      <c r="F2890" s="27"/>
      <c r="G2890" s="31" t="str">
        <f aca="false">IF(F2890="","",IF(F2890&lt;=5,"A",IF(F2890&lt;=8,"B",IF(F2890&lt;=10,"C","D"))))</f>
        <v/>
      </c>
      <c r="H2890" s="28"/>
      <c r="I2890" s="27"/>
      <c r="J2890" s="26"/>
      <c r="K2890" s="27"/>
      <c r="L2890" s="27"/>
      <c r="M2890" s="27"/>
      <c r="N2890" s="27"/>
      <c r="O2890" s="31" t="str">
        <f aca="false">IF(G2890="","",VLOOKUP(G2890,Setup!$A$14:$C$17,3,0))</f>
        <v/>
      </c>
      <c r="P2890" s="27"/>
      <c r="Q2890" s="33" t="str">
        <f aca="false">IF(OR(P2890="",M2890&lt;&gt;"Paid",O2890=""),"",P2890/O2890)</f>
        <v/>
      </c>
      <c r="R2890" s="34" t="str">
        <f aca="false">IF(Q2890="","",Q2890+N(H2890)*0.000000001)</f>
        <v/>
      </c>
      <c r="S2890" s="32" t="str">
        <f aca="false">IF(R2890="","",SUMPRODUCT((I$5:I$4004=I2890)*ISNUMBER(R$5:R$4004)*(R$5:R$4004&gt;R2890))+1)</f>
        <v/>
      </c>
      <c r="T2890" s="32" t="str">
        <f aca="false">IF(S2890="","",IF(S2890&lt;=Setup!$B$5,"🏆 WINNER",""))</f>
        <v/>
      </c>
      <c r="U2890" s="31" t="str">
        <f aca="false">IF(S2890="","",I2890&amp;"|"&amp;S2890)</f>
        <v/>
      </c>
    </row>
    <row r="2891" customFormat="false" ht="15" hidden="false" customHeight="false" outlineLevel="0" collapsed="false">
      <c r="A2891" s="24" t="n">
        <v>2887</v>
      </c>
      <c r="B2891" s="25" t="str">
        <f aca="false">IF(OR(C2891="",I2891="",G2891=""),"",IFERROR(VLOOKUP(I2891,Setup!$A$9:$B$11,2,0),"???")&amp;"-"&amp;G2891&amp;"-"&amp;TEXT(COUNTIFS(I$5:I2891,I2891,G$5:G2891,G2891),"0000"))</f>
        <v/>
      </c>
      <c r="C2891" s="26"/>
      <c r="D2891" s="26"/>
      <c r="E2891" s="27"/>
      <c r="F2891" s="27"/>
      <c r="G2891" s="24" t="str">
        <f aca="false">IF(F2891="","",IF(F2891&lt;=5,"A",IF(F2891&lt;=8,"B",IF(F2891&lt;=10,"C","D"))))</f>
        <v/>
      </c>
      <c r="H2891" s="28"/>
      <c r="I2891" s="27"/>
      <c r="J2891" s="26"/>
      <c r="K2891" s="27"/>
      <c r="L2891" s="27"/>
      <c r="M2891" s="27"/>
      <c r="N2891" s="27"/>
      <c r="O2891" s="24" t="str">
        <f aca="false">IF(G2891="","",VLOOKUP(G2891,Setup!$A$14:$C$17,3,0))</f>
        <v/>
      </c>
      <c r="P2891" s="27"/>
      <c r="Q2891" s="29" t="str">
        <f aca="false">IF(OR(P2891="",M2891&lt;&gt;"Paid",O2891=""),"",P2891/O2891)</f>
        <v/>
      </c>
      <c r="R2891" s="30" t="str">
        <f aca="false">IF(Q2891="","",Q2891+N(H2891)*0.000000001)</f>
        <v/>
      </c>
      <c r="S2891" s="25" t="str">
        <f aca="false">IF(R2891="","",SUMPRODUCT((I$5:I$4004=I2891)*ISNUMBER(R$5:R$4004)*(R$5:R$4004&gt;R2891))+1)</f>
        <v/>
      </c>
      <c r="T2891" s="25" t="str">
        <f aca="false">IF(S2891="","",IF(S2891&lt;=Setup!$B$5,"🏆 WINNER",""))</f>
        <v/>
      </c>
      <c r="U2891" s="24" t="str">
        <f aca="false">IF(S2891="","",I2891&amp;"|"&amp;S2891)</f>
        <v/>
      </c>
    </row>
    <row r="2892" customFormat="false" ht="15" hidden="false" customHeight="false" outlineLevel="0" collapsed="false">
      <c r="A2892" s="31" t="n">
        <v>2888</v>
      </c>
      <c r="B2892" s="32" t="str">
        <f aca="false">IF(OR(C2892="",I2892="",G2892=""),"",IFERROR(VLOOKUP(I2892,Setup!$A$9:$B$11,2,0),"???")&amp;"-"&amp;G2892&amp;"-"&amp;TEXT(COUNTIFS(I$5:I2892,I2892,G$5:G2892,G2892),"0000"))</f>
        <v/>
      </c>
      <c r="C2892" s="26"/>
      <c r="D2892" s="26"/>
      <c r="E2892" s="27"/>
      <c r="F2892" s="27"/>
      <c r="G2892" s="31" t="str">
        <f aca="false">IF(F2892="","",IF(F2892&lt;=5,"A",IF(F2892&lt;=8,"B",IF(F2892&lt;=10,"C","D"))))</f>
        <v/>
      </c>
      <c r="H2892" s="28"/>
      <c r="I2892" s="27"/>
      <c r="J2892" s="26"/>
      <c r="K2892" s="27"/>
      <c r="L2892" s="27"/>
      <c r="M2892" s="27"/>
      <c r="N2892" s="27"/>
      <c r="O2892" s="31" t="str">
        <f aca="false">IF(G2892="","",VLOOKUP(G2892,Setup!$A$14:$C$17,3,0))</f>
        <v/>
      </c>
      <c r="P2892" s="27"/>
      <c r="Q2892" s="33" t="str">
        <f aca="false">IF(OR(P2892="",M2892&lt;&gt;"Paid",O2892=""),"",P2892/O2892)</f>
        <v/>
      </c>
      <c r="R2892" s="34" t="str">
        <f aca="false">IF(Q2892="","",Q2892+N(H2892)*0.000000001)</f>
        <v/>
      </c>
      <c r="S2892" s="32" t="str">
        <f aca="false">IF(R2892="","",SUMPRODUCT((I$5:I$4004=I2892)*ISNUMBER(R$5:R$4004)*(R$5:R$4004&gt;R2892))+1)</f>
        <v/>
      </c>
      <c r="T2892" s="32" t="str">
        <f aca="false">IF(S2892="","",IF(S2892&lt;=Setup!$B$5,"🏆 WINNER",""))</f>
        <v/>
      </c>
      <c r="U2892" s="31" t="str">
        <f aca="false">IF(S2892="","",I2892&amp;"|"&amp;S2892)</f>
        <v/>
      </c>
    </row>
    <row r="2893" customFormat="false" ht="15" hidden="false" customHeight="false" outlineLevel="0" collapsed="false">
      <c r="A2893" s="24" t="n">
        <v>2889</v>
      </c>
      <c r="B2893" s="25" t="str">
        <f aca="false">IF(OR(C2893="",I2893="",G2893=""),"",IFERROR(VLOOKUP(I2893,Setup!$A$9:$B$11,2,0),"???")&amp;"-"&amp;G2893&amp;"-"&amp;TEXT(COUNTIFS(I$5:I2893,I2893,G$5:G2893,G2893),"0000"))</f>
        <v/>
      </c>
      <c r="C2893" s="26"/>
      <c r="D2893" s="26"/>
      <c r="E2893" s="27"/>
      <c r="F2893" s="27"/>
      <c r="G2893" s="24" t="str">
        <f aca="false">IF(F2893="","",IF(F2893&lt;=5,"A",IF(F2893&lt;=8,"B",IF(F2893&lt;=10,"C","D"))))</f>
        <v/>
      </c>
      <c r="H2893" s="28"/>
      <c r="I2893" s="27"/>
      <c r="J2893" s="26"/>
      <c r="K2893" s="27"/>
      <c r="L2893" s="27"/>
      <c r="M2893" s="27"/>
      <c r="N2893" s="27"/>
      <c r="O2893" s="24" t="str">
        <f aca="false">IF(G2893="","",VLOOKUP(G2893,Setup!$A$14:$C$17,3,0))</f>
        <v/>
      </c>
      <c r="P2893" s="27"/>
      <c r="Q2893" s="29" t="str">
        <f aca="false">IF(OR(P2893="",M2893&lt;&gt;"Paid",O2893=""),"",P2893/O2893)</f>
        <v/>
      </c>
      <c r="R2893" s="30" t="str">
        <f aca="false">IF(Q2893="","",Q2893+N(H2893)*0.000000001)</f>
        <v/>
      </c>
      <c r="S2893" s="25" t="str">
        <f aca="false">IF(R2893="","",SUMPRODUCT((I$5:I$4004=I2893)*ISNUMBER(R$5:R$4004)*(R$5:R$4004&gt;R2893))+1)</f>
        <v/>
      </c>
      <c r="T2893" s="25" t="str">
        <f aca="false">IF(S2893="","",IF(S2893&lt;=Setup!$B$5,"🏆 WINNER",""))</f>
        <v/>
      </c>
      <c r="U2893" s="24" t="str">
        <f aca="false">IF(S2893="","",I2893&amp;"|"&amp;S2893)</f>
        <v/>
      </c>
    </row>
    <row r="2894" customFormat="false" ht="15" hidden="false" customHeight="false" outlineLevel="0" collapsed="false">
      <c r="A2894" s="31" t="n">
        <v>2890</v>
      </c>
      <c r="B2894" s="32" t="str">
        <f aca="false">IF(OR(C2894="",I2894="",G2894=""),"",IFERROR(VLOOKUP(I2894,Setup!$A$9:$B$11,2,0),"???")&amp;"-"&amp;G2894&amp;"-"&amp;TEXT(COUNTIFS(I$5:I2894,I2894,G$5:G2894,G2894),"0000"))</f>
        <v/>
      </c>
      <c r="C2894" s="26"/>
      <c r="D2894" s="26"/>
      <c r="E2894" s="27"/>
      <c r="F2894" s="27"/>
      <c r="G2894" s="31" t="str">
        <f aca="false">IF(F2894="","",IF(F2894&lt;=5,"A",IF(F2894&lt;=8,"B",IF(F2894&lt;=10,"C","D"))))</f>
        <v/>
      </c>
      <c r="H2894" s="28"/>
      <c r="I2894" s="27"/>
      <c r="J2894" s="26"/>
      <c r="K2894" s="27"/>
      <c r="L2894" s="27"/>
      <c r="M2894" s="27"/>
      <c r="N2894" s="27"/>
      <c r="O2894" s="31" t="str">
        <f aca="false">IF(G2894="","",VLOOKUP(G2894,Setup!$A$14:$C$17,3,0))</f>
        <v/>
      </c>
      <c r="P2894" s="27"/>
      <c r="Q2894" s="33" t="str">
        <f aca="false">IF(OR(P2894="",M2894&lt;&gt;"Paid",O2894=""),"",P2894/O2894)</f>
        <v/>
      </c>
      <c r="R2894" s="34" t="str">
        <f aca="false">IF(Q2894="","",Q2894+N(H2894)*0.000000001)</f>
        <v/>
      </c>
      <c r="S2894" s="32" t="str">
        <f aca="false">IF(R2894="","",SUMPRODUCT((I$5:I$4004=I2894)*ISNUMBER(R$5:R$4004)*(R$5:R$4004&gt;R2894))+1)</f>
        <v/>
      </c>
      <c r="T2894" s="32" t="str">
        <f aca="false">IF(S2894="","",IF(S2894&lt;=Setup!$B$5,"🏆 WINNER",""))</f>
        <v/>
      </c>
      <c r="U2894" s="31" t="str">
        <f aca="false">IF(S2894="","",I2894&amp;"|"&amp;S2894)</f>
        <v/>
      </c>
    </row>
    <row r="2895" customFormat="false" ht="15" hidden="false" customHeight="false" outlineLevel="0" collapsed="false">
      <c r="A2895" s="24" t="n">
        <v>2891</v>
      </c>
      <c r="B2895" s="25" t="str">
        <f aca="false">IF(OR(C2895="",I2895="",G2895=""),"",IFERROR(VLOOKUP(I2895,Setup!$A$9:$B$11,2,0),"???")&amp;"-"&amp;G2895&amp;"-"&amp;TEXT(COUNTIFS(I$5:I2895,I2895,G$5:G2895,G2895),"0000"))</f>
        <v/>
      </c>
      <c r="C2895" s="26"/>
      <c r="D2895" s="26"/>
      <c r="E2895" s="27"/>
      <c r="F2895" s="27"/>
      <c r="G2895" s="24" t="str">
        <f aca="false">IF(F2895="","",IF(F2895&lt;=5,"A",IF(F2895&lt;=8,"B",IF(F2895&lt;=10,"C","D"))))</f>
        <v/>
      </c>
      <c r="H2895" s="28"/>
      <c r="I2895" s="27"/>
      <c r="J2895" s="26"/>
      <c r="K2895" s="27"/>
      <c r="L2895" s="27"/>
      <c r="M2895" s="27"/>
      <c r="N2895" s="27"/>
      <c r="O2895" s="24" t="str">
        <f aca="false">IF(G2895="","",VLOOKUP(G2895,Setup!$A$14:$C$17,3,0))</f>
        <v/>
      </c>
      <c r="P2895" s="27"/>
      <c r="Q2895" s="29" t="str">
        <f aca="false">IF(OR(P2895="",M2895&lt;&gt;"Paid",O2895=""),"",P2895/O2895)</f>
        <v/>
      </c>
      <c r="R2895" s="30" t="str">
        <f aca="false">IF(Q2895="","",Q2895+N(H2895)*0.000000001)</f>
        <v/>
      </c>
      <c r="S2895" s="25" t="str">
        <f aca="false">IF(R2895="","",SUMPRODUCT((I$5:I$4004=I2895)*ISNUMBER(R$5:R$4004)*(R$5:R$4004&gt;R2895))+1)</f>
        <v/>
      </c>
      <c r="T2895" s="25" t="str">
        <f aca="false">IF(S2895="","",IF(S2895&lt;=Setup!$B$5,"🏆 WINNER",""))</f>
        <v/>
      </c>
      <c r="U2895" s="24" t="str">
        <f aca="false">IF(S2895="","",I2895&amp;"|"&amp;S2895)</f>
        <v/>
      </c>
    </row>
    <row r="2896" customFormat="false" ht="15" hidden="false" customHeight="false" outlineLevel="0" collapsed="false">
      <c r="A2896" s="31" t="n">
        <v>2892</v>
      </c>
      <c r="B2896" s="32" t="str">
        <f aca="false">IF(OR(C2896="",I2896="",G2896=""),"",IFERROR(VLOOKUP(I2896,Setup!$A$9:$B$11,2,0),"???")&amp;"-"&amp;G2896&amp;"-"&amp;TEXT(COUNTIFS(I$5:I2896,I2896,G$5:G2896,G2896),"0000"))</f>
        <v/>
      </c>
      <c r="C2896" s="26"/>
      <c r="D2896" s="26"/>
      <c r="E2896" s="27"/>
      <c r="F2896" s="27"/>
      <c r="G2896" s="31" t="str">
        <f aca="false">IF(F2896="","",IF(F2896&lt;=5,"A",IF(F2896&lt;=8,"B",IF(F2896&lt;=10,"C","D"))))</f>
        <v/>
      </c>
      <c r="H2896" s="28"/>
      <c r="I2896" s="27"/>
      <c r="J2896" s="26"/>
      <c r="K2896" s="27"/>
      <c r="L2896" s="27"/>
      <c r="M2896" s="27"/>
      <c r="N2896" s="27"/>
      <c r="O2896" s="31" t="str">
        <f aca="false">IF(G2896="","",VLOOKUP(G2896,Setup!$A$14:$C$17,3,0))</f>
        <v/>
      </c>
      <c r="P2896" s="27"/>
      <c r="Q2896" s="33" t="str">
        <f aca="false">IF(OR(P2896="",M2896&lt;&gt;"Paid",O2896=""),"",P2896/O2896)</f>
        <v/>
      </c>
      <c r="R2896" s="34" t="str">
        <f aca="false">IF(Q2896="","",Q2896+N(H2896)*0.000000001)</f>
        <v/>
      </c>
      <c r="S2896" s="32" t="str">
        <f aca="false">IF(R2896="","",SUMPRODUCT((I$5:I$4004=I2896)*ISNUMBER(R$5:R$4004)*(R$5:R$4004&gt;R2896))+1)</f>
        <v/>
      </c>
      <c r="T2896" s="32" t="str">
        <f aca="false">IF(S2896="","",IF(S2896&lt;=Setup!$B$5,"🏆 WINNER",""))</f>
        <v/>
      </c>
      <c r="U2896" s="31" t="str">
        <f aca="false">IF(S2896="","",I2896&amp;"|"&amp;S2896)</f>
        <v/>
      </c>
    </row>
    <row r="2897" customFormat="false" ht="15" hidden="false" customHeight="false" outlineLevel="0" collapsed="false">
      <c r="A2897" s="24" t="n">
        <v>2893</v>
      </c>
      <c r="B2897" s="25" t="str">
        <f aca="false">IF(OR(C2897="",I2897="",G2897=""),"",IFERROR(VLOOKUP(I2897,Setup!$A$9:$B$11,2,0),"???")&amp;"-"&amp;G2897&amp;"-"&amp;TEXT(COUNTIFS(I$5:I2897,I2897,G$5:G2897,G2897),"0000"))</f>
        <v/>
      </c>
      <c r="C2897" s="26"/>
      <c r="D2897" s="26"/>
      <c r="E2897" s="27"/>
      <c r="F2897" s="27"/>
      <c r="G2897" s="24" t="str">
        <f aca="false">IF(F2897="","",IF(F2897&lt;=5,"A",IF(F2897&lt;=8,"B",IF(F2897&lt;=10,"C","D"))))</f>
        <v/>
      </c>
      <c r="H2897" s="28"/>
      <c r="I2897" s="27"/>
      <c r="J2897" s="26"/>
      <c r="K2897" s="27"/>
      <c r="L2897" s="27"/>
      <c r="M2897" s="27"/>
      <c r="N2897" s="27"/>
      <c r="O2897" s="24" t="str">
        <f aca="false">IF(G2897="","",VLOOKUP(G2897,Setup!$A$14:$C$17,3,0))</f>
        <v/>
      </c>
      <c r="P2897" s="27"/>
      <c r="Q2897" s="29" t="str">
        <f aca="false">IF(OR(P2897="",M2897&lt;&gt;"Paid",O2897=""),"",P2897/O2897)</f>
        <v/>
      </c>
      <c r="R2897" s="30" t="str">
        <f aca="false">IF(Q2897="","",Q2897+N(H2897)*0.000000001)</f>
        <v/>
      </c>
      <c r="S2897" s="25" t="str">
        <f aca="false">IF(R2897="","",SUMPRODUCT((I$5:I$4004=I2897)*ISNUMBER(R$5:R$4004)*(R$5:R$4004&gt;R2897))+1)</f>
        <v/>
      </c>
      <c r="T2897" s="25" t="str">
        <f aca="false">IF(S2897="","",IF(S2897&lt;=Setup!$B$5,"🏆 WINNER",""))</f>
        <v/>
      </c>
      <c r="U2897" s="24" t="str">
        <f aca="false">IF(S2897="","",I2897&amp;"|"&amp;S2897)</f>
        <v/>
      </c>
    </row>
    <row r="2898" customFormat="false" ht="15" hidden="false" customHeight="false" outlineLevel="0" collapsed="false">
      <c r="A2898" s="31" t="n">
        <v>2894</v>
      </c>
      <c r="B2898" s="32" t="str">
        <f aca="false">IF(OR(C2898="",I2898="",G2898=""),"",IFERROR(VLOOKUP(I2898,Setup!$A$9:$B$11,2,0),"???")&amp;"-"&amp;G2898&amp;"-"&amp;TEXT(COUNTIFS(I$5:I2898,I2898,G$5:G2898,G2898),"0000"))</f>
        <v/>
      </c>
      <c r="C2898" s="26"/>
      <c r="D2898" s="26"/>
      <c r="E2898" s="27"/>
      <c r="F2898" s="27"/>
      <c r="G2898" s="31" t="str">
        <f aca="false">IF(F2898="","",IF(F2898&lt;=5,"A",IF(F2898&lt;=8,"B",IF(F2898&lt;=10,"C","D"))))</f>
        <v/>
      </c>
      <c r="H2898" s="28"/>
      <c r="I2898" s="27"/>
      <c r="J2898" s="26"/>
      <c r="K2898" s="27"/>
      <c r="L2898" s="27"/>
      <c r="M2898" s="27"/>
      <c r="N2898" s="27"/>
      <c r="O2898" s="31" t="str">
        <f aca="false">IF(G2898="","",VLOOKUP(G2898,Setup!$A$14:$C$17,3,0))</f>
        <v/>
      </c>
      <c r="P2898" s="27"/>
      <c r="Q2898" s="33" t="str">
        <f aca="false">IF(OR(P2898="",M2898&lt;&gt;"Paid",O2898=""),"",P2898/O2898)</f>
        <v/>
      </c>
      <c r="R2898" s="34" t="str">
        <f aca="false">IF(Q2898="","",Q2898+N(H2898)*0.000000001)</f>
        <v/>
      </c>
      <c r="S2898" s="32" t="str">
        <f aca="false">IF(R2898="","",SUMPRODUCT((I$5:I$4004=I2898)*ISNUMBER(R$5:R$4004)*(R$5:R$4004&gt;R2898))+1)</f>
        <v/>
      </c>
      <c r="T2898" s="32" t="str">
        <f aca="false">IF(S2898="","",IF(S2898&lt;=Setup!$B$5,"🏆 WINNER",""))</f>
        <v/>
      </c>
      <c r="U2898" s="31" t="str">
        <f aca="false">IF(S2898="","",I2898&amp;"|"&amp;S2898)</f>
        <v/>
      </c>
    </row>
    <row r="2899" customFormat="false" ht="15" hidden="false" customHeight="false" outlineLevel="0" collapsed="false">
      <c r="A2899" s="24" t="n">
        <v>2895</v>
      </c>
      <c r="B2899" s="25" t="str">
        <f aca="false">IF(OR(C2899="",I2899="",G2899=""),"",IFERROR(VLOOKUP(I2899,Setup!$A$9:$B$11,2,0),"???")&amp;"-"&amp;G2899&amp;"-"&amp;TEXT(COUNTIFS(I$5:I2899,I2899,G$5:G2899,G2899),"0000"))</f>
        <v/>
      </c>
      <c r="C2899" s="26"/>
      <c r="D2899" s="26"/>
      <c r="E2899" s="27"/>
      <c r="F2899" s="27"/>
      <c r="G2899" s="24" t="str">
        <f aca="false">IF(F2899="","",IF(F2899&lt;=5,"A",IF(F2899&lt;=8,"B",IF(F2899&lt;=10,"C","D"))))</f>
        <v/>
      </c>
      <c r="H2899" s="28"/>
      <c r="I2899" s="27"/>
      <c r="J2899" s="26"/>
      <c r="K2899" s="27"/>
      <c r="L2899" s="27"/>
      <c r="M2899" s="27"/>
      <c r="N2899" s="27"/>
      <c r="O2899" s="24" t="str">
        <f aca="false">IF(G2899="","",VLOOKUP(G2899,Setup!$A$14:$C$17,3,0))</f>
        <v/>
      </c>
      <c r="P2899" s="27"/>
      <c r="Q2899" s="29" t="str">
        <f aca="false">IF(OR(P2899="",M2899&lt;&gt;"Paid",O2899=""),"",P2899/O2899)</f>
        <v/>
      </c>
      <c r="R2899" s="30" t="str">
        <f aca="false">IF(Q2899="","",Q2899+N(H2899)*0.000000001)</f>
        <v/>
      </c>
      <c r="S2899" s="25" t="str">
        <f aca="false">IF(R2899="","",SUMPRODUCT((I$5:I$4004=I2899)*ISNUMBER(R$5:R$4004)*(R$5:R$4004&gt;R2899))+1)</f>
        <v/>
      </c>
      <c r="T2899" s="25" t="str">
        <f aca="false">IF(S2899="","",IF(S2899&lt;=Setup!$B$5,"🏆 WINNER",""))</f>
        <v/>
      </c>
      <c r="U2899" s="24" t="str">
        <f aca="false">IF(S2899="","",I2899&amp;"|"&amp;S2899)</f>
        <v/>
      </c>
    </row>
    <row r="2900" customFormat="false" ht="15" hidden="false" customHeight="false" outlineLevel="0" collapsed="false">
      <c r="A2900" s="31" t="n">
        <v>2896</v>
      </c>
      <c r="B2900" s="32" t="str">
        <f aca="false">IF(OR(C2900="",I2900="",G2900=""),"",IFERROR(VLOOKUP(I2900,Setup!$A$9:$B$11,2,0),"???")&amp;"-"&amp;G2900&amp;"-"&amp;TEXT(COUNTIFS(I$5:I2900,I2900,G$5:G2900,G2900),"0000"))</f>
        <v/>
      </c>
      <c r="C2900" s="26"/>
      <c r="D2900" s="26"/>
      <c r="E2900" s="27"/>
      <c r="F2900" s="27"/>
      <c r="G2900" s="31" t="str">
        <f aca="false">IF(F2900="","",IF(F2900&lt;=5,"A",IF(F2900&lt;=8,"B",IF(F2900&lt;=10,"C","D"))))</f>
        <v/>
      </c>
      <c r="H2900" s="28"/>
      <c r="I2900" s="27"/>
      <c r="J2900" s="26"/>
      <c r="K2900" s="27"/>
      <c r="L2900" s="27"/>
      <c r="M2900" s="27"/>
      <c r="N2900" s="27"/>
      <c r="O2900" s="31" t="str">
        <f aca="false">IF(G2900="","",VLOOKUP(G2900,Setup!$A$14:$C$17,3,0))</f>
        <v/>
      </c>
      <c r="P2900" s="27"/>
      <c r="Q2900" s="33" t="str">
        <f aca="false">IF(OR(P2900="",M2900&lt;&gt;"Paid",O2900=""),"",P2900/O2900)</f>
        <v/>
      </c>
      <c r="R2900" s="34" t="str">
        <f aca="false">IF(Q2900="","",Q2900+N(H2900)*0.000000001)</f>
        <v/>
      </c>
      <c r="S2900" s="32" t="str">
        <f aca="false">IF(R2900="","",SUMPRODUCT((I$5:I$4004=I2900)*ISNUMBER(R$5:R$4004)*(R$5:R$4004&gt;R2900))+1)</f>
        <v/>
      </c>
      <c r="T2900" s="32" t="str">
        <f aca="false">IF(S2900="","",IF(S2900&lt;=Setup!$B$5,"🏆 WINNER",""))</f>
        <v/>
      </c>
      <c r="U2900" s="31" t="str">
        <f aca="false">IF(S2900="","",I2900&amp;"|"&amp;S2900)</f>
        <v/>
      </c>
    </row>
    <row r="2901" customFormat="false" ht="15" hidden="false" customHeight="false" outlineLevel="0" collapsed="false">
      <c r="A2901" s="24" t="n">
        <v>2897</v>
      </c>
      <c r="B2901" s="25" t="str">
        <f aca="false">IF(OR(C2901="",I2901="",G2901=""),"",IFERROR(VLOOKUP(I2901,Setup!$A$9:$B$11,2,0),"???")&amp;"-"&amp;G2901&amp;"-"&amp;TEXT(COUNTIFS(I$5:I2901,I2901,G$5:G2901,G2901),"0000"))</f>
        <v/>
      </c>
      <c r="C2901" s="26"/>
      <c r="D2901" s="26"/>
      <c r="E2901" s="27"/>
      <c r="F2901" s="27"/>
      <c r="G2901" s="24" t="str">
        <f aca="false">IF(F2901="","",IF(F2901&lt;=5,"A",IF(F2901&lt;=8,"B",IF(F2901&lt;=10,"C","D"))))</f>
        <v/>
      </c>
      <c r="H2901" s="28"/>
      <c r="I2901" s="27"/>
      <c r="J2901" s="26"/>
      <c r="K2901" s="27"/>
      <c r="L2901" s="27"/>
      <c r="M2901" s="27"/>
      <c r="N2901" s="27"/>
      <c r="O2901" s="24" t="str">
        <f aca="false">IF(G2901="","",VLOOKUP(G2901,Setup!$A$14:$C$17,3,0))</f>
        <v/>
      </c>
      <c r="P2901" s="27"/>
      <c r="Q2901" s="29" t="str">
        <f aca="false">IF(OR(P2901="",M2901&lt;&gt;"Paid",O2901=""),"",P2901/O2901)</f>
        <v/>
      </c>
      <c r="R2901" s="30" t="str">
        <f aca="false">IF(Q2901="","",Q2901+N(H2901)*0.000000001)</f>
        <v/>
      </c>
      <c r="S2901" s="25" t="str">
        <f aca="false">IF(R2901="","",SUMPRODUCT((I$5:I$4004=I2901)*ISNUMBER(R$5:R$4004)*(R$5:R$4004&gt;R2901))+1)</f>
        <v/>
      </c>
      <c r="T2901" s="25" t="str">
        <f aca="false">IF(S2901="","",IF(S2901&lt;=Setup!$B$5,"🏆 WINNER",""))</f>
        <v/>
      </c>
      <c r="U2901" s="24" t="str">
        <f aca="false">IF(S2901="","",I2901&amp;"|"&amp;S2901)</f>
        <v/>
      </c>
    </row>
    <row r="2902" customFormat="false" ht="15" hidden="false" customHeight="false" outlineLevel="0" collapsed="false">
      <c r="A2902" s="31" t="n">
        <v>2898</v>
      </c>
      <c r="B2902" s="32" t="str">
        <f aca="false">IF(OR(C2902="",I2902="",G2902=""),"",IFERROR(VLOOKUP(I2902,Setup!$A$9:$B$11,2,0),"???")&amp;"-"&amp;G2902&amp;"-"&amp;TEXT(COUNTIFS(I$5:I2902,I2902,G$5:G2902,G2902),"0000"))</f>
        <v/>
      </c>
      <c r="C2902" s="26"/>
      <c r="D2902" s="26"/>
      <c r="E2902" s="27"/>
      <c r="F2902" s="27"/>
      <c r="G2902" s="31" t="str">
        <f aca="false">IF(F2902="","",IF(F2902&lt;=5,"A",IF(F2902&lt;=8,"B",IF(F2902&lt;=10,"C","D"))))</f>
        <v/>
      </c>
      <c r="H2902" s="28"/>
      <c r="I2902" s="27"/>
      <c r="J2902" s="26"/>
      <c r="K2902" s="27"/>
      <c r="L2902" s="27"/>
      <c r="M2902" s="27"/>
      <c r="N2902" s="27"/>
      <c r="O2902" s="31" t="str">
        <f aca="false">IF(G2902="","",VLOOKUP(G2902,Setup!$A$14:$C$17,3,0))</f>
        <v/>
      </c>
      <c r="P2902" s="27"/>
      <c r="Q2902" s="33" t="str">
        <f aca="false">IF(OR(P2902="",M2902&lt;&gt;"Paid",O2902=""),"",P2902/O2902)</f>
        <v/>
      </c>
      <c r="R2902" s="34" t="str">
        <f aca="false">IF(Q2902="","",Q2902+N(H2902)*0.000000001)</f>
        <v/>
      </c>
      <c r="S2902" s="32" t="str">
        <f aca="false">IF(R2902="","",SUMPRODUCT((I$5:I$4004=I2902)*ISNUMBER(R$5:R$4004)*(R$5:R$4004&gt;R2902))+1)</f>
        <v/>
      </c>
      <c r="T2902" s="32" t="str">
        <f aca="false">IF(S2902="","",IF(S2902&lt;=Setup!$B$5,"🏆 WINNER",""))</f>
        <v/>
      </c>
      <c r="U2902" s="31" t="str">
        <f aca="false">IF(S2902="","",I2902&amp;"|"&amp;S2902)</f>
        <v/>
      </c>
    </row>
    <row r="2903" customFormat="false" ht="15" hidden="false" customHeight="false" outlineLevel="0" collapsed="false">
      <c r="A2903" s="24" t="n">
        <v>2899</v>
      </c>
      <c r="B2903" s="25" t="str">
        <f aca="false">IF(OR(C2903="",I2903="",G2903=""),"",IFERROR(VLOOKUP(I2903,Setup!$A$9:$B$11,2,0),"???")&amp;"-"&amp;G2903&amp;"-"&amp;TEXT(COUNTIFS(I$5:I2903,I2903,G$5:G2903,G2903),"0000"))</f>
        <v/>
      </c>
      <c r="C2903" s="26"/>
      <c r="D2903" s="26"/>
      <c r="E2903" s="27"/>
      <c r="F2903" s="27"/>
      <c r="G2903" s="24" t="str">
        <f aca="false">IF(F2903="","",IF(F2903&lt;=5,"A",IF(F2903&lt;=8,"B",IF(F2903&lt;=10,"C","D"))))</f>
        <v/>
      </c>
      <c r="H2903" s="28"/>
      <c r="I2903" s="27"/>
      <c r="J2903" s="26"/>
      <c r="K2903" s="27"/>
      <c r="L2903" s="27"/>
      <c r="M2903" s="27"/>
      <c r="N2903" s="27"/>
      <c r="O2903" s="24" t="str">
        <f aca="false">IF(G2903="","",VLOOKUP(G2903,Setup!$A$14:$C$17,3,0))</f>
        <v/>
      </c>
      <c r="P2903" s="27"/>
      <c r="Q2903" s="29" t="str">
        <f aca="false">IF(OR(P2903="",M2903&lt;&gt;"Paid",O2903=""),"",P2903/O2903)</f>
        <v/>
      </c>
      <c r="R2903" s="30" t="str">
        <f aca="false">IF(Q2903="","",Q2903+N(H2903)*0.000000001)</f>
        <v/>
      </c>
      <c r="S2903" s="25" t="str">
        <f aca="false">IF(R2903="","",SUMPRODUCT((I$5:I$4004=I2903)*ISNUMBER(R$5:R$4004)*(R$5:R$4004&gt;R2903))+1)</f>
        <v/>
      </c>
      <c r="T2903" s="25" t="str">
        <f aca="false">IF(S2903="","",IF(S2903&lt;=Setup!$B$5,"🏆 WINNER",""))</f>
        <v/>
      </c>
      <c r="U2903" s="24" t="str">
        <f aca="false">IF(S2903="","",I2903&amp;"|"&amp;S2903)</f>
        <v/>
      </c>
    </row>
    <row r="2904" customFormat="false" ht="15" hidden="false" customHeight="false" outlineLevel="0" collapsed="false">
      <c r="A2904" s="31" t="n">
        <v>2900</v>
      </c>
      <c r="B2904" s="32" t="str">
        <f aca="false">IF(OR(C2904="",I2904="",G2904=""),"",IFERROR(VLOOKUP(I2904,Setup!$A$9:$B$11,2,0),"???")&amp;"-"&amp;G2904&amp;"-"&amp;TEXT(COUNTIFS(I$5:I2904,I2904,G$5:G2904,G2904),"0000"))</f>
        <v/>
      </c>
      <c r="C2904" s="26"/>
      <c r="D2904" s="26"/>
      <c r="E2904" s="27"/>
      <c r="F2904" s="27"/>
      <c r="G2904" s="31" t="str">
        <f aca="false">IF(F2904="","",IF(F2904&lt;=5,"A",IF(F2904&lt;=8,"B",IF(F2904&lt;=10,"C","D"))))</f>
        <v/>
      </c>
      <c r="H2904" s="28"/>
      <c r="I2904" s="27"/>
      <c r="J2904" s="26"/>
      <c r="K2904" s="27"/>
      <c r="L2904" s="27"/>
      <c r="M2904" s="27"/>
      <c r="N2904" s="27"/>
      <c r="O2904" s="31" t="str">
        <f aca="false">IF(G2904="","",VLOOKUP(G2904,Setup!$A$14:$C$17,3,0))</f>
        <v/>
      </c>
      <c r="P2904" s="27"/>
      <c r="Q2904" s="33" t="str">
        <f aca="false">IF(OR(P2904="",M2904&lt;&gt;"Paid",O2904=""),"",P2904/O2904)</f>
        <v/>
      </c>
      <c r="R2904" s="34" t="str">
        <f aca="false">IF(Q2904="","",Q2904+N(H2904)*0.000000001)</f>
        <v/>
      </c>
      <c r="S2904" s="32" t="str">
        <f aca="false">IF(R2904="","",SUMPRODUCT((I$5:I$4004=I2904)*ISNUMBER(R$5:R$4004)*(R$5:R$4004&gt;R2904))+1)</f>
        <v/>
      </c>
      <c r="T2904" s="32" t="str">
        <f aca="false">IF(S2904="","",IF(S2904&lt;=Setup!$B$5,"🏆 WINNER",""))</f>
        <v/>
      </c>
      <c r="U2904" s="31" t="str">
        <f aca="false">IF(S2904="","",I2904&amp;"|"&amp;S2904)</f>
        <v/>
      </c>
    </row>
    <row r="2905" customFormat="false" ht="15" hidden="false" customHeight="false" outlineLevel="0" collapsed="false">
      <c r="A2905" s="24" t="n">
        <v>2901</v>
      </c>
      <c r="B2905" s="25" t="str">
        <f aca="false">IF(OR(C2905="",I2905="",G2905=""),"",IFERROR(VLOOKUP(I2905,Setup!$A$9:$B$11,2,0),"???")&amp;"-"&amp;G2905&amp;"-"&amp;TEXT(COUNTIFS(I$5:I2905,I2905,G$5:G2905,G2905),"0000"))</f>
        <v/>
      </c>
      <c r="C2905" s="26"/>
      <c r="D2905" s="26"/>
      <c r="E2905" s="27"/>
      <c r="F2905" s="27"/>
      <c r="G2905" s="24" t="str">
        <f aca="false">IF(F2905="","",IF(F2905&lt;=5,"A",IF(F2905&lt;=8,"B",IF(F2905&lt;=10,"C","D"))))</f>
        <v/>
      </c>
      <c r="H2905" s="28"/>
      <c r="I2905" s="27"/>
      <c r="J2905" s="26"/>
      <c r="K2905" s="27"/>
      <c r="L2905" s="27"/>
      <c r="M2905" s="27"/>
      <c r="N2905" s="27"/>
      <c r="O2905" s="24" t="str">
        <f aca="false">IF(G2905="","",VLOOKUP(G2905,Setup!$A$14:$C$17,3,0))</f>
        <v/>
      </c>
      <c r="P2905" s="27"/>
      <c r="Q2905" s="29" t="str">
        <f aca="false">IF(OR(P2905="",M2905&lt;&gt;"Paid",O2905=""),"",P2905/O2905)</f>
        <v/>
      </c>
      <c r="R2905" s="30" t="str">
        <f aca="false">IF(Q2905="","",Q2905+N(H2905)*0.000000001)</f>
        <v/>
      </c>
      <c r="S2905" s="25" t="str">
        <f aca="false">IF(R2905="","",SUMPRODUCT((I$5:I$4004=I2905)*ISNUMBER(R$5:R$4004)*(R$5:R$4004&gt;R2905))+1)</f>
        <v/>
      </c>
      <c r="T2905" s="25" t="str">
        <f aca="false">IF(S2905="","",IF(S2905&lt;=Setup!$B$5,"🏆 WINNER",""))</f>
        <v/>
      </c>
      <c r="U2905" s="24" t="str">
        <f aca="false">IF(S2905="","",I2905&amp;"|"&amp;S2905)</f>
        <v/>
      </c>
    </row>
    <row r="2906" customFormat="false" ht="15" hidden="false" customHeight="false" outlineLevel="0" collapsed="false">
      <c r="A2906" s="31" t="n">
        <v>2902</v>
      </c>
      <c r="B2906" s="32" t="str">
        <f aca="false">IF(OR(C2906="",I2906="",G2906=""),"",IFERROR(VLOOKUP(I2906,Setup!$A$9:$B$11,2,0),"???")&amp;"-"&amp;G2906&amp;"-"&amp;TEXT(COUNTIFS(I$5:I2906,I2906,G$5:G2906,G2906),"0000"))</f>
        <v/>
      </c>
      <c r="C2906" s="26"/>
      <c r="D2906" s="26"/>
      <c r="E2906" s="27"/>
      <c r="F2906" s="27"/>
      <c r="G2906" s="31" t="str">
        <f aca="false">IF(F2906="","",IF(F2906&lt;=5,"A",IF(F2906&lt;=8,"B",IF(F2906&lt;=10,"C","D"))))</f>
        <v/>
      </c>
      <c r="H2906" s="28"/>
      <c r="I2906" s="27"/>
      <c r="J2906" s="26"/>
      <c r="K2906" s="27"/>
      <c r="L2906" s="27"/>
      <c r="M2906" s="27"/>
      <c r="N2906" s="27"/>
      <c r="O2906" s="31" t="str">
        <f aca="false">IF(G2906="","",VLOOKUP(G2906,Setup!$A$14:$C$17,3,0))</f>
        <v/>
      </c>
      <c r="P2906" s="27"/>
      <c r="Q2906" s="33" t="str">
        <f aca="false">IF(OR(P2906="",M2906&lt;&gt;"Paid",O2906=""),"",P2906/O2906)</f>
        <v/>
      </c>
      <c r="R2906" s="34" t="str">
        <f aca="false">IF(Q2906="","",Q2906+N(H2906)*0.000000001)</f>
        <v/>
      </c>
      <c r="S2906" s="32" t="str">
        <f aca="false">IF(R2906="","",SUMPRODUCT((I$5:I$4004=I2906)*ISNUMBER(R$5:R$4004)*(R$5:R$4004&gt;R2906))+1)</f>
        <v/>
      </c>
      <c r="T2906" s="32" t="str">
        <f aca="false">IF(S2906="","",IF(S2906&lt;=Setup!$B$5,"🏆 WINNER",""))</f>
        <v/>
      </c>
      <c r="U2906" s="31" t="str">
        <f aca="false">IF(S2906="","",I2906&amp;"|"&amp;S2906)</f>
        <v/>
      </c>
    </row>
    <row r="2907" customFormat="false" ht="15" hidden="false" customHeight="false" outlineLevel="0" collapsed="false">
      <c r="A2907" s="24" t="n">
        <v>2903</v>
      </c>
      <c r="B2907" s="25" t="str">
        <f aca="false">IF(OR(C2907="",I2907="",G2907=""),"",IFERROR(VLOOKUP(I2907,Setup!$A$9:$B$11,2,0),"???")&amp;"-"&amp;G2907&amp;"-"&amp;TEXT(COUNTIFS(I$5:I2907,I2907,G$5:G2907,G2907),"0000"))</f>
        <v/>
      </c>
      <c r="C2907" s="26"/>
      <c r="D2907" s="26"/>
      <c r="E2907" s="27"/>
      <c r="F2907" s="27"/>
      <c r="G2907" s="24" t="str">
        <f aca="false">IF(F2907="","",IF(F2907&lt;=5,"A",IF(F2907&lt;=8,"B",IF(F2907&lt;=10,"C","D"))))</f>
        <v/>
      </c>
      <c r="H2907" s="28"/>
      <c r="I2907" s="27"/>
      <c r="J2907" s="26"/>
      <c r="K2907" s="27"/>
      <c r="L2907" s="27"/>
      <c r="M2907" s="27"/>
      <c r="N2907" s="27"/>
      <c r="O2907" s="24" t="str">
        <f aca="false">IF(G2907="","",VLOOKUP(G2907,Setup!$A$14:$C$17,3,0))</f>
        <v/>
      </c>
      <c r="P2907" s="27"/>
      <c r="Q2907" s="29" t="str">
        <f aca="false">IF(OR(P2907="",M2907&lt;&gt;"Paid",O2907=""),"",P2907/O2907)</f>
        <v/>
      </c>
      <c r="R2907" s="30" t="str">
        <f aca="false">IF(Q2907="","",Q2907+N(H2907)*0.000000001)</f>
        <v/>
      </c>
      <c r="S2907" s="25" t="str">
        <f aca="false">IF(R2907="","",SUMPRODUCT((I$5:I$4004=I2907)*ISNUMBER(R$5:R$4004)*(R$5:R$4004&gt;R2907))+1)</f>
        <v/>
      </c>
      <c r="T2907" s="25" t="str">
        <f aca="false">IF(S2907="","",IF(S2907&lt;=Setup!$B$5,"🏆 WINNER",""))</f>
        <v/>
      </c>
      <c r="U2907" s="24" t="str">
        <f aca="false">IF(S2907="","",I2907&amp;"|"&amp;S2907)</f>
        <v/>
      </c>
    </row>
    <row r="2908" customFormat="false" ht="15" hidden="false" customHeight="false" outlineLevel="0" collapsed="false">
      <c r="A2908" s="31" t="n">
        <v>2904</v>
      </c>
      <c r="B2908" s="32" t="str">
        <f aca="false">IF(OR(C2908="",I2908="",G2908=""),"",IFERROR(VLOOKUP(I2908,Setup!$A$9:$B$11,2,0),"???")&amp;"-"&amp;G2908&amp;"-"&amp;TEXT(COUNTIFS(I$5:I2908,I2908,G$5:G2908,G2908),"0000"))</f>
        <v/>
      </c>
      <c r="C2908" s="26"/>
      <c r="D2908" s="26"/>
      <c r="E2908" s="27"/>
      <c r="F2908" s="27"/>
      <c r="G2908" s="31" t="str">
        <f aca="false">IF(F2908="","",IF(F2908&lt;=5,"A",IF(F2908&lt;=8,"B",IF(F2908&lt;=10,"C","D"))))</f>
        <v/>
      </c>
      <c r="H2908" s="28"/>
      <c r="I2908" s="27"/>
      <c r="J2908" s="26"/>
      <c r="K2908" s="27"/>
      <c r="L2908" s="27"/>
      <c r="M2908" s="27"/>
      <c r="N2908" s="27"/>
      <c r="O2908" s="31" t="str">
        <f aca="false">IF(G2908="","",VLOOKUP(G2908,Setup!$A$14:$C$17,3,0))</f>
        <v/>
      </c>
      <c r="P2908" s="27"/>
      <c r="Q2908" s="33" t="str">
        <f aca="false">IF(OR(P2908="",M2908&lt;&gt;"Paid",O2908=""),"",P2908/O2908)</f>
        <v/>
      </c>
      <c r="R2908" s="34" t="str">
        <f aca="false">IF(Q2908="","",Q2908+N(H2908)*0.000000001)</f>
        <v/>
      </c>
      <c r="S2908" s="32" t="str">
        <f aca="false">IF(R2908="","",SUMPRODUCT((I$5:I$4004=I2908)*ISNUMBER(R$5:R$4004)*(R$5:R$4004&gt;R2908))+1)</f>
        <v/>
      </c>
      <c r="T2908" s="32" t="str">
        <f aca="false">IF(S2908="","",IF(S2908&lt;=Setup!$B$5,"🏆 WINNER",""))</f>
        <v/>
      </c>
      <c r="U2908" s="31" t="str">
        <f aca="false">IF(S2908="","",I2908&amp;"|"&amp;S2908)</f>
        <v/>
      </c>
    </row>
    <row r="2909" customFormat="false" ht="15" hidden="false" customHeight="false" outlineLevel="0" collapsed="false">
      <c r="A2909" s="24" t="n">
        <v>2905</v>
      </c>
      <c r="B2909" s="25" t="str">
        <f aca="false">IF(OR(C2909="",I2909="",G2909=""),"",IFERROR(VLOOKUP(I2909,Setup!$A$9:$B$11,2,0),"???")&amp;"-"&amp;G2909&amp;"-"&amp;TEXT(COUNTIFS(I$5:I2909,I2909,G$5:G2909,G2909),"0000"))</f>
        <v/>
      </c>
      <c r="C2909" s="26"/>
      <c r="D2909" s="26"/>
      <c r="E2909" s="27"/>
      <c r="F2909" s="27"/>
      <c r="G2909" s="24" t="str">
        <f aca="false">IF(F2909="","",IF(F2909&lt;=5,"A",IF(F2909&lt;=8,"B",IF(F2909&lt;=10,"C","D"))))</f>
        <v/>
      </c>
      <c r="H2909" s="28"/>
      <c r="I2909" s="27"/>
      <c r="J2909" s="26"/>
      <c r="K2909" s="27"/>
      <c r="L2909" s="27"/>
      <c r="M2909" s="27"/>
      <c r="N2909" s="27"/>
      <c r="O2909" s="24" t="str">
        <f aca="false">IF(G2909="","",VLOOKUP(G2909,Setup!$A$14:$C$17,3,0))</f>
        <v/>
      </c>
      <c r="P2909" s="27"/>
      <c r="Q2909" s="29" t="str">
        <f aca="false">IF(OR(P2909="",M2909&lt;&gt;"Paid",O2909=""),"",P2909/O2909)</f>
        <v/>
      </c>
      <c r="R2909" s="30" t="str">
        <f aca="false">IF(Q2909="","",Q2909+N(H2909)*0.000000001)</f>
        <v/>
      </c>
      <c r="S2909" s="25" t="str">
        <f aca="false">IF(R2909="","",SUMPRODUCT((I$5:I$4004=I2909)*ISNUMBER(R$5:R$4004)*(R$5:R$4004&gt;R2909))+1)</f>
        <v/>
      </c>
      <c r="T2909" s="25" t="str">
        <f aca="false">IF(S2909="","",IF(S2909&lt;=Setup!$B$5,"🏆 WINNER",""))</f>
        <v/>
      </c>
      <c r="U2909" s="24" t="str">
        <f aca="false">IF(S2909="","",I2909&amp;"|"&amp;S2909)</f>
        <v/>
      </c>
    </row>
    <row r="2910" customFormat="false" ht="15" hidden="false" customHeight="false" outlineLevel="0" collapsed="false">
      <c r="A2910" s="31" t="n">
        <v>2906</v>
      </c>
      <c r="B2910" s="32" t="str">
        <f aca="false">IF(OR(C2910="",I2910="",G2910=""),"",IFERROR(VLOOKUP(I2910,Setup!$A$9:$B$11,2,0),"???")&amp;"-"&amp;G2910&amp;"-"&amp;TEXT(COUNTIFS(I$5:I2910,I2910,G$5:G2910,G2910),"0000"))</f>
        <v/>
      </c>
      <c r="C2910" s="26"/>
      <c r="D2910" s="26"/>
      <c r="E2910" s="27"/>
      <c r="F2910" s="27"/>
      <c r="G2910" s="31" t="str">
        <f aca="false">IF(F2910="","",IF(F2910&lt;=5,"A",IF(F2910&lt;=8,"B",IF(F2910&lt;=10,"C","D"))))</f>
        <v/>
      </c>
      <c r="H2910" s="28"/>
      <c r="I2910" s="27"/>
      <c r="J2910" s="26"/>
      <c r="K2910" s="27"/>
      <c r="L2910" s="27"/>
      <c r="M2910" s="27"/>
      <c r="N2910" s="27"/>
      <c r="O2910" s="31" t="str">
        <f aca="false">IF(G2910="","",VLOOKUP(G2910,Setup!$A$14:$C$17,3,0))</f>
        <v/>
      </c>
      <c r="P2910" s="27"/>
      <c r="Q2910" s="33" t="str">
        <f aca="false">IF(OR(P2910="",M2910&lt;&gt;"Paid",O2910=""),"",P2910/O2910)</f>
        <v/>
      </c>
      <c r="R2910" s="34" t="str">
        <f aca="false">IF(Q2910="","",Q2910+N(H2910)*0.000000001)</f>
        <v/>
      </c>
      <c r="S2910" s="32" t="str">
        <f aca="false">IF(R2910="","",SUMPRODUCT((I$5:I$4004=I2910)*ISNUMBER(R$5:R$4004)*(R$5:R$4004&gt;R2910))+1)</f>
        <v/>
      </c>
      <c r="T2910" s="32" t="str">
        <f aca="false">IF(S2910="","",IF(S2910&lt;=Setup!$B$5,"🏆 WINNER",""))</f>
        <v/>
      </c>
      <c r="U2910" s="31" t="str">
        <f aca="false">IF(S2910="","",I2910&amp;"|"&amp;S2910)</f>
        <v/>
      </c>
    </row>
    <row r="2911" customFormat="false" ht="15" hidden="false" customHeight="false" outlineLevel="0" collapsed="false">
      <c r="A2911" s="24" t="n">
        <v>2907</v>
      </c>
      <c r="B2911" s="25" t="str">
        <f aca="false">IF(OR(C2911="",I2911="",G2911=""),"",IFERROR(VLOOKUP(I2911,Setup!$A$9:$B$11,2,0),"???")&amp;"-"&amp;G2911&amp;"-"&amp;TEXT(COUNTIFS(I$5:I2911,I2911,G$5:G2911,G2911),"0000"))</f>
        <v/>
      </c>
      <c r="C2911" s="26"/>
      <c r="D2911" s="26"/>
      <c r="E2911" s="27"/>
      <c r="F2911" s="27"/>
      <c r="G2911" s="24" t="str">
        <f aca="false">IF(F2911="","",IF(F2911&lt;=5,"A",IF(F2911&lt;=8,"B",IF(F2911&lt;=10,"C","D"))))</f>
        <v/>
      </c>
      <c r="H2911" s="28"/>
      <c r="I2911" s="27"/>
      <c r="J2911" s="26"/>
      <c r="K2911" s="27"/>
      <c r="L2911" s="27"/>
      <c r="M2911" s="27"/>
      <c r="N2911" s="27"/>
      <c r="O2911" s="24" t="str">
        <f aca="false">IF(G2911="","",VLOOKUP(G2911,Setup!$A$14:$C$17,3,0))</f>
        <v/>
      </c>
      <c r="P2911" s="27"/>
      <c r="Q2911" s="29" t="str">
        <f aca="false">IF(OR(P2911="",M2911&lt;&gt;"Paid",O2911=""),"",P2911/O2911)</f>
        <v/>
      </c>
      <c r="R2911" s="30" t="str">
        <f aca="false">IF(Q2911="","",Q2911+N(H2911)*0.000000001)</f>
        <v/>
      </c>
      <c r="S2911" s="25" t="str">
        <f aca="false">IF(R2911="","",SUMPRODUCT((I$5:I$4004=I2911)*ISNUMBER(R$5:R$4004)*(R$5:R$4004&gt;R2911))+1)</f>
        <v/>
      </c>
      <c r="T2911" s="25" t="str">
        <f aca="false">IF(S2911="","",IF(S2911&lt;=Setup!$B$5,"🏆 WINNER",""))</f>
        <v/>
      </c>
      <c r="U2911" s="24" t="str">
        <f aca="false">IF(S2911="","",I2911&amp;"|"&amp;S2911)</f>
        <v/>
      </c>
    </row>
    <row r="2912" customFormat="false" ht="15" hidden="false" customHeight="false" outlineLevel="0" collapsed="false">
      <c r="A2912" s="31" t="n">
        <v>2908</v>
      </c>
      <c r="B2912" s="32" t="str">
        <f aca="false">IF(OR(C2912="",I2912="",G2912=""),"",IFERROR(VLOOKUP(I2912,Setup!$A$9:$B$11,2,0),"???")&amp;"-"&amp;G2912&amp;"-"&amp;TEXT(COUNTIFS(I$5:I2912,I2912,G$5:G2912,G2912),"0000"))</f>
        <v/>
      </c>
      <c r="C2912" s="26"/>
      <c r="D2912" s="26"/>
      <c r="E2912" s="27"/>
      <c r="F2912" s="27"/>
      <c r="G2912" s="31" t="str">
        <f aca="false">IF(F2912="","",IF(F2912&lt;=5,"A",IF(F2912&lt;=8,"B",IF(F2912&lt;=10,"C","D"))))</f>
        <v/>
      </c>
      <c r="H2912" s="28"/>
      <c r="I2912" s="27"/>
      <c r="J2912" s="26"/>
      <c r="K2912" s="27"/>
      <c r="L2912" s="27"/>
      <c r="M2912" s="27"/>
      <c r="N2912" s="27"/>
      <c r="O2912" s="31" t="str">
        <f aca="false">IF(G2912="","",VLOOKUP(G2912,Setup!$A$14:$C$17,3,0))</f>
        <v/>
      </c>
      <c r="P2912" s="27"/>
      <c r="Q2912" s="33" t="str">
        <f aca="false">IF(OR(P2912="",M2912&lt;&gt;"Paid",O2912=""),"",P2912/O2912)</f>
        <v/>
      </c>
      <c r="R2912" s="34" t="str">
        <f aca="false">IF(Q2912="","",Q2912+N(H2912)*0.000000001)</f>
        <v/>
      </c>
      <c r="S2912" s="32" t="str">
        <f aca="false">IF(R2912="","",SUMPRODUCT((I$5:I$4004=I2912)*ISNUMBER(R$5:R$4004)*(R$5:R$4004&gt;R2912))+1)</f>
        <v/>
      </c>
      <c r="T2912" s="32" t="str">
        <f aca="false">IF(S2912="","",IF(S2912&lt;=Setup!$B$5,"🏆 WINNER",""))</f>
        <v/>
      </c>
      <c r="U2912" s="31" t="str">
        <f aca="false">IF(S2912="","",I2912&amp;"|"&amp;S2912)</f>
        <v/>
      </c>
    </row>
    <row r="2913" customFormat="false" ht="15" hidden="false" customHeight="false" outlineLevel="0" collapsed="false">
      <c r="A2913" s="24" t="n">
        <v>2909</v>
      </c>
      <c r="B2913" s="25" t="str">
        <f aca="false">IF(OR(C2913="",I2913="",G2913=""),"",IFERROR(VLOOKUP(I2913,Setup!$A$9:$B$11,2,0),"???")&amp;"-"&amp;G2913&amp;"-"&amp;TEXT(COUNTIFS(I$5:I2913,I2913,G$5:G2913,G2913),"0000"))</f>
        <v/>
      </c>
      <c r="C2913" s="26"/>
      <c r="D2913" s="26"/>
      <c r="E2913" s="27"/>
      <c r="F2913" s="27"/>
      <c r="G2913" s="24" t="str">
        <f aca="false">IF(F2913="","",IF(F2913&lt;=5,"A",IF(F2913&lt;=8,"B",IF(F2913&lt;=10,"C","D"))))</f>
        <v/>
      </c>
      <c r="H2913" s="28"/>
      <c r="I2913" s="27"/>
      <c r="J2913" s="26"/>
      <c r="K2913" s="27"/>
      <c r="L2913" s="27"/>
      <c r="M2913" s="27"/>
      <c r="N2913" s="27"/>
      <c r="O2913" s="24" t="str">
        <f aca="false">IF(G2913="","",VLOOKUP(G2913,Setup!$A$14:$C$17,3,0))</f>
        <v/>
      </c>
      <c r="P2913" s="27"/>
      <c r="Q2913" s="29" t="str">
        <f aca="false">IF(OR(P2913="",M2913&lt;&gt;"Paid",O2913=""),"",P2913/O2913)</f>
        <v/>
      </c>
      <c r="R2913" s="30" t="str">
        <f aca="false">IF(Q2913="","",Q2913+N(H2913)*0.000000001)</f>
        <v/>
      </c>
      <c r="S2913" s="25" t="str">
        <f aca="false">IF(R2913="","",SUMPRODUCT((I$5:I$4004=I2913)*ISNUMBER(R$5:R$4004)*(R$5:R$4004&gt;R2913))+1)</f>
        <v/>
      </c>
      <c r="T2913" s="25" t="str">
        <f aca="false">IF(S2913="","",IF(S2913&lt;=Setup!$B$5,"🏆 WINNER",""))</f>
        <v/>
      </c>
      <c r="U2913" s="24" t="str">
        <f aca="false">IF(S2913="","",I2913&amp;"|"&amp;S2913)</f>
        <v/>
      </c>
    </row>
    <row r="2914" customFormat="false" ht="15" hidden="false" customHeight="false" outlineLevel="0" collapsed="false">
      <c r="A2914" s="31" t="n">
        <v>2910</v>
      </c>
      <c r="B2914" s="32" t="str">
        <f aca="false">IF(OR(C2914="",I2914="",G2914=""),"",IFERROR(VLOOKUP(I2914,Setup!$A$9:$B$11,2,0),"???")&amp;"-"&amp;G2914&amp;"-"&amp;TEXT(COUNTIFS(I$5:I2914,I2914,G$5:G2914,G2914),"0000"))</f>
        <v/>
      </c>
      <c r="C2914" s="26"/>
      <c r="D2914" s="26"/>
      <c r="E2914" s="27"/>
      <c r="F2914" s="27"/>
      <c r="G2914" s="31" t="str">
        <f aca="false">IF(F2914="","",IF(F2914&lt;=5,"A",IF(F2914&lt;=8,"B",IF(F2914&lt;=10,"C","D"))))</f>
        <v/>
      </c>
      <c r="H2914" s="28"/>
      <c r="I2914" s="27"/>
      <c r="J2914" s="26"/>
      <c r="K2914" s="27"/>
      <c r="L2914" s="27"/>
      <c r="M2914" s="27"/>
      <c r="N2914" s="27"/>
      <c r="O2914" s="31" t="str">
        <f aca="false">IF(G2914="","",VLOOKUP(G2914,Setup!$A$14:$C$17,3,0))</f>
        <v/>
      </c>
      <c r="P2914" s="27"/>
      <c r="Q2914" s="33" t="str">
        <f aca="false">IF(OR(P2914="",M2914&lt;&gt;"Paid",O2914=""),"",P2914/O2914)</f>
        <v/>
      </c>
      <c r="R2914" s="34" t="str">
        <f aca="false">IF(Q2914="","",Q2914+N(H2914)*0.000000001)</f>
        <v/>
      </c>
      <c r="S2914" s="32" t="str">
        <f aca="false">IF(R2914="","",SUMPRODUCT((I$5:I$4004=I2914)*ISNUMBER(R$5:R$4004)*(R$5:R$4004&gt;R2914))+1)</f>
        <v/>
      </c>
      <c r="T2914" s="32" t="str">
        <f aca="false">IF(S2914="","",IF(S2914&lt;=Setup!$B$5,"🏆 WINNER",""))</f>
        <v/>
      </c>
      <c r="U2914" s="31" t="str">
        <f aca="false">IF(S2914="","",I2914&amp;"|"&amp;S2914)</f>
        <v/>
      </c>
    </row>
    <row r="2915" customFormat="false" ht="15" hidden="false" customHeight="false" outlineLevel="0" collapsed="false">
      <c r="A2915" s="24" t="n">
        <v>2911</v>
      </c>
      <c r="B2915" s="25" t="str">
        <f aca="false">IF(OR(C2915="",I2915="",G2915=""),"",IFERROR(VLOOKUP(I2915,Setup!$A$9:$B$11,2,0),"???")&amp;"-"&amp;G2915&amp;"-"&amp;TEXT(COUNTIFS(I$5:I2915,I2915,G$5:G2915,G2915),"0000"))</f>
        <v/>
      </c>
      <c r="C2915" s="26"/>
      <c r="D2915" s="26"/>
      <c r="E2915" s="27"/>
      <c r="F2915" s="27"/>
      <c r="G2915" s="24" t="str">
        <f aca="false">IF(F2915="","",IF(F2915&lt;=5,"A",IF(F2915&lt;=8,"B",IF(F2915&lt;=10,"C","D"))))</f>
        <v/>
      </c>
      <c r="H2915" s="28"/>
      <c r="I2915" s="27"/>
      <c r="J2915" s="26"/>
      <c r="K2915" s="27"/>
      <c r="L2915" s="27"/>
      <c r="M2915" s="27"/>
      <c r="N2915" s="27"/>
      <c r="O2915" s="24" t="str">
        <f aca="false">IF(G2915="","",VLOOKUP(G2915,Setup!$A$14:$C$17,3,0))</f>
        <v/>
      </c>
      <c r="P2915" s="27"/>
      <c r="Q2915" s="29" t="str">
        <f aca="false">IF(OR(P2915="",M2915&lt;&gt;"Paid",O2915=""),"",P2915/O2915)</f>
        <v/>
      </c>
      <c r="R2915" s="30" t="str">
        <f aca="false">IF(Q2915="","",Q2915+N(H2915)*0.000000001)</f>
        <v/>
      </c>
      <c r="S2915" s="25" t="str">
        <f aca="false">IF(R2915="","",SUMPRODUCT((I$5:I$4004=I2915)*ISNUMBER(R$5:R$4004)*(R$5:R$4004&gt;R2915))+1)</f>
        <v/>
      </c>
      <c r="T2915" s="25" t="str">
        <f aca="false">IF(S2915="","",IF(S2915&lt;=Setup!$B$5,"🏆 WINNER",""))</f>
        <v/>
      </c>
      <c r="U2915" s="24" t="str">
        <f aca="false">IF(S2915="","",I2915&amp;"|"&amp;S2915)</f>
        <v/>
      </c>
    </row>
    <row r="2916" customFormat="false" ht="15" hidden="false" customHeight="false" outlineLevel="0" collapsed="false">
      <c r="A2916" s="31" t="n">
        <v>2912</v>
      </c>
      <c r="B2916" s="32" t="str">
        <f aca="false">IF(OR(C2916="",I2916="",G2916=""),"",IFERROR(VLOOKUP(I2916,Setup!$A$9:$B$11,2,0),"???")&amp;"-"&amp;G2916&amp;"-"&amp;TEXT(COUNTIFS(I$5:I2916,I2916,G$5:G2916,G2916),"0000"))</f>
        <v/>
      </c>
      <c r="C2916" s="26"/>
      <c r="D2916" s="26"/>
      <c r="E2916" s="27"/>
      <c r="F2916" s="27"/>
      <c r="G2916" s="31" t="str">
        <f aca="false">IF(F2916="","",IF(F2916&lt;=5,"A",IF(F2916&lt;=8,"B",IF(F2916&lt;=10,"C","D"))))</f>
        <v/>
      </c>
      <c r="H2916" s="28"/>
      <c r="I2916" s="27"/>
      <c r="J2916" s="26"/>
      <c r="K2916" s="27"/>
      <c r="L2916" s="27"/>
      <c r="M2916" s="27"/>
      <c r="N2916" s="27"/>
      <c r="O2916" s="31" t="str">
        <f aca="false">IF(G2916="","",VLOOKUP(G2916,Setup!$A$14:$C$17,3,0))</f>
        <v/>
      </c>
      <c r="P2916" s="27"/>
      <c r="Q2916" s="33" t="str">
        <f aca="false">IF(OR(P2916="",M2916&lt;&gt;"Paid",O2916=""),"",P2916/O2916)</f>
        <v/>
      </c>
      <c r="R2916" s="34" t="str">
        <f aca="false">IF(Q2916="","",Q2916+N(H2916)*0.000000001)</f>
        <v/>
      </c>
      <c r="S2916" s="32" t="str">
        <f aca="false">IF(R2916="","",SUMPRODUCT((I$5:I$4004=I2916)*ISNUMBER(R$5:R$4004)*(R$5:R$4004&gt;R2916))+1)</f>
        <v/>
      </c>
      <c r="T2916" s="32" t="str">
        <f aca="false">IF(S2916="","",IF(S2916&lt;=Setup!$B$5,"🏆 WINNER",""))</f>
        <v/>
      </c>
      <c r="U2916" s="31" t="str">
        <f aca="false">IF(S2916="","",I2916&amp;"|"&amp;S2916)</f>
        <v/>
      </c>
    </row>
    <row r="2917" customFormat="false" ht="15" hidden="false" customHeight="false" outlineLevel="0" collapsed="false">
      <c r="A2917" s="24" t="n">
        <v>2913</v>
      </c>
      <c r="B2917" s="25" t="str">
        <f aca="false">IF(OR(C2917="",I2917="",G2917=""),"",IFERROR(VLOOKUP(I2917,Setup!$A$9:$B$11,2,0),"???")&amp;"-"&amp;G2917&amp;"-"&amp;TEXT(COUNTIFS(I$5:I2917,I2917,G$5:G2917,G2917),"0000"))</f>
        <v/>
      </c>
      <c r="C2917" s="26"/>
      <c r="D2917" s="26"/>
      <c r="E2917" s="27"/>
      <c r="F2917" s="27"/>
      <c r="G2917" s="24" t="str">
        <f aca="false">IF(F2917="","",IF(F2917&lt;=5,"A",IF(F2917&lt;=8,"B",IF(F2917&lt;=10,"C","D"))))</f>
        <v/>
      </c>
      <c r="H2917" s="28"/>
      <c r="I2917" s="27"/>
      <c r="J2917" s="26"/>
      <c r="K2917" s="27"/>
      <c r="L2917" s="27"/>
      <c r="M2917" s="27"/>
      <c r="N2917" s="27"/>
      <c r="O2917" s="24" t="str">
        <f aca="false">IF(G2917="","",VLOOKUP(G2917,Setup!$A$14:$C$17,3,0))</f>
        <v/>
      </c>
      <c r="P2917" s="27"/>
      <c r="Q2917" s="29" t="str">
        <f aca="false">IF(OR(P2917="",M2917&lt;&gt;"Paid",O2917=""),"",P2917/O2917)</f>
        <v/>
      </c>
      <c r="R2917" s="30" t="str">
        <f aca="false">IF(Q2917="","",Q2917+N(H2917)*0.000000001)</f>
        <v/>
      </c>
      <c r="S2917" s="25" t="str">
        <f aca="false">IF(R2917="","",SUMPRODUCT((I$5:I$4004=I2917)*ISNUMBER(R$5:R$4004)*(R$5:R$4004&gt;R2917))+1)</f>
        <v/>
      </c>
      <c r="T2917" s="25" t="str">
        <f aca="false">IF(S2917="","",IF(S2917&lt;=Setup!$B$5,"🏆 WINNER",""))</f>
        <v/>
      </c>
      <c r="U2917" s="24" t="str">
        <f aca="false">IF(S2917="","",I2917&amp;"|"&amp;S2917)</f>
        <v/>
      </c>
    </row>
    <row r="2918" customFormat="false" ht="15" hidden="false" customHeight="false" outlineLevel="0" collapsed="false">
      <c r="A2918" s="31" t="n">
        <v>2914</v>
      </c>
      <c r="B2918" s="32" t="str">
        <f aca="false">IF(OR(C2918="",I2918="",G2918=""),"",IFERROR(VLOOKUP(I2918,Setup!$A$9:$B$11,2,0),"???")&amp;"-"&amp;G2918&amp;"-"&amp;TEXT(COUNTIFS(I$5:I2918,I2918,G$5:G2918,G2918),"0000"))</f>
        <v/>
      </c>
      <c r="C2918" s="26"/>
      <c r="D2918" s="26"/>
      <c r="E2918" s="27"/>
      <c r="F2918" s="27"/>
      <c r="G2918" s="31" t="str">
        <f aca="false">IF(F2918="","",IF(F2918&lt;=5,"A",IF(F2918&lt;=8,"B",IF(F2918&lt;=10,"C","D"))))</f>
        <v/>
      </c>
      <c r="H2918" s="28"/>
      <c r="I2918" s="27"/>
      <c r="J2918" s="26"/>
      <c r="K2918" s="27"/>
      <c r="L2918" s="27"/>
      <c r="M2918" s="27"/>
      <c r="N2918" s="27"/>
      <c r="O2918" s="31" t="str">
        <f aca="false">IF(G2918="","",VLOOKUP(G2918,Setup!$A$14:$C$17,3,0))</f>
        <v/>
      </c>
      <c r="P2918" s="27"/>
      <c r="Q2918" s="33" t="str">
        <f aca="false">IF(OR(P2918="",M2918&lt;&gt;"Paid",O2918=""),"",P2918/O2918)</f>
        <v/>
      </c>
      <c r="R2918" s="34" t="str">
        <f aca="false">IF(Q2918="","",Q2918+N(H2918)*0.000000001)</f>
        <v/>
      </c>
      <c r="S2918" s="32" t="str">
        <f aca="false">IF(R2918="","",SUMPRODUCT((I$5:I$4004=I2918)*ISNUMBER(R$5:R$4004)*(R$5:R$4004&gt;R2918))+1)</f>
        <v/>
      </c>
      <c r="T2918" s="32" t="str">
        <f aca="false">IF(S2918="","",IF(S2918&lt;=Setup!$B$5,"🏆 WINNER",""))</f>
        <v/>
      </c>
      <c r="U2918" s="31" t="str">
        <f aca="false">IF(S2918="","",I2918&amp;"|"&amp;S2918)</f>
        <v/>
      </c>
    </row>
    <row r="2919" customFormat="false" ht="15" hidden="false" customHeight="false" outlineLevel="0" collapsed="false">
      <c r="A2919" s="24" t="n">
        <v>2915</v>
      </c>
      <c r="B2919" s="25" t="str">
        <f aca="false">IF(OR(C2919="",I2919="",G2919=""),"",IFERROR(VLOOKUP(I2919,Setup!$A$9:$B$11,2,0),"???")&amp;"-"&amp;G2919&amp;"-"&amp;TEXT(COUNTIFS(I$5:I2919,I2919,G$5:G2919,G2919),"0000"))</f>
        <v/>
      </c>
      <c r="C2919" s="26"/>
      <c r="D2919" s="26"/>
      <c r="E2919" s="27"/>
      <c r="F2919" s="27"/>
      <c r="G2919" s="24" t="str">
        <f aca="false">IF(F2919="","",IF(F2919&lt;=5,"A",IF(F2919&lt;=8,"B",IF(F2919&lt;=10,"C","D"))))</f>
        <v/>
      </c>
      <c r="H2919" s="28"/>
      <c r="I2919" s="27"/>
      <c r="J2919" s="26"/>
      <c r="K2919" s="27"/>
      <c r="L2919" s="27"/>
      <c r="M2919" s="27"/>
      <c r="N2919" s="27"/>
      <c r="O2919" s="24" t="str">
        <f aca="false">IF(G2919="","",VLOOKUP(G2919,Setup!$A$14:$C$17,3,0))</f>
        <v/>
      </c>
      <c r="P2919" s="27"/>
      <c r="Q2919" s="29" t="str">
        <f aca="false">IF(OR(P2919="",M2919&lt;&gt;"Paid",O2919=""),"",P2919/O2919)</f>
        <v/>
      </c>
      <c r="R2919" s="30" t="str">
        <f aca="false">IF(Q2919="","",Q2919+N(H2919)*0.000000001)</f>
        <v/>
      </c>
      <c r="S2919" s="25" t="str">
        <f aca="false">IF(R2919="","",SUMPRODUCT((I$5:I$4004=I2919)*ISNUMBER(R$5:R$4004)*(R$5:R$4004&gt;R2919))+1)</f>
        <v/>
      </c>
      <c r="T2919" s="25" t="str">
        <f aca="false">IF(S2919="","",IF(S2919&lt;=Setup!$B$5,"🏆 WINNER",""))</f>
        <v/>
      </c>
      <c r="U2919" s="24" t="str">
        <f aca="false">IF(S2919="","",I2919&amp;"|"&amp;S2919)</f>
        <v/>
      </c>
    </row>
    <row r="2920" customFormat="false" ht="15" hidden="false" customHeight="false" outlineLevel="0" collapsed="false">
      <c r="A2920" s="31" t="n">
        <v>2916</v>
      </c>
      <c r="B2920" s="32" t="str">
        <f aca="false">IF(OR(C2920="",I2920="",G2920=""),"",IFERROR(VLOOKUP(I2920,Setup!$A$9:$B$11,2,0),"???")&amp;"-"&amp;G2920&amp;"-"&amp;TEXT(COUNTIFS(I$5:I2920,I2920,G$5:G2920,G2920),"0000"))</f>
        <v/>
      </c>
      <c r="C2920" s="26"/>
      <c r="D2920" s="26"/>
      <c r="E2920" s="27"/>
      <c r="F2920" s="27"/>
      <c r="G2920" s="31" t="str">
        <f aca="false">IF(F2920="","",IF(F2920&lt;=5,"A",IF(F2920&lt;=8,"B",IF(F2920&lt;=10,"C","D"))))</f>
        <v/>
      </c>
      <c r="H2920" s="28"/>
      <c r="I2920" s="27"/>
      <c r="J2920" s="26"/>
      <c r="K2920" s="27"/>
      <c r="L2920" s="27"/>
      <c r="M2920" s="27"/>
      <c r="N2920" s="27"/>
      <c r="O2920" s="31" t="str">
        <f aca="false">IF(G2920="","",VLOOKUP(G2920,Setup!$A$14:$C$17,3,0))</f>
        <v/>
      </c>
      <c r="P2920" s="27"/>
      <c r="Q2920" s="33" t="str">
        <f aca="false">IF(OR(P2920="",M2920&lt;&gt;"Paid",O2920=""),"",P2920/O2920)</f>
        <v/>
      </c>
      <c r="R2920" s="34" t="str">
        <f aca="false">IF(Q2920="","",Q2920+N(H2920)*0.000000001)</f>
        <v/>
      </c>
      <c r="S2920" s="32" t="str">
        <f aca="false">IF(R2920="","",SUMPRODUCT((I$5:I$4004=I2920)*ISNUMBER(R$5:R$4004)*(R$5:R$4004&gt;R2920))+1)</f>
        <v/>
      </c>
      <c r="T2920" s="32" t="str">
        <f aca="false">IF(S2920="","",IF(S2920&lt;=Setup!$B$5,"🏆 WINNER",""))</f>
        <v/>
      </c>
      <c r="U2920" s="31" t="str">
        <f aca="false">IF(S2920="","",I2920&amp;"|"&amp;S2920)</f>
        <v/>
      </c>
    </row>
    <row r="2921" customFormat="false" ht="15" hidden="false" customHeight="false" outlineLevel="0" collapsed="false">
      <c r="A2921" s="24" t="n">
        <v>2917</v>
      </c>
      <c r="B2921" s="25" t="str">
        <f aca="false">IF(OR(C2921="",I2921="",G2921=""),"",IFERROR(VLOOKUP(I2921,Setup!$A$9:$B$11,2,0),"???")&amp;"-"&amp;G2921&amp;"-"&amp;TEXT(COUNTIFS(I$5:I2921,I2921,G$5:G2921,G2921),"0000"))</f>
        <v/>
      </c>
      <c r="C2921" s="26"/>
      <c r="D2921" s="26"/>
      <c r="E2921" s="27"/>
      <c r="F2921" s="27"/>
      <c r="G2921" s="24" t="str">
        <f aca="false">IF(F2921="","",IF(F2921&lt;=5,"A",IF(F2921&lt;=8,"B",IF(F2921&lt;=10,"C","D"))))</f>
        <v/>
      </c>
      <c r="H2921" s="28"/>
      <c r="I2921" s="27"/>
      <c r="J2921" s="26"/>
      <c r="K2921" s="27"/>
      <c r="L2921" s="27"/>
      <c r="M2921" s="27"/>
      <c r="N2921" s="27"/>
      <c r="O2921" s="24" t="str">
        <f aca="false">IF(G2921="","",VLOOKUP(G2921,Setup!$A$14:$C$17,3,0))</f>
        <v/>
      </c>
      <c r="P2921" s="27"/>
      <c r="Q2921" s="29" t="str">
        <f aca="false">IF(OR(P2921="",M2921&lt;&gt;"Paid",O2921=""),"",P2921/O2921)</f>
        <v/>
      </c>
      <c r="R2921" s="30" t="str">
        <f aca="false">IF(Q2921="","",Q2921+N(H2921)*0.000000001)</f>
        <v/>
      </c>
      <c r="S2921" s="25" t="str">
        <f aca="false">IF(R2921="","",SUMPRODUCT((I$5:I$4004=I2921)*ISNUMBER(R$5:R$4004)*(R$5:R$4004&gt;R2921))+1)</f>
        <v/>
      </c>
      <c r="T2921" s="25" t="str">
        <f aca="false">IF(S2921="","",IF(S2921&lt;=Setup!$B$5,"🏆 WINNER",""))</f>
        <v/>
      </c>
      <c r="U2921" s="24" t="str">
        <f aca="false">IF(S2921="","",I2921&amp;"|"&amp;S2921)</f>
        <v/>
      </c>
    </row>
    <row r="2922" customFormat="false" ht="15" hidden="false" customHeight="false" outlineLevel="0" collapsed="false">
      <c r="A2922" s="31" t="n">
        <v>2918</v>
      </c>
      <c r="B2922" s="32" t="str">
        <f aca="false">IF(OR(C2922="",I2922="",G2922=""),"",IFERROR(VLOOKUP(I2922,Setup!$A$9:$B$11,2,0),"???")&amp;"-"&amp;G2922&amp;"-"&amp;TEXT(COUNTIFS(I$5:I2922,I2922,G$5:G2922,G2922),"0000"))</f>
        <v/>
      </c>
      <c r="C2922" s="26"/>
      <c r="D2922" s="26"/>
      <c r="E2922" s="27"/>
      <c r="F2922" s="27"/>
      <c r="G2922" s="31" t="str">
        <f aca="false">IF(F2922="","",IF(F2922&lt;=5,"A",IF(F2922&lt;=8,"B",IF(F2922&lt;=10,"C","D"))))</f>
        <v/>
      </c>
      <c r="H2922" s="28"/>
      <c r="I2922" s="27"/>
      <c r="J2922" s="26"/>
      <c r="K2922" s="27"/>
      <c r="L2922" s="27"/>
      <c r="M2922" s="27"/>
      <c r="N2922" s="27"/>
      <c r="O2922" s="31" t="str">
        <f aca="false">IF(G2922="","",VLOOKUP(G2922,Setup!$A$14:$C$17,3,0))</f>
        <v/>
      </c>
      <c r="P2922" s="27"/>
      <c r="Q2922" s="33" t="str">
        <f aca="false">IF(OR(P2922="",M2922&lt;&gt;"Paid",O2922=""),"",P2922/O2922)</f>
        <v/>
      </c>
      <c r="R2922" s="34" t="str">
        <f aca="false">IF(Q2922="","",Q2922+N(H2922)*0.000000001)</f>
        <v/>
      </c>
      <c r="S2922" s="32" t="str">
        <f aca="false">IF(R2922="","",SUMPRODUCT((I$5:I$4004=I2922)*ISNUMBER(R$5:R$4004)*(R$5:R$4004&gt;R2922))+1)</f>
        <v/>
      </c>
      <c r="T2922" s="32" t="str">
        <f aca="false">IF(S2922="","",IF(S2922&lt;=Setup!$B$5,"🏆 WINNER",""))</f>
        <v/>
      </c>
      <c r="U2922" s="31" t="str">
        <f aca="false">IF(S2922="","",I2922&amp;"|"&amp;S2922)</f>
        <v/>
      </c>
    </row>
    <row r="2923" customFormat="false" ht="15" hidden="false" customHeight="false" outlineLevel="0" collapsed="false">
      <c r="A2923" s="24" t="n">
        <v>2919</v>
      </c>
      <c r="B2923" s="25" t="str">
        <f aca="false">IF(OR(C2923="",I2923="",G2923=""),"",IFERROR(VLOOKUP(I2923,Setup!$A$9:$B$11,2,0),"???")&amp;"-"&amp;G2923&amp;"-"&amp;TEXT(COUNTIFS(I$5:I2923,I2923,G$5:G2923,G2923),"0000"))</f>
        <v/>
      </c>
      <c r="C2923" s="26"/>
      <c r="D2923" s="26"/>
      <c r="E2923" s="27"/>
      <c r="F2923" s="27"/>
      <c r="G2923" s="24" t="str">
        <f aca="false">IF(F2923="","",IF(F2923&lt;=5,"A",IF(F2923&lt;=8,"B",IF(F2923&lt;=10,"C","D"))))</f>
        <v/>
      </c>
      <c r="H2923" s="28"/>
      <c r="I2923" s="27"/>
      <c r="J2923" s="26"/>
      <c r="K2923" s="27"/>
      <c r="L2923" s="27"/>
      <c r="M2923" s="27"/>
      <c r="N2923" s="27"/>
      <c r="O2923" s="24" t="str">
        <f aca="false">IF(G2923="","",VLOOKUP(G2923,Setup!$A$14:$C$17,3,0))</f>
        <v/>
      </c>
      <c r="P2923" s="27"/>
      <c r="Q2923" s="29" t="str">
        <f aca="false">IF(OR(P2923="",M2923&lt;&gt;"Paid",O2923=""),"",P2923/O2923)</f>
        <v/>
      </c>
      <c r="R2923" s="30" t="str">
        <f aca="false">IF(Q2923="","",Q2923+N(H2923)*0.000000001)</f>
        <v/>
      </c>
      <c r="S2923" s="25" t="str">
        <f aca="false">IF(R2923="","",SUMPRODUCT((I$5:I$4004=I2923)*ISNUMBER(R$5:R$4004)*(R$5:R$4004&gt;R2923))+1)</f>
        <v/>
      </c>
      <c r="T2923" s="25" t="str">
        <f aca="false">IF(S2923="","",IF(S2923&lt;=Setup!$B$5,"🏆 WINNER",""))</f>
        <v/>
      </c>
      <c r="U2923" s="24" t="str">
        <f aca="false">IF(S2923="","",I2923&amp;"|"&amp;S2923)</f>
        <v/>
      </c>
    </row>
    <row r="2924" customFormat="false" ht="15" hidden="false" customHeight="false" outlineLevel="0" collapsed="false">
      <c r="A2924" s="31" t="n">
        <v>2920</v>
      </c>
      <c r="B2924" s="32" t="str">
        <f aca="false">IF(OR(C2924="",I2924="",G2924=""),"",IFERROR(VLOOKUP(I2924,Setup!$A$9:$B$11,2,0),"???")&amp;"-"&amp;G2924&amp;"-"&amp;TEXT(COUNTIFS(I$5:I2924,I2924,G$5:G2924,G2924),"0000"))</f>
        <v/>
      </c>
      <c r="C2924" s="26"/>
      <c r="D2924" s="26"/>
      <c r="E2924" s="27"/>
      <c r="F2924" s="27"/>
      <c r="G2924" s="31" t="str">
        <f aca="false">IF(F2924="","",IF(F2924&lt;=5,"A",IF(F2924&lt;=8,"B",IF(F2924&lt;=10,"C","D"))))</f>
        <v/>
      </c>
      <c r="H2924" s="28"/>
      <c r="I2924" s="27"/>
      <c r="J2924" s="26"/>
      <c r="K2924" s="27"/>
      <c r="L2924" s="27"/>
      <c r="M2924" s="27"/>
      <c r="N2924" s="27"/>
      <c r="O2924" s="31" t="str">
        <f aca="false">IF(G2924="","",VLOOKUP(G2924,Setup!$A$14:$C$17,3,0))</f>
        <v/>
      </c>
      <c r="P2924" s="27"/>
      <c r="Q2924" s="33" t="str">
        <f aca="false">IF(OR(P2924="",M2924&lt;&gt;"Paid",O2924=""),"",P2924/O2924)</f>
        <v/>
      </c>
      <c r="R2924" s="34" t="str">
        <f aca="false">IF(Q2924="","",Q2924+N(H2924)*0.000000001)</f>
        <v/>
      </c>
      <c r="S2924" s="32" t="str">
        <f aca="false">IF(R2924="","",SUMPRODUCT((I$5:I$4004=I2924)*ISNUMBER(R$5:R$4004)*(R$5:R$4004&gt;R2924))+1)</f>
        <v/>
      </c>
      <c r="T2924" s="32" t="str">
        <f aca="false">IF(S2924="","",IF(S2924&lt;=Setup!$B$5,"🏆 WINNER",""))</f>
        <v/>
      </c>
      <c r="U2924" s="31" t="str">
        <f aca="false">IF(S2924="","",I2924&amp;"|"&amp;S2924)</f>
        <v/>
      </c>
    </row>
    <row r="2925" customFormat="false" ht="15" hidden="false" customHeight="false" outlineLevel="0" collapsed="false">
      <c r="A2925" s="24" t="n">
        <v>2921</v>
      </c>
      <c r="B2925" s="25" t="str">
        <f aca="false">IF(OR(C2925="",I2925="",G2925=""),"",IFERROR(VLOOKUP(I2925,Setup!$A$9:$B$11,2,0),"???")&amp;"-"&amp;G2925&amp;"-"&amp;TEXT(COUNTIFS(I$5:I2925,I2925,G$5:G2925,G2925),"0000"))</f>
        <v/>
      </c>
      <c r="C2925" s="26"/>
      <c r="D2925" s="26"/>
      <c r="E2925" s="27"/>
      <c r="F2925" s="27"/>
      <c r="G2925" s="24" t="str">
        <f aca="false">IF(F2925="","",IF(F2925&lt;=5,"A",IF(F2925&lt;=8,"B",IF(F2925&lt;=10,"C","D"))))</f>
        <v/>
      </c>
      <c r="H2925" s="28"/>
      <c r="I2925" s="27"/>
      <c r="J2925" s="26"/>
      <c r="K2925" s="27"/>
      <c r="L2925" s="27"/>
      <c r="M2925" s="27"/>
      <c r="N2925" s="27"/>
      <c r="O2925" s="24" t="str">
        <f aca="false">IF(G2925="","",VLOOKUP(G2925,Setup!$A$14:$C$17,3,0))</f>
        <v/>
      </c>
      <c r="P2925" s="27"/>
      <c r="Q2925" s="29" t="str">
        <f aca="false">IF(OR(P2925="",M2925&lt;&gt;"Paid",O2925=""),"",P2925/O2925)</f>
        <v/>
      </c>
      <c r="R2925" s="30" t="str">
        <f aca="false">IF(Q2925="","",Q2925+N(H2925)*0.000000001)</f>
        <v/>
      </c>
      <c r="S2925" s="25" t="str">
        <f aca="false">IF(R2925="","",SUMPRODUCT((I$5:I$4004=I2925)*ISNUMBER(R$5:R$4004)*(R$5:R$4004&gt;R2925))+1)</f>
        <v/>
      </c>
      <c r="T2925" s="25" t="str">
        <f aca="false">IF(S2925="","",IF(S2925&lt;=Setup!$B$5,"🏆 WINNER",""))</f>
        <v/>
      </c>
      <c r="U2925" s="24" t="str">
        <f aca="false">IF(S2925="","",I2925&amp;"|"&amp;S2925)</f>
        <v/>
      </c>
    </row>
    <row r="2926" customFormat="false" ht="15" hidden="false" customHeight="false" outlineLevel="0" collapsed="false">
      <c r="A2926" s="31" t="n">
        <v>2922</v>
      </c>
      <c r="B2926" s="32" t="str">
        <f aca="false">IF(OR(C2926="",I2926="",G2926=""),"",IFERROR(VLOOKUP(I2926,Setup!$A$9:$B$11,2,0),"???")&amp;"-"&amp;G2926&amp;"-"&amp;TEXT(COUNTIFS(I$5:I2926,I2926,G$5:G2926,G2926),"0000"))</f>
        <v/>
      </c>
      <c r="C2926" s="26"/>
      <c r="D2926" s="26"/>
      <c r="E2926" s="27"/>
      <c r="F2926" s="27"/>
      <c r="G2926" s="31" t="str">
        <f aca="false">IF(F2926="","",IF(F2926&lt;=5,"A",IF(F2926&lt;=8,"B",IF(F2926&lt;=10,"C","D"))))</f>
        <v/>
      </c>
      <c r="H2926" s="28"/>
      <c r="I2926" s="27"/>
      <c r="J2926" s="26"/>
      <c r="K2926" s="27"/>
      <c r="L2926" s="27"/>
      <c r="M2926" s="27"/>
      <c r="N2926" s="27"/>
      <c r="O2926" s="31" t="str">
        <f aca="false">IF(G2926="","",VLOOKUP(G2926,Setup!$A$14:$C$17,3,0))</f>
        <v/>
      </c>
      <c r="P2926" s="27"/>
      <c r="Q2926" s="33" t="str">
        <f aca="false">IF(OR(P2926="",M2926&lt;&gt;"Paid",O2926=""),"",P2926/O2926)</f>
        <v/>
      </c>
      <c r="R2926" s="34" t="str">
        <f aca="false">IF(Q2926="","",Q2926+N(H2926)*0.000000001)</f>
        <v/>
      </c>
      <c r="S2926" s="32" t="str">
        <f aca="false">IF(R2926="","",SUMPRODUCT((I$5:I$4004=I2926)*ISNUMBER(R$5:R$4004)*(R$5:R$4004&gt;R2926))+1)</f>
        <v/>
      </c>
      <c r="T2926" s="32" t="str">
        <f aca="false">IF(S2926="","",IF(S2926&lt;=Setup!$B$5,"🏆 WINNER",""))</f>
        <v/>
      </c>
      <c r="U2926" s="31" t="str">
        <f aca="false">IF(S2926="","",I2926&amp;"|"&amp;S2926)</f>
        <v/>
      </c>
    </row>
    <row r="2927" customFormat="false" ht="15" hidden="false" customHeight="false" outlineLevel="0" collapsed="false">
      <c r="A2927" s="24" t="n">
        <v>2923</v>
      </c>
      <c r="B2927" s="25" t="str">
        <f aca="false">IF(OR(C2927="",I2927="",G2927=""),"",IFERROR(VLOOKUP(I2927,Setup!$A$9:$B$11,2,0),"???")&amp;"-"&amp;G2927&amp;"-"&amp;TEXT(COUNTIFS(I$5:I2927,I2927,G$5:G2927,G2927),"0000"))</f>
        <v/>
      </c>
      <c r="C2927" s="26"/>
      <c r="D2927" s="26"/>
      <c r="E2927" s="27"/>
      <c r="F2927" s="27"/>
      <c r="G2927" s="24" t="str">
        <f aca="false">IF(F2927="","",IF(F2927&lt;=5,"A",IF(F2927&lt;=8,"B",IF(F2927&lt;=10,"C","D"))))</f>
        <v/>
      </c>
      <c r="H2927" s="28"/>
      <c r="I2927" s="27"/>
      <c r="J2927" s="26"/>
      <c r="K2927" s="27"/>
      <c r="L2927" s="27"/>
      <c r="M2927" s="27"/>
      <c r="N2927" s="27"/>
      <c r="O2927" s="24" t="str">
        <f aca="false">IF(G2927="","",VLOOKUP(G2927,Setup!$A$14:$C$17,3,0))</f>
        <v/>
      </c>
      <c r="P2927" s="27"/>
      <c r="Q2927" s="29" t="str">
        <f aca="false">IF(OR(P2927="",M2927&lt;&gt;"Paid",O2927=""),"",P2927/O2927)</f>
        <v/>
      </c>
      <c r="R2927" s="30" t="str">
        <f aca="false">IF(Q2927="","",Q2927+N(H2927)*0.000000001)</f>
        <v/>
      </c>
      <c r="S2927" s="25" t="str">
        <f aca="false">IF(R2927="","",SUMPRODUCT((I$5:I$4004=I2927)*ISNUMBER(R$5:R$4004)*(R$5:R$4004&gt;R2927))+1)</f>
        <v/>
      </c>
      <c r="T2927" s="25" t="str">
        <f aca="false">IF(S2927="","",IF(S2927&lt;=Setup!$B$5,"🏆 WINNER",""))</f>
        <v/>
      </c>
      <c r="U2927" s="24" t="str">
        <f aca="false">IF(S2927="","",I2927&amp;"|"&amp;S2927)</f>
        <v/>
      </c>
    </row>
    <row r="2928" customFormat="false" ht="15" hidden="false" customHeight="false" outlineLevel="0" collapsed="false">
      <c r="A2928" s="31" t="n">
        <v>2924</v>
      </c>
      <c r="B2928" s="32" t="str">
        <f aca="false">IF(OR(C2928="",I2928="",G2928=""),"",IFERROR(VLOOKUP(I2928,Setup!$A$9:$B$11,2,0),"???")&amp;"-"&amp;G2928&amp;"-"&amp;TEXT(COUNTIFS(I$5:I2928,I2928,G$5:G2928,G2928),"0000"))</f>
        <v/>
      </c>
      <c r="C2928" s="26"/>
      <c r="D2928" s="26"/>
      <c r="E2928" s="27"/>
      <c r="F2928" s="27"/>
      <c r="G2928" s="31" t="str">
        <f aca="false">IF(F2928="","",IF(F2928&lt;=5,"A",IF(F2928&lt;=8,"B",IF(F2928&lt;=10,"C","D"))))</f>
        <v/>
      </c>
      <c r="H2928" s="28"/>
      <c r="I2928" s="27"/>
      <c r="J2928" s="26"/>
      <c r="K2928" s="27"/>
      <c r="L2928" s="27"/>
      <c r="M2928" s="27"/>
      <c r="N2928" s="27"/>
      <c r="O2928" s="31" t="str">
        <f aca="false">IF(G2928="","",VLOOKUP(G2928,Setup!$A$14:$C$17,3,0))</f>
        <v/>
      </c>
      <c r="P2928" s="27"/>
      <c r="Q2928" s="33" t="str">
        <f aca="false">IF(OR(P2928="",M2928&lt;&gt;"Paid",O2928=""),"",P2928/O2928)</f>
        <v/>
      </c>
      <c r="R2928" s="34" t="str">
        <f aca="false">IF(Q2928="","",Q2928+N(H2928)*0.000000001)</f>
        <v/>
      </c>
      <c r="S2928" s="32" t="str">
        <f aca="false">IF(R2928="","",SUMPRODUCT((I$5:I$4004=I2928)*ISNUMBER(R$5:R$4004)*(R$5:R$4004&gt;R2928))+1)</f>
        <v/>
      </c>
      <c r="T2928" s="32" t="str">
        <f aca="false">IF(S2928="","",IF(S2928&lt;=Setup!$B$5,"🏆 WINNER",""))</f>
        <v/>
      </c>
      <c r="U2928" s="31" t="str">
        <f aca="false">IF(S2928="","",I2928&amp;"|"&amp;S2928)</f>
        <v/>
      </c>
    </row>
    <row r="2929" customFormat="false" ht="15" hidden="false" customHeight="false" outlineLevel="0" collapsed="false">
      <c r="A2929" s="24" t="n">
        <v>2925</v>
      </c>
      <c r="B2929" s="25" t="str">
        <f aca="false">IF(OR(C2929="",I2929="",G2929=""),"",IFERROR(VLOOKUP(I2929,Setup!$A$9:$B$11,2,0),"???")&amp;"-"&amp;G2929&amp;"-"&amp;TEXT(COUNTIFS(I$5:I2929,I2929,G$5:G2929,G2929),"0000"))</f>
        <v/>
      </c>
      <c r="C2929" s="26"/>
      <c r="D2929" s="26"/>
      <c r="E2929" s="27"/>
      <c r="F2929" s="27"/>
      <c r="G2929" s="24" t="str">
        <f aca="false">IF(F2929="","",IF(F2929&lt;=5,"A",IF(F2929&lt;=8,"B",IF(F2929&lt;=10,"C","D"))))</f>
        <v/>
      </c>
      <c r="H2929" s="28"/>
      <c r="I2929" s="27"/>
      <c r="J2929" s="26"/>
      <c r="K2929" s="27"/>
      <c r="L2929" s="27"/>
      <c r="M2929" s="27"/>
      <c r="N2929" s="27"/>
      <c r="O2929" s="24" t="str">
        <f aca="false">IF(G2929="","",VLOOKUP(G2929,Setup!$A$14:$C$17,3,0))</f>
        <v/>
      </c>
      <c r="P2929" s="27"/>
      <c r="Q2929" s="29" t="str">
        <f aca="false">IF(OR(P2929="",M2929&lt;&gt;"Paid",O2929=""),"",P2929/O2929)</f>
        <v/>
      </c>
      <c r="R2929" s="30" t="str">
        <f aca="false">IF(Q2929="","",Q2929+N(H2929)*0.000000001)</f>
        <v/>
      </c>
      <c r="S2929" s="25" t="str">
        <f aca="false">IF(R2929="","",SUMPRODUCT((I$5:I$4004=I2929)*ISNUMBER(R$5:R$4004)*(R$5:R$4004&gt;R2929))+1)</f>
        <v/>
      </c>
      <c r="T2929" s="25" t="str">
        <f aca="false">IF(S2929="","",IF(S2929&lt;=Setup!$B$5,"🏆 WINNER",""))</f>
        <v/>
      </c>
      <c r="U2929" s="24" t="str">
        <f aca="false">IF(S2929="","",I2929&amp;"|"&amp;S2929)</f>
        <v/>
      </c>
    </row>
    <row r="2930" customFormat="false" ht="15" hidden="false" customHeight="false" outlineLevel="0" collapsed="false">
      <c r="A2930" s="31" t="n">
        <v>2926</v>
      </c>
      <c r="B2930" s="32" t="str">
        <f aca="false">IF(OR(C2930="",I2930="",G2930=""),"",IFERROR(VLOOKUP(I2930,Setup!$A$9:$B$11,2,0),"???")&amp;"-"&amp;G2930&amp;"-"&amp;TEXT(COUNTIFS(I$5:I2930,I2930,G$5:G2930,G2930),"0000"))</f>
        <v/>
      </c>
      <c r="C2930" s="26"/>
      <c r="D2930" s="26"/>
      <c r="E2930" s="27"/>
      <c r="F2930" s="27"/>
      <c r="G2930" s="31" t="str">
        <f aca="false">IF(F2930="","",IF(F2930&lt;=5,"A",IF(F2930&lt;=8,"B",IF(F2930&lt;=10,"C","D"))))</f>
        <v/>
      </c>
      <c r="H2930" s="28"/>
      <c r="I2930" s="27"/>
      <c r="J2930" s="26"/>
      <c r="K2930" s="27"/>
      <c r="L2930" s="27"/>
      <c r="M2930" s="27"/>
      <c r="N2930" s="27"/>
      <c r="O2930" s="31" t="str">
        <f aca="false">IF(G2930="","",VLOOKUP(G2930,Setup!$A$14:$C$17,3,0))</f>
        <v/>
      </c>
      <c r="P2930" s="27"/>
      <c r="Q2930" s="33" t="str">
        <f aca="false">IF(OR(P2930="",M2930&lt;&gt;"Paid",O2930=""),"",P2930/O2930)</f>
        <v/>
      </c>
      <c r="R2930" s="34" t="str">
        <f aca="false">IF(Q2930="","",Q2930+N(H2930)*0.000000001)</f>
        <v/>
      </c>
      <c r="S2930" s="32" t="str">
        <f aca="false">IF(R2930="","",SUMPRODUCT((I$5:I$4004=I2930)*ISNUMBER(R$5:R$4004)*(R$5:R$4004&gt;R2930))+1)</f>
        <v/>
      </c>
      <c r="T2930" s="32" t="str">
        <f aca="false">IF(S2930="","",IF(S2930&lt;=Setup!$B$5,"🏆 WINNER",""))</f>
        <v/>
      </c>
      <c r="U2930" s="31" t="str">
        <f aca="false">IF(S2930="","",I2930&amp;"|"&amp;S2930)</f>
        <v/>
      </c>
    </row>
    <row r="2931" customFormat="false" ht="15" hidden="false" customHeight="false" outlineLevel="0" collapsed="false">
      <c r="A2931" s="24" t="n">
        <v>2927</v>
      </c>
      <c r="B2931" s="25" t="str">
        <f aca="false">IF(OR(C2931="",I2931="",G2931=""),"",IFERROR(VLOOKUP(I2931,Setup!$A$9:$B$11,2,0),"???")&amp;"-"&amp;G2931&amp;"-"&amp;TEXT(COUNTIFS(I$5:I2931,I2931,G$5:G2931,G2931),"0000"))</f>
        <v/>
      </c>
      <c r="C2931" s="26"/>
      <c r="D2931" s="26"/>
      <c r="E2931" s="27"/>
      <c r="F2931" s="27"/>
      <c r="G2931" s="24" t="str">
        <f aca="false">IF(F2931="","",IF(F2931&lt;=5,"A",IF(F2931&lt;=8,"B",IF(F2931&lt;=10,"C","D"))))</f>
        <v/>
      </c>
      <c r="H2931" s="28"/>
      <c r="I2931" s="27"/>
      <c r="J2931" s="26"/>
      <c r="K2931" s="27"/>
      <c r="L2931" s="27"/>
      <c r="M2931" s="27"/>
      <c r="N2931" s="27"/>
      <c r="O2931" s="24" t="str">
        <f aca="false">IF(G2931="","",VLOOKUP(G2931,Setup!$A$14:$C$17,3,0))</f>
        <v/>
      </c>
      <c r="P2931" s="27"/>
      <c r="Q2931" s="29" t="str">
        <f aca="false">IF(OR(P2931="",M2931&lt;&gt;"Paid",O2931=""),"",P2931/O2931)</f>
        <v/>
      </c>
      <c r="R2931" s="30" t="str">
        <f aca="false">IF(Q2931="","",Q2931+N(H2931)*0.000000001)</f>
        <v/>
      </c>
      <c r="S2931" s="25" t="str">
        <f aca="false">IF(R2931="","",SUMPRODUCT((I$5:I$4004=I2931)*ISNUMBER(R$5:R$4004)*(R$5:R$4004&gt;R2931))+1)</f>
        <v/>
      </c>
      <c r="T2931" s="25" t="str">
        <f aca="false">IF(S2931="","",IF(S2931&lt;=Setup!$B$5,"🏆 WINNER",""))</f>
        <v/>
      </c>
      <c r="U2931" s="24" t="str">
        <f aca="false">IF(S2931="","",I2931&amp;"|"&amp;S2931)</f>
        <v/>
      </c>
    </row>
    <row r="2932" customFormat="false" ht="15" hidden="false" customHeight="false" outlineLevel="0" collapsed="false">
      <c r="A2932" s="31" t="n">
        <v>2928</v>
      </c>
      <c r="B2932" s="32" t="str">
        <f aca="false">IF(OR(C2932="",I2932="",G2932=""),"",IFERROR(VLOOKUP(I2932,Setup!$A$9:$B$11,2,0),"???")&amp;"-"&amp;G2932&amp;"-"&amp;TEXT(COUNTIFS(I$5:I2932,I2932,G$5:G2932,G2932),"0000"))</f>
        <v/>
      </c>
      <c r="C2932" s="26"/>
      <c r="D2932" s="26"/>
      <c r="E2932" s="27"/>
      <c r="F2932" s="27"/>
      <c r="G2932" s="31" t="str">
        <f aca="false">IF(F2932="","",IF(F2932&lt;=5,"A",IF(F2932&lt;=8,"B",IF(F2932&lt;=10,"C","D"))))</f>
        <v/>
      </c>
      <c r="H2932" s="28"/>
      <c r="I2932" s="27"/>
      <c r="J2932" s="26"/>
      <c r="K2932" s="27"/>
      <c r="L2932" s="27"/>
      <c r="M2932" s="27"/>
      <c r="N2932" s="27"/>
      <c r="O2932" s="31" t="str">
        <f aca="false">IF(G2932="","",VLOOKUP(G2932,Setup!$A$14:$C$17,3,0))</f>
        <v/>
      </c>
      <c r="P2932" s="27"/>
      <c r="Q2932" s="33" t="str">
        <f aca="false">IF(OR(P2932="",M2932&lt;&gt;"Paid",O2932=""),"",P2932/O2932)</f>
        <v/>
      </c>
      <c r="R2932" s="34" t="str">
        <f aca="false">IF(Q2932="","",Q2932+N(H2932)*0.000000001)</f>
        <v/>
      </c>
      <c r="S2932" s="32" t="str">
        <f aca="false">IF(R2932="","",SUMPRODUCT((I$5:I$4004=I2932)*ISNUMBER(R$5:R$4004)*(R$5:R$4004&gt;R2932))+1)</f>
        <v/>
      </c>
      <c r="T2932" s="32" t="str">
        <f aca="false">IF(S2932="","",IF(S2932&lt;=Setup!$B$5,"🏆 WINNER",""))</f>
        <v/>
      </c>
      <c r="U2932" s="31" t="str">
        <f aca="false">IF(S2932="","",I2932&amp;"|"&amp;S2932)</f>
        <v/>
      </c>
    </row>
    <row r="2933" customFormat="false" ht="15" hidden="false" customHeight="false" outlineLevel="0" collapsed="false">
      <c r="A2933" s="24" t="n">
        <v>2929</v>
      </c>
      <c r="B2933" s="25" t="str">
        <f aca="false">IF(OR(C2933="",I2933="",G2933=""),"",IFERROR(VLOOKUP(I2933,Setup!$A$9:$B$11,2,0),"???")&amp;"-"&amp;G2933&amp;"-"&amp;TEXT(COUNTIFS(I$5:I2933,I2933,G$5:G2933,G2933),"0000"))</f>
        <v/>
      </c>
      <c r="C2933" s="26"/>
      <c r="D2933" s="26"/>
      <c r="E2933" s="27"/>
      <c r="F2933" s="27"/>
      <c r="G2933" s="24" t="str">
        <f aca="false">IF(F2933="","",IF(F2933&lt;=5,"A",IF(F2933&lt;=8,"B",IF(F2933&lt;=10,"C","D"))))</f>
        <v/>
      </c>
      <c r="H2933" s="28"/>
      <c r="I2933" s="27"/>
      <c r="J2933" s="26"/>
      <c r="K2933" s="27"/>
      <c r="L2933" s="27"/>
      <c r="M2933" s="27"/>
      <c r="N2933" s="27"/>
      <c r="O2933" s="24" t="str">
        <f aca="false">IF(G2933="","",VLOOKUP(G2933,Setup!$A$14:$C$17,3,0))</f>
        <v/>
      </c>
      <c r="P2933" s="27"/>
      <c r="Q2933" s="29" t="str">
        <f aca="false">IF(OR(P2933="",M2933&lt;&gt;"Paid",O2933=""),"",P2933/O2933)</f>
        <v/>
      </c>
      <c r="R2933" s="30" t="str">
        <f aca="false">IF(Q2933="","",Q2933+N(H2933)*0.000000001)</f>
        <v/>
      </c>
      <c r="S2933" s="25" t="str">
        <f aca="false">IF(R2933="","",SUMPRODUCT((I$5:I$4004=I2933)*ISNUMBER(R$5:R$4004)*(R$5:R$4004&gt;R2933))+1)</f>
        <v/>
      </c>
      <c r="T2933" s="25" t="str">
        <f aca="false">IF(S2933="","",IF(S2933&lt;=Setup!$B$5,"🏆 WINNER",""))</f>
        <v/>
      </c>
      <c r="U2933" s="24" t="str">
        <f aca="false">IF(S2933="","",I2933&amp;"|"&amp;S2933)</f>
        <v/>
      </c>
    </row>
    <row r="2934" customFormat="false" ht="15" hidden="false" customHeight="false" outlineLevel="0" collapsed="false">
      <c r="A2934" s="31" t="n">
        <v>2930</v>
      </c>
      <c r="B2934" s="32" t="str">
        <f aca="false">IF(OR(C2934="",I2934="",G2934=""),"",IFERROR(VLOOKUP(I2934,Setup!$A$9:$B$11,2,0),"???")&amp;"-"&amp;G2934&amp;"-"&amp;TEXT(COUNTIFS(I$5:I2934,I2934,G$5:G2934,G2934),"0000"))</f>
        <v/>
      </c>
      <c r="C2934" s="26"/>
      <c r="D2934" s="26"/>
      <c r="E2934" s="27"/>
      <c r="F2934" s="27"/>
      <c r="G2934" s="31" t="str">
        <f aca="false">IF(F2934="","",IF(F2934&lt;=5,"A",IF(F2934&lt;=8,"B",IF(F2934&lt;=10,"C","D"))))</f>
        <v/>
      </c>
      <c r="H2934" s="28"/>
      <c r="I2934" s="27"/>
      <c r="J2934" s="26"/>
      <c r="K2934" s="27"/>
      <c r="L2934" s="27"/>
      <c r="M2934" s="27"/>
      <c r="N2934" s="27"/>
      <c r="O2934" s="31" t="str">
        <f aca="false">IF(G2934="","",VLOOKUP(G2934,Setup!$A$14:$C$17,3,0))</f>
        <v/>
      </c>
      <c r="P2934" s="27"/>
      <c r="Q2934" s="33" t="str">
        <f aca="false">IF(OR(P2934="",M2934&lt;&gt;"Paid",O2934=""),"",P2934/O2934)</f>
        <v/>
      </c>
      <c r="R2934" s="34" t="str">
        <f aca="false">IF(Q2934="","",Q2934+N(H2934)*0.000000001)</f>
        <v/>
      </c>
      <c r="S2934" s="32" t="str">
        <f aca="false">IF(R2934="","",SUMPRODUCT((I$5:I$4004=I2934)*ISNUMBER(R$5:R$4004)*(R$5:R$4004&gt;R2934))+1)</f>
        <v/>
      </c>
      <c r="T2934" s="32" t="str">
        <f aca="false">IF(S2934="","",IF(S2934&lt;=Setup!$B$5,"🏆 WINNER",""))</f>
        <v/>
      </c>
      <c r="U2934" s="31" t="str">
        <f aca="false">IF(S2934="","",I2934&amp;"|"&amp;S2934)</f>
        <v/>
      </c>
    </row>
    <row r="2935" customFormat="false" ht="15" hidden="false" customHeight="false" outlineLevel="0" collapsed="false">
      <c r="A2935" s="24" t="n">
        <v>2931</v>
      </c>
      <c r="B2935" s="25" t="str">
        <f aca="false">IF(OR(C2935="",I2935="",G2935=""),"",IFERROR(VLOOKUP(I2935,Setup!$A$9:$B$11,2,0),"???")&amp;"-"&amp;G2935&amp;"-"&amp;TEXT(COUNTIFS(I$5:I2935,I2935,G$5:G2935,G2935),"0000"))</f>
        <v/>
      </c>
      <c r="C2935" s="26"/>
      <c r="D2935" s="26"/>
      <c r="E2935" s="27"/>
      <c r="F2935" s="27"/>
      <c r="G2935" s="24" t="str">
        <f aca="false">IF(F2935="","",IF(F2935&lt;=5,"A",IF(F2935&lt;=8,"B",IF(F2935&lt;=10,"C","D"))))</f>
        <v/>
      </c>
      <c r="H2935" s="28"/>
      <c r="I2935" s="27"/>
      <c r="J2935" s="26"/>
      <c r="K2935" s="27"/>
      <c r="L2935" s="27"/>
      <c r="M2935" s="27"/>
      <c r="N2935" s="27"/>
      <c r="O2935" s="24" t="str">
        <f aca="false">IF(G2935="","",VLOOKUP(G2935,Setup!$A$14:$C$17,3,0))</f>
        <v/>
      </c>
      <c r="P2935" s="27"/>
      <c r="Q2935" s="29" t="str">
        <f aca="false">IF(OR(P2935="",M2935&lt;&gt;"Paid",O2935=""),"",P2935/O2935)</f>
        <v/>
      </c>
      <c r="R2935" s="30" t="str">
        <f aca="false">IF(Q2935="","",Q2935+N(H2935)*0.000000001)</f>
        <v/>
      </c>
      <c r="S2935" s="25" t="str">
        <f aca="false">IF(R2935="","",SUMPRODUCT((I$5:I$4004=I2935)*ISNUMBER(R$5:R$4004)*(R$5:R$4004&gt;R2935))+1)</f>
        <v/>
      </c>
      <c r="T2935" s="25" t="str">
        <f aca="false">IF(S2935="","",IF(S2935&lt;=Setup!$B$5,"🏆 WINNER",""))</f>
        <v/>
      </c>
      <c r="U2935" s="24" t="str">
        <f aca="false">IF(S2935="","",I2935&amp;"|"&amp;S2935)</f>
        <v/>
      </c>
    </row>
    <row r="2936" customFormat="false" ht="15" hidden="false" customHeight="false" outlineLevel="0" collapsed="false">
      <c r="A2936" s="31" t="n">
        <v>2932</v>
      </c>
      <c r="B2936" s="32" t="str">
        <f aca="false">IF(OR(C2936="",I2936="",G2936=""),"",IFERROR(VLOOKUP(I2936,Setup!$A$9:$B$11,2,0),"???")&amp;"-"&amp;G2936&amp;"-"&amp;TEXT(COUNTIFS(I$5:I2936,I2936,G$5:G2936,G2936),"0000"))</f>
        <v/>
      </c>
      <c r="C2936" s="26"/>
      <c r="D2936" s="26"/>
      <c r="E2936" s="27"/>
      <c r="F2936" s="27"/>
      <c r="G2936" s="31" t="str">
        <f aca="false">IF(F2936="","",IF(F2936&lt;=5,"A",IF(F2936&lt;=8,"B",IF(F2936&lt;=10,"C","D"))))</f>
        <v/>
      </c>
      <c r="H2936" s="28"/>
      <c r="I2936" s="27"/>
      <c r="J2936" s="26"/>
      <c r="K2936" s="27"/>
      <c r="L2936" s="27"/>
      <c r="M2936" s="27"/>
      <c r="N2936" s="27"/>
      <c r="O2936" s="31" t="str">
        <f aca="false">IF(G2936="","",VLOOKUP(G2936,Setup!$A$14:$C$17,3,0))</f>
        <v/>
      </c>
      <c r="P2936" s="27"/>
      <c r="Q2936" s="33" t="str">
        <f aca="false">IF(OR(P2936="",M2936&lt;&gt;"Paid",O2936=""),"",P2936/O2936)</f>
        <v/>
      </c>
      <c r="R2936" s="34" t="str">
        <f aca="false">IF(Q2936="","",Q2936+N(H2936)*0.000000001)</f>
        <v/>
      </c>
      <c r="S2936" s="32" t="str">
        <f aca="false">IF(R2936="","",SUMPRODUCT((I$5:I$4004=I2936)*ISNUMBER(R$5:R$4004)*(R$5:R$4004&gt;R2936))+1)</f>
        <v/>
      </c>
      <c r="T2936" s="32" t="str">
        <f aca="false">IF(S2936="","",IF(S2936&lt;=Setup!$B$5,"🏆 WINNER",""))</f>
        <v/>
      </c>
      <c r="U2936" s="31" t="str">
        <f aca="false">IF(S2936="","",I2936&amp;"|"&amp;S2936)</f>
        <v/>
      </c>
    </row>
    <row r="2937" customFormat="false" ht="15" hidden="false" customHeight="false" outlineLevel="0" collapsed="false">
      <c r="A2937" s="24" t="n">
        <v>2933</v>
      </c>
      <c r="B2937" s="25" t="str">
        <f aca="false">IF(OR(C2937="",I2937="",G2937=""),"",IFERROR(VLOOKUP(I2937,Setup!$A$9:$B$11,2,0),"???")&amp;"-"&amp;G2937&amp;"-"&amp;TEXT(COUNTIFS(I$5:I2937,I2937,G$5:G2937,G2937),"0000"))</f>
        <v/>
      </c>
      <c r="C2937" s="26"/>
      <c r="D2937" s="26"/>
      <c r="E2937" s="27"/>
      <c r="F2937" s="27"/>
      <c r="G2937" s="24" t="str">
        <f aca="false">IF(F2937="","",IF(F2937&lt;=5,"A",IF(F2937&lt;=8,"B",IF(F2937&lt;=10,"C","D"))))</f>
        <v/>
      </c>
      <c r="H2937" s="28"/>
      <c r="I2937" s="27"/>
      <c r="J2937" s="26"/>
      <c r="K2937" s="27"/>
      <c r="L2937" s="27"/>
      <c r="M2937" s="27"/>
      <c r="N2937" s="27"/>
      <c r="O2937" s="24" t="str">
        <f aca="false">IF(G2937="","",VLOOKUP(G2937,Setup!$A$14:$C$17,3,0))</f>
        <v/>
      </c>
      <c r="P2937" s="27"/>
      <c r="Q2937" s="29" t="str">
        <f aca="false">IF(OR(P2937="",M2937&lt;&gt;"Paid",O2937=""),"",P2937/O2937)</f>
        <v/>
      </c>
      <c r="R2937" s="30" t="str">
        <f aca="false">IF(Q2937="","",Q2937+N(H2937)*0.000000001)</f>
        <v/>
      </c>
      <c r="S2937" s="25" t="str">
        <f aca="false">IF(R2937="","",SUMPRODUCT((I$5:I$4004=I2937)*ISNUMBER(R$5:R$4004)*(R$5:R$4004&gt;R2937))+1)</f>
        <v/>
      </c>
      <c r="T2937" s="25" t="str">
        <f aca="false">IF(S2937="","",IF(S2937&lt;=Setup!$B$5,"🏆 WINNER",""))</f>
        <v/>
      </c>
      <c r="U2937" s="24" t="str">
        <f aca="false">IF(S2937="","",I2937&amp;"|"&amp;S2937)</f>
        <v/>
      </c>
    </row>
    <row r="2938" customFormat="false" ht="15" hidden="false" customHeight="false" outlineLevel="0" collapsed="false">
      <c r="A2938" s="31" t="n">
        <v>2934</v>
      </c>
      <c r="B2938" s="32" t="str">
        <f aca="false">IF(OR(C2938="",I2938="",G2938=""),"",IFERROR(VLOOKUP(I2938,Setup!$A$9:$B$11,2,0),"???")&amp;"-"&amp;G2938&amp;"-"&amp;TEXT(COUNTIFS(I$5:I2938,I2938,G$5:G2938,G2938),"0000"))</f>
        <v/>
      </c>
      <c r="C2938" s="26"/>
      <c r="D2938" s="26"/>
      <c r="E2938" s="27"/>
      <c r="F2938" s="27"/>
      <c r="G2938" s="31" t="str">
        <f aca="false">IF(F2938="","",IF(F2938&lt;=5,"A",IF(F2938&lt;=8,"B",IF(F2938&lt;=10,"C","D"))))</f>
        <v/>
      </c>
      <c r="H2938" s="28"/>
      <c r="I2938" s="27"/>
      <c r="J2938" s="26"/>
      <c r="K2938" s="27"/>
      <c r="L2938" s="27"/>
      <c r="M2938" s="27"/>
      <c r="N2938" s="27"/>
      <c r="O2938" s="31" t="str">
        <f aca="false">IF(G2938="","",VLOOKUP(G2938,Setup!$A$14:$C$17,3,0))</f>
        <v/>
      </c>
      <c r="P2938" s="27"/>
      <c r="Q2938" s="33" t="str">
        <f aca="false">IF(OR(P2938="",M2938&lt;&gt;"Paid",O2938=""),"",P2938/O2938)</f>
        <v/>
      </c>
      <c r="R2938" s="34" t="str">
        <f aca="false">IF(Q2938="","",Q2938+N(H2938)*0.000000001)</f>
        <v/>
      </c>
      <c r="S2938" s="32" t="str">
        <f aca="false">IF(R2938="","",SUMPRODUCT((I$5:I$4004=I2938)*ISNUMBER(R$5:R$4004)*(R$5:R$4004&gt;R2938))+1)</f>
        <v/>
      </c>
      <c r="T2938" s="32" t="str">
        <f aca="false">IF(S2938="","",IF(S2938&lt;=Setup!$B$5,"🏆 WINNER",""))</f>
        <v/>
      </c>
      <c r="U2938" s="31" t="str">
        <f aca="false">IF(S2938="","",I2938&amp;"|"&amp;S2938)</f>
        <v/>
      </c>
    </row>
    <row r="2939" customFormat="false" ht="15" hidden="false" customHeight="false" outlineLevel="0" collapsed="false">
      <c r="A2939" s="24" t="n">
        <v>2935</v>
      </c>
      <c r="B2939" s="25" t="str">
        <f aca="false">IF(OR(C2939="",I2939="",G2939=""),"",IFERROR(VLOOKUP(I2939,Setup!$A$9:$B$11,2,0),"???")&amp;"-"&amp;G2939&amp;"-"&amp;TEXT(COUNTIFS(I$5:I2939,I2939,G$5:G2939,G2939),"0000"))</f>
        <v/>
      </c>
      <c r="C2939" s="26"/>
      <c r="D2939" s="26"/>
      <c r="E2939" s="27"/>
      <c r="F2939" s="27"/>
      <c r="G2939" s="24" t="str">
        <f aca="false">IF(F2939="","",IF(F2939&lt;=5,"A",IF(F2939&lt;=8,"B",IF(F2939&lt;=10,"C","D"))))</f>
        <v/>
      </c>
      <c r="H2939" s="28"/>
      <c r="I2939" s="27"/>
      <c r="J2939" s="26"/>
      <c r="K2939" s="27"/>
      <c r="L2939" s="27"/>
      <c r="M2939" s="27"/>
      <c r="N2939" s="27"/>
      <c r="O2939" s="24" t="str">
        <f aca="false">IF(G2939="","",VLOOKUP(G2939,Setup!$A$14:$C$17,3,0))</f>
        <v/>
      </c>
      <c r="P2939" s="27"/>
      <c r="Q2939" s="29" t="str">
        <f aca="false">IF(OR(P2939="",M2939&lt;&gt;"Paid",O2939=""),"",P2939/O2939)</f>
        <v/>
      </c>
      <c r="R2939" s="30" t="str">
        <f aca="false">IF(Q2939="","",Q2939+N(H2939)*0.000000001)</f>
        <v/>
      </c>
      <c r="S2939" s="25" t="str">
        <f aca="false">IF(R2939="","",SUMPRODUCT((I$5:I$4004=I2939)*ISNUMBER(R$5:R$4004)*(R$5:R$4004&gt;R2939))+1)</f>
        <v/>
      </c>
      <c r="T2939" s="25" t="str">
        <f aca="false">IF(S2939="","",IF(S2939&lt;=Setup!$B$5,"🏆 WINNER",""))</f>
        <v/>
      </c>
      <c r="U2939" s="24" t="str">
        <f aca="false">IF(S2939="","",I2939&amp;"|"&amp;S2939)</f>
        <v/>
      </c>
    </row>
    <row r="2940" customFormat="false" ht="15" hidden="false" customHeight="false" outlineLevel="0" collapsed="false">
      <c r="A2940" s="31" t="n">
        <v>2936</v>
      </c>
      <c r="B2940" s="32" t="str">
        <f aca="false">IF(OR(C2940="",I2940="",G2940=""),"",IFERROR(VLOOKUP(I2940,Setup!$A$9:$B$11,2,0),"???")&amp;"-"&amp;G2940&amp;"-"&amp;TEXT(COUNTIFS(I$5:I2940,I2940,G$5:G2940,G2940),"0000"))</f>
        <v/>
      </c>
      <c r="C2940" s="26"/>
      <c r="D2940" s="26"/>
      <c r="E2940" s="27"/>
      <c r="F2940" s="27"/>
      <c r="G2940" s="31" t="str">
        <f aca="false">IF(F2940="","",IF(F2940&lt;=5,"A",IF(F2940&lt;=8,"B",IF(F2940&lt;=10,"C","D"))))</f>
        <v/>
      </c>
      <c r="H2940" s="28"/>
      <c r="I2940" s="27"/>
      <c r="J2940" s="26"/>
      <c r="K2940" s="27"/>
      <c r="L2940" s="27"/>
      <c r="M2940" s="27"/>
      <c r="N2940" s="27"/>
      <c r="O2940" s="31" t="str">
        <f aca="false">IF(G2940="","",VLOOKUP(G2940,Setup!$A$14:$C$17,3,0))</f>
        <v/>
      </c>
      <c r="P2940" s="27"/>
      <c r="Q2940" s="33" t="str">
        <f aca="false">IF(OR(P2940="",M2940&lt;&gt;"Paid",O2940=""),"",P2940/O2940)</f>
        <v/>
      </c>
      <c r="R2940" s="34" t="str">
        <f aca="false">IF(Q2940="","",Q2940+N(H2940)*0.000000001)</f>
        <v/>
      </c>
      <c r="S2940" s="32" t="str">
        <f aca="false">IF(R2940="","",SUMPRODUCT((I$5:I$4004=I2940)*ISNUMBER(R$5:R$4004)*(R$5:R$4004&gt;R2940))+1)</f>
        <v/>
      </c>
      <c r="T2940" s="32" t="str">
        <f aca="false">IF(S2940="","",IF(S2940&lt;=Setup!$B$5,"🏆 WINNER",""))</f>
        <v/>
      </c>
      <c r="U2940" s="31" t="str">
        <f aca="false">IF(S2940="","",I2940&amp;"|"&amp;S2940)</f>
        <v/>
      </c>
    </row>
    <row r="2941" customFormat="false" ht="15" hidden="false" customHeight="false" outlineLevel="0" collapsed="false">
      <c r="A2941" s="24" t="n">
        <v>2937</v>
      </c>
      <c r="B2941" s="25" t="str">
        <f aca="false">IF(OR(C2941="",I2941="",G2941=""),"",IFERROR(VLOOKUP(I2941,Setup!$A$9:$B$11,2,0),"???")&amp;"-"&amp;G2941&amp;"-"&amp;TEXT(COUNTIFS(I$5:I2941,I2941,G$5:G2941,G2941),"0000"))</f>
        <v/>
      </c>
      <c r="C2941" s="26"/>
      <c r="D2941" s="26"/>
      <c r="E2941" s="27"/>
      <c r="F2941" s="27"/>
      <c r="G2941" s="24" t="str">
        <f aca="false">IF(F2941="","",IF(F2941&lt;=5,"A",IF(F2941&lt;=8,"B",IF(F2941&lt;=10,"C","D"))))</f>
        <v/>
      </c>
      <c r="H2941" s="28"/>
      <c r="I2941" s="27"/>
      <c r="J2941" s="26"/>
      <c r="K2941" s="27"/>
      <c r="L2941" s="27"/>
      <c r="M2941" s="27"/>
      <c r="N2941" s="27"/>
      <c r="O2941" s="24" t="str">
        <f aca="false">IF(G2941="","",VLOOKUP(G2941,Setup!$A$14:$C$17,3,0))</f>
        <v/>
      </c>
      <c r="P2941" s="27"/>
      <c r="Q2941" s="29" t="str">
        <f aca="false">IF(OR(P2941="",M2941&lt;&gt;"Paid",O2941=""),"",P2941/O2941)</f>
        <v/>
      </c>
      <c r="R2941" s="30" t="str">
        <f aca="false">IF(Q2941="","",Q2941+N(H2941)*0.000000001)</f>
        <v/>
      </c>
      <c r="S2941" s="25" t="str">
        <f aca="false">IF(R2941="","",SUMPRODUCT((I$5:I$4004=I2941)*ISNUMBER(R$5:R$4004)*(R$5:R$4004&gt;R2941))+1)</f>
        <v/>
      </c>
      <c r="T2941" s="25" t="str">
        <f aca="false">IF(S2941="","",IF(S2941&lt;=Setup!$B$5,"🏆 WINNER",""))</f>
        <v/>
      </c>
      <c r="U2941" s="24" t="str">
        <f aca="false">IF(S2941="","",I2941&amp;"|"&amp;S2941)</f>
        <v/>
      </c>
    </row>
    <row r="2942" customFormat="false" ht="15" hidden="false" customHeight="false" outlineLevel="0" collapsed="false">
      <c r="A2942" s="31" t="n">
        <v>2938</v>
      </c>
      <c r="B2942" s="32" t="str">
        <f aca="false">IF(OR(C2942="",I2942="",G2942=""),"",IFERROR(VLOOKUP(I2942,Setup!$A$9:$B$11,2,0),"???")&amp;"-"&amp;G2942&amp;"-"&amp;TEXT(COUNTIFS(I$5:I2942,I2942,G$5:G2942,G2942),"0000"))</f>
        <v/>
      </c>
      <c r="C2942" s="26"/>
      <c r="D2942" s="26"/>
      <c r="E2942" s="27"/>
      <c r="F2942" s="27"/>
      <c r="G2942" s="31" t="str">
        <f aca="false">IF(F2942="","",IF(F2942&lt;=5,"A",IF(F2942&lt;=8,"B",IF(F2942&lt;=10,"C","D"))))</f>
        <v/>
      </c>
      <c r="H2942" s="28"/>
      <c r="I2942" s="27"/>
      <c r="J2942" s="26"/>
      <c r="K2942" s="27"/>
      <c r="L2942" s="27"/>
      <c r="M2942" s="27"/>
      <c r="N2942" s="27"/>
      <c r="O2942" s="31" t="str">
        <f aca="false">IF(G2942="","",VLOOKUP(G2942,Setup!$A$14:$C$17,3,0))</f>
        <v/>
      </c>
      <c r="P2942" s="27"/>
      <c r="Q2942" s="33" t="str">
        <f aca="false">IF(OR(P2942="",M2942&lt;&gt;"Paid",O2942=""),"",P2942/O2942)</f>
        <v/>
      </c>
      <c r="R2942" s="34" t="str">
        <f aca="false">IF(Q2942="","",Q2942+N(H2942)*0.000000001)</f>
        <v/>
      </c>
      <c r="S2942" s="32" t="str">
        <f aca="false">IF(R2942="","",SUMPRODUCT((I$5:I$4004=I2942)*ISNUMBER(R$5:R$4004)*(R$5:R$4004&gt;R2942))+1)</f>
        <v/>
      </c>
      <c r="T2942" s="32" t="str">
        <f aca="false">IF(S2942="","",IF(S2942&lt;=Setup!$B$5,"🏆 WINNER",""))</f>
        <v/>
      </c>
      <c r="U2942" s="31" t="str">
        <f aca="false">IF(S2942="","",I2942&amp;"|"&amp;S2942)</f>
        <v/>
      </c>
    </row>
    <row r="2943" customFormat="false" ht="15" hidden="false" customHeight="false" outlineLevel="0" collapsed="false">
      <c r="A2943" s="24" t="n">
        <v>2939</v>
      </c>
      <c r="B2943" s="25" t="str">
        <f aca="false">IF(OR(C2943="",I2943="",G2943=""),"",IFERROR(VLOOKUP(I2943,Setup!$A$9:$B$11,2,0),"???")&amp;"-"&amp;G2943&amp;"-"&amp;TEXT(COUNTIFS(I$5:I2943,I2943,G$5:G2943,G2943),"0000"))</f>
        <v/>
      </c>
      <c r="C2943" s="26"/>
      <c r="D2943" s="26"/>
      <c r="E2943" s="27"/>
      <c r="F2943" s="27"/>
      <c r="G2943" s="24" t="str">
        <f aca="false">IF(F2943="","",IF(F2943&lt;=5,"A",IF(F2943&lt;=8,"B",IF(F2943&lt;=10,"C","D"))))</f>
        <v/>
      </c>
      <c r="H2943" s="28"/>
      <c r="I2943" s="27"/>
      <c r="J2943" s="26"/>
      <c r="K2943" s="27"/>
      <c r="L2943" s="27"/>
      <c r="M2943" s="27"/>
      <c r="N2943" s="27"/>
      <c r="O2943" s="24" t="str">
        <f aca="false">IF(G2943="","",VLOOKUP(G2943,Setup!$A$14:$C$17,3,0))</f>
        <v/>
      </c>
      <c r="P2943" s="27"/>
      <c r="Q2943" s="29" t="str">
        <f aca="false">IF(OR(P2943="",M2943&lt;&gt;"Paid",O2943=""),"",P2943/O2943)</f>
        <v/>
      </c>
      <c r="R2943" s="30" t="str">
        <f aca="false">IF(Q2943="","",Q2943+N(H2943)*0.000000001)</f>
        <v/>
      </c>
      <c r="S2943" s="25" t="str">
        <f aca="false">IF(R2943="","",SUMPRODUCT((I$5:I$4004=I2943)*ISNUMBER(R$5:R$4004)*(R$5:R$4004&gt;R2943))+1)</f>
        <v/>
      </c>
      <c r="T2943" s="25" t="str">
        <f aca="false">IF(S2943="","",IF(S2943&lt;=Setup!$B$5,"🏆 WINNER",""))</f>
        <v/>
      </c>
      <c r="U2943" s="24" t="str">
        <f aca="false">IF(S2943="","",I2943&amp;"|"&amp;S2943)</f>
        <v/>
      </c>
    </row>
    <row r="2944" customFormat="false" ht="15" hidden="false" customHeight="false" outlineLevel="0" collapsed="false">
      <c r="A2944" s="31" t="n">
        <v>2940</v>
      </c>
      <c r="B2944" s="32" t="str">
        <f aca="false">IF(OR(C2944="",I2944="",G2944=""),"",IFERROR(VLOOKUP(I2944,Setup!$A$9:$B$11,2,0),"???")&amp;"-"&amp;G2944&amp;"-"&amp;TEXT(COUNTIFS(I$5:I2944,I2944,G$5:G2944,G2944),"0000"))</f>
        <v/>
      </c>
      <c r="C2944" s="26"/>
      <c r="D2944" s="26"/>
      <c r="E2944" s="27"/>
      <c r="F2944" s="27"/>
      <c r="G2944" s="31" t="str">
        <f aca="false">IF(F2944="","",IF(F2944&lt;=5,"A",IF(F2944&lt;=8,"B",IF(F2944&lt;=10,"C","D"))))</f>
        <v/>
      </c>
      <c r="H2944" s="28"/>
      <c r="I2944" s="27"/>
      <c r="J2944" s="26"/>
      <c r="K2944" s="27"/>
      <c r="L2944" s="27"/>
      <c r="M2944" s="27"/>
      <c r="N2944" s="27"/>
      <c r="O2944" s="31" t="str">
        <f aca="false">IF(G2944="","",VLOOKUP(G2944,Setup!$A$14:$C$17,3,0))</f>
        <v/>
      </c>
      <c r="P2944" s="27"/>
      <c r="Q2944" s="33" t="str">
        <f aca="false">IF(OR(P2944="",M2944&lt;&gt;"Paid",O2944=""),"",P2944/O2944)</f>
        <v/>
      </c>
      <c r="R2944" s="34" t="str">
        <f aca="false">IF(Q2944="","",Q2944+N(H2944)*0.000000001)</f>
        <v/>
      </c>
      <c r="S2944" s="32" t="str">
        <f aca="false">IF(R2944="","",SUMPRODUCT((I$5:I$4004=I2944)*ISNUMBER(R$5:R$4004)*(R$5:R$4004&gt;R2944))+1)</f>
        <v/>
      </c>
      <c r="T2944" s="32" t="str">
        <f aca="false">IF(S2944="","",IF(S2944&lt;=Setup!$B$5,"🏆 WINNER",""))</f>
        <v/>
      </c>
      <c r="U2944" s="31" t="str">
        <f aca="false">IF(S2944="","",I2944&amp;"|"&amp;S2944)</f>
        <v/>
      </c>
    </row>
    <row r="2945" customFormat="false" ht="15" hidden="false" customHeight="false" outlineLevel="0" collapsed="false">
      <c r="A2945" s="24" t="n">
        <v>2941</v>
      </c>
      <c r="B2945" s="25" t="str">
        <f aca="false">IF(OR(C2945="",I2945="",G2945=""),"",IFERROR(VLOOKUP(I2945,Setup!$A$9:$B$11,2,0),"???")&amp;"-"&amp;G2945&amp;"-"&amp;TEXT(COUNTIFS(I$5:I2945,I2945,G$5:G2945,G2945),"0000"))</f>
        <v/>
      </c>
      <c r="C2945" s="26"/>
      <c r="D2945" s="26"/>
      <c r="E2945" s="27"/>
      <c r="F2945" s="27"/>
      <c r="G2945" s="24" t="str">
        <f aca="false">IF(F2945="","",IF(F2945&lt;=5,"A",IF(F2945&lt;=8,"B",IF(F2945&lt;=10,"C","D"))))</f>
        <v/>
      </c>
      <c r="H2945" s="28"/>
      <c r="I2945" s="27"/>
      <c r="J2945" s="26"/>
      <c r="K2945" s="27"/>
      <c r="L2945" s="27"/>
      <c r="M2945" s="27"/>
      <c r="N2945" s="27"/>
      <c r="O2945" s="24" t="str">
        <f aca="false">IF(G2945="","",VLOOKUP(G2945,Setup!$A$14:$C$17,3,0))</f>
        <v/>
      </c>
      <c r="P2945" s="27"/>
      <c r="Q2945" s="29" t="str">
        <f aca="false">IF(OR(P2945="",M2945&lt;&gt;"Paid",O2945=""),"",P2945/O2945)</f>
        <v/>
      </c>
      <c r="R2945" s="30" t="str">
        <f aca="false">IF(Q2945="","",Q2945+N(H2945)*0.000000001)</f>
        <v/>
      </c>
      <c r="S2945" s="25" t="str">
        <f aca="false">IF(R2945="","",SUMPRODUCT((I$5:I$4004=I2945)*ISNUMBER(R$5:R$4004)*(R$5:R$4004&gt;R2945))+1)</f>
        <v/>
      </c>
      <c r="T2945" s="25" t="str">
        <f aca="false">IF(S2945="","",IF(S2945&lt;=Setup!$B$5,"🏆 WINNER",""))</f>
        <v/>
      </c>
      <c r="U2945" s="24" t="str">
        <f aca="false">IF(S2945="","",I2945&amp;"|"&amp;S2945)</f>
        <v/>
      </c>
    </row>
    <row r="2946" customFormat="false" ht="15" hidden="false" customHeight="false" outlineLevel="0" collapsed="false">
      <c r="A2946" s="31" t="n">
        <v>2942</v>
      </c>
      <c r="B2946" s="32" t="str">
        <f aca="false">IF(OR(C2946="",I2946="",G2946=""),"",IFERROR(VLOOKUP(I2946,Setup!$A$9:$B$11,2,0),"???")&amp;"-"&amp;G2946&amp;"-"&amp;TEXT(COUNTIFS(I$5:I2946,I2946,G$5:G2946,G2946),"0000"))</f>
        <v/>
      </c>
      <c r="C2946" s="26"/>
      <c r="D2946" s="26"/>
      <c r="E2946" s="27"/>
      <c r="F2946" s="27"/>
      <c r="G2946" s="31" t="str">
        <f aca="false">IF(F2946="","",IF(F2946&lt;=5,"A",IF(F2946&lt;=8,"B",IF(F2946&lt;=10,"C","D"))))</f>
        <v/>
      </c>
      <c r="H2946" s="28"/>
      <c r="I2946" s="27"/>
      <c r="J2946" s="26"/>
      <c r="K2946" s="27"/>
      <c r="L2946" s="27"/>
      <c r="M2946" s="27"/>
      <c r="N2946" s="27"/>
      <c r="O2946" s="31" t="str">
        <f aca="false">IF(G2946="","",VLOOKUP(G2946,Setup!$A$14:$C$17,3,0))</f>
        <v/>
      </c>
      <c r="P2946" s="27"/>
      <c r="Q2946" s="33" t="str">
        <f aca="false">IF(OR(P2946="",M2946&lt;&gt;"Paid",O2946=""),"",P2946/O2946)</f>
        <v/>
      </c>
      <c r="R2946" s="34" t="str">
        <f aca="false">IF(Q2946="","",Q2946+N(H2946)*0.000000001)</f>
        <v/>
      </c>
      <c r="S2946" s="32" t="str">
        <f aca="false">IF(R2946="","",SUMPRODUCT((I$5:I$4004=I2946)*ISNUMBER(R$5:R$4004)*(R$5:R$4004&gt;R2946))+1)</f>
        <v/>
      </c>
      <c r="T2946" s="32" t="str">
        <f aca="false">IF(S2946="","",IF(S2946&lt;=Setup!$B$5,"🏆 WINNER",""))</f>
        <v/>
      </c>
      <c r="U2946" s="31" t="str">
        <f aca="false">IF(S2946="","",I2946&amp;"|"&amp;S2946)</f>
        <v/>
      </c>
    </row>
    <row r="2947" customFormat="false" ht="15" hidden="false" customHeight="false" outlineLevel="0" collapsed="false">
      <c r="A2947" s="24" t="n">
        <v>2943</v>
      </c>
      <c r="B2947" s="25" t="str">
        <f aca="false">IF(OR(C2947="",I2947="",G2947=""),"",IFERROR(VLOOKUP(I2947,Setup!$A$9:$B$11,2,0),"???")&amp;"-"&amp;G2947&amp;"-"&amp;TEXT(COUNTIFS(I$5:I2947,I2947,G$5:G2947,G2947),"0000"))</f>
        <v/>
      </c>
      <c r="C2947" s="26"/>
      <c r="D2947" s="26"/>
      <c r="E2947" s="27"/>
      <c r="F2947" s="27"/>
      <c r="G2947" s="24" t="str">
        <f aca="false">IF(F2947="","",IF(F2947&lt;=5,"A",IF(F2947&lt;=8,"B",IF(F2947&lt;=10,"C","D"))))</f>
        <v/>
      </c>
      <c r="H2947" s="28"/>
      <c r="I2947" s="27"/>
      <c r="J2947" s="26"/>
      <c r="K2947" s="27"/>
      <c r="L2947" s="27"/>
      <c r="M2947" s="27"/>
      <c r="N2947" s="27"/>
      <c r="O2947" s="24" t="str">
        <f aca="false">IF(G2947="","",VLOOKUP(G2947,Setup!$A$14:$C$17,3,0))</f>
        <v/>
      </c>
      <c r="P2947" s="27"/>
      <c r="Q2947" s="29" t="str">
        <f aca="false">IF(OR(P2947="",M2947&lt;&gt;"Paid",O2947=""),"",P2947/O2947)</f>
        <v/>
      </c>
      <c r="R2947" s="30" t="str">
        <f aca="false">IF(Q2947="","",Q2947+N(H2947)*0.000000001)</f>
        <v/>
      </c>
      <c r="S2947" s="25" t="str">
        <f aca="false">IF(R2947="","",SUMPRODUCT((I$5:I$4004=I2947)*ISNUMBER(R$5:R$4004)*(R$5:R$4004&gt;R2947))+1)</f>
        <v/>
      </c>
      <c r="T2947" s="25" t="str">
        <f aca="false">IF(S2947="","",IF(S2947&lt;=Setup!$B$5,"🏆 WINNER",""))</f>
        <v/>
      </c>
      <c r="U2947" s="24" t="str">
        <f aca="false">IF(S2947="","",I2947&amp;"|"&amp;S2947)</f>
        <v/>
      </c>
    </row>
    <row r="2948" customFormat="false" ht="15" hidden="false" customHeight="false" outlineLevel="0" collapsed="false">
      <c r="A2948" s="31" t="n">
        <v>2944</v>
      </c>
      <c r="B2948" s="32" t="str">
        <f aca="false">IF(OR(C2948="",I2948="",G2948=""),"",IFERROR(VLOOKUP(I2948,Setup!$A$9:$B$11,2,0),"???")&amp;"-"&amp;G2948&amp;"-"&amp;TEXT(COUNTIFS(I$5:I2948,I2948,G$5:G2948,G2948),"0000"))</f>
        <v/>
      </c>
      <c r="C2948" s="26"/>
      <c r="D2948" s="26"/>
      <c r="E2948" s="27"/>
      <c r="F2948" s="27"/>
      <c r="G2948" s="31" t="str">
        <f aca="false">IF(F2948="","",IF(F2948&lt;=5,"A",IF(F2948&lt;=8,"B",IF(F2948&lt;=10,"C","D"))))</f>
        <v/>
      </c>
      <c r="H2948" s="28"/>
      <c r="I2948" s="27"/>
      <c r="J2948" s="26"/>
      <c r="K2948" s="27"/>
      <c r="L2948" s="27"/>
      <c r="M2948" s="27"/>
      <c r="N2948" s="27"/>
      <c r="O2948" s="31" t="str">
        <f aca="false">IF(G2948="","",VLOOKUP(G2948,Setup!$A$14:$C$17,3,0))</f>
        <v/>
      </c>
      <c r="P2948" s="27"/>
      <c r="Q2948" s="33" t="str">
        <f aca="false">IF(OR(P2948="",M2948&lt;&gt;"Paid",O2948=""),"",P2948/O2948)</f>
        <v/>
      </c>
      <c r="R2948" s="34" t="str">
        <f aca="false">IF(Q2948="","",Q2948+N(H2948)*0.000000001)</f>
        <v/>
      </c>
      <c r="S2948" s="32" t="str">
        <f aca="false">IF(R2948="","",SUMPRODUCT((I$5:I$4004=I2948)*ISNUMBER(R$5:R$4004)*(R$5:R$4004&gt;R2948))+1)</f>
        <v/>
      </c>
      <c r="T2948" s="32" t="str">
        <f aca="false">IF(S2948="","",IF(S2948&lt;=Setup!$B$5,"🏆 WINNER",""))</f>
        <v/>
      </c>
      <c r="U2948" s="31" t="str">
        <f aca="false">IF(S2948="","",I2948&amp;"|"&amp;S2948)</f>
        <v/>
      </c>
    </row>
    <row r="2949" customFormat="false" ht="15" hidden="false" customHeight="false" outlineLevel="0" collapsed="false">
      <c r="A2949" s="24" t="n">
        <v>2945</v>
      </c>
      <c r="B2949" s="25" t="str">
        <f aca="false">IF(OR(C2949="",I2949="",G2949=""),"",IFERROR(VLOOKUP(I2949,Setup!$A$9:$B$11,2,0),"???")&amp;"-"&amp;G2949&amp;"-"&amp;TEXT(COUNTIFS(I$5:I2949,I2949,G$5:G2949,G2949),"0000"))</f>
        <v/>
      </c>
      <c r="C2949" s="26"/>
      <c r="D2949" s="26"/>
      <c r="E2949" s="27"/>
      <c r="F2949" s="27"/>
      <c r="G2949" s="24" t="str">
        <f aca="false">IF(F2949="","",IF(F2949&lt;=5,"A",IF(F2949&lt;=8,"B",IF(F2949&lt;=10,"C","D"))))</f>
        <v/>
      </c>
      <c r="H2949" s="28"/>
      <c r="I2949" s="27"/>
      <c r="J2949" s="26"/>
      <c r="K2949" s="27"/>
      <c r="L2949" s="27"/>
      <c r="M2949" s="27"/>
      <c r="N2949" s="27"/>
      <c r="O2949" s="24" t="str">
        <f aca="false">IF(G2949="","",VLOOKUP(G2949,Setup!$A$14:$C$17,3,0))</f>
        <v/>
      </c>
      <c r="P2949" s="27"/>
      <c r="Q2949" s="29" t="str">
        <f aca="false">IF(OR(P2949="",M2949&lt;&gt;"Paid",O2949=""),"",P2949/O2949)</f>
        <v/>
      </c>
      <c r="R2949" s="30" t="str">
        <f aca="false">IF(Q2949="","",Q2949+N(H2949)*0.000000001)</f>
        <v/>
      </c>
      <c r="S2949" s="25" t="str">
        <f aca="false">IF(R2949="","",SUMPRODUCT((I$5:I$4004=I2949)*ISNUMBER(R$5:R$4004)*(R$5:R$4004&gt;R2949))+1)</f>
        <v/>
      </c>
      <c r="T2949" s="25" t="str">
        <f aca="false">IF(S2949="","",IF(S2949&lt;=Setup!$B$5,"🏆 WINNER",""))</f>
        <v/>
      </c>
      <c r="U2949" s="24" t="str">
        <f aca="false">IF(S2949="","",I2949&amp;"|"&amp;S2949)</f>
        <v/>
      </c>
    </row>
    <row r="2950" customFormat="false" ht="15" hidden="false" customHeight="false" outlineLevel="0" collapsed="false">
      <c r="A2950" s="31" t="n">
        <v>2946</v>
      </c>
      <c r="B2950" s="32" t="str">
        <f aca="false">IF(OR(C2950="",I2950="",G2950=""),"",IFERROR(VLOOKUP(I2950,Setup!$A$9:$B$11,2,0),"???")&amp;"-"&amp;G2950&amp;"-"&amp;TEXT(COUNTIFS(I$5:I2950,I2950,G$5:G2950,G2950),"0000"))</f>
        <v/>
      </c>
      <c r="C2950" s="26"/>
      <c r="D2950" s="26"/>
      <c r="E2950" s="27"/>
      <c r="F2950" s="27"/>
      <c r="G2950" s="31" t="str">
        <f aca="false">IF(F2950="","",IF(F2950&lt;=5,"A",IF(F2950&lt;=8,"B",IF(F2950&lt;=10,"C","D"))))</f>
        <v/>
      </c>
      <c r="H2950" s="28"/>
      <c r="I2950" s="27"/>
      <c r="J2950" s="26"/>
      <c r="K2950" s="27"/>
      <c r="L2950" s="27"/>
      <c r="M2950" s="27"/>
      <c r="N2950" s="27"/>
      <c r="O2950" s="31" t="str">
        <f aca="false">IF(G2950="","",VLOOKUP(G2950,Setup!$A$14:$C$17,3,0))</f>
        <v/>
      </c>
      <c r="P2950" s="27"/>
      <c r="Q2950" s="33" t="str">
        <f aca="false">IF(OR(P2950="",M2950&lt;&gt;"Paid",O2950=""),"",P2950/O2950)</f>
        <v/>
      </c>
      <c r="R2950" s="34" t="str">
        <f aca="false">IF(Q2950="","",Q2950+N(H2950)*0.000000001)</f>
        <v/>
      </c>
      <c r="S2950" s="32" t="str">
        <f aca="false">IF(R2950="","",SUMPRODUCT((I$5:I$4004=I2950)*ISNUMBER(R$5:R$4004)*(R$5:R$4004&gt;R2950))+1)</f>
        <v/>
      </c>
      <c r="T2950" s="32" t="str">
        <f aca="false">IF(S2950="","",IF(S2950&lt;=Setup!$B$5,"🏆 WINNER",""))</f>
        <v/>
      </c>
      <c r="U2950" s="31" t="str">
        <f aca="false">IF(S2950="","",I2950&amp;"|"&amp;S2950)</f>
        <v/>
      </c>
    </row>
    <row r="2951" customFormat="false" ht="15" hidden="false" customHeight="false" outlineLevel="0" collapsed="false">
      <c r="A2951" s="24" t="n">
        <v>2947</v>
      </c>
      <c r="B2951" s="25" t="str">
        <f aca="false">IF(OR(C2951="",I2951="",G2951=""),"",IFERROR(VLOOKUP(I2951,Setup!$A$9:$B$11,2,0),"???")&amp;"-"&amp;G2951&amp;"-"&amp;TEXT(COUNTIFS(I$5:I2951,I2951,G$5:G2951,G2951),"0000"))</f>
        <v/>
      </c>
      <c r="C2951" s="26"/>
      <c r="D2951" s="26"/>
      <c r="E2951" s="27"/>
      <c r="F2951" s="27"/>
      <c r="G2951" s="24" t="str">
        <f aca="false">IF(F2951="","",IF(F2951&lt;=5,"A",IF(F2951&lt;=8,"B",IF(F2951&lt;=10,"C","D"))))</f>
        <v/>
      </c>
      <c r="H2951" s="28"/>
      <c r="I2951" s="27"/>
      <c r="J2951" s="26"/>
      <c r="K2951" s="27"/>
      <c r="L2951" s="27"/>
      <c r="M2951" s="27"/>
      <c r="N2951" s="27"/>
      <c r="O2951" s="24" t="str">
        <f aca="false">IF(G2951="","",VLOOKUP(G2951,Setup!$A$14:$C$17,3,0))</f>
        <v/>
      </c>
      <c r="P2951" s="27"/>
      <c r="Q2951" s="29" t="str">
        <f aca="false">IF(OR(P2951="",M2951&lt;&gt;"Paid",O2951=""),"",P2951/O2951)</f>
        <v/>
      </c>
      <c r="R2951" s="30" t="str">
        <f aca="false">IF(Q2951="","",Q2951+N(H2951)*0.000000001)</f>
        <v/>
      </c>
      <c r="S2951" s="25" t="str">
        <f aca="false">IF(R2951="","",SUMPRODUCT((I$5:I$4004=I2951)*ISNUMBER(R$5:R$4004)*(R$5:R$4004&gt;R2951))+1)</f>
        <v/>
      </c>
      <c r="T2951" s="25" t="str">
        <f aca="false">IF(S2951="","",IF(S2951&lt;=Setup!$B$5,"🏆 WINNER",""))</f>
        <v/>
      </c>
      <c r="U2951" s="24" t="str">
        <f aca="false">IF(S2951="","",I2951&amp;"|"&amp;S2951)</f>
        <v/>
      </c>
    </row>
    <row r="2952" customFormat="false" ht="15" hidden="false" customHeight="false" outlineLevel="0" collapsed="false">
      <c r="A2952" s="31" t="n">
        <v>2948</v>
      </c>
      <c r="B2952" s="32" t="str">
        <f aca="false">IF(OR(C2952="",I2952="",G2952=""),"",IFERROR(VLOOKUP(I2952,Setup!$A$9:$B$11,2,0),"???")&amp;"-"&amp;G2952&amp;"-"&amp;TEXT(COUNTIFS(I$5:I2952,I2952,G$5:G2952,G2952),"0000"))</f>
        <v/>
      </c>
      <c r="C2952" s="26"/>
      <c r="D2952" s="26"/>
      <c r="E2952" s="27"/>
      <c r="F2952" s="27"/>
      <c r="G2952" s="31" t="str">
        <f aca="false">IF(F2952="","",IF(F2952&lt;=5,"A",IF(F2952&lt;=8,"B",IF(F2952&lt;=10,"C","D"))))</f>
        <v/>
      </c>
      <c r="H2952" s="28"/>
      <c r="I2952" s="27"/>
      <c r="J2952" s="26"/>
      <c r="K2952" s="27"/>
      <c r="L2952" s="27"/>
      <c r="M2952" s="27"/>
      <c r="N2952" s="27"/>
      <c r="O2952" s="31" t="str">
        <f aca="false">IF(G2952="","",VLOOKUP(G2952,Setup!$A$14:$C$17,3,0))</f>
        <v/>
      </c>
      <c r="P2952" s="27"/>
      <c r="Q2952" s="33" t="str">
        <f aca="false">IF(OR(P2952="",M2952&lt;&gt;"Paid",O2952=""),"",P2952/O2952)</f>
        <v/>
      </c>
      <c r="R2952" s="34" t="str">
        <f aca="false">IF(Q2952="","",Q2952+N(H2952)*0.000000001)</f>
        <v/>
      </c>
      <c r="S2952" s="32" t="str">
        <f aca="false">IF(R2952="","",SUMPRODUCT((I$5:I$4004=I2952)*ISNUMBER(R$5:R$4004)*(R$5:R$4004&gt;R2952))+1)</f>
        <v/>
      </c>
      <c r="T2952" s="32" t="str">
        <f aca="false">IF(S2952="","",IF(S2952&lt;=Setup!$B$5,"🏆 WINNER",""))</f>
        <v/>
      </c>
      <c r="U2952" s="31" t="str">
        <f aca="false">IF(S2952="","",I2952&amp;"|"&amp;S2952)</f>
        <v/>
      </c>
    </row>
    <row r="2953" customFormat="false" ht="15" hidden="false" customHeight="false" outlineLevel="0" collapsed="false">
      <c r="A2953" s="24" t="n">
        <v>2949</v>
      </c>
      <c r="B2953" s="25" t="str">
        <f aca="false">IF(OR(C2953="",I2953="",G2953=""),"",IFERROR(VLOOKUP(I2953,Setup!$A$9:$B$11,2,0),"???")&amp;"-"&amp;G2953&amp;"-"&amp;TEXT(COUNTIFS(I$5:I2953,I2953,G$5:G2953,G2953),"0000"))</f>
        <v/>
      </c>
      <c r="C2953" s="26"/>
      <c r="D2953" s="26"/>
      <c r="E2953" s="27"/>
      <c r="F2953" s="27"/>
      <c r="G2953" s="24" t="str">
        <f aca="false">IF(F2953="","",IF(F2953&lt;=5,"A",IF(F2953&lt;=8,"B",IF(F2953&lt;=10,"C","D"))))</f>
        <v/>
      </c>
      <c r="H2953" s="28"/>
      <c r="I2953" s="27"/>
      <c r="J2953" s="26"/>
      <c r="K2953" s="27"/>
      <c r="L2953" s="27"/>
      <c r="M2953" s="27"/>
      <c r="N2953" s="27"/>
      <c r="O2953" s="24" t="str">
        <f aca="false">IF(G2953="","",VLOOKUP(G2953,Setup!$A$14:$C$17,3,0))</f>
        <v/>
      </c>
      <c r="P2953" s="27"/>
      <c r="Q2953" s="29" t="str">
        <f aca="false">IF(OR(P2953="",M2953&lt;&gt;"Paid",O2953=""),"",P2953/O2953)</f>
        <v/>
      </c>
      <c r="R2953" s="30" t="str">
        <f aca="false">IF(Q2953="","",Q2953+N(H2953)*0.000000001)</f>
        <v/>
      </c>
      <c r="S2953" s="25" t="str">
        <f aca="false">IF(R2953="","",SUMPRODUCT((I$5:I$4004=I2953)*ISNUMBER(R$5:R$4004)*(R$5:R$4004&gt;R2953))+1)</f>
        <v/>
      </c>
      <c r="T2953" s="25" t="str">
        <f aca="false">IF(S2953="","",IF(S2953&lt;=Setup!$B$5,"🏆 WINNER",""))</f>
        <v/>
      </c>
      <c r="U2953" s="24" t="str">
        <f aca="false">IF(S2953="","",I2953&amp;"|"&amp;S2953)</f>
        <v/>
      </c>
    </row>
    <row r="2954" customFormat="false" ht="15" hidden="false" customHeight="false" outlineLevel="0" collapsed="false">
      <c r="A2954" s="31" t="n">
        <v>2950</v>
      </c>
      <c r="B2954" s="32" t="str">
        <f aca="false">IF(OR(C2954="",I2954="",G2954=""),"",IFERROR(VLOOKUP(I2954,Setup!$A$9:$B$11,2,0),"???")&amp;"-"&amp;G2954&amp;"-"&amp;TEXT(COUNTIFS(I$5:I2954,I2954,G$5:G2954,G2954),"0000"))</f>
        <v/>
      </c>
      <c r="C2954" s="26"/>
      <c r="D2954" s="26"/>
      <c r="E2954" s="27"/>
      <c r="F2954" s="27"/>
      <c r="G2954" s="31" t="str">
        <f aca="false">IF(F2954="","",IF(F2954&lt;=5,"A",IF(F2954&lt;=8,"B",IF(F2954&lt;=10,"C","D"))))</f>
        <v/>
      </c>
      <c r="H2954" s="28"/>
      <c r="I2954" s="27"/>
      <c r="J2954" s="26"/>
      <c r="K2954" s="27"/>
      <c r="L2954" s="27"/>
      <c r="M2954" s="27"/>
      <c r="N2954" s="27"/>
      <c r="O2954" s="31" t="str">
        <f aca="false">IF(G2954="","",VLOOKUP(G2954,Setup!$A$14:$C$17,3,0))</f>
        <v/>
      </c>
      <c r="P2954" s="27"/>
      <c r="Q2954" s="33" t="str">
        <f aca="false">IF(OR(P2954="",M2954&lt;&gt;"Paid",O2954=""),"",P2954/O2954)</f>
        <v/>
      </c>
      <c r="R2954" s="34" t="str">
        <f aca="false">IF(Q2954="","",Q2954+N(H2954)*0.000000001)</f>
        <v/>
      </c>
      <c r="S2954" s="32" t="str">
        <f aca="false">IF(R2954="","",SUMPRODUCT((I$5:I$4004=I2954)*ISNUMBER(R$5:R$4004)*(R$5:R$4004&gt;R2954))+1)</f>
        <v/>
      </c>
      <c r="T2954" s="32" t="str">
        <f aca="false">IF(S2954="","",IF(S2954&lt;=Setup!$B$5,"🏆 WINNER",""))</f>
        <v/>
      </c>
      <c r="U2954" s="31" t="str">
        <f aca="false">IF(S2954="","",I2954&amp;"|"&amp;S2954)</f>
        <v/>
      </c>
    </row>
    <row r="2955" customFormat="false" ht="15" hidden="false" customHeight="false" outlineLevel="0" collapsed="false">
      <c r="A2955" s="24" t="n">
        <v>2951</v>
      </c>
      <c r="B2955" s="25" t="str">
        <f aca="false">IF(OR(C2955="",I2955="",G2955=""),"",IFERROR(VLOOKUP(I2955,Setup!$A$9:$B$11,2,0),"???")&amp;"-"&amp;G2955&amp;"-"&amp;TEXT(COUNTIFS(I$5:I2955,I2955,G$5:G2955,G2955),"0000"))</f>
        <v/>
      </c>
      <c r="C2955" s="26"/>
      <c r="D2955" s="26"/>
      <c r="E2955" s="27"/>
      <c r="F2955" s="27"/>
      <c r="G2955" s="24" t="str">
        <f aca="false">IF(F2955="","",IF(F2955&lt;=5,"A",IF(F2955&lt;=8,"B",IF(F2955&lt;=10,"C","D"))))</f>
        <v/>
      </c>
      <c r="H2955" s="28"/>
      <c r="I2955" s="27"/>
      <c r="J2955" s="26"/>
      <c r="K2955" s="27"/>
      <c r="L2955" s="27"/>
      <c r="M2955" s="27"/>
      <c r="N2955" s="27"/>
      <c r="O2955" s="24" t="str">
        <f aca="false">IF(G2955="","",VLOOKUP(G2955,Setup!$A$14:$C$17,3,0))</f>
        <v/>
      </c>
      <c r="P2955" s="27"/>
      <c r="Q2955" s="29" t="str">
        <f aca="false">IF(OR(P2955="",M2955&lt;&gt;"Paid",O2955=""),"",P2955/O2955)</f>
        <v/>
      </c>
      <c r="R2955" s="30" t="str">
        <f aca="false">IF(Q2955="","",Q2955+N(H2955)*0.000000001)</f>
        <v/>
      </c>
      <c r="S2955" s="25" t="str">
        <f aca="false">IF(R2955="","",SUMPRODUCT((I$5:I$4004=I2955)*ISNUMBER(R$5:R$4004)*(R$5:R$4004&gt;R2955))+1)</f>
        <v/>
      </c>
      <c r="T2955" s="25" t="str">
        <f aca="false">IF(S2955="","",IF(S2955&lt;=Setup!$B$5,"🏆 WINNER",""))</f>
        <v/>
      </c>
      <c r="U2955" s="24" t="str">
        <f aca="false">IF(S2955="","",I2955&amp;"|"&amp;S2955)</f>
        <v/>
      </c>
    </row>
    <row r="2956" customFormat="false" ht="15" hidden="false" customHeight="false" outlineLevel="0" collapsed="false">
      <c r="A2956" s="31" t="n">
        <v>2952</v>
      </c>
      <c r="B2956" s="32" t="str">
        <f aca="false">IF(OR(C2956="",I2956="",G2956=""),"",IFERROR(VLOOKUP(I2956,Setup!$A$9:$B$11,2,0),"???")&amp;"-"&amp;G2956&amp;"-"&amp;TEXT(COUNTIFS(I$5:I2956,I2956,G$5:G2956,G2956),"0000"))</f>
        <v/>
      </c>
      <c r="C2956" s="26"/>
      <c r="D2956" s="26"/>
      <c r="E2956" s="27"/>
      <c r="F2956" s="27"/>
      <c r="G2956" s="31" t="str">
        <f aca="false">IF(F2956="","",IF(F2956&lt;=5,"A",IF(F2956&lt;=8,"B",IF(F2956&lt;=10,"C","D"))))</f>
        <v/>
      </c>
      <c r="H2956" s="28"/>
      <c r="I2956" s="27"/>
      <c r="J2956" s="26"/>
      <c r="K2956" s="27"/>
      <c r="L2956" s="27"/>
      <c r="M2956" s="27"/>
      <c r="N2956" s="27"/>
      <c r="O2956" s="31" t="str">
        <f aca="false">IF(G2956="","",VLOOKUP(G2956,Setup!$A$14:$C$17,3,0))</f>
        <v/>
      </c>
      <c r="P2956" s="27"/>
      <c r="Q2956" s="33" t="str">
        <f aca="false">IF(OR(P2956="",M2956&lt;&gt;"Paid",O2956=""),"",P2956/O2956)</f>
        <v/>
      </c>
      <c r="R2956" s="34" t="str">
        <f aca="false">IF(Q2956="","",Q2956+N(H2956)*0.000000001)</f>
        <v/>
      </c>
      <c r="S2956" s="32" t="str">
        <f aca="false">IF(R2956="","",SUMPRODUCT((I$5:I$4004=I2956)*ISNUMBER(R$5:R$4004)*(R$5:R$4004&gt;R2956))+1)</f>
        <v/>
      </c>
      <c r="T2956" s="32" t="str">
        <f aca="false">IF(S2956="","",IF(S2956&lt;=Setup!$B$5,"🏆 WINNER",""))</f>
        <v/>
      </c>
      <c r="U2956" s="31" t="str">
        <f aca="false">IF(S2956="","",I2956&amp;"|"&amp;S2956)</f>
        <v/>
      </c>
    </row>
    <row r="2957" customFormat="false" ht="15" hidden="false" customHeight="false" outlineLevel="0" collapsed="false">
      <c r="A2957" s="24" t="n">
        <v>2953</v>
      </c>
      <c r="B2957" s="25" t="str">
        <f aca="false">IF(OR(C2957="",I2957="",G2957=""),"",IFERROR(VLOOKUP(I2957,Setup!$A$9:$B$11,2,0),"???")&amp;"-"&amp;G2957&amp;"-"&amp;TEXT(COUNTIFS(I$5:I2957,I2957,G$5:G2957,G2957),"0000"))</f>
        <v/>
      </c>
      <c r="C2957" s="26"/>
      <c r="D2957" s="26"/>
      <c r="E2957" s="27"/>
      <c r="F2957" s="27"/>
      <c r="G2957" s="24" t="str">
        <f aca="false">IF(F2957="","",IF(F2957&lt;=5,"A",IF(F2957&lt;=8,"B",IF(F2957&lt;=10,"C","D"))))</f>
        <v/>
      </c>
      <c r="H2957" s="28"/>
      <c r="I2957" s="27"/>
      <c r="J2957" s="26"/>
      <c r="K2957" s="27"/>
      <c r="L2957" s="27"/>
      <c r="M2957" s="27"/>
      <c r="N2957" s="27"/>
      <c r="O2957" s="24" t="str">
        <f aca="false">IF(G2957="","",VLOOKUP(G2957,Setup!$A$14:$C$17,3,0))</f>
        <v/>
      </c>
      <c r="P2957" s="27"/>
      <c r="Q2957" s="29" t="str">
        <f aca="false">IF(OR(P2957="",M2957&lt;&gt;"Paid",O2957=""),"",P2957/O2957)</f>
        <v/>
      </c>
      <c r="R2957" s="30" t="str">
        <f aca="false">IF(Q2957="","",Q2957+N(H2957)*0.000000001)</f>
        <v/>
      </c>
      <c r="S2957" s="25" t="str">
        <f aca="false">IF(R2957="","",SUMPRODUCT((I$5:I$4004=I2957)*ISNUMBER(R$5:R$4004)*(R$5:R$4004&gt;R2957))+1)</f>
        <v/>
      </c>
      <c r="T2957" s="25" t="str">
        <f aca="false">IF(S2957="","",IF(S2957&lt;=Setup!$B$5,"🏆 WINNER",""))</f>
        <v/>
      </c>
      <c r="U2957" s="24" t="str">
        <f aca="false">IF(S2957="","",I2957&amp;"|"&amp;S2957)</f>
        <v/>
      </c>
    </row>
    <row r="2958" customFormat="false" ht="15" hidden="false" customHeight="false" outlineLevel="0" collapsed="false">
      <c r="A2958" s="31" t="n">
        <v>2954</v>
      </c>
      <c r="B2958" s="32" t="str">
        <f aca="false">IF(OR(C2958="",I2958="",G2958=""),"",IFERROR(VLOOKUP(I2958,Setup!$A$9:$B$11,2,0),"???")&amp;"-"&amp;G2958&amp;"-"&amp;TEXT(COUNTIFS(I$5:I2958,I2958,G$5:G2958,G2958),"0000"))</f>
        <v/>
      </c>
      <c r="C2958" s="26"/>
      <c r="D2958" s="26"/>
      <c r="E2958" s="27"/>
      <c r="F2958" s="27"/>
      <c r="G2958" s="31" t="str">
        <f aca="false">IF(F2958="","",IF(F2958&lt;=5,"A",IF(F2958&lt;=8,"B",IF(F2958&lt;=10,"C","D"))))</f>
        <v/>
      </c>
      <c r="H2958" s="28"/>
      <c r="I2958" s="27"/>
      <c r="J2958" s="26"/>
      <c r="K2958" s="27"/>
      <c r="L2958" s="27"/>
      <c r="M2958" s="27"/>
      <c r="N2958" s="27"/>
      <c r="O2958" s="31" t="str">
        <f aca="false">IF(G2958="","",VLOOKUP(G2958,Setup!$A$14:$C$17,3,0))</f>
        <v/>
      </c>
      <c r="P2958" s="27"/>
      <c r="Q2958" s="33" t="str">
        <f aca="false">IF(OR(P2958="",M2958&lt;&gt;"Paid",O2958=""),"",P2958/O2958)</f>
        <v/>
      </c>
      <c r="R2958" s="34" t="str">
        <f aca="false">IF(Q2958="","",Q2958+N(H2958)*0.000000001)</f>
        <v/>
      </c>
      <c r="S2958" s="32" t="str">
        <f aca="false">IF(R2958="","",SUMPRODUCT((I$5:I$4004=I2958)*ISNUMBER(R$5:R$4004)*(R$5:R$4004&gt;R2958))+1)</f>
        <v/>
      </c>
      <c r="T2958" s="32" t="str">
        <f aca="false">IF(S2958="","",IF(S2958&lt;=Setup!$B$5,"🏆 WINNER",""))</f>
        <v/>
      </c>
      <c r="U2958" s="31" t="str">
        <f aca="false">IF(S2958="","",I2958&amp;"|"&amp;S2958)</f>
        <v/>
      </c>
    </row>
    <row r="2959" customFormat="false" ht="15" hidden="false" customHeight="false" outlineLevel="0" collapsed="false">
      <c r="A2959" s="24" t="n">
        <v>2955</v>
      </c>
      <c r="B2959" s="25" t="str">
        <f aca="false">IF(OR(C2959="",I2959="",G2959=""),"",IFERROR(VLOOKUP(I2959,Setup!$A$9:$B$11,2,0),"???")&amp;"-"&amp;G2959&amp;"-"&amp;TEXT(COUNTIFS(I$5:I2959,I2959,G$5:G2959,G2959),"0000"))</f>
        <v/>
      </c>
      <c r="C2959" s="26"/>
      <c r="D2959" s="26"/>
      <c r="E2959" s="27"/>
      <c r="F2959" s="27"/>
      <c r="G2959" s="24" t="str">
        <f aca="false">IF(F2959="","",IF(F2959&lt;=5,"A",IF(F2959&lt;=8,"B",IF(F2959&lt;=10,"C","D"))))</f>
        <v/>
      </c>
      <c r="H2959" s="28"/>
      <c r="I2959" s="27"/>
      <c r="J2959" s="26"/>
      <c r="K2959" s="27"/>
      <c r="L2959" s="27"/>
      <c r="M2959" s="27"/>
      <c r="N2959" s="27"/>
      <c r="O2959" s="24" t="str">
        <f aca="false">IF(G2959="","",VLOOKUP(G2959,Setup!$A$14:$C$17,3,0))</f>
        <v/>
      </c>
      <c r="P2959" s="27"/>
      <c r="Q2959" s="29" t="str">
        <f aca="false">IF(OR(P2959="",M2959&lt;&gt;"Paid",O2959=""),"",P2959/O2959)</f>
        <v/>
      </c>
      <c r="R2959" s="30" t="str">
        <f aca="false">IF(Q2959="","",Q2959+N(H2959)*0.000000001)</f>
        <v/>
      </c>
      <c r="S2959" s="25" t="str">
        <f aca="false">IF(R2959="","",SUMPRODUCT((I$5:I$4004=I2959)*ISNUMBER(R$5:R$4004)*(R$5:R$4004&gt;R2959))+1)</f>
        <v/>
      </c>
      <c r="T2959" s="25" t="str">
        <f aca="false">IF(S2959="","",IF(S2959&lt;=Setup!$B$5,"🏆 WINNER",""))</f>
        <v/>
      </c>
      <c r="U2959" s="24" t="str">
        <f aca="false">IF(S2959="","",I2959&amp;"|"&amp;S2959)</f>
        <v/>
      </c>
    </row>
    <row r="2960" customFormat="false" ht="15" hidden="false" customHeight="false" outlineLevel="0" collapsed="false">
      <c r="A2960" s="31" t="n">
        <v>2956</v>
      </c>
      <c r="B2960" s="32" t="str">
        <f aca="false">IF(OR(C2960="",I2960="",G2960=""),"",IFERROR(VLOOKUP(I2960,Setup!$A$9:$B$11,2,0),"???")&amp;"-"&amp;G2960&amp;"-"&amp;TEXT(COUNTIFS(I$5:I2960,I2960,G$5:G2960,G2960),"0000"))</f>
        <v/>
      </c>
      <c r="C2960" s="26"/>
      <c r="D2960" s="26"/>
      <c r="E2960" s="27"/>
      <c r="F2960" s="27"/>
      <c r="G2960" s="31" t="str">
        <f aca="false">IF(F2960="","",IF(F2960&lt;=5,"A",IF(F2960&lt;=8,"B",IF(F2960&lt;=10,"C","D"))))</f>
        <v/>
      </c>
      <c r="H2960" s="28"/>
      <c r="I2960" s="27"/>
      <c r="J2960" s="26"/>
      <c r="K2960" s="27"/>
      <c r="L2960" s="27"/>
      <c r="M2960" s="27"/>
      <c r="N2960" s="27"/>
      <c r="O2960" s="31" t="str">
        <f aca="false">IF(G2960="","",VLOOKUP(G2960,Setup!$A$14:$C$17,3,0))</f>
        <v/>
      </c>
      <c r="P2960" s="27"/>
      <c r="Q2960" s="33" t="str">
        <f aca="false">IF(OR(P2960="",M2960&lt;&gt;"Paid",O2960=""),"",P2960/O2960)</f>
        <v/>
      </c>
      <c r="R2960" s="34" t="str">
        <f aca="false">IF(Q2960="","",Q2960+N(H2960)*0.000000001)</f>
        <v/>
      </c>
      <c r="S2960" s="32" t="str">
        <f aca="false">IF(R2960="","",SUMPRODUCT((I$5:I$4004=I2960)*ISNUMBER(R$5:R$4004)*(R$5:R$4004&gt;R2960))+1)</f>
        <v/>
      </c>
      <c r="T2960" s="32" t="str">
        <f aca="false">IF(S2960="","",IF(S2960&lt;=Setup!$B$5,"🏆 WINNER",""))</f>
        <v/>
      </c>
      <c r="U2960" s="31" t="str">
        <f aca="false">IF(S2960="","",I2960&amp;"|"&amp;S2960)</f>
        <v/>
      </c>
    </row>
    <row r="2961" customFormat="false" ht="15" hidden="false" customHeight="false" outlineLevel="0" collapsed="false">
      <c r="A2961" s="24" t="n">
        <v>2957</v>
      </c>
      <c r="B2961" s="25" t="str">
        <f aca="false">IF(OR(C2961="",I2961="",G2961=""),"",IFERROR(VLOOKUP(I2961,Setup!$A$9:$B$11,2,0),"???")&amp;"-"&amp;G2961&amp;"-"&amp;TEXT(COUNTIFS(I$5:I2961,I2961,G$5:G2961,G2961),"0000"))</f>
        <v/>
      </c>
      <c r="C2961" s="26"/>
      <c r="D2961" s="26"/>
      <c r="E2961" s="27"/>
      <c r="F2961" s="27"/>
      <c r="G2961" s="24" t="str">
        <f aca="false">IF(F2961="","",IF(F2961&lt;=5,"A",IF(F2961&lt;=8,"B",IF(F2961&lt;=10,"C","D"))))</f>
        <v/>
      </c>
      <c r="H2961" s="28"/>
      <c r="I2961" s="27"/>
      <c r="J2961" s="26"/>
      <c r="K2961" s="27"/>
      <c r="L2961" s="27"/>
      <c r="M2961" s="27"/>
      <c r="N2961" s="27"/>
      <c r="O2961" s="24" t="str">
        <f aca="false">IF(G2961="","",VLOOKUP(G2961,Setup!$A$14:$C$17,3,0))</f>
        <v/>
      </c>
      <c r="P2961" s="27"/>
      <c r="Q2961" s="29" t="str">
        <f aca="false">IF(OR(P2961="",M2961&lt;&gt;"Paid",O2961=""),"",P2961/O2961)</f>
        <v/>
      </c>
      <c r="R2961" s="30" t="str">
        <f aca="false">IF(Q2961="","",Q2961+N(H2961)*0.000000001)</f>
        <v/>
      </c>
      <c r="S2961" s="25" t="str">
        <f aca="false">IF(R2961="","",SUMPRODUCT((I$5:I$4004=I2961)*ISNUMBER(R$5:R$4004)*(R$5:R$4004&gt;R2961))+1)</f>
        <v/>
      </c>
      <c r="T2961" s="25" t="str">
        <f aca="false">IF(S2961="","",IF(S2961&lt;=Setup!$B$5,"🏆 WINNER",""))</f>
        <v/>
      </c>
      <c r="U2961" s="24" t="str">
        <f aca="false">IF(S2961="","",I2961&amp;"|"&amp;S2961)</f>
        <v/>
      </c>
    </row>
    <row r="2962" customFormat="false" ht="15" hidden="false" customHeight="false" outlineLevel="0" collapsed="false">
      <c r="A2962" s="31" t="n">
        <v>2958</v>
      </c>
      <c r="B2962" s="32" t="str">
        <f aca="false">IF(OR(C2962="",I2962="",G2962=""),"",IFERROR(VLOOKUP(I2962,Setup!$A$9:$B$11,2,0),"???")&amp;"-"&amp;G2962&amp;"-"&amp;TEXT(COUNTIFS(I$5:I2962,I2962,G$5:G2962,G2962),"0000"))</f>
        <v/>
      </c>
      <c r="C2962" s="26"/>
      <c r="D2962" s="26"/>
      <c r="E2962" s="27"/>
      <c r="F2962" s="27"/>
      <c r="G2962" s="31" t="str">
        <f aca="false">IF(F2962="","",IF(F2962&lt;=5,"A",IF(F2962&lt;=8,"B",IF(F2962&lt;=10,"C","D"))))</f>
        <v/>
      </c>
      <c r="H2962" s="28"/>
      <c r="I2962" s="27"/>
      <c r="J2962" s="26"/>
      <c r="K2962" s="27"/>
      <c r="L2962" s="27"/>
      <c r="M2962" s="27"/>
      <c r="N2962" s="27"/>
      <c r="O2962" s="31" t="str">
        <f aca="false">IF(G2962="","",VLOOKUP(G2962,Setup!$A$14:$C$17,3,0))</f>
        <v/>
      </c>
      <c r="P2962" s="27"/>
      <c r="Q2962" s="33" t="str">
        <f aca="false">IF(OR(P2962="",M2962&lt;&gt;"Paid",O2962=""),"",P2962/O2962)</f>
        <v/>
      </c>
      <c r="R2962" s="34" t="str">
        <f aca="false">IF(Q2962="","",Q2962+N(H2962)*0.000000001)</f>
        <v/>
      </c>
      <c r="S2962" s="32" t="str">
        <f aca="false">IF(R2962="","",SUMPRODUCT((I$5:I$4004=I2962)*ISNUMBER(R$5:R$4004)*(R$5:R$4004&gt;R2962))+1)</f>
        <v/>
      </c>
      <c r="T2962" s="32" t="str">
        <f aca="false">IF(S2962="","",IF(S2962&lt;=Setup!$B$5,"🏆 WINNER",""))</f>
        <v/>
      </c>
      <c r="U2962" s="31" t="str">
        <f aca="false">IF(S2962="","",I2962&amp;"|"&amp;S2962)</f>
        <v/>
      </c>
    </row>
    <row r="2963" customFormat="false" ht="15" hidden="false" customHeight="false" outlineLevel="0" collapsed="false">
      <c r="A2963" s="24" t="n">
        <v>2959</v>
      </c>
      <c r="B2963" s="25" t="str">
        <f aca="false">IF(OR(C2963="",I2963="",G2963=""),"",IFERROR(VLOOKUP(I2963,Setup!$A$9:$B$11,2,0),"???")&amp;"-"&amp;G2963&amp;"-"&amp;TEXT(COUNTIFS(I$5:I2963,I2963,G$5:G2963,G2963),"0000"))</f>
        <v/>
      </c>
      <c r="C2963" s="26"/>
      <c r="D2963" s="26"/>
      <c r="E2963" s="27"/>
      <c r="F2963" s="27"/>
      <c r="G2963" s="24" t="str">
        <f aca="false">IF(F2963="","",IF(F2963&lt;=5,"A",IF(F2963&lt;=8,"B",IF(F2963&lt;=10,"C","D"))))</f>
        <v/>
      </c>
      <c r="H2963" s="28"/>
      <c r="I2963" s="27"/>
      <c r="J2963" s="26"/>
      <c r="K2963" s="27"/>
      <c r="L2963" s="27"/>
      <c r="M2963" s="27"/>
      <c r="N2963" s="27"/>
      <c r="O2963" s="24" t="str">
        <f aca="false">IF(G2963="","",VLOOKUP(G2963,Setup!$A$14:$C$17,3,0))</f>
        <v/>
      </c>
      <c r="P2963" s="27"/>
      <c r="Q2963" s="29" t="str">
        <f aca="false">IF(OR(P2963="",M2963&lt;&gt;"Paid",O2963=""),"",P2963/O2963)</f>
        <v/>
      </c>
      <c r="R2963" s="30" t="str">
        <f aca="false">IF(Q2963="","",Q2963+N(H2963)*0.000000001)</f>
        <v/>
      </c>
      <c r="S2963" s="25" t="str">
        <f aca="false">IF(R2963="","",SUMPRODUCT((I$5:I$4004=I2963)*ISNUMBER(R$5:R$4004)*(R$5:R$4004&gt;R2963))+1)</f>
        <v/>
      </c>
      <c r="T2963" s="25" t="str">
        <f aca="false">IF(S2963="","",IF(S2963&lt;=Setup!$B$5,"🏆 WINNER",""))</f>
        <v/>
      </c>
      <c r="U2963" s="24" t="str">
        <f aca="false">IF(S2963="","",I2963&amp;"|"&amp;S2963)</f>
        <v/>
      </c>
    </row>
    <row r="2964" customFormat="false" ht="15" hidden="false" customHeight="false" outlineLevel="0" collapsed="false">
      <c r="A2964" s="31" t="n">
        <v>2960</v>
      </c>
      <c r="B2964" s="32" t="str">
        <f aca="false">IF(OR(C2964="",I2964="",G2964=""),"",IFERROR(VLOOKUP(I2964,Setup!$A$9:$B$11,2,0),"???")&amp;"-"&amp;G2964&amp;"-"&amp;TEXT(COUNTIFS(I$5:I2964,I2964,G$5:G2964,G2964),"0000"))</f>
        <v/>
      </c>
      <c r="C2964" s="26"/>
      <c r="D2964" s="26"/>
      <c r="E2964" s="27"/>
      <c r="F2964" s="27"/>
      <c r="G2964" s="31" t="str">
        <f aca="false">IF(F2964="","",IF(F2964&lt;=5,"A",IF(F2964&lt;=8,"B",IF(F2964&lt;=10,"C","D"))))</f>
        <v/>
      </c>
      <c r="H2964" s="28"/>
      <c r="I2964" s="27"/>
      <c r="J2964" s="26"/>
      <c r="K2964" s="27"/>
      <c r="L2964" s="27"/>
      <c r="M2964" s="27"/>
      <c r="N2964" s="27"/>
      <c r="O2964" s="31" t="str">
        <f aca="false">IF(G2964="","",VLOOKUP(G2964,Setup!$A$14:$C$17,3,0))</f>
        <v/>
      </c>
      <c r="P2964" s="27"/>
      <c r="Q2964" s="33" t="str">
        <f aca="false">IF(OR(P2964="",M2964&lt;&gt;"Paid",O2964=""),"",P2964/O2964)</f>
        <v/>
      </c>
      <c r="R2964" s="34" t="str">
        <f aca="false">IF(Q2964="","",Q2964+N(H2964)*0.000000001)</f>
        <v/>
      </c>
      <c r="S2964" s="32" t="str">
        <f aca="false">IF(R2964="","",SUMPRODUCT((I$5:I$4004=I2964)*ISNUMBER(R$5:R$4004)*(R$5:R$4004&gt;R2964))+1)</f>
        <v/>
      </c>
      <c r="T2964" s="32" t="str">
        <f aca="false">IF(S2964="","",IF(S2964&lt;=Setup!$B$5,"🏆 WINNER",""))</f>
        <v/>
      </c>
      <c r="U2964" s="31" t="str">
        <f aca="false">IF(S2964="","",I2964&amp;"|"&amp;S2964)</f>
        <v/>
      </c>
    </row>
    <row r="2965" customFormat="false" ht="15" hidden="false" customHeight="false" outlineLevel="0" collapsed="false">
      <c r="A2965" s="24" t="n">
        <v>2961</v>
      </c>
      <c r="B2965" s="25" t="str">
        <f aca="false">IF(OR(C2965="",I2965="",G2965=""),"",IFERROR(VLOOKUP(I2965,Setup!$A$9:$B$11,2,0),"???")&amp;"-"&amp;G2965&amp;"-"&amp;TEXT(COUNTIFS(I$5:I2965,I2965,G$5:G2965,G2965),"0000"))</f>
        <v/>
      </c>
      <c r="C2965" s="26"/>
      <c r="D2965" s="26"/>
      <c r="E2965" s="27"/>
      <c r="F2965" s="27"/>
      <c r="G2965" s="24" t="str">
        <f aca="false">IF(F2965="","",IF(F2965&lt;=5,"A",IF(F2965&lt;=8,"B",IF(F2965&lt;=10,"C","D"))))</f>
        <v/>
      </c>
      <c r="H2965" s="28"/>
      <c r="I2965" s="27"/>
      <c r="J2965" s="26"/>
      <c r="K2965" s="27"/>
      <c r="L2965" s="27"/>
      <c r="M2965" s="27"/>
      <c r="N2965" s="27"/>
      <c r="O2965" s="24" t="str">
        <f aca="false">IF(G2965="","",VLOOKUP(G2965,Setup!$A$14:$C$17,3,0))</f>
        <v/>
      </c>
      <c r="P2965" s="27"/>
      <c r="Q2965" s="29" t="str">
        <f aca="false">IF(OR(P2965="",M2965&lt;&gt;"Paid",O2965=""),"",P2965/O2965)</f>
        <v/>
      </c>
      <c r="R2965" s="30" t="str">
        <f aca="false">IF(Q2965="","",Q2965+N(H2965)*0.000000001)</f>
        <v/>
      </c>
      <c r="S2965" s="25" t="str">
        <f aca="false">IF(R2965="","",SUMPRODUCT((I$5:I$4004=I2965)*ISNUMBER(R$5:R$4004)*(R$5:R$4004&gt;R2965))+1)</f>
        <v/>
      </c>
      <c r="T2965" s="25" t="str">
        <f aca="false">IF(S2965="","",IF(S2965&lt;=Setup!$B$5,"🏆 WINNER",""))</f>
        <v/>
      </c>
      <c r="U2965" s="24" t="str">
        <f aca="false">IF(S2965="","",I2965&amp;"|"&amp;S2965)</f>
        <v/>
      </c>
    </row>
    <row r="2966" customFormat="false" ht="15" hidden="false" customHeight="false" outlineLevel="0" collapsed="false">
      <c r="A2966" s="31" t="n">
        <v>2962</v>
      </c>
      <c r="B2966" s="32" t="str">
        <f aca="false">IF(OR(C2966="",I2966="",G2966=""),"",IFERROR(VLOOKUP(I2966,Setup!$A$9:$B$11,2,0),"???")&amp;"-"&amp;G2966&amp;"-"&amp;TEXT(COUNTIFS(I$5:I2966,I2966,G$5:G2966,G2966),"0000"))</f>
        <v/>
      </c>
      <c r="C2966" s="26"/>
      <c r="D2966" s="26"/>
      <c r="E2966" s="27"/>
      <c r="F2966" s="27"/>
      <c r="G2966" s="31" t="str">
        <f aca="false">IF(F2966="","",IF(F2966&lt;=5,"A",IF(F2966&lt;=8,"B",IF(F2966&lt;=10,"C","D"))))</f>
        <v/>
      </c>
      <c r="H2966" s="28"/>
      <c r="I2966" s="27"/>
      <c r="J2966" s="26"/>
      <c r="K2966" s="27"/>
      <c r="L2966" s="27"/>
      <c r="M2966" s="27"/>
      <c r="N2966" s="27"/>
      <c r="O2966" s="31" t="str">
        <f aca="false">IF(G2966="","",VLOOKUP(G2966,Setup!$A$14:$C$17,3,0))</f>
        <v/>
      </c>
      <c r="P2966" s="27"/>
      <c r="Q2966" s="33" t="str">
        <f aca="false">IF(OR(P2966="",M2966&lt;&gt;"Paid",O2966=""),"",P2966/O2966)</f>
        <v/>
      </c>
      <c r="R2966" s="34" t="str">
        <f aca="false">IF(Q2966="","",Q2966+N(H2966)*0.000000001)</f>
        <v/>
      </c>
      <c r="S2966" s="32" t="str">
        <f aca="false">IF(R2966="","",SUMPRODUCT((I$5:I$4004=I2966)*ISNUMBER(R$5:R$4004)*(R$5:R$4004&gt;R2966))+1)</f>
        <v/>
      </c>
      <c r="T2966" s="32" t="str">
        <f aca="false">IF(S2966="","",IF(S2966&lt;=Setup!$B$5,"🏆 WINNER",""))</f>
        <v/>
      </c>
      <c r="U2966" s="31" t="str">
        <f aca="false">IF(S2966="","",I2966&amp;"|"&amp;S2966)</f>
        <v/>
      </c>
    </row>
    <row r="2967" customFormat="false" ht="15" hidden="false" customHeight="false" outlineLevel="0" collapsed="false">
      <c r="A2967" s="24" t="n">
        <v>2963</v>
      </c>
      <c r="B2967" s="25" t="str">
        <f aca="false">IF(OR(C2967="",I2967="",G2967=""),"",IFERROR(VLOOKUP(I2967,Setup!$A$9:$B$11,2,0),"???")&amp;"-"&amp;G2967&amp;"-"&amp;TEXT(COUNTIFS(I$5:I2967,I2967,G$5:G2967,G2967),"0000"))</f>
        <v/>
      </c>
      <c r="C2967" s="26"/>
      <c r="D2967" s="26"/>
      <c r="E2967" s="27"/>
      <c r="F2967" s="27"/>
      <c r="G2967" s="24" t="str">
        <f aca="false">IF(F2967="","",IF(F2967&lt;=5,"A",IF(F2967&lt;=8,"B",IF(F2967&lt;=10,"C","D"))))</f>
        <v/>
      </c>
      <c r="H2967" s="28"/>
      <c r="I2967" s="27"/>
      <c r="J2967" s="26"/>
      <c r="K2967" s="27"/>
      <c r="L2967" s="27"/>
      <c r="M2967" s="27"/>
      <c r="N2967" s="27"/>
      <c r="O2967" s="24" t="str">
        <f aca="false">IF(G2967="","",VLOOKUP(G2967,Setup!$A$14:$C$17,3,0))</f>
        <v/>
      </c>
      <c r="P2967" s="27"/>
      <c r="Q2967" s="29" t="str">
        <f aca="false">IF(OR(P2967="",M2967&lt;&gt;"Paid",O2967=""),"",P2967/O2967)</f>
        <v/>
      </c>
      <c r="R2967" s="30" t="str">
        <f aca="false">IF(Q2967="","",Q2967+N(H2967)*0.000000001)</f>
        <v/>
      </c>
      <c r="S2967" s="25" t="str">
        <f aca="false">IF(R2967="","",SUMPRODUCT((I$5:I$4004=I2967)*ISNUMBER(R$5:R$4004)*(R$5:R$4004&gt;R2967))+1)</f>
        <v/>
      </c>
      <c r="T2967" s="25" t="str">
        <f aca="false">IF(S2967="","",IF(S2967&lt;=Setup!$B$5,"🏆 WINNER",""))</f>
        <v/>
      </c>
      <c r="U2967" s="24" t="str">
        <f aca="false">IF(S2967="","",I2967&amp;"|"&amp;S2967)</f>
        <v/>
      </c>
    </row>
    <row r="2968" customFormat="false" ht="15" hidden="false" customHeight="false" outlineLevel="0" collapsed="false">
      <c r="A2968" s="31" t="n">
        <v>2964</v>
      </c>
      <c r="B2968" s="32" t="str">
        <f aca="false">IF(OR(C2968="",I2968="",G2968=""),"",IFERROR(VLOOKUP(I2968,Setup!$A$9:$B$11,2,0),"???")&amp;"-"&amp;G2968&amp;"-"&amp;TEXT(COUNTIFS(I$5:I2968,I2968,G$5:G2968,G2968),"0000"))</f>
        <v/>
      </c>
      <c r="C2968" s="26"/>
      <c r="D2968" s="26"/>
      <c r="E2968" s="27"/>
      <c r="F2968" s="27"/>
      <c r="G2968" s="31" t="str">
        <f aca="false">IF(F2968="","",IF(F2968&lt;=5,"A",IF(F2968&lt;=8,"B",IF(F2968&lt;=10,"C","D"))))</f>
        <v/>
      </c>
      <c r="H2968" s="28"/>
      <c r="I2968" s="27"/>
      <c r="J2968" s="26"/>
      <c r="K2968" s="27"/>
      <c r="L2968" s="27"/>
      <c r="M2968" s="27"/>
      <c r="N2968" s="27"/>
      <c r="O2968" s="31" t="str">
        <f aca="false">IF(G2968="","",VLOOKUP(G2968,Setup!$A$14:$C$17,3,0))</f>
        <v/>
      </c>
      <c r="P2968" s="27"/>
      <c r="Q2968" s="33" t="str">
        <f aca="false">IF(OR(P2968="",M2968&lt;&gt;"Paid",O2968=""),"",P2968/O2968)</f>
        <v/>
      </c>
      <c r="R2968" s="34" t="str">
        <f aca="false">IF(Q2968="","",Q2968+N(H2968)*0.000000001)</f>
        <v/>
      </c>
      <c r="S2968" s="32" t="str">
        <f aca="false">IF(R2968="","",SUMPRODUCT((I$5:I$4004=I2968)*ISNUMBER(R$5:R$4004)*(R$5:R$4004&gt;R2968))+1)</f>
        <v/>
      </c>
      <c r="T2968" s="32" t="str">
        <f aca="false">IF(S2968="","",IF(S2968&lt;=Setup!$B$5,"🏆 WINNER",""))</f>
        <v/>
      </c>
      <c r="U2968" s="31" t="str">
        <f aca="false">IF(S2968="","",I2968&amp;"|"&amp;S2968)</f>
        <v/>
      </c>
    </row>
    <row r="2969" customFormat="false" ht="15" hidden="false" customHeight="false" outlineLevel="0" collapsed="false">
      <c r="A2969" s="24" t="n">
        <v>2965</v>
      </c>
      <c r="B2969" s="25" t="str">
        <f aca="false">IF(OR(C2969="",I2969="",G2969=""),"",IFERROR(VLOOKUP(I2969,Setup!$A$9:$B$11,2,0),"???")&amp;"-"&amp;G2969&amp;"-"&amp;TEXT(COUNTIFS(I$5:I2969,I2969,G$5:G2969,G2969),"0000"))</f>
        <v/>
      </c>
      <c r="C2969" s="26"/>
      <c r="D2969" s="26"/>
      <c r="E2969" s="27"/>
      <c r="F2969" s="27"/>
      <c r="G2969" s="24" t="str">
        <f aca="false">IF(F2969="","",IF(F2969&lt;=5,"A",IF(F2969&lt;=8,"B",IF(F2969&lt;=10,"C","D"))))</f>
        <v/>
      </c>
      <c r="H2969" s="28"/>
      <c r="I2969" s="27"/>
      <c r="J2969" s="26"/>
      <c r="K2969" s="27"/>
      <c r="L2969" s="27"/>
      <c r="M2969" s="27"/>
      <c r="N2969" s="27"/>
      <c r="O2969" s="24" t="str">
        <f aca="false">IF(G2969="","",VLOOKUP(G2969,Setup!$A$14:$C$17,3,0))</f>
        <v/>
      </c>
      <c r="P2969" s="27"/>
      <c r="Q2969" s="29" t="str">
        <f aca="false">IF(OR(P2969="",M2969&lt;&gt;"Paid",O2969=""),"",P2969/O2969)</f>
        <v/>
      </c>
      <c r="R2969" s="30" t="str">
        <f aca="false">IF(Q2969="","",Q2969+N(H2969)*0.000000001)</f>
        <v/>
      </c>
      <c r="S2969" s="25" t="str">
        <f aca="false">IF(R2969="","",SUMPRODUCT((I$5:I$4004=I2969)*ISNUMBER(R$5:R$4004)*(R$5:R$4004&gt;R2969))+1)</f>
        <v/>
      </c>
      <c r="T2969" s="25" t="str">
        <f aca="false">IF(S2969="","",IF(S2969&lt;=Setup!$B$5,"🏆 WINNER",""))</f>
        <v/>
      </c>
      <c r="U2969" s="24" t="str">
        <f aca="false">IF(S2969="","",I2969&amp;"|"&amp;S2969)</f>
        <v/>
      </c>
    </row>
    <row r="2970" customFormat="false" ht="15" hidden="false" customHeight="false" outlineLevel="0" collapsed="false">
      <c r="A2970" s="31" t="n">
        <v>2966</v>
      </c>
      <c r="B2970" s="32" t="str">
        <f aca="false">IF(OR(C2970="",I2970="",G2970=""),"",IFERROR(VLOOKUP(I2970,Setup!$A$9:$B$11,2,0),"???")&amp;"-"&amp;G2970&amp;"-"&amp;TEXT(COUNTIFS(I$5:I2970,I2970,G$5:G2970,G2970),"0000"))</f>
        <v/>
      </c>
      <c r="C2970" s="26"/>
      <c r="D2970" s="26"/>
      <c r="E2970" s="27"/>
      <c r="F2970" s="27"/>
      <c r="G2970" s="31" t="str">
        <f aca="false">IF(F2970="","",IF(F2970&lt;=5,"A",IF(F2970&lt;=8,"B",IF(F2970&lt;=10,"C","D"))))</f>
        <v/>
      </c>
      <c r="H2970" s="28"/>
      <c r="I2970" s="27"/>
      <c r="J2970" s="26"/>
      <c r="K2970" s="27"/>
      <c r="L2970" s="27"/>
      <c r="M2970" s="27"/>
      <c r="N2970" s="27"/>
      <c r="O2970" s="31" t="str">
        <f aca="false">IF(G2970="","",VLOOKUP(G2970,Setup!$A$14:$C$17,3,0))</f>
        <v/>
      </c>
      <c r="P2970" s="27"/>
      <c r="Q2970" s="33" t="str">
        <f aca="false">IF(OR(P2970="",M2970&lt;&gt;"Paid",O2970=""),"",P2970/O2970)</f>
        <v/>
      </c>
      <c r="R2970" s="34" t="str">
        <f aca="false">IF(Q2970="","",Q2970+N(H2970)*0.000000001)</f>
        <v/>
      </c>
      <c r="S2970" s="32" t="str">
        <f aca="false">IF(R2970="","",SUMPRODUCT((I$5:I$4004=I2970)*ISNUMBER(R$5:R$4004)*(R$5:R$4004&gt;R2970))+1)</f>
        <v/>
      </c>
      <c r="T2970" s="32" t="str">
        <f aca="false">IF(S2970="","",IF(S2970&lt;=Setup!$B$5,"🏆 WINNER",""))</f>
        <v/>
      </c>
      <c r="U2970" s="31" t="str">
        <f aca="false">IF(S2970="","",I2970&amp;"|"&amp;S2970)</f>
        <v/>
      </c>
    </row>
    <row r="2971" customFormat="false" ht="15" hidden="false" customHeight="false" outlineLevel="0" collapsed="false">
      <c r="A2971" s="24" t="n">
        <v>2967</v>
      </c>
      <c r="B2971" s="25" t="str">
        <f aca="false">IF(OR(C2971="",I2971="",G2971=""),"",IFERROR(VLOOKUP(I2971,Setup!$A$9:$B$11,2,0),"???")&amp;"-"&amp;G2971&amp;"-"&amp;TEXT(COUNTIFS(I$5:I2971,I2971,G$5:G2971,G2971),"0000"))</f>
        <v/>
      </c>
      <c r="C2971" s="26"/>
      <c r="D2971" s="26"/>
      <c r="E2971" s="27"/>
      <c r="F2971" s="27"/>
      <c r="G2971" s="24" t="str">
        <f aca="false">IF(F2971="","",IF(F2971&lt;=5,"A",IF(F2971&lt;=8,"B",IF(F2971&lt;=10,"C","D"))))</f>
        <v/>
      </c>
      <c r="H2971" s="28"/>
      <c r="I2971" s="27"/>
      <c r="J2971" s="26"/>
      <c r="K2971" s="27"/>
      <c r="L2971" s="27"/>
      <c r="M2971" s="27"/>
      <c r="N2971" s="27"/>
      <c r="O2971" s="24" t="str">
        <f aca="false">IF(G2971="","",VLOOKUP(G2971,Setup!$A$14:$C$17,3,0))</f>
        <v/>
      </c>
      <c r="P2971" s="27"/>
      <c r="Q2971" s="29" t="str">
        <f aca="false">IF(OR(P2971="",M2971&lt;&gt;"Paid",O2971=""),"",P2971/O2971)</f>
        <v/>
      </c>
      <c r="R2971" s="30" t="str">
        <f aca="false">IF(Q2971="","",Q2971+N(H2971)*0.000000001)</f>
        <v/>
      </c>
      <c r="S2971" s="25" t="str">
        <f aca="false">IF(R2971="","",SUMPRODUCT((I$5:I$4004=I2971)*ISNUMBER(R$5:R$4004)*(R$5:R$4004&gt;R2971))+1)</f>
        <v/>
      </c>
      <c r="T2971" s="25" t="str">
        <f aca="false">IF(S2971="","",IF(S2971&lt;=Setup!$B$5,"🏆 WINNER",""))</f>
        <v/>
      </c>
      <c r="U2971" s="24" t="str">
        <f aca="false">IF(S2971="","",I2971&amp;"|"&amp;S2971)</f>
        <v/>
      </c>
    </row>
    <row r="2972" customFormat="false" ht="15" hidden="false" customHeight="false" outlineLevel="0" collapsed="false">
      <c r="A2972" s="31" t="n">
        <v>2968</v>
      </c>
      <c r="B2972" s="32" t="str">
        <f aca="false">IF(OR(C2972="",I2972="",G2972=""),"",IFERROR(VLOOKUP(I2972,Setup!$A$9:$B$11,2,0),"???")&amp;"-"&amp;G2972&amp;"-"&amp;TEXT(COUNTIFS(I$5:I2972,I2972,G$5:G2972,G2972),"0000"))</f>
        <v/>
      </c>
      <c r="C2972" s="26"/>
      <c r="D2972" s="26"/>
      <c r="E2972" s="27"/>
      <c r="F2972" s="27"/>
      <c r="G2972" s="31" t="str">
        <f aca="false">IF(F2972="","",IF(F2972&lt;=5,"A",IF(F2972&lt;=8,"B",IF(F2972&lt;=10,"C","D"))))</f>
        <v/>
      </c>
      <c r="H2972" s="28"/>
      <c r="I2972" s="27"/>
      <c r="J2972" s="26"/>
      <c r="K2972" s="27"/>
      <c r="L2972" s="27"/>
      <c r="M2972" s="27"/>
      <c r="N2972" s="27"/>
      <c r="O2972" s="31" t="str">
        <f aca="false">IF(G2972="","",VLOOKUP(G2972,Setup!$A$14:$C$17,3,0))</f>
        <v/>
      </c>
      <c r="P2972" s="27"/>
      <c r="Q2972" s="33" t="str">
        <f aca="false">IF(OR(P2972="",M2972&lt;&gt;"Paid",O2972=""),"",P2972/O2972)</f>
        <v/>
      </c>
      <c r="R2972" s="34" t="str">
        <f aca="false">IF(Q2972="","",Q2972+N(H2972)*0.000000001)</f>
        <v/>
      </c>
      <c r="S2972" s="32" t="str">
        <f aca="false">IF(R2972="","",SUMPRODUCT((I$5:I$4004=I2972)*ISNUMBER(R$5:R$4004)*(R$5:R$4004&gt;R2972))+1)</f>
        <v/>
      </c>
      <c r="T2972" s="32" t="str">
        <f aca="false">IF(S2972="","",IF(S2972&lt;=Setup!$B$5,"🏆 WINNER",""))</f>
        <v/>
      </c>
      <c r="U2972" s="31" t="str">
        <f aca="false">IF(S2972="","",I2972&amp;"|"&amp;S2972)</f>
        <v/>
      </c>
    </row>
    <row r="2973" customFormat="false" ht="15" hidden="false" customHeight="false" outlineLevel="0" collapsed="false">
      <c r="A2973" s="24" t="n">
        <v>2969</v>
      </c>
      <c r="B2973" s="25" t="str">
        <f aca="false">IF(OR(C2973="",I2973="",G2973=""),"",IFERROR(VLOOKUP(I2973,Setup!$A$9:$B$11,2,0),"???")&amp;"-"&amp;G2973&amp;"-"&amp;TEXT(COUNTIFS(I$5:I2973,I2973,G$5:G2973,G2973),"0000"))</f>
        <v/>
      </c>
      <c r="C2973" s="26"/>
      <c r="D2973" s="26"/>
      <c r="E2973" s="27"/>
      <c r="F2973" s="27"/>
      <c r="G2973" s="24" t="str">
        <f aca="false">IF(F2973="","",IF(F2973&lt;=5,"A",IF(F2973&lt;=8,"B",IF(F2973&lt;=10,"C","D"))))</f>
        <v/>
      </c>
      <c r="H2973" s="28"/>
      <c r="I2973" s="27"/>
      <c r="J2973" s="26"/>
      <c r="K2973" s="27"/>
      <c r="L2973" s="27"/>
      <c r="M2973" s="27"/>
      <c r="N2973" s="27"/>
      <c r="O2973" s="24" t="str">
        <f aca="false">IF(G2973="","",VLOOKUP(G2973,Setup!$A$14:$C$17,3,0))</f>
        <v/>
      </c>
      <c r="P2973" s="27"/>
      <c r="Q2973" s="29" t="str">
        <f aca="false">IF(OR(P2973="",M2973&lt;&gt;"Paid",O2973=""),"",P2973/O2973)</f>
        <v/>
      </c>
      <c r="R2973" s="30" t="str">
        <f aca="false">IF(Q2973="","",Q2973+N(H2973)*0.000000001)</f>
        <v/>
      </c>
      <c r="S2973" s="25" t="str">
        <f aca="false">IF(R2973="","",SUMPRODUCT((I$5:I$4004=I2973)*ISNUMBER(R$5:R$4004)*(R$5:R$4004&gt;R2973))+1)</f>
        <v/>
      </c>
      <c r="T2973" s="25" t="str">
        <f aca="false">IF(S2973="","",IF(S2973&lt;=Setup!$B$5,"🏆 WINNER",""))</f>
        <v/>
      </c>
      <c r="U2973" s="24" t="str">
        <f aca="false">IF(S2973="","",I2973&amp;"|"&amp;S2973)</f>
        <v/>
      </c>
    </row>
    <row r="2974" customFormat="false" ht="15" hidden="false" customHeight="false" outlineLevel="0" collapsed="false">
      <c r="A2974" s="31" t="n">
        <v>2970</v>
      </c>
      <c r="B2974" s="32" t="str">
        <f aca="false">IF(OR(C2974="",I2974="",G2974=""),"",IFERROR(VLOOKUP(I2974,Setup!$A$9:$B$11,2,0),"???")&amp;"-"&amp;G2974&amp;"-"&amp;TEXT(COUNTIFS(I$5:I2974,I2974,G$5:G2974,G2974),"0000"))</f>
        <v/>
      </c>
      <c r="C2974" s="26"/>
      <c r="D2974" s="26"/>
      <c r="E2974" s="27"/>
      <c r="F2974" s="27"/>
      <c r="G2974" s="31" t="str">
        <f aca="false">IF(F2974="","",IF(F2974&lt;=5,"A",IF(F2974&lt;=8,"B",IF(F2974&lt;=10,"C","D"))))</f>
        <v/>
      </c>
      <c r="H2974" s="28"/>
      <c r="I2974" s="27"/>
      <c r="J2974" s="26"/>
      <c r="K2974" s="27"/>
      <c r="L2974" s="27"/>
      <c r="M2974" s="27"/>
      <c r="N2974" s="27"/>
      <c r="O2974" s="31" t="str">
        <f aca="false">IF(G2974="","",VLOOKUP(G2974,Setup!$A$14:$C$17,3,0))</f>
        <v/>
      </c>
      <c r="P2974" s="27"/>
      <c r="Q2974" s="33" t="str">
        <f aca="false">IF(OR(P2974="",M2974&lt;&gt;"Paid",O2974=""),"",P2974/O2974)</f>
        <v/>
      </c>
      <c r="R2974" s="34" t="str">
        <f aca="false">IF(Q2974="","",Q2974+N(H2974)*0.000000001)</f>
        <v/>
      </c>
      <c r="S2974" s="32" t="str">
        <f aca="false">IF(R2974="","",SUMPRODUCT((I$5:I$4004=I2974)*ISNUMBER(R$5:R$4004)*(R$5:R$4004&gt;R2974))+1)</f>
        <v/>
      </c>
      <c r="T2974" s="32" t="str">
        <f aca="false">IF(S2974="","",IF(S2974&lt;=Setup!$B$5,"🏆 WINNER",""))</f>
        <v/>
      </c>
      <c r="U2974" s="31" t="str">
        <f aca="false">IF(S2974="","",I2974&amp;"|"&amp;S2974)</f>
        <v/>
      </c>
    </row>
    <row r="2975" customFormat="false" ht="15" hidden="false" customHeight="false" outlineLevel="0" collapsed="false">
      <c r="A2975" s="24" t="n">
        <v>2971</v>
      </c>
      <c r="B2975" s="25" t="str">
        <f aca="false">IF(OR(C2975="",I2975="",G2975=""),"",IFERROR(VLOOKUP(I2975,Setup!$A$9:$B$11,2,0),"???")&amp;"-"&amp;G2975&amp;"-"&amp;TEXT(COUNTIFS(I$5:I2975,I2975,G$5:G2975,G2975),"0000"))</f>
        <v/>
      </c>
      <c r="C2975" s="26"/>
      <c r="D2975" s="26"/>
      <c r="E2975" s="27"/>
      <c r="F2975" s="27"/>
      <c r="G2975" s="24" t="str">
        <f aca="false">IF(F2975="","",IF(F2975&lt;=5,"A",IF(F2975&lt;=8,"B",IF(F2975&lt;=10,"C","D"))))</f>
        <v/>
      </c>
      <c r="H2975" s="28"/>
      <c r="I2975" s="27"/>
      <c r="J2975" s="26"/>
      <c r="K2975" s="27"/>
      <c r="L2975" s="27"/>
      <c r="M2975" s="27"/>
      <c r="N2975" s="27"/>
      <c r="O2975" s="24" t="str">
        <f aca="false">IF(G2975="","",VLOOKUP(G2975,Setup!$A$14:$C$17,3,0))</f>
        <v/>
      </c>
      <c r="P2975" s="27"/>
      <c r="Q2975" s="29" t="str">
        <f aca="false">IF(OR(P2975="",M2975&lt;&gt;"Paid",O2975=""),"",P2975/O2975)</f>
        <v/>
      </c>
      <c r="R2975" s="30" t="str">
        <f aca="false">IF(Q2975="","",Q2975+N(H2975)*0.000000001)</f>
        <v/>
      </c>
      <c r="S2975" s="25" t="str">
        <f aca="false">IF(R2975="","",SUMPRODUCT((I$5:I$4004=I2975)*ISNUMBER(R$5:R$4004)*(R$5:R$4004&gt;R2975))+1)</f>
        <v/>
      </c>
      <c r="T2975" s="25" t="str">
        <f aca="false">IF(S2975="","",IF(S2975&lt;=Setup!$B$5,"🏆 WINNER",""))</f>
        <v/>
      </c>
      <c r="U2975" s="24" t="str">
        <f aca="false">IF(S2975="","",I2975&amp;"|"&amp;S2975)</f>
        <v/>
      </c>
    </row>
    <row r="2976" customFormat="false" ht="15" hidden="false" customHeight="false" outlineLevel="0" collapsed="false">
      <c r="A2976" s="31" t="n">
        <v>2972</v>
      </c>
      <c r="B2976" s="32" t="str">
        <f aca="false">IF(OR(C2976="",I2976="",G2976=""),"",IFERROR(VLOOKUP(I2976,Setup!$A$9:$B$11,2,0),"???")&amp;"-"&amp;G2976&amp;"-"&amp;TEXT(COUNTIFS(I$5:I2976,I2976,G$5:G2976,G2976),"0000"))</f>
        <v/>
      </c>
      <c r="C2976" s="26"/>
      <c r="D2976" s="26"/>
      <c r="E2976" s="27"/>
      <c r="F2976" s="27"/>
      <c r="G2976" s="31" t="str">
        <f aca="false">IF(F2976="","",IF(F2976&lt;=5,"A",IF(F2976&lt;=8,"B",IF(F2976&lt;=10,"C","D"))))</f>
        <v/>
      </c>
      <c r="H2976" s="28"/>
      <c r="I2976" s="27"/>
      <c r="J2976" s="26"/>
      <c r="K2976" s="27"/>
      <c r="L2976" s="27"/>
      <c r="M2976" s="27"/>
      <c r="N2976" s="27"/>
      <c r="O2976" s="31" t="str">
        <f aca="false">IF(G2976="","",VLOOKUP(G2976,Setup!$A$14:$C$17,3,0))</f>
        <v/>
      </c>
      <c r="P2976" s="27"/>
      <c r="Q2976" s="33" t="str">
        <f aca="false">IF(OR(P2976="",M2976&lt;&gt;"Paid",O2976=""),"",P2976/O2976)</f>
        <v/>
      </c>
      <c r="R2976" s="34" t="str">
        <f aca="false">IF(Q2976="","",Q2976+N(H2976)*0.000000001)</f>
        <v/>
      </c>
      <c r="S2976" s="32" t="str">
        <f aca="false">IF(R2976="","",SUMPRODUCT((I$5:I$4004=I2976)*ISNUMBER(R$5:R$4004)*(R$5:R$4004&gt;R2976))+1)</f>
        <v/>
      </c>
      <c r="T2976" s="32" t="str">
        <f aca="false">IF(S2976="","",IF(S2976&lt;=Setup!$B$5,"🏆 WINNER",""))</f>
        <v/>
      </c>
      <c r="U2976" s="31" t="str">
        <f aca="false">IF(S2976="","",I2976&amp;"|"&amp;S2976)</f>
        <v/>
      </c>
    </row>
    <row r="2977" customFormat="false" ht="15" hidden="false" customHeight="false" outlineLevel="0" collapsed="false">
      <c r="A2977" s="24" t="n">
        <v>2973</v>
      </c>
      <c r="B2977" s="25" t="str">
        <f aca="false">IF(OR(C2977="",I2977="",G2977=""),"",IFERROR(VLOOKUP(I2977,Setup!$A$9:$B$11,2,0),"???")&amp;"-"&amp;G2977&amp;"-"&amp;TEXT(COUNTIFS(I$5:I2977,I2977,G$5:G2977,G2977),"0000"))</f>
        <v/>
      </c>
      <c r="C2977" s="26"/>
      <c r="D2977" s="26"/>
      <c r="E2977" s="27"/>
      <c r="F2977" s="27"/>
      <c r="G2977" s="24" t="str">
        <f aca="false">IF(F2977="","",IF(F2977&lt;=5,"A",IF(F2977&lt;=8,"B",IF(F2977&lt;=10,"C","D"))))</f>
        <v/>
      </c>
      <c r="H2977" s="28"/>
      <c r="I2977" s="27"/>
      <c r="J2977" s="26"/>
      <c r="K2977" s="27"/>
      <c r="L2977" s="27"/>
      <c r="M2977" s="27"/>
      <c r="N2977" s="27"/>
      <c r="O2977" s="24" t="str">
        <f aca="false">IF(G2977="","",VLOOKUP(G2977,Setup!$A$14:$C$17,3,0))</f>
        <v/>
      </c>
      <c r="P2977" s="27"/>
      <c r="Q2977" s="29" t="str">
        <f aca="false">IF(OR(P2977="",M2977&lt;&gt;"Paid",O2977=""),"",P2977/O2977)</f>
        <v/>
      </c>
      <c r="R2977" s="30" t="str">
        <f aca="false">IF(Q2977="","",Q2977+N(H2977)*0.000000001)</f>
        <v/>
      </c>
      <c r="S2977" s="25" t="str">
        <f aca="false">IF(R2977="","",SUMPRODUCT((I$5:I$4004=I2977)*ISNUMBER(R$5:R$4004)*(R$5:R$4004&gt;R2977))+1)</f>
        <v/>
      </c>
      <c r="T2977" s="25" t="str">
        <f aca="false">IF(S2977="","",IF(S2977&lt;=Setup!$B$5,"🏆 WINNER",""))</f>
        <v/>
      </c>
      <c r="U2977" s="24" t="str">
        <f aca="false">IF(S2977="","",I2977&amp;"|"&amp;S2977)</f>
        <v/>
      </c>
    </row>
    <row r="2978" customFormat="false" ht="15" hidden="false" customHeight="false" outlineLevel="0" collapsed="false">
      <c r="A2978" s="31" t="n">
        <v>2974</v>
      </c>
      <c r="B2978" s="32" t="str">
        <f aca="false">IF(OR(C2978="",I2978="",G2978=""),"",IFERROR(VLOOKUP(I2978,Setup!$A$9:$B$11,2,0),"???")&amp;"-"&amp;G2978&amp;"-"&amp;TEXT(COUNTIFS(I$5:I2978,I2978,G$5:G2978,G2978),"0000"))</f>
        <v/>
      </c>
      <c r="C2978" s="26"/>
      <c r="D2978" s="26"/>
      <c r="E2978" s="27"/>
      <c r="F2978" s="27"/>
      <c r="G2978" s="31" t="str">
        <f aca="false">IF(F2978="","",IF(F2978&lt;=5,"A",IF(F2978&lt;=8,"B",IF(F2978&lt;=10,"C","D"))))</f>
        <v/>
      </c>
      <c r="H2978" s="28"/>
      <c r="I2978" s="27"/>
      <c r="J2978" s="26"/>
      <c r="K2978" s="27"/>
      <c r="L2978" s="27"/>
      <c r="M2978" s="27"/>
      <c r="N2978" s="27"/>
      <c r="O2978" s="31" t="str">
        <f aca="false">IF(G2978="","",VLOOKUP(G2978,Setup!$A$14:$C$17,3,0))</f>
        <v/>
      </c>
      <c r="P2978" s="27"/>
      <c r="Q2978" s="33" t="str">
        <f aca="false">IF(OR(P2978="",M2978&lt;&gt;"Paid",O2978=""),"",P2978/O2978)</f>
        <v/>
      </c>
      <c r="R2978" s="34" t="str">
        <f aca="false">IF(Q2978="","",Q2978+N(H2978)*0.000000001)</f>
        <v/>
      </c>
      <c r="S2978" s="32" t="str">
        <f aca="false">IF(R2978="","",SUMPRODUCT((I$5:I$4004=I2978)*ISNUMBER(R$5:R$4004)*(R$5:R$4004&gt;R2978))+1)</f>
        <v/>
      </c>
      <c r="T2978" s="32" t="str">
        <f aca="false">IF(S2978="","",IF(S2978&lt;=Setup!$B$5,"🏆 WINNER",""))</f>
        <v/>
      </c>
      <c r="U2978" s="31" t="str">
        <f aca="false">IF(S2978="","",I2978&amp;"|"&amp;S2978)</f>
        <v/>
      </c>
    </row>
    <row r="2979" customFormat="false" ht="15" hidden="false" customHeight="false" outlineLevel="0" collapsed="false">
      <c r="A2979" s="24" t="n">
        <v>2975</v>
      </c>
      <c r="B2979" s="25" t="str">
        <f aca="false">IF(OR(C2979="",I2979="",G2979=""),"",IFERROR(VLOOKUP(I2979,Setup!$A$9:$B$11,2,0),"???")&amp;"-"&amp;G2979&amp;"-"&amp;TEXT(COUNTIFS(I$5:I2979,I2979,G$5:G2979,G2979),"0000"))</f>
        <v/>
      </c>
      <c r="C2979" s="26"/>
      <c r="D2979" s="26"/>
      <c r="E2979" s="27"/>
      <c r="F2979" s="27"/>
      <c r="G2979" s="24" t="str">
        <f aca="false">IF(F2979="","",IF(F2979&lt;=5,"A",IF(F2979&lt;=8,"B",IF(F2979&lt;=10,"C","D"))))</f>
        <v/>
      </c>
      <c r="H2979" s="28"/>
      <c r="I2979" s="27"/>
      <c r="J2979" s="26"/>
      <c r="K2979" s="27"/>
      <c r="L2979" s="27"/>
      <c r="M2979" s="27"/>
      <c r="N2979" s="27"/>
      <c r="O2979" s="24" t="str">
        <f aca="false">IF(G2979="","",VLOOKUP(G2979,Setup!$A$14:$C$17,3,0))</f>
        <v/>
      </c>
      <c r="P2979" s="27"/>
      <c r="Q2979" s="29" t="str">
        <f aca="false">IF(OR(P2979="",M2979&lt;&gt;"Paid",O2979=""),"",P2979/O2979)</f>
        <v/>
      </c>
      <c r="R2979" s="30" t="str">
        <f aca="false">IF(Q2979="","",Q2979+N(H2979)*0.000000001)</f>
        <v/>
      </c>
      <c r="S2979" s="25" t="str">
        <f aca="false">IF(R2979="","",SUMPRODUCT((I$5:I$4004=I2979)*ISNUMBER(R$5:R$4004)*(R$5:R$4004&gt;R2979))+1)</f>
        <v/>
      </c>
      <c r="T2979" s="25" t="str">
        <f aca="false">IF(S2979="","",IF(S2979&lt;=Setup!$B$5,"🏆 WINNER",""))</f>
        <v/>
      </c>
      <c r="U2979" s="24" t="str">
        <f aca="false">IF(S2979="","",I2979&amp;"|"&amp;S2979)</f>
        <v/>
      </c>
    </row>
    <row r="2980" customFormat="false" ht="15" hidden="false" customHeight="false" outlineLevel="0" collapsed="false">
      <c r="A2980" s="31" t="n">
        <v>2976</v>
      </c>
      <c r="B2980" s="32" t="str">
        <f aca="false">IF(OR(C2980="",I2980="",G2980=""),"",IFERROR(VLOOKUP(I2980,Setup!$A$9:$B$11,2,0),"???")&amp;"-"&amp;G2980&amp;"-"&amp;TEXT(COUNTIFS(I$5:I2980,I2980,G$5:G2980,G2980),"0000"))</f>
        <v/>
      </c>
      <c r="C2980" s="26"/>
      <c r="D2980" s="26"/>
      <c r="E2980" s="27"/>
      <c r="F2980" s="27"/>
      <c r="G2980" s="31" t="str">
        <f aca="false">IF(F2980="","",IF(F2980&lt;=5,"A",IF(F2980&lt;=8,"B",IF(F2980&lt;=10,"C","D"))))</f>
        <v/>
      </c>
      <c r="H2980" s="28"/>
      <c r="I2980" s="27"/>
      <c r="J2980" s="26"/>
      <c r="K2980" s="27"/>
      <c r="L2980" s="27"/>
      <c r="M2980" s="27"/>
      <c r="N2980" s="27"/>
      <c r="O2980" s="31" t="str">
        <f aca="false">IF(G2980="","",VLOOKUP(G2980,Setup!$A$14:$C$17,3,0))</f>
        <v/>
      </c>
      <c r="P2980" s="27"/>
      <c r="Q2980" s="33" t="str">
        <f aca="false">IF(OR(P2980="",M2980&lt;&gt;"Paid",O2980=""),"",P2980/O2980)</f>
        <v/>
      </c>
      <c r="R2980" s="34" t="str">
        <f aca="false">IF(Q2980="","",Q2980+N(H2980)*0.000000001)</f>
        <v/>
      </c>
      <c r="S2980" s="32" t="str">
        <f aca="false">IF(R2980="","",SUMPRODUCT((I$5:I$4004=I2980)*ISNUMBER(R$5:R$4004)*(R$5:R$4004&gt;R2980))+1)</f>
        <v/>
      </c>
      <c r="T2980" s="32" t="str">
        <f aca="false">IF(S2980="","",IF(S2980&lt;=Setup!$B$5,"🏆 WINNER",""))</f>
        <v/>
      </c>
      <c r="U2980" s="31" t="str">
        <f aca="false">IF(S2980="","",I2980&amp;"|"&amp;S2980)</f>
        <v/>
      </c>
    </row>
    <row r="2981" customFormat="false" ht="15" hidden="false" customHeight="false" outlineLevel="0" collapsed="false">
      <c r="A2981" s="24" t="n">
        <v>2977</v>
      </c>
      <c r="B2981" s="25" t="str">
        <f aca="false">IF(OR(C2981="",I2981="",G2981=""),"",IFERROR(VLOOKUP(I2981,Setup!$A$9:$B$11,2,0),"???")&amp;"-"&amp;G2981&amp;"-"&amp;TEXT(COUNTIFS(I$5:I2981,I2981,G$5:G2981,G2981),"0000"))</f>
        <v/>
      </c>
      <c r="C2981" s="26"/>
      <c r="D2981" s="26"/>
      <c r="E2981" s="27"/>
      <c r="F2981" s="27"/>
      <c r="G2981" s="24" t="str">
        <f aca="false">IF(F2981="","",IF(F2981&lt;=5,"A",IF(F2981&lt;=8,"B",IF(F2981&lt;=10,"C","D"))))</f>
        <v/>
      </c>
      <c r="H2981" s="28"/>
      <c r="I2981" s="27"/>
      <c r="J2981" s="26"/>
      <c r="K2981" s="27"/>
      <c r="L2981" s="27"/>
      <c r="M2981" s="27"/>
      <c r="N2981" s="27"/>
      <c r="O2981" s="24" t="str">
        <f aca="false">IF(G2981="","",VLOOKUP(G2981,Setup!$A$14:$C$17,3,0))</f>
        <v/>
      </c>
      <c r="P2981" s="27"/>
      <c r="Q2981" s="29" t="str">
        <f aca="false">IF(OR(P2981="",M2981&lt;&gt;"Paid",O2981=""),"",P2981/O2981)</f>
        <v/>
      </c>
      <c r="R2981" s="30" t="str">
        <f aca="false">IF(Q2981="","",Q2981+N(H2981)*0.000000001)</f>
        <v/>
      </c>
      <c r="S2981" s="25" t="str">
        <f aca="false">IF(R2981="","",SUMPRODUCT((I$5:I$4004=I2981)*ISNUMBER(R$5:R$4004)*(R$5:R$4004&gt;R2981))+1)</f>
        <v/>
      </c>
      <c r="T2981" s="25" t="str">
        <f aca="false">IF(S2981="","",IF(S2981&lt;=Setup!$B$5,"🏆 WINNER",""))</f>
        <v/>
      </c>
      <c r="U2981" s="24" t="str">
        <f aca="false">IF(S2981="","",I2981&amp;"|"&amp;S2981)</f>
        <v/>
      </c>
    </row>
    <row r="2982" customFormat="false" ht="15" hidden="false" customHeight="false" outlineLevel="0" collapsed="false">
      <c r="A2982" s="31" t="n">
        <v>2978</v>
      </c>
      <c r="B2982" s="32" t="str">
        <f aca="false">IF(OR(C2982="",I2982="",G2982=""),"",IFERROR(VLOOKUP(I2982,Setup!$A$9:$B$11,2,0),"???")&amp;"-"&amp;G2982&amp;"-"&amp;TEXT(COUNTIFS(I$5:I2982,I2982,G$5:G2982,G2982),"0000"))</f>
        <v/>
      </c>
      <c r="C2982" s="26"/>
      <c r="D2982" s="26"/>
      <c r="E2982" s="27"/>
      <c r="F2982" s="27"/>
      <c r="G2982" s="31" t="str">
        <f aca="false">IF(F2982="","",IF(F2982&lt;=5,"A",IF(F2982&lt;=8,"B",IF(F2982&lt;=10,"C","D"))))</f>
        <v/>
      </c>
      <c r="H2982" s="28"/>
      <c r="I2982" s="27"/>
      <c r="J2982" s="26"/>
      <c r="K2982" s="27"/>
      <c r="L2982" s="27"/>
      <c r="M2982" s="27"/>
      <c r="N2982" s="27"/>
      <c r="O2982" s="31" t="str">
        <f aca="false">IF(G2982="","",VLOOKUP(G2982,Setup!$A$14:$C$17,3,0))</f>
        <v/>
      </c>
      <c r="P2982" s="27"/>
      <c r="Q2982" s="33" t="str">
        <f aca="false">IF(OR(P2982="",M2982&lt;&gt;"Paid",O2982=""),"",P2982/O2982)</f>
        <v/>
      </c>
      <c r="R2982" s="34" t="str">
        <f aca="false">IF(Q2982="","",Q2982+N(H2982)*0.000000001)</f>
        <v/>
      </c>
      <c r="S2982" s="32" t="str">
        <f aca="false">IF(R2982="","",SUMPRODUCT((I$5:I$4004=I2982)*ISNUMBER(R$5:R$4004)*(R$5:R$4004&gt;R2982))+1)</f>
        <v/>
      </c>
      <c r="T2982" s="32" t="str">
        <f aca="false">IF(S2982="","",IF(S2982&lt;=Setup!$B$5,"🏆 WINNER",""))</f>
        <v/>
      </c>
      <c r="U2982" s="31" t="str">
        <f aca="false">IF(S2982="","",I2982&amp;"|"&amp;S2982)</f>
        <v/>
      </c>
    </row>
    <row r="2983" customFormat="false" ht="15" hidden="false" customHeight="false" outlineLevel="0" collapsed="false">
      <c r="A2983" s="24" t="n">
        <v>2979</v>
      </c>
      <c r="B2983" s="25" t="str">
        <f aca="false">IF(OR(C2983="",I2983="",G2983=""),"",IFERROR(VLOOKUP(I2983,Setup!$A$9:$B$11,2,0),"???")&amp;"-"&amp;G2983&amp;"-"&amp;TEXT(COUNTIFS(I$5:I2983,I2983,G$5:G2983,G2983),"0000"))</f>
        <v/>
      </c>
      <c r="C2983" s="26"/>
      <c r="D2983" s="26"/>
      <c r="E2983" s="27"/>
      <c r="F2983" s="27"/>
      <c r="G2983" s="24" t="str">
        <f aca="false">IF(F2983="","",IF(F2983&lt;=5,"A",IF(F2983&lt;=8,"B",IF(F2983&lt;=10,"C","D"))))</f>
        <v/>
      </c>
      <c r="H2983" s="28"/>
      <c r="I2983" s="27"/>
      <c r="J2983" s="26"/>
      <c r="K2983" s="27"/>
      <c r="L2983" s="27"/>
      <c r="M2983" s="27"/>
      <c r="N2983" s="27"/>
      <c r="O2983" s="24" t="str">
        <f aca="false">IF(G2983="","",VLOOKUP(G2983,Setup!$A$14:$C$17,3,0))</f>
        <v/>
      </c>
      <c r="P2983" s="27"/>
      <c r="Q2983" s="29" t="str">
        <f aca="false">IF(OR(P2983="",M2983&lt;&gt;"Paid",O2983=""),"",P2983/O2983)</f>
        <v/>
      </c>
      <c r="R2983" s="30" t="str">
        <f aca="false">IF(Q2983="","",Q2983+N(H2983)*0.000000001)</f>
        <v/>
      </c>
      <c r="S2983" s="25" t="str">
        <f aca="false">IF(R2983="","",SUMPRODUCT((I$5:I$4004=I2983)*ISNUMBER(R$5:R$4004)*(R$5:R$4004&gt;R2983))+1)</f>
        <v/>
      </c>
      <c r="T2983" s="25" t="str">
        <f aca="false">IF(S2983="","",IF(S2983&lt;=Setup!$B$5,"🏆 WINNER",""))</f>
        <v/>
      </c>
      <c r="U2983" s="24" t="str">
        <f aca="false">IF(S2983="","",I2983&amp;"|"&amp;S2983)</f>
        <v/>
      </c>
    </row>
    <row r="2984" customFormat="false" ht="15" hidden="false" customHeight="false" outlineLevel="0" collapsed="false">
      <c r="A2984" s="31" t="n">
        <v>2980</v>
      </c>
      <c r="B2984" s="32" t="str">
        <f aca="false">IF(OR(C2984="",I2984="",G2984=""),"",IFERROR(VLOOKUP(I2984,Setup!$A$9:$B$11,2,0),"???")&amp;"-"&amp;G2984&amp;"-"&amp;TEXT(COUNTIFS(I$5:I2984,I2984,G$5:G2984,G2984),"0000"))</f>
        <v/>
      </c>
      <c r="C2984" s="26"/>
      <c r="D2984" s="26"/>
      <c r="E2984" s="27"/>
      <c r="F2984" s="27"/>
      <c r="G2984" s="31" t="str">
        <f aca="false">IF(F2984="","",IF(F2984&lt;=5,"A",IF(F2984&lt;=8,"B",IF(F2984&lt;=10,"C","D"))))</f>
        <v/>
      </c>
      <c r="H2984" s="28"/>
      <c r="I2984" s="27"/>
      <c r="J2984" s="26"/>
      <c r="K2984" s="27"/>
      <c r="L2984" s="27"/>
      <c r="M2984" s="27"/>
      <c r="N2984" s="27"/>
      <c r="O2984" s="31" t="str">
        <f aca="false">IF(G2984="","",VLOOKUP(G2984,Setup!$A$14:$C$17,3,0))</f>
        <v/>
      </c>
      <c r="P2984" s="27"/>
      <c r="Q2984" s="33" t="str">
        <f aca="false">IF(OR(P2984="",M2984&lt;&gt;"Paid",O2984=""),"",P2984/O2984)</f>
        <v/>
      </c>
      <c r="R2984" s="34" t="str">
        <f aca="false">IF(Q2984="","",Q2984+N(H2984)*0.000000001)</f>
        <v/>
      </c>
      <c r="S2984" s="32" t="str">
        <f aca="false">IF(R2984="","",SUMPRODUCT((I$5:I$4004=I2984)*ISNUMBER(R$5:R$4004)*(R$5:R$4004&gt;R2984))+1)</f>
        <v/>
      </c>
      <c r="T2984" s="32" t="str">
        <f aca="false">IF(S2984="","",IF(S2984&lt;=Setup!$B$5,"🏆 WINNER",""))</f>
        <v/>
      </c>
      <c r="U2984" s="31" t="str">
        <f aca="false">IF(S2984="","",I2984&amp;"|"&amp;S2984)</f>
        <v/>
      </c>
    </row>
    <row r="2985" customFormat="false" ht="15" hidden="false" customHeight="false" outlineLevel="0" collapsed="false">
      <c r="A2985" s="24" t="n">
        <v>2981</v>
      </c>
      <c r="B2985" s="25" t="str">
        <f aca="false">IF(OR(C2985="",I2985="",G2985=""),"",IFERROR(VLOOKUP(I2985,Setup!$A$9:$B$11,2,0),"???")&amp;"-"&amp;G2985&amp;"-"&amp;TEXT(COUNTIFS(I$5:I2985,I2985,G$5:G2985,G2985),"0000"))</f>
        <v/>
      </c>
      <c r="C2985" s="26"/>
      <c r="D2985" s="26"/>
      <c r="E2985" s="27"/>
      <c r="F2985" s="27"/>
      <c r="G2985" s="24" t="str">
        <f aca="false">IF(F2985="","",IF(F2985&lt;=5,"A",IF(F2985&lt;=8,"B",IF(F2985&lt;=10,"C","D"))))</f>
        <v/>
      </c>
      <c r="H2985" s="28"/>
      <c r="I2985" s="27"/>
      <c r="J2985" s="26"/>
      <c r="K2985" s="27"/>
      <c r="L2985" s="27"/>
      <c r="M2985" s="27"/>
      <c r="N2985" s="27"/>
      <c r="O2985" s="24" t="str">
        <f aca="false">IF(G2985="","",VLOOKUP(G2985,Setup!$A$14:$C$17,3,0))</f>
        <v/>
      </c>
      <c r="P2985" s="27"/>
      <c r="Q2985" s="29" t="str">
        <f aca="false">IF(OR(P2985="",M2985&lt;&gt;"Paid",O2985=""),"",P2985/O2985)</f>
        <v/>
      </c>
      <c r="R2985" s="30" t="str">
        <f aca="false">IF(Q2985="","",Q2985+N(H2985)*0.000000001)</f>
        <v/>
      </c>
      <c r="S2985" s="25" t="str">
        <f aca="false">IF(R2985="","",SUMPRODUCT((I$5:I$4004=I2985)*ISNUMBER(R$5:R$4004)*(R$5:R$4004&gt;R2985))+1)</f>
        <v/>
      </c>
      <c r="T2985" s="25" t="str">
        <f aca="false">IF(S2985="","",IF(S2985&lt;=Setup!$B$5,"🏆 WINNER",""))</f>
        <v/>
      </c>
      <c r="U2985" s="24" t="str">
        <f aca="false">IF(S2985="","",I2985&amp;"|"&amp;S2985)</f>
        <v/>
      </c>
    </row>
    <row r="2986" customFormat="false" ht="15" hidden="false" customHeight="false" outlineLevel="0" collapsed="false">
      <c r="A2986" s="31" t="n">
        <v>2982</v>
      </c>
      <c r="B2986" s="32" t="str">
        <f aca="false">IF(OR(C2986="",I2986="",G2986=""),"",IFERROR(VLOOKUP(I2986,Setup!$A$9:$B$11,2,0),"???")&amp;"-"&amp;G2986&amp;"-"&amp;TEXT(COUNTIFS(I$5:I2986,I2986,G$5:G2986,G2986),"0000"))</f>
        <v/>
      </c>
      <c r="C2986" s="26"/>
      <c r="D2986" s="26"/>
      <c r="E2986" s="27"/>
      <c r="F2986" s="27"/>
      <c r="G2986" s="31" t="str">
        <f aca="false">IF(F2986="","",IF(F2986&lt;=5,"A",IF(F2986&lt;=8,"B",IF(F2986&lt;=10,"C","D"))))</f>
        <v/>
      </c>
      <c r="H2986" s="28"/>
      <c r="I2986" s="27"/>
      <c r="J2986" s="26"/>
      <c r="K2986" s="27"/>
      <c r="L2986" s="27"/>
      <c r="M2986" s="27"/>
      <c r="N2986" s="27"/>
      <c r="O2986" s="31" t="str">
        <f aca="false">IF(G2986="","",VLOOKUP(G2986,Setup!$A$14:$C$17,3,0))</f>
        <v/>
      </c>
      <c r="P2986" s="27"/>
      <c r="Q2986" s="33" t="str">
        <f aca="false">IF(OR(P2986="",M2986&lt;&gt;"Paid",O2986=""),"",P2986/O2986)</f>
        <v/>
      </c>
      <c r="R2986" s="34" t="str">
        <f aca="false">IF(Q2986="","",Q2986+N(H2986)*0.000000001)</f>
        <v/>
      </c>
      <c r="S2986" s="32" t="str">
        <f aca="false">IF(R2986="","",SUMPRODUCT((I$5:I$4004=I2986)*ISNUMBER(R$5:R$4004)*(R$5:R$4004&gt;R2986))+1)</f>
        <v/>
      </c>
      <c r="T2986" s="32" t="str">
        <f aca="false">IF(S2986="","",IF(S2986&lt;=Setup!$B$5,"🏆 WINNER",""))</f>
        <v/>
      </c>
      <c r="U2986" s="31" t="str">
        <f aca="false">IF(S2986="","",I2986&amp;"|"&amp;S2986)</f>
        <v/>
      </c>
    </row>
    <row r="2987" customFormat="false" ht="15" hidden="false" customHeight="false" outlineLevel="0" collapsed="false">
      <c r="A2987" s="24" t="n">
        <v>2983</v>
      </c>
      <c r="B2987" s="25" t="str">
        <f aca="false">IF(OR(C2987="",I2987="",G2987=""),"",IFERROR(VLOOKUP(I2987,Setup!$A$9:$B$11,2,0),"???")&amp;"-"&amp;G2987&amp;"-"&amp;TEXT(COUNTIFS(I$5:I2987,I2987,G$5:G2987,G2987),"0000"))</f>
        <v/>
      </c>
      <c r="C2987" s="26"/>
      <c r="D2987" s="26"/>
      <c r="E2987" s="27"/>
      <c r="F2987" s="27"/>
      <c r="G2987" s="24" t="str">
        <f aca="false">IF(F2987="","",IF(F2987&lt;=5,"A",IF(F2987&lt;=8,"B",IF(F2987&lt;=10,"C","D"))))</f>
        <v/>
      </c>
      <c r="H2987" s="28"/>
      <c r="I2987" s="27"/>
      <c r="J2987" s="26"/>
      <c r="K2987" s="27"/>
      <c r="L2987" s="27"/>
      <c r="M2987" s="27"/>
      <c r="N2987" s="27"/>
      <c r="O2987" s="24" t="str">
        <f aca="false">IF(G2987="","",VLOOKUP(G2987,Setup!$A$14:$C$17,3,0))</f>
        <v/>
      </c>
      <c r="P2987" s="27"/>
      <c r="Q2987" s="29" t="str">
        <f aca="false">IF(OR(P2987="",M2987&lt;&gt;"Paid",O2987=""),"",P2987/O2987)</f>
        <v/>
      </c>
      <c r="R2987" s="30" t="str">
        <f aca="false">IF(Q2987="","",Q2987+N(H2987)*0.000000001)</f>
        <v/>
      </c>
      <c r="S2987" s="25" t="str">
        <f aca="false">IF(R2987="","",SUMPRODUCT((I$5:I$4004=I2987)*ISNUMBER(R$5:R$4004)*(R$5:R$4004&gt;R2987))+1)</f>
        <v/>
      </c>
      <c r="T2987" s="25" t="str">
        <f aca="false">IF(S2987="","",IF(S2987&lt;=Setup!$B$5,"🏆 WINNER",""))</f>
        <v/>
      </c>
      <c r="U2987" s="24" t="str">
        <f aca="false">IF(S2987="","",I2987&amp;"|"&amp;S2987)</f>
        <v/>
      </c>
    </row>
    <row r="2988" customFormat="false" ht="15" hidden="false" customHeight="false" outlineLevel="0" collapsed="false">
      <c r="A2988" s="31" t="n">
        <v>2984</v>
      </c>
      <c r="B2988" s="32" t="str">
        <f aca="false">IF(OR(C2988="",I2988="",G2988=""),"",IFERROR(VLOOKUP(I2988,Setup!$A$9:$B$11,2,0),"???")&amp;"-"&amp;G2988&amp;"-"&amp;TEXT(COUNTIFS(I$5:I2988,I2988,G$5:G2988,G2988),"0000"))</f>
        <v/>
      </c>
      <c r="C2988" s="26"/>
      <c r="D2988" s="26"/>
      <c r="E2988" s="27"/>
      <c r="F2988" s="27"/>
      <c r="G2988" s="31" t="str">
        <f aca="false">IF(F2988="","",IF(F2988&lt;=5,"A",IF(F2988&lt;=8,"B",IF(F2988&lt;=10,"C","D"))))</f>
        <v/>
      </c>
      <c r="H2988" s="28"/>
      <c r="I2988" s="27"/>
      <c r="J2988" s="26"/>
      <c r="K2988" s="27"/>
      <c r="L2988" s="27"/>
      <c r="M2988" s="27"/>
      <c r="N2988" s="27"/>
      <c r="O2988" s="31" t="str">
        <f aca="false">IF(G2988="","",VLOOKUP(G2988,Setup!$A$14:$C$17,3,0))</f>
        <v/>
      </c>
      <c r="P2988" s="27"/>
      <c r="Q2988" s="33" t="str">
        <f aca="false">IF(OR(P2988="",M2988&lt;&gt;"Paid",O2988=""),"",P2988/O2988)</f>
        <v/>
      </c>
      <c r="R2988" s="34" t="str">
        <f aca="false">IF(Q2988="","",Q2988+N(H2988)*0.000000001)</f>
        <v/>
      </c>
      <c r="S2988" s="32" t="str">
        <f aca="false">IF(R2988="","",SUMPRODUCT((I$5:I$4004=I2988)*ISNUMBER(R$5:R$4004)*(R$5:R$4004&gt;R2988))+1)</f>
        <v/>
      </c>
      <c r="T2988" s="32" t="str">
        <f aca="false">IF(S2988="","",IF(S2988&lt;=Setup!$B$5,"🏆 WINNER",""))</f>
        <v/>
      </c>
      <c r="U2988" s="31" t="str">
        <f aca="false">IF(S2988="","",I2988&amp;"|"&amp;S2988)</f>
        <v/>
      </c>
    </row>
    <row r="2989" customFormat="false" ht="15" hidden="false" customHeight="false" outlineLevel="0" collapsed="false">
      <c r="A2989" s="24" t="n">
        <v>2985</v>
      </c>
      <c r="B2989" s="25" t="str">
        <f aca="false">IF(OR(C2989="",I2989="",G2989=""),"",IFERROR(VLOOKUP(I2989,Setup!$A$9:$B$11,2,0),"???")&amp;"-"&amp;G2989&amp;"-"&amp;TEXT(COUNTIFS(I$5:I2989,I2989,G$5:G2989,G2989),"0000"))</f>
        <v/>
      </c>
      <c r="C2989" s="26"/>
      <c r="D2989" s="26"/>
      <c r="E2989" s="27"/>
      <c r="F2989" s="27"/>
      <c r="G2989" s="24" t="str">
        <f aca="false">IF(F2989="","",IF(F2989&lt;=5,"A",IF(F2989&lt;=8,"B",IF(F2989&lt;=10,"C","D"))))</f>
        <v/>
      </c>
      <c r="H2989" s="28"/>
      <c r="I2989" s="27"/>
      <c r="J2989" s="26"/>
      <c r="K2989" s="27"/>
      <c r="L2989" s="27"/>
      <c r="M2989" s="27"/>
      <c r="N2989" s="27"/>
      <c r="O2989" s="24" t="str">
        <f aca="false">IF(G2989="","",VLOOKUP(G2989,Setup!$A$14:$C$17,3,0))</f>
        <v/>
      </c>
      <c r="P2989" s="27"/>
      <c r="Q2989" s="29" t="str">
        <f aca="false">IF(OR(P2989="",M2989&lt;&gt;"Paid",O2989=""),"",P2989/O2989)</f>
        <v/>
      </c>
      <c r="R2989" s="30" t="str">
        <f aca="false">IF(Q2989="","",Q2989+N(H2989)*0.000000001)</f>
        <v/>
      </c>
      <c r="S2989" s="25" t="str">
        <f aca="false">IF(R2989="","",SUMPRODUCT((I$5:I$4004=I2989)*ISNUMBER(R$5:R$4004)*(R$5:R$4004&gt;R2989))+1)</f>
        <v/>
      </c>
      <c r="T2989" s="25" t="str">
        <f aca="false">IF(S2989="","",IF(S2989&lt;=Setup!$B$5,"🏆 WINNER",""))</f>
        <v/>
      </c>
      <c r="U2989" s="24" t="str">
        <f aca="false">IF(S2989="","",I2989&amp;"|"&amp;S2989)</f>
        <v/>
      </c>
    </row>
    <row r="2990" customFormat="false" ht="15" hidden="false" customHeight="false" outlineLevel="0" collapsed="false">
      <c r="A2990" s="31" t="n">
        <v>2986</v>
      </c>
      <c r="B2990" s="32" t="str">
        <f aca="false">IF(OR(C2990="",I2990="",G2990=""),"",IFERROR(VLOOKUP(I2990,Setup!$A$9:$B$11,2,0),"???")&amp;"-"&amp;G2990&amp;"-"&amp;TEXT(COUNTIFS(I$5:I2990,I2990,G$5:G2990,G2990),"0000"))</f>
        <v/>
      </c>
      <c r="C2990" s="26"/>
      <c r="D2990" s="26"/>
      <c r="E2990" s="27"/>
      <c r="F2990" s="27"/>
      <c r="G2990" s="31" t="str">
        <f aca="false">IF(F2990="","",IF(F2990&lt;=5,"A",IF(F2990&lt;=8,"B",IF(F2990&lt;=10,"C","D"))))</f>
        <v/>
      </c>
      <c r="H2990" s="28"/>
      <c r="I2990" s="27"/>
      <c r="J2990" s="26"/>
      <c r="K2990" s="27"/>
      <c r="L2990" s="27"/>
      <c r="M2990" s="27"/>
      <c r="N2990" s="27"/>
      <c r="O2990" s="31" t="str">
        <f aca="false">IF(G2990="","",VLOOKUP(G2990,Setup!$A$14:$C$17,3,0))</f>
        <v/>
      </c>
      <c r="P2990" s="27"/>
      <c r="Q2990" s="33" t="str">
        <f aca="false">IF(OR(P2990="",M2990&lt;&gt;"Paid",O2990=""),"",P2990/O2990)</f>
        <v/>
      </c>
      <c r="R2990" s="34" t="str">
        <f aca="false">IF(Q2990="","",Q2990+N(H2990)*0.000000001)</f>
        <v/>
      </c>
      <c r="S2990" s="32" t="str">
        <f aca="false">IF(R2990="","",SUMPRODUCT((I$5:I$4004=I2990)*ISNUMBER(R$5:R$4004)*(R$5:R$4004&gt;R2990))+1)</f>
        <v/>
      </c>
      <c r="T2990" s="32" t="str">
        <f aca="false">IF(S2990="","",IF(S2990&lt;=Setup!$B$5,"🏆 WINNER",""))</f>
        <v/>
      </c>
      <c r="U2990" s="31" t="str">
        <f aca="false">IF(S2990="","",I2990&amp;"|"&amp;S2990)</f>
        <v/>
      </c>
    </row>
    <row r="2991" customFormat="false" ht="15" hidden="false" customHeight="false" outlineLevel="0" collapsed="false">
      <c r="A2991" s="24" t="n">
        <v>2987</v>
      </c>
      <c r="B2991" s="25" t="str">
        <f aca="false">IF(OR(C2991="",I2991="",G2991=""),"",IFERROR(VLOOKUP(I2991,Setup!$A$9:$B$11,2,0),"???")&amp;"-"&amp;G2991&amp;"-"&amp;TEXT(COUNTIFS(I$5:I2991,I2991,G$5:G2991,G2991),"0000"))</f>
        <v/>
      </c>
      <c r="C2991" s="26"/>
      <c r="D2991" s="26"/>
      <c r="E2991" s="27"/>
      <c r="F2991" s="27"/>
      <c r="G2991" s="24" t="str">
        <f aca="false">IF(F2991="","",IF(F2991&lt;=5,"A",IF(F2991&lt;=8,"B",IF(F2991&lt;=10,"C","D"))))</f>
        <v/>
      </c>
      <c r="H2991" s="28"/>
      <c r="I2991" s="27"/>
      <c r="J2991" s="26"/>
      <c r="K2991" s="27"/>
      <c r="L2991" s="27"/>
      <c r="M2991" s="27"/>
      <c r="N2991" s="27"/>
      <c r="O2991" s="24" t="str">
        <f aca="false">IF(G2991="","",VLOOKUP(G2991,Setup!$A$14:$C$17,3,0))</f>
        <v/>
      </c>
      <c r="P2991" s="27"/>
      <c r="Q2991" s="29" t="str">
        <f aca="false">IF(OR(P2991="",M2991&lt;&gt;"Paid",O2991=""),"",P2991/O2991)</f>
        <v/>
      </c>
      <c r="R2991" s="30" t="str">
        <f aca="false">IF(Q2991="","",Q2991+N(H2991)*0.000000001)</f>
        <v/>
      </c>
      <c r="S2991" s="25" t="str">
        <f aca="false">IF(R2991="","",SUMPRODUCT((I$5:I$4004=I2991)*ISNUMBER(R$5:R$4004)*(R$5:R$4004&gt;R2991))+1)</f>
        <v/>
      </c>
      <c r="T2991" s="25" t="str">
        <f aca="false">IF(S2991="","",IF(S2991&lt;=Setup!$B$5,"🏆 WINNER",""))</f>
        <v/>
      </c>
      <c r="U2991" s="24" t="str">
        <f aca="false">IF(S2991="","",I2991&amp;"|"&amp;S2991)</f>
        <v/>
      </c>
    </row>
    <row r="2992" customFormat="false" ht="15" hidden="false" customHeight="false" outlineLevel="0" collapsed="false">
      <c r="A2992" s="31" t="n">
        <v>2988</v>
      </c>
      <c r="B2992" s="32" t="str">
        <f aca="false">IF(OR(C2992="",I2992="",G2992=""),"",IFERROR(VLOOKUP(I2992,Setup!$A$9:$B$11,2,0),"???")&amp;"-"&amp;G2992&amp;"-"&amp;TEXT(COUNTIFS(I$5:I2992,I2992,G$5:G2992,G2992),"0000"))</f>
        <v/>
      </c>
      <c r="C2992" s="26"/>
      <c r="D2992" s="26"/>
      <c r="E2992" s="27"/>
      <c r="F2992" s="27"/>
      <c r="G2992" s="31" t="str">
        <f aca="false">IF(F2992="","",IF(F2992&lt;=5,"A",IF(F2992&lt;=8,"B",IF(F2992&lt;=10,"C","D"))))</f>
        <v/>
      </c>
      <c r="H2992" s="28"/>
      <c r="I2992" s="27"/>
      <c r="J2992" s="26"/>
      <c r="K2992" s="27"/>
      <c r="L2992" s="27"/>
      <c r="M2992" s="27"/>
      <c r="N2992" s="27"/>
      <c r="O2992" s="31" t="str">
        <f aca="false">IF(G2992="","",VLOOKUP(G2992,Setup!$A$14:$C$17,3,0))</f>
        <v/>
      </c>
      <c r="P2992" s="27"/>
      <c r="Q2992" s="33" t="str">
        <f aca="false">IF(OR(P2992="",M2992&lt;&gt;"Paid",O2992=""),"",P2992/O2992)</f>
        <v/>
      </c>
      <c r="R2992" s="34" t="str">
        <f aca="false">IF(Q2992="","",Q2992+N(H2992)*0.000000001)</f>
        <v/>
      </c>
      <c r="S2992" s="32" t="str">
        <f aca="false">IF(R2992="","",SUMPRODUCT((I$5:I$4004=I2992)*ISNUMBER(R$5:R$4004)*(R$5:R$4004&gt;R2992))+1)</f>
        <v/>
      </c>
      <c r="T2992" s="32" t="str">
        <f aca="false">IF(S2992="","",IF(S2992&lt;=Setup!$B$5,"🏆 WINNER",""))</f>
        <v/>
      </c>
      <c r="U2992" s="31" t="str">
        <f aca="false">IF(S2992="","",I2992&amp;"|"&amp;S2992)</f>
        <v/>
      </c>
    </row>
    <row r="2993" customFormat="false" ht="15" hidden="false" customHeight="false" outlineLevel="0" collapsed="false">
      <c r="A2993" s="24" t="n">
        <v>2989</v>
      </c>
      <c r="B2993" s="25" t="str">
        <f aca="false">IF(OR(C2993="",I2993="",G2993=""),"",IFERROR(VLOOKUP(I2993,Setup!$A$9:$B$11,2,0),"???")&amp;"-"&amp;G2993&amp;"-"&amp;TEXT(COUNTIFS(I$5:I2993,I2993,G$5:G2993,G2993),"0000"))</f>
        <v/>
      </c>
      <c r="C2993" s="26"/>
      <c r="D2993" s="26"/>
      <c r="E2993" s="27"/>
      <c r="F2993" s="27"/>
      <c r="G2993" s="24" t="str">
        <f aca="false">IF(F2993="","",IF(F2993&lt;=5,"A",IF(F2993&lt;=8,"B",IF(F2993&lt;=10,"C","D"))))</f>
        <v/>
      </c>
      <c r="H2993" s="28"/>
      <c r="I2993" s="27"/>
      <c r="J2993" s="26"/>
      <c r="K2993" s="27"/>
      <c r="L2993" s="27"/>
      <c r="M2993" s="27"/>
      <c r="N2993" s="27"/>
      <c r="O2993" s="24" t="str">
        <f aca="false">IF(G2993="","",VLOOKUP(G2993,Setup!$A$14:$C$17,3,0))</f>
        <v/>
      </c>
      <c r="P2993" s="27"/>
      <c r="Q2993" s="29" t="str">
        <f aca="false">IF(OR(P2993="",M2993&lt;&gt;"Paid",O2993=""),"",P2993/O2993)</f>
        <v/>
      </c>
      <c r="R2993" s="30" t="str">
        <f aca="false">IF(Q2993="","",Q2993+N(H2993)*0.000000001)</f>
        <v/>
      </c>
      <c r="S2993" s="25" t="str">
        <f aca="false">IF(R2993="","",SUMPRODUCT((I$5:I$4004=I2993)*ISNUMBER(R$5:R$4004)*(R$5:R$4004&gt;R2993))+1)</f>
        <v/>
      </c>
      <c r="T2993" s="25" t="str">
        <f aca="false">IF(S2993="","",IF(S2993&lt;=Setup!$B$5,"🏆 WINNER",""))</f>
        <v/>
      </c>
      <c r="U2993" s="24" t="str">
        <f aca="false">IF(S2993="","",I2993&amp;"|"&amp;S2993)</f>
        <v/>
      </c>
    </row>
    <row r="2994" customFormat="false" ht="15" hidden="false" customHeight="false" outlineLevel="0" collapsed="false">
      <c r="A2994" s="31" t="n">
        <v>2990</v>
      </c>
      <c r="B2994" s="32" t="str">
        <f aca="false">IF(OR(C2994="",I2994="",G2994=""),"",IFERROR(VLOOKUP(I2994,Setup!$A$9:$B$11,2,0),"???")&amp;"-"&amp;G2994&amp;"-"&amp;TEXT(COUNTIFS(I$5:I2994,I2994,G$5:G2994,G2994),"0000"))</f>
        <v/>
      </c>
      <c r="C2994" s="26"/>
      <c r="D2994" s="26"/>
      <c r="E2994" s="27"/>
      <c r="F2994" s="27"/>
      <c r="G2994" s="31" t="str">
        <f aca="false">IF(F2994="","",IF(F2994&lt;=5,"A",IF(F2994&lt;=8,"B",IF(F2994&lt;=10,"C","D"))))</f>
        <v/>
      </c>
      <c r="H2994" s="28"/>
      <c r="I2994" s="27"/>
      <c r="J2994" s="26"/>
      <c r="K2994" s="27"/>
      <c r="L2994" s="27"/>
      <c r="M2994" s="27"/>
      <c r="N2994" s="27"/>
      <c r="O2994" s="31" t="str">
        <f aca="false">IF(G2994="","",VLOOKUP(G2994,Setup!$A$14:$C$17,3,0))</f>
        <v/>
      </c>
      <c r="P2994" s="27"/>
      <c r="Q2994" s="33" t="str">
        <f aca="false">IF(OR(P2994="",M2994&lt;&gt;"Paid",O2994=""),"",P2994/O2994)</f>
        <v/>
      </c>
      <c r="R2994" s="34" t="str">
        <f aca="false">IF(Q2994="","",Q2994+N(H2994)*0.000000001)</f>
        <v/>
      </c>
      <c r="S2994" s="32" t="str">
        <f aca="false">IF(R2994="","",SUMPRODUCT((I$5:I$4004=I2994)*ISNUMBER(R$5:R$4004)*(R$5:R$4004&gt;R2994))+1)</f>
        <v/>
      </c>
      <c r="T2994" s="32" t="str">
        <f aca="false">IF(S2994="","",IF(S2994&lt;=Setup!$B$5,"🏆 WINNER",""))</f>
        <v/>
      </c>
      <c r="U2994" s="31" t="str">
        <f aca="false">IF(S2994="","",I2994&amp;"|"&amp;S2994)</f>
        <v/>
      </c>
    </row>
    <row r="2995" customFormat="false" ht="15" hidden="false" customHeight="false" outlineLevel="0" collapsed="false">
      <c r="A2995" s="24" t="n">
        <v>2991</v>
      </c>
      <c r="B2995" s="25" t="str">
        <f aca="false">IF(OR(C2995="",I2995="",G2995=""),"",IFERROR(VLOOKUP(I2995,Setup!$A$9:$B$11,2,0),"???")&amp;"-"&amp;G2995&amp;"-"&amp;TEXT(COUNTIFS(I$5:I2995,I2995,G$5:G2995,G2995),"0000"))</f>
        <v/>
      </c>
      <c r="C2995" s="26"/>
      <c r="D2995" s="26"/>
      <c r="E2995" s="27"/>
      <c r="F2995" s="27"/>
      <c r="G2995" s="24" t="str">
        <f aca="false">IF(F2995="","",IF(F2995&lt;=5,"A",IF(F2995&lt;=8,"B",IF(F2995&lt;=10,"C","D"))))</f>
        <v/>
      </c>
      <c r="H2995" s="28"/>
      <c r="I2995" s="27"/>
      <c r="J2995" s="26"/>
      <c r="K2995" s="27"/>
      <c r="L2995" s="27"/>
      <c r="M2995" s="27"/>
      <c r="N2995" s="27"/>
      <c r="O2995" s="24" t="str">
        <f aca="false">IF(G2995="","",VLOOKUP(G2995,Setup!$A$14:$C$17,3,0))</f>
        <v/>
      </c>
      <c r="P2995" s="27"/>
      <c r="Q2995" s="29" t="str">
        <f aca="false">IF(OR(P2995="",M2995&lt;&gt;"Paid",O2995=""),"",P2995/O2995)</f>
        <v/>
      </c>
      <c r="R2995" s="30" t="str">
        <f aca="false">IF(Q2995="","",Q2995+N(H2995)*0.000000001)</f>
        <v/>
      </c>
      <c r="S2995" s="25" t="str">
        <f aca="false">IF(R2995="","",SUMPRODUCT((I$5:I$4004=I2995)*ISNUMBER(R$5:R$4004)*(R$5:R$4004&gt;R2995))+1)</f>
        <v/>
      </c>
      <c r="T2995" s="25" t="str">
        <f aca="false">IF(S2995="","",IF(S2995&lt;=Setup!$B$5,"🏆 WINNER",""))</f>
        <v/>
      </c>
      <c r="U2995" s="24" t="str">
        <f aca="false">IF(S2995="","",I2995&amp;"|"&amp;S2995)</f>
        <v/>
      </c>
    </row>
    <row r="2996" customFormat="false" ht="15" hidden="false" customHeight="false" outlineLevel="0" collapsed="false">
      <c r="A2996" s="31" t="n">
        <v>2992</v>
      </c>
      <c r="B2996" s="32" t="str">
        <f aca="false">IF(OR(C2996="",I2996="",G2996=""),"",IFERROR(VLOOKUP(I2996,Setup!$A$9:$B$11,2,0),"???")&amp;"-"&amp;G2996&amp;"-"&amp;TEXT(COUNTIFS(I$5:I2996,I2996,G$5:G2996,G2996),"0000"))</f>
        <v/>
      </c>
      <c r="C2996" s="26"/>
      <c r="D2996" s="26"/>
      <c r="E2996" s="27"/>
      <c r="F2996" s="27"/>
      <c r="G2996" s="31" t="str">
        <f aca="false">IF(F2996="","",IF(F2996&lt;=5,"A",IF(F2996&lt;=8,"B",IF(F2996&lt;=10,"C","D"))))</f>
        <v/>
      </c>
      <c r="H2996" s="28"/>
      <c r="I2996" s="27"/>
      <c r="J2996" s="26"/>
      <c r="K2996" s="27"/>
      <c r="L2996" s="27"/>
      <c r="M2996" s="27"/>
      <c r="N2996" s="27"/>
      <c r="O2996" s="31" t="str">
        <f aca="false">IF(G2996="","",VLOOKUP(G2996,Setup!$A$14:$C$17,3,0))</f>
        <v/>
      </c>
      <c r="P2996" s="27"/>
      <c r="Q2996" s="33" t="str">
        <f aca="false">IF(OR(P2996="",M2996&lt;&gt;"Paid",O2996=""),"",P2996/O2996)</f>
        <v/>
      </c>
      <c r="R2996" s="34" t="str">
        <f aca="false">IF(Q2996="","",Q2996+N(H2996)*0.000000001)</f>
        <v/>
      </c>
      <c r="S2996" s="32" t="str">
        <f aca="false">IF(R2996="","",SUMPRODUCT((I$5:I$4004=I2996)*ISNUMBER(R$5:R$4004)*(R$5:R$4004&gt;R2996))+1)</f>
        <v/>
      </c>
      <c r="T2996" s="32" t="str">
        <f aca="false">IF(S2996="","",IF(S2996&lt;=Setup!$B$5,"🏆 WINNER",""))</f>
        <v/>
      </c>
      <c r="U2996" s="31" t="str">
        <f aca="false">IF(S2996="","",I2996&amp;"|"&amp;S2996)</f>
        <v/>
      </c>
    </row>
    <row r="2997" customFormat="false" ht="15" hidden="false" customHeight="false" outlineLevel="0" collapsed="false">
      <c r="A2997" s="24" t="n">
        <v>2993</v>
      </c>
      <c r="B2997" s="25" t="str">
        <f aca="false">IF(OR(C2997="",I2997="",G2997=""),"",IFERROR(VLOOKUP(I2997,Setup!$A$9:$B$11,2,0),"???")&amp;"-"&amp;G2997&amp;"-"&amp;TEXT(COUNTIFS(I$5:I2997,I2997,G$5:G2997,G2997),"0000"))</f>
        <v/>
      </c>
      <c r="C2997" s="26"/>
      <c r="D2997" s="26"/>
      <c r="E2997" s="27"/>
      <c r="F2997" s="27"/>
      <c r="G2997" s="24" t="str">
        <f aca="false">IF(F2997="","",IF(F2997&lt;=5,"A",IF(F2997&lt;=8,"B",IF(F2997&lt;=10,"C","D"))))</f>
        <v/>
      </c>
      <c r="H2997" s="28"/>
      <c r="I2997" s="27"/>
      <c r="J2997" s="26"/>
      <c r="K2997" s="27"/>
      <c r="L2997" s="27"/>
      <c r="M2997" s="27"/>
      <c r="N2997" s="27"/>
      <c r="O2997" s="24" t="str">
        <f aca="false">IF(G2997="","",VLOOKUP(G2997,Setup!$A$14:$C$17,3,0))</f>
        <v/>
      </c>
      <c r="P2997" s="27"/>
      <c r="Q2997" s="29" t="str">
        <f aca="false">IF(OR(P2997="",M2997&lt;&gt;"Paid",O2997=""),"",P2997/O2997)</f>
        <v/>
      </c>
      <c r="R2997" s="30" t="str">
        <f aca="false">IF(Q2997="","",Q2997+N(H2997)*0.000000001)</f>
        <v/>
      </c>
      <c r="S2997" s="25" t="str">
        <f aca="false">IF(R2997="","",SUMPRODUCT((I$5:I$4004=I2997)*ISNUMBER(R$5:R$4004)*(R$5:R$4004&gt;R2997))+1)</f>
        <v/>
      </c>
      <c r="T2997" s="25" t="str">
        <f aca="false">IF(S2997="","",IF(S2997&lt;=Setup!$B$5,"🏆 WINNER",""))</f>
        <v/>
      </c>
      <c r="U2997" s="24" t="str">
        <f aca="false">IF(S2997="","",I2997&amp;"|"&amp;S2997)</f>
        <v/>
      </c>
    </row>
    <row r="2998" customFormat="false" ht="15" hidden="false" customHeight="false" outlineLevel="0" collapsed="false">
      <c r="A2998" s="31" t="n">
        <v>2994</v>
      </c>
      <c r="B2998" s="32" t="str">
        <f aca="false">IF(OR(C2998="",I2998="",G2998=""),"",IFERROR(VLOOKUP(I2998,Setup!$A$9:$B$11,2,0),"???")&amp;"-"&amp;G2998&amp;"-"&amp;TEXT(COUNTIFS(I$5:I2998,I2998,G$5:G2998,G2998),"0000"))</f>
        <v/>
      </c>
      <c r="C2998" s="26"/>
      <c r="D2998" s="26"/>
      <c r="E2998" s="27"/>
      <c r="F2998" s="27"/>
      <c r="G2998" s="31" t="str">
        <f aca="false">IF(F2998="","",IF(F2998&lt;=5,"A",IF(F2998&lt;=8,"B",IF(F2998&lt;=10,"C","D"))))</f>
        <v/>
      </c>
      <c r="H2998" s="28"/>
      <c r="I2998" s="27"/>
      <c r="J2998" s="26"/>
      <c r="K2998" s="27"/>
      <c r="L2998" s="27"/>
      <c r="M2998" s="27"/>
      <c r="N2998" s="27"/>
      <c r="O2998" s="31" t="str">
        <f aca="false">IF(G2998="","",VLOOKUP(G2998,Setup!$A$14:$C$17,3,0))</f>
        <v/>
      </c>
      <c r="P2998" s="27"/>
      <c r="Q2998" s="33" t="str">
        <f aca="false">IF(OR(P2998="",M2998&lt;&gt;"Paid",O2998=""),"",P2998/O2998)</f>
        <v/>
      </c>
      <c r="R2998" s="34" t="str">
        <f aca="false">IF(Q2998="","",Q2998+N(H2998)*0.000000001)</f>
        <v/>
      </c>
      <c r="S2998" s="32" t="str">
        <f aca="false">IF(R2998="","",SUMPRODUCT((I$5:I$4004=I2998)*ISNUMBER(R$5:R$4004)*(R$5:R$4004&gt;R2998))+1)</f>
        <v/>
      </c>
      <c r="T2998" s="32" t="str">
        <f aca="false">IF(S2998="","",IF(S2998&lt;=Setup!$B$5,"🏆 WINNER",""))</f>
        <v/>
      </c>
      <c r="U2998" s="31" t="str">
        <f aca="false">IF(S2998="","",I2998&amp;"|"&amp;S2998)</f>
        <v/>
      </c>
    </row>
    <row r="2999" customFormat="false" ht="15" hidden="false" customHeight="false" outlineLevel="0" collapsed="false">
      <c r="A2999" s="24" t="n">
        <v>2995</v>
      </c>
      <c r="B2999" s="25" t="str">
        <f aca="false">IF(OR(C2999="",I2999="",G2999=""),"",IFERROR(VLOOKUP(I2999,Setup!$A$9:$B$11,2,0),"???")&amp;"-"&amp;G2999&amp;"-"&amp;TEXT(COUNTIFS(I$5:I2999,I2999,G$5:G2999,G2999),"0000"))</f>
        <v/>
      </c>
      <c r="C2999" s="26"/>
      <c r="D2999" s="26"/>
      <c r="E2999" s="27"/>
      <c r="F2999" s="27"/>
      <c r="G2999" s="24" t="str">
        <f aca="false">IF(F2999="","",IF(F2999&lt;=5,"A",IF(F2999&lt;=8,"B",IF(F2999&lt;=10,"C","D"))))</f>
        <v/>
      </c>
      <c r="H2999" s="28"/>
      <c r="I2999" s="27"/>
      <c r="J2999" s="26"/>
      <c r="K2999" s="27"/>
      <c r="L2999" s="27"/>
      <c r="M2999" s="27"/>
      <c r="N2999" s="27"/>
      <c r="O2999" s="24" t="str">
        <f aca="false">IF(G2999="","",VLOOKUP(G2999,Setup!$A$14:$C$17,3,0))</f>
        <v/>
      </c>
      <c r="P2999" s="27"/>
      <c r="Q2999" s="29" t="str">
        <f aca="false">IF(OR(P2999="",M2999&lt;&gt;"Paid",O2999=""),"",P2999/O2999)</f>
        <v/>
      </c>
      <c r="R2999" s="30" t="str">
        <f aca="false">IF(Q2999="","",Q2999+N(H2999)*0.000000001)</f>
        <v/>
      </c>
      <c r="S2999" s="25" t="str">
        <f aca="false">IF(R2999="","",SUMPRODUCT((I$5:I$4004=I2999)*ISNUMBER(R$5:R$4004)*(R$5:R$4004&gt;R2999))+1)</f>
        <v/>
      </c>
      <c r="T2999" s="25" t="str">
        <f aca="false">IF(S2999="","",IF(S2999&lt;=Setup!$B$5,"🏆 WINNER",""))</f>
        <v/>
      </c>
      <c r="U2999" s="24" t="str">
        <f aca="false">IF(S2999="","",I2999&amp;"|"&amp;S2999)</f>
        <v/>
      </c>
    </row>
    <row r="3000" customFormat="false" ht="15" hidden="false" customHeight="false" outlineLevel="0" collapsed="false">
      <c r="A3000" s="31" t="n">
        <v>2996</v>
      </c>
      <c r="B3000" s="32" t="str">
        <f aca="false">IF(OR(C3000="",I3000="",G3000=""),"",IFERROR(VLOOKUP(I3000,Setup!$A$9:$B$11,2,0),"???")&amp;"-"&amp;G3000&amp;"-"&amp;TEXT(COUNTIFS(I$5:I3000,I3000,G$5:G3000,G3000),"0000"))</f>
        <v/>
      </c>
      <c r="C3000" s="26"/>
      <c r="D3000" s="26"/>
      <c r="E3000" s="27"/>
      <c r="F3000" s="27"/>
      <c r="G3000" s="31" t="str">
        <f aca="false">IF(F3000="","",IF(F3000&lt;=5,"A",IF(F3000&lt;=8,"B",IF(F3000&lt;=10,"C","D"))))</f>
        <v/>
      </c>
      <c r="H3000" s="28"/>
      <c r="I3000" s="27"/>
      <c r="J3000" s="26"/>
      <c r="K3000" s="27"/>
      <c r="L3000" s="27"/>
      <c r="M3000" s="27"/>
      <c r="N3000" s="27"/>
      <c r="O3000" s="31" t="str">
        <f aca="false">IF(G3000="","",VLOOKUP(G3000,Setup!$A$14:$C$17,3,0))</f>
        <v/>
      </c>
      <c r="P3000" s="27"/>
      <c r="Q3000" s="33" t="str">
        <f aca="false">IF(OR(P3000="",M3000&lt;&gt;"Paid",O3000=""),"",P3000/O3000)</f>
        <v/>
      </c>
      <c r="R3000" s="34" t="str">
        <f aca="false">IF(Q3000="","",Q3000+N(H3000)*0.000000001)</f>
        <v/>
      </c>
      <c r="S3000" s="32" t="str">
        <f aca="false">IF(R3000="","",SUMPRODUCT((I$5:I$4004=I3000)*ISNUMBER(R$5:R$4004)*(R$5:R$4004&gt;R3000))+1)</f>
        <v/>
      </c>
      <c r="T3000" s="32" t="str">
        <f aca="false">IF(S3000="","",IF(S3000&lt;=Setup!$B$5,"🏆 WINNER",""))</f>
        <v/>
      </c>
      <c r="U3000" s="31" t="str">
        <f aca="false">IF(S3000="","",I3000&amp;"|"&amp;S3000)</f>
        <v/>
      </c>
    </row>
    <row r="3001" customFormat="false" ht="15" hidden="false" customHeight="false" outlineLevel="0" collapsed="false">
      <c r="A3001" s="24" t="n">
        <v>2997</v>
      </c>
      <c r="B3001" s="25" t="str">
        <f aca="false">IF(OR(C3001="",I3001="",G3001=""),"",IFERROR(VLOOKUP(I3001,Setup!$A$9:$B$11,2,0),"???")&amp;"-"&amp;G3001&amp;"-"&amp;TEXT(COUNTIFS(I$5:I3001,I3001,G$5:G3001,G3001),"0000"))</f>
        <v/>
      </c>
      <c r="C3001" s="26"/>
      <c r="D3001" s="26"/>
      <c r="E3001" s="27"/>
      <c r="F3001" s="27"/>
      <c r="G3001" s="24" t="str">
        <f aca="false">IF(F3001="","",IF(F3001&lt;=5,"A",IF(F3001&lt;=8,"B",IF(F3001&lt;=10,"C","D"))))</f>
        <v/>
      </c>
      <c r="H3001" s="28"/>
      <c r="I3001" s="27"/>
      <c r="J3001" s="26"/>
      <c r="K3001" s="27"/>
      <c r="L3001" s="27"/>
      <c r="M3001" s="27"/>
      <c r="N3001" s="27"/>
      <c r="O3001" s="24" t="str">
        <f aca="false">IF(G3001="","",VLOOKUP(G3001,Setup!$A$14:$C$17,3,0))</f>
        <v/>
      </c>
      <c r="P3001" s="27"/>
      <c r="Q3001" s="29" t="str">
        <f aca="false">IF(OR(P3001="",M3001&lt;&gt;"Paid",O3001=""),"",P3001/O3001)</f>
        <v/>
      </c>
      <c r="R3001" s="30" t="str">
        <f aca="false">IF(Q3001="","",Q3001+N(H3001)*0.000000001)</f>
        <v/>
      </c>
      <c r="S3001" s="25" t="str">
        <f aca="false">IF(R3001="","",SUMPRODUCT((I$5:I$4004=I3001)*ISNUMBER(R$5:R$4004)*(R$5:R$4004&gt;R3001))+1)</f>
        <v/>
      </c>
      <c r="T3001" s="25" t="str">
        <f aca="false">IF(S3001="","",IF(S3001&lt;=Setup!$B$5,"🏆 WINNER",""))</f>
        <v/>
      </c>
      <c r="U3001" s="24" t="str">
        <f aca="false">IF(S3001="","",I3001&amp;"|"&amp;S3001)</f>
        <v/>
      </c>
    </row>
    <row r="3002" customFormat="false" ht="15" hidden="false" customHeight="false" outlineLevel="0" collapsed="false">
      <c r="A3002" s="31" t="n">
        <v>2998</v>
      </c>
      <c r="B3002" s="32" t="str">
        <f aca="false">IF(OR(C3002="",I3002="",G3002=""),"",IFERROR(VLOOKUP(I3002,Setup!$A$9:$B$11,2,0),"???")&amp;"-"&amp;G3002&amp;"-"&amp;TEXT(COUNTIFS(I$5:I3002,I3002,G$5:G3002,G3002),"0000"))</f>
        <v/>
      </c>
      <c r="C3002" s="26"/>
      <c r="D3002" s="26"/>
      <c r="E3002" s="27"/>
      <c r="F3002" s="27"/>
      <c r="G3002" s="31" t="str">
        <f aca="false">IF(F3002="","",IF(F3002&lt;=5,"A",IF(F3002&lt;=8,"B",IF(F3002&lt;=10,"C","D"))))</f>
        <v/>
      </c>
      <c r="H3002" s="28"/>
      <c r="I3002" s="27"/>
      <c r="J3002" s="26"/>
      <c r="K3002" s="27"/>
      <c r="L3002" s="27"/>
      <c r="M3002" s="27"/>
      <c r="N3002" s="27"/>
      <c r="O3002" s="31" t="str">
        <f aca="false">IF(G3002="","",VLOOKUP(G3002,Setup!$A$14:$C$17,3,0))</f>
        <v/>
      </c>
      <c r="P3002" s="27"/>
      <c r="Q3002" s="33" t="str">
        <f aca="false">IF(OR(P3002="",M3002&lt;&gt;"Paid",O3002=""),"",P3002/O3002)</f>
        <v/>
      </c>
      <c r="R3002" s="34" t="str">
        <f aca="false">IF(Q3002="","",Q3002+N(H3002)*0.000000001)</f>
        <v/>
      </c>
      <c r="S3002" s="32" t="str">
        <f aca="false">IF(R3002="","",SUMPRODUCT((I$5:I$4004=I3002)*ISNUMBER(R$5:R$4004)*(R$5:R$4004&gt;R3002))+1)</f>
        <v/>
      </c>
      <c r="T3002" s="32" t="str">
        <f aca="false">IF(S3002="","",IF(S3002&lt;=Setup!$B$5,"🏆 WINNER",""))</f>
        <v/>
      </c>
      <c r="U3002" s="31" t="str">
        <f aca="false">IF(S3002="","",I3002&amp;"|"&amp;S3002)</f>
        <v/>
      </c>
    </row>
    <row r="3003" customFormat="false" ht="15" hidden="false" customHeight="false" outlineLevel="0" collapsed="false">
      <c r="A3003" s="24" t="n">
        <v>2999</v>
      </c>
      <c r="B3003" s="25" t="str">
        <f aca="false">IF(OR(C3003="",I3003="",G3003=""),"",IFERROR(VLOOKUP(I3003,Setup!$A$9:$B$11,2,0),"???")&amp;"-"&amp;G3003&amp;"-"&amp;TEXT(COUNTIFS(I$5:I3003,I3003,G$5:G3003,G3003),"0000"))</f>
        <v/>
      </c>
      <c r="C3003" s="26"/>
      <c r="D3003" s="26"/>
      <c r="E3003" s="27"/>
      <c r="F3003" s="27"/>
      <c r="G3003" s="24" t="str">
        <f aca="false">IF(F3003="","",IF(F3003&lt;=5,"A",IF(F3003&lt;=8,"B",IF(F3003&lt;=10,"C","D"))))</f>
        <v/>
      </c>
      <c r="H3003" s="28"/>
      <c r="I3003" s="27"/>
      <c r="J3003" s="26"/>
      <c r="K3003" s="27"/>
      <c r="L3003" s="27"/>
      <c r="M3003" s="27"/>
      <c r="N3003" s="27"/>
      <c r="O3003" s="24" t="str">
        <f aca="false">IF(G3003="","",VLOOKUP(G3003,Setup!$A$14:$C$17,3,0))</f>
        <v/>
      </c>
      <c r="P3003" s="27"/>
      <c r="Q3003" s="29" t="str">
        <f aca="false">IF(OR(P3003="",M3003&lt;&gt;"Paid",O3003=""),"",P3003/O3003)</f>
        <v/>
      </c>
      <c r="R3003" s="30" t="str">
        <f aca="false">IF(Q3003="","",Q3003+N(H3003)*0.000000001)</f>
        <v/>
      </c>
      <c r="S3003" s="25" t="str">
        <f aca="false">IF(R3003="","",SUMPRODUCT((I$5:I$4004=I3003)*ISNUMBER(R$5:R$4004)*(R$5:R$4004&gt;R3003))+1)</f>
        <v/>
      </c>
      <c r="T3003" s="25" t="str">
        <f aca="false">IF(S3003="","",IF(S3003&lt;=Setup!$B$5,"🏆 WINNER",""))</f>
        <v/>
      </c>
      <c r="U3003" s="24" t="str">
        <f aca="false">IF(S3003="","",I3003&amp;"|"&amp;S3003)</f>
        <v/>
      </c>
    </row>
    <row r="3004" customFormat="false" ht="15" hidden="false" customHeight="false" outlineLevel="0" collapsed="false">
      <c r="A3004" s="31" t="n">
        <v>3000</v>
      </c>
      <c r="B3004" s="32" t="str">
        <f aca="false">IF(OR(C3004="",I3004="",G3004=""),"",IFERROR(VLOOKUP(I3004,Setup!$A$9:$B$11,2,0),"???")&amp;"-"&amp;G3004&amp;"-"&amp;TEXT(COUNTIFS(I$5:I3004,I3004,G$5:G3004,G3004),"0000"))</f>
        <v/>
      </c>
      <c r="C3004" s="26"/>
      <c r="D3004" s="26"/>
      <c r="E3004" s="27"/>
      <c r="F3004" s="27"/>
      <c r="G3004" s="31" t="str">
        <f aca="false">IF(F3004="","",IF(F3004&lt;=5,"A",IF(F3004&lt;=8,"B",IF(F3004&lt;=10,"C","D"))))</f>
        <v/>
      </c>
      <c r="H3004" s="28"/>
      <c r="I3004" s="27"/>
      <c r="J3004" s="26"/>
      <c r="K3004" s="27"/>
      <c r="L3004" s="27"/>
      <c r="M3004" s="27"/>
      <c r="N3004" s="27"/>
      <c r="O3004" s="31" t="str">
        <f aca="false">IF(G3004="","",VLOOKUP(G3004,Setup!$A$14:$C$17,3,0))</f>
        <v/>
      </c>
      <c r="P3004" s="27"/>
      <c r="Q3004" s="33" t="str">
        <f aca="false">IF(OR(P3004="",M3004&lt;&gt;"Paid",O3004=""),"",P3004/O3004)</f>
        <v/>
      </c>
      <c r="R3004" s="34" t="str">
        <f aca="false">IF(Q3004="","",Q3004+N(H3004)*0.000000001)</f>
        <v/>
      </c>
      <c r="S3004" s="32" t="str">
        <f aca="false">IF(R3004="","",SUMPRODUCT((I$5:I$4004=I3004)*ISNUMBER(R$5:R$4004)*(R$5:R$4004&gt;R3004))+1)</f>
        <v/>
      </c>
      <c r="T3004" s="32" t="str">
        <f aca="false">IF(S3004="","",IF(S3004&lt;=Setup!$B$5,"🏆 WINNER",""))</f>
        <v/>
      </c>
      <c r="U3004" s="31" t="str">
        <f aca="false">IF(S3004="","",I3004&amp;"|"&amp;S3004)</f>
        <v/>
      </c>
    </row>
    <row r="3005" customFormat="false" ht="15" hidden="false" customHeight="false" outlineLevel="0" collapsed="false">
      <c r="A3005" s="24" t="n">
        <v>3001</v>
      </c>
      <c r="B3005" s="25" t="str">
        <f aca="false">IF(OR(C3005="",I3005="",G3005=""),"",IFERROR(VLOOKUP(I3005,Setup!$A$9:$B$11,2,0),"???")&amp;"-"&amp;G3005&amp;"-"&amp;TEXT(COUNTIFS(I$5:I3005,I3005,G$5:G3005,G3005),"0000"))</f>
        <v/>
      </c>
      <c r="C3005" s="26"/>
      <c r="D3005" s="26"/>
      <c r="E3005" s="27"/>
      <c r="F3005" s="27"/>
      <c r="G3005" s="24" t="str">
        <f aca="false">IF(F3005="","",IF(F3005&lt;=5,"A",IF(F3005&lt;=8,"B",IF(F3005&lt;=10,"C","D"))))</f>
        <v/>
      </c>
      <c r="H3005" s="28"/>
      <c r="I3005" s="27"/>
      <c r="J3005" s="26"/>
      <c r="K3005" s="27"/>
      <c r="L3005" s="27"/>
      <c r="M3005" s="27"/>
      <c r="N3005" s="27"/>
      <c r="O3005" s="24" t="str">
        <f aca="false">IF(G3005="","",VLOOKUP(G3005,Setup!$A$14:$C$17,3,0))</f>
        <v/>
      </c>
      <c r="P3005" s="27"/>
      <c r="Q3005" s="29" t="str">
        <f aca="false">IF(OR(P3005="",M3005&lt;&gt;"Paid",O3005=""),"",P3005/O3005)</f>
        <v/>
      </c>
      <c r="R3005" s="30" t="str">
        <f aca="false">IF(Q3005="","",Q3005+N(H3005)*0.000000001)</f>
        <v/>
      </c>
      <c r="S3005" s="25" t="str">
        <f aca="false">IF(R3005="","",SUMPRODUCT((I$5:I$4004=I3005)*ISNUMBER(R$5:R$4004)*(R$5:R$4004&gt;R3005))+1)</f>
        <v/>
      </c>
      <c r="T3005" s="25" t="str">
        <f aca="false">IF(S3005="","",IF(S3005&lt;=Setup!$B$5,"🏆 WINNER",""))</f>
        <v/>
      </c>
      <c r="U3005" s="24" t="str">
        <f aca="false">IF(S3005="","",I3005&amp;"|"&amp;S3005)</f>
        <v/>
      </c>
    </row>
    <row r="3006" customFormat="false" ht="15" hidden="false" customHeight="false" outlineLevel="0" collapsed="false">
      <c r="A3006" s="31" t="n">
        <v>3002</v>
      </c>
      <c r="B3006" s="32" t="str">
        <f aca="false">IF(OR(C3006="",I3006="",G3006=""),"",IFERROR(VLOOKUP(I3006,Setup!$A$9:$B$11,2,0),"???")&amp;"-"&amp;G3006&amp;"-"&amp;TEXT(COUNTIFS(I$5:I3006,I3006,G$5:G3006,G3006),"0000"))</f>
        <v/>
      </c>
      <c r="C3006" s="26"/>
      <c r="D3006" s="26"/>
      <c r="E3006" s="27"/>
      <c r="F3006" s="27"/>
      <c r="G3006" s="31" t="str">
        <f aca="false">IF(F3006="","",IF(F3006&lt;=5,"A",IF(F3006&lt;=8,"B",IF(F3006&lt;=10,"C","D"))))</f>
        <v/>
      </c>
      <c r="H3006" s="28"/>
      <c r="I3006" s="27"/>
      <c r="J3006" s="26"/>
      <c r="K3006" s="27"/>
      <c r="L3006" s="27"/>
      <c r="M3006" s="27"/>
      <c r="N3006" s="27"/>
      <c r="O3006" s="31" t="str">
        <f aca="false">IF(G3006="","",VLOOKUP(G3006,Setup!$A$14:$C$17,3,0))</f>
        <v/>
      </c>
      <c r="P3006" s="27"/>
      <c r="Q3006" s="33" t="str">
        <f aca="false">IF(OR(P3006="",M3006&lt;&gt;"Paid",O3006=""),"",P3006/O3006)</f>
        <v/>
      </c>
      <c r="R3006" s="34" t="str">
        <f aca="false">IF(Q3006="","",Q3006+N(H3006)*0.000000001)</f>
        <v/>
      </c>
      <c r="S3006" s="32" t="str">
        <f aca="false">IF(R3006="","",SUMPRODUCT((I$5:I$4004=I3006)*ISNUMBER(R$5:R$4004)*(R$5:R$4004&gt;R3006))+1)</f>
        <v/>
      </c>
      <c r="T3006" s="32" t="str">
        <f aca="false">IF(S3006="","",IF(S3006&lt;=Setup!$B$5,"🏆 WINNER",""))</f>
        <v/>
      </c>
      <c r="U3006" s="31" t="str">
        <f aca="false">IF(S3006="","",I3006&amp;"|"&amp;S3006)</f>
        <v/>
      </c>
    </row>
    <row r="3007" customFormat="false" ht="15" hidden="false" customHeight="false" outlineLevel="0" collapsed="false">
      <c r="A3007" s="24" t="n">
        <v>3003</v>
      </c>
      <c r="B3007" s="25" t="str">
        <f aca="false">IF(OR(C3007="",I3007="",G3007=""),"",IFERROR(VLOOKUP(I3007,Setup!$A$9:$B$11,2,0),"???")&amp;"-"&amp;G3007&amp;"-"&amp;TEXT(COUNTIFS(I$5:I3007,I3007,G$5:G3007,G3007),"0000"))</f>
        <v/>
      </c>
      <c r="C3007" s="26"/>
      <c r="D3007" s="26"/>
      <c r="E3007" s="27"/>
      <c r="F3007" s="27"/>
      <c r="G3007" s="24" t="str">
        <f aca="false">IF(F3007="","",IF(F3007&lt;=5,"A",IF(F3007&lt;=8,"B",IF(F3007&lt;=10,"C","D"))))</f>
        <v/>
      </c>
      <c r="H3007" s="28"/>
      <c r="I3007" s="27"/>
      <c r="J3007" s="26"/>
      <c r="K3007" s="27"/>
      <c r="L3007" s="27"/>
      <c r="M3007" s="27"/>
      <c r="N3007" s="27"/>
      <c r="O3007" s="24" t="str">
        <f aca="false">IF(G3007="","",VLOOKUP(G3007,Setup!$A$14:$C$17,3,0))</f>
        <v/>
      </c>
      <c r="P3007" s="27"/>
      <c r="Q3007" s="29" t="str">
        <f aca="false">IF(OR(P3007="",M3007&lt;&gt;"Paid",O3007=""),"",P3007/O3007)</f>
        <v/>
      </c>
      <c r="R3007" s="30" t="str">
        <f aca="false">IF(Q3007="","",Q3007+N(H3007)*0.000000001)</f>
        <v/>
      </c>
      <c r="S3007" s="25" t="str">
        <f aca="false">IF(R3007="","",SUMPRODUCT((I$5:I$4004=I3007)*ISNUMBER(R$5:R$4004)*(R$5:R$4004&gt;R3007))+1)</f>
        <v/>
      </c>
      <c r="T3007" s="25" t="str">
        <f aca="false">IF(S3007="","",IF(S3007&lt;=Setup!$B$5,"🏆 WINNER",""))</f>
        <v/>
      </c>
      <c r="U3007" s="24" t="str">
        <f aca="false">IF(S3007="","",I3007&amp;"|"&amp;S3007)</f>
        <v/>
      </c>
    </row>
    <row r="3008" customFormat="false" ht="15" hidden="false" customHeight="false" outlineLevel="0" collapsed="false">
      <c r="A3008" s="31" t="n">
        <v>3004</v>
      </c>
      <c r="B3008" s="32" t="str">
        <f aca="false">IF(OR(C3008="",I3008="",G3008=""),"",IFERROR(VLOOKUP(I3008,Setup!$A$9:$B$11,2,0),"???")&amp;"-"&amp;G3008&amp;"-"&amp;TEXT(COUNTIFS(I$5:I3008,I3008,G$5:G3008,G3008),"0000"))</f>
        <v/>
      </c>
      <c r="C3008" s="26"/>
      <c r="D3008" s="26"/>
      <c r="E3008" s="27"/>
      <c r="F3008" s="27"/>
      <c r="G3008" s="31" t="str">
        <f aca="false">IF(F3008="","",IF(F3008&lt;=5,"A",IF(F3008&lt;=8,"B",IF(F3008&lt;=10,"C","D"))))</f>
        <v/>
      </c>
      <c r="H3008" s="28"/>
      <c r="I3008" s="27"/>
      <c r="J3008" s="26"/>
      <c r="K3008" s="27"/>
      <c r="L3008" s="27"/>
      <c r="M3008" s="27"/>
      <c r="N3008" s="27"/>
      <c r="O3008" s="31" t="str">
        <f aca="false">IF(G3008="","",VLOOKUP(G3008,Setup!$A$14:$C$17,3,0))</f>
        <v/>
      </c>
      <c r="P3008" s="27"/>
      <c r="Q3008" s="33" t="str">
        <f aca="false">IF(OR(P3008="",M3008&lt;&gt;"Paid",O3008=""),"",P3008/O3008)</f>
        <v/>
      </c>
      <c r="R3008" s="34" t="str">
        <f aca="false">IF(Q3008="","",Q3008+N(H3008)*0.000000001)</f>
        <v/>
      </c>
      <c r="S3008" s="32" t="str">
        <f aca="false">IF(R3008="","",SUMPRODUCT((I$5:I$4004=I3008)*ISNUMBER(R$5:R$4004)*(R$5:R$4004&gt;R3008))+1)</f>
        <v/>
      </c>
      <c r="T3008" s="32" t="str">
        <f aca="false">IF(S3008="","",IF(S3008&lt;=Setup!$B$5,"🏆 WINNER",""))</f>
        <v/>
      </c>
      <c r="U3008" s="31" t="str">
        <f aca="false">IF(S3008="","",I3008&amp;"|"&amp;S3008)</f>
        <v/>
      </c>
    </row>
    <row r="3009" customFormat="false" ht="15" hidden="false" customHeight="false" outlineLevel="0" collapsed="false">
      <c r="A3009" s="24" t="n">
        <v>3005</v>
      </c>
      <c r="B3009" s="25" t="str">
        <f aca="false">IF(OR(C3009="",I3009="",G3009=""),"",IFERROR(VLOOKUP(I3009,Setup!$A$9:$B$11,2,0),"???")&amp;"-"&amp;G3009&amp;"-"&amp;TEXT(COUNTIFS(I$5:I3009,I3009,G$5:G3009,G3009),"0000"))</f>
        <v/>
      </c>
      <c r="C3009" s="26"/>
      <c r="D3009" s="26"/>
      <c r="E3009" s="27"/>
      <c r="F3009" s="27"/>
      <c r="G3009" s="24" t="str">
        <f aca="false">IF(F3009="","",IF(F3009&lt;=5,"A",IF(F3009&lt;=8,"B",IF(F3009&lt;=10,"C","D"))))</f>
        <v/>
      </c>
      <c r="H3009" s="28"/>
      <c r="I3009" s="27"/>
      <c r="J3009" s="26"/>
      <c r="K3009" s="27"/>
      <c r="L3009" s="27"/>
      <c r="M3009" s="27"/>
      <c r="N3009" s="27"/>
      <c r="O3009" s="24" t="str">
        <f aca="false">IF(G3009="","",VLOOKUP(G3009,Setup!$A$14:$C$17,3,0))</f>
        <v/>
      </c>
      <c r="P3009" s="27"/>
      <c r="Q3009" s="29" t="str">
        <f aca="false">IF(OR(P3009="",M3009&lt;&gt;"Paid",O3009=""),"",P3009/O3009)</f>
        <v/>
      </c>
      <c r="R3009" s="30" t="str">
        <f aca="false">IF(Q3009="","",Q3009+N(H3009)*0.000000001)</f>
        <v/>
      </c>
      <c r="S3009" s="25" t="str">
        <f aca="false">IF(R3009="","",SUMPRODUCT((I$5:I$4004=I3009)*ISNUMBER(R$5:R$4004)*(R$5:R$4004&gt;R3009))+1)</f>
        <v/>
      </c>
      <c r="T3009" s="25" t="str">
        <f aca="false">IF(S3009="","",IF(S3009&lt;=Setup!$B$5,"🏆 WINNER",""))</f>
        <v/>
      </c>
      <c r="U3009" s="24" t="str">
        <f aca="false">IF(S3009="","",I3009&amp;"|"&amp;S3009)</f>
        <v/>
      </c>
    </row>
    <row r="3010" customFormat="false" ht="15" hidden="false" customHeight="false" outlineLevel="0" collapsed="false">
      <c r="A3010" s="31" t="n">
        <v>3006</v>
      </c>
      <c r="B3010" s="32" t="str">
        <f aca="false">IF(OR(C3010="",I3010="",G3010=""),"",IFERROR(VLOOKUP(I3010,Setup!$A$9:$B$11,2,0),"???")&amp;"-"&amp;G3010&amp;"-"&amp;TEXT(COUNTIFS(I$5:I3010,I3010,G$5:G3010,G3010),"0000"))</f>
        <v/>
      </c>
      <c r="C3010" s="26"/>
      <c r="D3010" s="26"/>
      <c r="E3010" s="27"/>
      <c r="F3010" s="27"/>
      <c r="G3010" s="31" t="str">
        <f aca="false">IF(F3010="","",IF(F3010&lt;=5,"A",IF(F3010&lt;=8,"B",IF(F3010&lt;=10,"C","D"))))</f>
        <v/>
      </c>
      <c r="H3010" s="28"/>
      <c r="I3010" s="27"/>
      <c r="J3010" s="26"/>
      <c r="K3010" s="27"/>
      <c r="L3010" s="27"/>
      <c r="M3010" s="27"/>
      <c r="N3010" s="27"/>
      <c r="O3010" s="31" t="str">
        <f aca="false">IF(G3010="","",VLOOKUP(G3010,Setup!$A$14:$C$17,3,0))</f>
        <v/>
      </c>
      <c r="P3010" s="27"/>
      <c r="Q3010" s="33" t="str">
        <f aca="false">IF(OR(P3010="",M3010&lt;&gt;"Paid",O3010=""),"",P3010/O3010)</f>
        <v/>
      </c>
      <c r="R3010" s="34" t="str">
        <f aca="false">IF(Q3010="","",Q3010+N(H3010)*0.000000001)</f>
        <v/>
      </c>
      <c r="S3010" s="32" t="str">
        <f aca="false">IF(R3010="","",SUMPRODUCT((I$5:I$4004=I3010)*ISNUMBER(R$5:R$4004)*(R$5:R$4004&gt;R3010))+1)</f>
        <v/>
      </c>
      <c r="T3010" s="32" t="str">
        <f aca="false">IF(S3010="","",IF(S3010&lt;=Setup!$B$5,"🏆 WINNER",""))</f>
        <v/>
      </c>
      <c r="U3010" s="31" t="str">
        <f aca="false">IF(S3010="","",I3010&amp;"|"&amp;S3010)</f>
        <v/>
      </c>
    </row>
    <row r="3011" customFormat="false" ht="15" hidden="false" customHeight="false" outlineLevel="0" collapsed="false">
      <c r="A3011" s="24" t="n">
        <v>3007</v>
      </c>
      <c r="B3011" s="25" t="str">
        <f aca="false">IF(OR(C3011="",I3011="",G3011=""),"",IFERROR(VLOOKUP(I3011,Setup!$A$9:$B$11,2,0),"???")&amp;"-"&amp;G3011&amp;"-"&amp;TEXT(COUNTIFS(I$5:I3011,I3011,G$5:G3011,G3011),"0000"))</f>
        <v/>
      </c>
      <c r="C3011" s="26"/>
      <c r="D3011" s="26"/>
      <c r="E3011" s="27"/>
      <c r="F3011" s="27"/>
      <c r="G3011" s="24" t="str">
        <f aca="false">IF(F3011="","",IF(F3011&lt;=5,"A",IF(F3011&lt;=8,"B",IF(F3011&lt;=10,"C","D"))))</f>
        <v/>
      </c>
      <c r="H3011" s="28"/>
      <c r="I3011" s="27"/>
      <c r="J3011" s="26"/>
      <c r="K3011" s="27"/>
      <c r="L3011" s="27"/>
      <c r="M3011" s="27"/>
      <c r="N3011" s="27"/>
      <c r="O3011" s="24" t="str">
        <f aca="false">IF(G3011="","",VLOOKUP(G3011,Setup!$A$14:$C$17,3,0))</f>
        <v/>
      </c>
      <c r="P3011" s="27"/>
      <c r="Q3011" s="29" t="str">
        <f aca="false">IF(OR(P3011="",M3011&lt;&gt;"Paid",O3011=""),"",P3011/O3011)</f>
        <v/>
      </c>
      <c r="R3011" s="30" t="str">
        <f aca="false">IF(Q3011="","",Q3011+N(H3011)*0.000000001)</f>
        <v/>
      </c>
      <c r="S3011" s="25" t="str">
        <f aca="false">IF(R3011="","",SUMPRODUCT((I$5:I$4004=I3011)*ISNUMBER(R$5:R$4004)*(R$5:R$4004&gt;R3011))+1)</f>
        <v/>
      </c>
      <c r="T3011" s="25" t="str">
        <f aca="false">IF(S3011="","",IF(S3011&lt;=Setup!$B$5,"🏆 WINNER",""))</f>
        <v/>
      </c>
      <c r="U3011" s="24" t="str">
        <f aca="false">IF(S3011="","",I3011&amp;"|"&amp;S3011)</f>
        <v/>
      </c>
    </row>
    <row r="3012" customFormat="false" ht="15" hidden="false" customHeight="false" outlineLevel="0" collapsed="false">
      <c r="A3012" s="31" t="n">
        <v>3008</v>
      </c>
      <c r="B3012" s="32" t="str">
        <f aca="false">IF(OR(C3012="",I3012="",G3012=""),"",IFERROR(VLOOKUP(I3012,Setup!$A$9:$B$11,2,0),"???")&amp;"-"&amp;G3012&amp;"-"&amp;TEXT(COUNTIFS(I$5:I3012,I3012,G$5:G3012,G3012),"0000"))</f>
        <v/>
      </c>
      <c r="C3012" s="26"/>
      <c r="D3012" s="26"/>
      <c r="E3012" s="27"/>
      <c r="F3012" s="27"/>
      <c r="G3012" s="31" t="str">
        <f aca="false">IF(F3012="","",IF(F3012&lt;=5,"A",IF(F3012&lt;=8,"B",IF(F3012&lt;=10,"C","D"))))</f>
        <v/>
      </c>
      <c r="H3012" s="28"/>
      <c r="I3012" s="27"/>
      <c r="J3012" s="26"/>
      <c r="K3012" s="27"/>
      <c r="L3012" s="27"/>
      <c r="M3012" s="27"/>
      <c r="N3012" s="27"/>
      <c r="O3012" s="31" t="str">
        <f aca="false">IF(G3012="","",VLOOKUP(G3012,Setup!$A$14:$C$17,3,0))</f>
        <v/>
      </c>
      <c r="P3012" s="27"/>
      <c r="Q3012" s="33" t="str">
        <f aca="false">IF(OR(P3012="",M3012&lt;&gt;"Paid",O3012=""),"",P3012/O3012)</f>
        <v/>
      </c>
      <c r="R3012" s="34" t="str">
        <f aca="false">IF(Q3012="","",Q3012+N(H3012)*0.000000001)</f>
        <v/>
      </c>
      <c r="S3012" s="32" t="str">
        <f aca="false">IF(R3012="","",SUMPRODUCT((I$5:I$4004=I3012)*ISNUMBER(R$5:R$4004)*(R$5:R$4004&gt;R3012))+1)</f>
        <v/>
      </c>
      <c r="T3012" s="32" t="str">
        <f aca="false">IF(S3012="","",IF(S3012&lt;=Setup!$B$5,"🏆 WINNER",""))</f>
        <v/>
      </c>
      <c r="U3012" s="31" t="str">
        <f aca="false">IF(S3012="","",I3012&amp;"|"&amp;S3012)</f>
        <v/>
      </c>
    </row>
    <row r="3013" customFormat="false" ht="15" hidden="false" customHeight="false" outlineLevel="0" collapsed="false">
      <c r="A3013" s="24" t="n">
        <v>3009</v>
      </c>
      <c r="B3013" s="25" t="str">
        <f aca="false">IF(OR(C3013="",I3013="",G3013=""),"",IFERROR(VLOOKUP(I3013,Setup!$A$9:$B$11,2,0),"???")&amp;"-"&amp;G3013&amp;"-"&amp;TEXT(COUNTIFS(I$5:I3013,I3013,G$5:G3013,G3013),"0000"))</f>
        <v/>
      </c>
      <c r="C3013" s="26"/>
      <c r="D3013" s="26"/>
      <c r="E3013" s="27"/>
      <c r="F3013" s="27"/>
      <c r="G3013" s="24" t="str">
        <f aca="false">IF(F3013="","",IF(F3013&lt;=5,"A",IF(F3013&lt;=8,"B",IF(F3013&lt;=10,"C","D"))))</f>
        <v/>
      </c>
      <c r="H3013" s="28"/>
      <c r="I3013" s="27"/>
      <c r="J3013" s="26"/>
      <c r="K3013" s="27"/>
      <c r="L3013" s="27"/>
      <c r="M3013" s="27"/>
      <c r="N3013" s="27"/>
      <c r="O3013" s="24" t="str">
        <f aca="false">IF(G3013="","",VLOOKUP(G3013,Setup!$A$14:$C$17,3,0))</f>
        <v/>
      </c>
      <c r="P3013" s="27"/>
      <c r="Q3013" s="29" t="str">
        <f aca="false">IF(OR(P3013="",M3013&lt;&gt;"Paid",O3013=""),"",P3013/O3013)</f>
        <v/>
      </c>
      <c r="R3013" s="30" t="str">
        <f aca="false">IF(Q3013="","",Q3013+N(H3013)*0.000000001)</f>
        <v/>
      </c>
      <c r="S3013" s="25" t="str">
        <f aca="false">IF(R3013="","",SUMPRODUCT((I$5:I$4004=I3013)*ISNUMBER(R$5:R$4004)*(R$5:R$4004&gt;R3013))+1)</f>
        <v/>
      </c>
      <c r="T3013" s="25" t="str">
        <f aca="false">IF(S3013="","",IF(S3013&lt;=Setup!$B$5,"🏆 WINNER",""))</f>
        <v/>
      </c>
      <c r="U3013" s="24" t="str">
        <f aca="false">IF(S3013="","",I3013&amp;"|"&amp;S3013)</f>
        <v/>
      </c>
    </row>
    <row r="3014" customFormat="false" ht="15" hidden="false" customHeight="false" outlineLevel="0" collapsed="false">
      <c r="A3014" s="31" t="n">
        <v>3010</v>
      </c>
      <c r="B3014" s="32" t="str">
        <f aca="false">IF(OR(C3014="",I3014="",G3014=""),"",IFERROR(VLOOKUP(I3014,Setup!$A$9:$B$11,2,0),"???")&amp;"-"&amp;G3014&amp;"-"&amp;TEXT(COUNTIFS(I$5:I3014,I3014,G$5:G3014,G3014),"0000"))</f>
        <v/>
      </c>
      <c r="C3014" s="26"/>
      <c r="D3014" s="26"/>
      <c r="E3014" s="27"/>
      <c r="F3014" s="27"/>
      <c r="G3014" s="31" t="str">
        <f aca="false">IF(F3014="","",IF(F3014&lt;=5,"A",IF(F3014&lt;=8,"B",IF(F3014&lt;=10,"C","D"))))</f>
        <v/>
      </c>
      <c r="H3014" s="28"/>
      <c r="I3014" s="27"/>
      <c r="J3014" s="26"/>
      <c r="K3014" s="27"/>
      <c r="L3014" s="27"/>
      <c r="M3014" s="27"/>
      <c r="N3014" s="27"/>
      <c r="O3014" s="31" t="str">
        <f aca="false">IF(G3014="","",VLOOKUP(G3014,Setup!$A$14:$C$17,3,0))</f>
        <v/>
      </c>
      <c r="P3014" s="27"/>
      <c r="Q3014" s="33" t="str">
        <f aca="false">IF(OR(P3014="",M3014&lt;&gt;"Paid",O3014=""),"",P3014/O3014)</f>
        <v/>
      </c>
      <c r="R3014" s="34" t="str">
        <f aca="false">IF(Q3014="","",Q3014+N(H3014)*0.000000001)</f>
        <v/>
      </c>
      <c r="S3014" s="32" t="str">
        <f aca="false">IF(R3014="","",SUMPRODUCT((I$5:I$4004=I3014)*ISNUMBER(R$5:R$4004)*(R$5:R$4004&gt;R3014))+1)</f>
        <v/>
      </c>
      <c r="T3014" s="32" t="str">
        <f aca="false">IF(S3014="","",IF(S3014&lt;=Setup!$B$5,"🏆 WINNER",""))</f>
        <v/>
      </c>
      <c r="U3014" s="31" t="str">
        <f aca="false">IF(S3014="","",I3014&amp;"|"&amp;S3014)</f>
        <v/>
      </c>
    </row>
    <row r="3015" customFormat="false" ht="15" hidden="false" customHeight="false" outlineLevel="0" collapsed="false">
      <c r="A3015" s="24" t="n">
        <v>3011</v>
      </c>
      <c r="B3015" s="25" t="str">
        <f aca="false">IF(OR(C3015="",I3015="",G3015=""),"",IFERROR(VLOOKUP(I3015,Setup!$A$9:$B$11,2,0),"???")&amp;"-"&amp;G3015&amp;"-"&amp;TEXT(COUNTIFS(I$5:I3015,I3015,G$5:G3015,G3015),"0000"))</f>
        <v/>
      </c>
      <c r="C3015" s="26"/>
      <c r="D3015" s="26"/>
      <c r="E3015" s="27"/>
      <c r="F3015" s="27"/>
      <c r="G3015" s="24" t="str">
        <f aca="false">IF(F3015="","",IF(F3015&lt;=5,"A",IF(F3015&lt;=8,"B",IF(F3015&lt;=10,"C","D"))))</f>
        <v/>
      </c>
      <c r="H3015" s="28"/>
      <c r="I3015" s="27"/>
      <c r="J3015" s="26"/>
      <c r="K3015" s="27"/>
      <c r="L3015" s="27"/>
      <c r="M3015" s="27"/>
      <c r="N3015" s="27"/>
      <c r="O3015" s="24" t="str">
        <f aca="false">IF(G3015="","",VLOOKUP(G3015,Setup!$A$14:$C$17,3,0))</f>
        <v/>
      </c>
      <c r="P3015" s="27"/>
      <c r="Q3015" s="29" t="str">
        <f aca="false">IF(OR(P3015="",M3015&lt;&gt;"Paid",O3015=""),"",P3015/O3015)</f>
        <v/>
      </c>
      <c r="R3015" s="30" t="str">
        <f aca="false">IF(Q3015="","",Q3015+N(H3015)*0.000000001)</f>
        <v/>
      </c>
      <c r="S3015" s="25" t="str">
        <f aca="false">IF(R3015="","",SUMPRODUCT((I$5:I$4004=I3015)*ISNUMBER(R$5:R$4004)*(R$5:R$4004&gt;R3015))+1)</f>
        <v/>
      </c>
      <c r="T3015" s="25" t="str">
        <f aca="false">IF(S3015="","",IF(S3015&lt;=Setup!$B$5,"🏆 WINNER",""))</f>
        <v/>
      </c>
      <c r="U3015" s="24" t="str">
        <f aca="false">IF(S3015="","",I3015&amp;"|"&amp;S3015)</f>
        <v/>
      </c>
    </row>
    <row r="3016" customFormat="false" ht="15" hidden="false" customHeight="false" outlineLevel="0" collapsed="false">
      <c r="A3016" s="31" t="n">
        <v>3012</v>
      </c>
      <c r="B3016" s="32" t="str">
        <f aca="false">IF(OR(C3016="",I3016="",G3016=""),"",IFERROR(VLOOKUP(I3016,Setup!$A$9:$B$11,2,0),"???")&amp;"-"&amp;G3016&amp;"-"&amp;TEXT(COUNTIFS(I$5:I3016,I3016,G$5:G3016,G3016),"0000"))</f>
        <v/>
      </c>
      <c r="C3016" s="26"/>
      <c r="D3016" s="26"/>
      <c r="E3016" s="27"/>
      <c r="F3016" s="27"/>
      <c r="G3016" s="31" t="str">
        <f aca="false">IF(F3016="","",IF(F3016&lt;=5,"A",IF(F3016&lt;=8,"B",IF(F3016&lt;=10,"C","D"))))</f>
        <v/>
      </c>
      <c r="H3016" s="28"/>
      <c r="I3016" s="27"/>
      <c r="J3016" s="26"/>
      <c r="K3016" s="27"/>
      <c r="L3016" s="27"/>
      <c r="M3016" s="27"/>
      <c r="N3016" s="27"/>
      <c r="O3016" s="31" t="str">
        <f aca="false">IF(G3016="","",VLOOKUP(G3016,Setup!$A$14:$C$17,3,0))</f>
        <v/>
      </c>
      <c r="P3016" s="27"/>
      <c r="Q3016" s="33" t="str">
        <f aca="false">IF(OR(P3016="",M3016&lt;&gt;"Paid",O3016=""),"",P3016/O3016)</f>
        <v/>
      </c>
      <c r="R3016" s="34" t="str">
        <f aca="false">IF(Q3016="","",Q3016+N(H3016)*0.000000001)</f>
        <v/>
      </c>
      <c r="S3016" s="32" t="str">
        <f aca="false">IF(R3016="","",SUMPRODUCT((I$5:I$4004=I3016)*ISNUMBER(R$5:R$4004)*(R$5:R$4004&gt;R3016))+1)</f>
        <v/>
      </c>
      <c r="T3016" s="32" t="str">
        <f aca="false">IF(S3016="","",IF(S3016&lt;=Setup!$B$5,"🏆 WINNER",""))</f>
        <v/>
      </c>
      <c r="U3016" s="31" t="str">
        <f aca="false">IF(S3016="","",I3016&amp;"|"&amp;S3016)</f>
        <v/>
      </c>
    </row>
    <row r="3017" customFormat="false" ht="15" hidden="false" customHeight="false" outlineLevel="0" collapsed="false">
      <c r="A3017" s="24" t="n">
        <v>3013</v>
      </c>
      <c r="B3017" s="25" t="str">
        <f aca="false">IF(OR(C3017="",I3017="",G3017=""),"",IFERROR(VLOOKUP(I3017,Setup!$A$9:$B$11,2,0),"???")&amp;"-"&amp;G3017&amp;"-"&amp;TEXT(COUNTIFS(I$5:I3017,I3017,G$5:G3017,G3017),"0000"))</f>
        <v/>
      </c>
      <c r="C3017" s="26"/>
      <c r="D3017" s="26"/>
      <c r="E3017" s="27"/>
      <c r="F3017" s="27"/>
      <c r="G3017" s="24" t="str">
        <f aca="false">IF(F3017="","",IF(F3017&lt;=5,"A",IF(F3017&lt;=8,"B",IF(F3017&lt;=10,"C","D"))))</f>
        <v/>
      </c>
      <c r="H3017" s="28"/>
      <c r="I3017" s="27"/>
      <c r="J3017" s="26"/>
      <c r="K3017" s="27"/>
      <c r="L3017" s="27"/>
      <c r="M3017" s="27"/>
      <c r="N3017" s="27"/>
      <c r="O3017" s="24" t="str">
        <f aca="false">IF(G3017="","",VLOOKUP(G3017,Setup!$A$14:$C$17,3,0))</f>
        <v/>
      </c>
      <c r="P3017" s="27"/>
      <c r="Q3017" s="29" t="str">
        <f aca="false">IF(OR(P3017="",M3017&lt;&gt;"Paid",O3017=""),"",P3017/O3017)</f>
        <v/>
      </c>
      <c r="R3017" s="30" t="str">
        <f aca="false">IF(Q3017="","",Q3017+N(H3017)*0.000000001)</f>
        <v/>
      </c>
      <c r="S3017" s="25" t="str">
        <f aca="false">IF(R3017="","",SUMPRODUCT((I$5:I$4004=I3017)*ISNUMBER(R$5:R$4004)*(R$5:R$4004&gt;R3017))+1)</f>
        <v/>
      </c>
      <c r="T3017" s="25" t="str">
        <f aca="false">IF(S3017="","",IF(S3017&lt;=Setup!$B$5,"🏆 WINNER",""))</f>
        <v/>
      </c>
      <c r="U3017" s="24" t="str">
        <f aca="false">IF(S3017="","",I3017&amp;"|"&amp;S3017)</f>
        <v/>
      </c>
    </row>
    <row r="3018" customFormat="false" ht="15" hidden="false" customHeight="false" outlineLevel="0" collapsed="false">
      <c r="A3018" s="31" t="n">
        <v>3014</v>
      </c>
      <c r="B3018" s="32" t="str">
        <f aca="false">IF(OR(C3018="",I3018="",G3018=""),"",IFERROR(VLOOKUP(I3018,Setup!$A$9:$B$11,2,0),"???")&amp;"-"&amp;G3018&amp;"-"&amp;TEXT(COUNTIFS(I$5:I3018,I3018,G$5:G3018,G3018),"0000"))</f>
        <v/>
      </c>
      <c r="C3018" s="26"/>
      <c r="D3018" s="26"/>
      <c r="E3018" s="27"/>
      <c r="F3018" s="27"/>
      <c r="G3018" s="31" t="str">
        <f aca="false">IF(F3018="","",IF(F3018&lt;=5,"A",IF(F3018&lt;=8,"B",IF(F3018&lt;=10,"C","D"))))</f>
        <v/>
      </c>
      <c r="H3018" s="28"/>
      <c r="I3018" s="27"/>
      <c r="J3018" s="26"/>
      <c r="K3018" s="27"/>
      <c r="L3018" s="27"/>
      <c r="M3018" s="27"/>
      <c r="N3018" s="27"/>
      <c r="O3018" s="31" t="str">
        <f aca="false">IF(G3018="","",VLOOKUP(G3018,Setup!$A$14:$C$17,3,0))</f>
        <v/>
      </c>
      <c r="P3018" s="27"/>
      <c r="Q3018" s="33" t="str">
        <f aca="false">IF(OR(P3018="",M3018&lt;&gt;"Paid",O3018=""),"",P3018/O3018)</f>
        <v/>
      </c>
      <c r="R3018" s="34" t="str">
        <f aca="false">IF(Q3018="","",Q3018+N(H3018)*0.000000001)</f>
        <v/>
      </c>
      <c r="S3018" s="32" t="str">
        <f aca="false">IF(R3018="","",SUMPRODUCT((I$5:I$4004=I3018)*ISNUMBER(R$5:R$4004)*(R$5:R$4004&gt;R3018))+1)</f>
        <v/>
      </c>
      <c r="T3018" s="32" t="str">
        <f aca="false">IF(S3018="","",IF(S3018&lt;=Setup!$B$5,"🏆 WINNER",""))</f>
        <v/>
      </c>
      <c r="U3018" s="31" t="str">
        <f aca="false">IF(S3018="","",I3018&amp;"|"&amp;S3018)</f>
        <v/>
      </c>
    </row>
    <row r="3019" customFormat="false" ht="15" hidden="false" customHeight="false" outlineLevel="0" collapsed="false">
      <c r="A3019" s="24" t="n">
        <v>3015</v>
      </c>
      <c r="B3019" s="25" t="str">
        <f aca="false">IF(OR(C3019="",I3019="",G3019=""),"",IFERROR(VLOOKUP(I3019,Setup!$A$9:$B$11,2,0),"???")&amp;"-"&amp;G3019&amp;"-"&amp;TEXT(COUNTIFS(I$5:I3019,I3019,G$5:G3019,G3019),"0000"))</f>
        <v/>
      </c>
      <c r="C3019" s="26"/>
      <c r="D3019" s="26"/>
      <c r="E3019" s="27"/>
      <c r="F3019" s="27"/>
      <c r="G3019" s="24" t="str">
        <f aca="false">IF(F3019="","",IF(F3019&lt;=5,"A",IF(F3019&lt;=8,"B",IF(F3019&lt;=10,"C","D"))))</f>
        <v/>
      </c>
      <c r="H3019" s="28"/>
      <c r="I3019" s="27"/>
      <c r="J3019" s="26"/>
      <c r="K3019" s="27"/>
      <c r="L3019" s="27"/>
      <c r="M3019" s="27"/>
      <c r="N3019" s="27"/>
      <c r="O3019" s="24" t="str">
        <f aca="false">IF(G3019="","",VLOOKUP(G3019,Setup!$A$14:$C$17,3,0))</f>
        <v/>
      </c>
      <c r="P3019" s="27"/>
      <c r="Q3019" s="29" t="str">
        <f aca="false">IF(OR(P3019="",M3019&lt;&gt;"Paid",O3019=""),"",P3019/O3019)</f>
        <v/>
      </c>
      <c r="R3019" s="30" t="str">
        <f aca="false">IF(Q3019="","",Q3019+N(H3019)*0.000000001)</f>
        <v/>
      </c>
      <c r="S3019" s="25" t="str">
        <f aca="false">IF(R3019="","",SUMPRODUCT((I$5:I$4004=I3019)*ISNUMBER(R$5:R$4004)*(R$5:R$4004&gt;R3019))+1)</f>
        <v/>
      </c>
      <c r="T3019" s="25" t="str">
        <f aca="false">IF(S3019="","",IF(S3019&lt;=Setup!$B$5,"🏆 WINNER",""))</f>
        <v/>
      </c>
      <c r="U3019" s="24" t="str">
        <f aca="false">IF(S3019="","",I3019&amp;"|"&amp;S3019)</f>
        <v/>
      </c>
    </row>
    <row r="3020" customFormat="false" ht="15" hidden="false" customHeight="false" outlineLevel="0" collapsed="false">
      <c r="A3020" s="31" t="n">
        <v>3016</v>
      </c>
      <c r="B3020" s="32" t="str">
        <f aca="false">IF(OR(C3020="",I3020="",G3020=""),"",IFERROR(VLOOKUP(I3020,Setup!$A$9:$B$11,2,0),"???")&amp;"-"&amp;G3020&amp;"-"&amp;TEXT(COUNTIFS(I$5:I3020,I3020,G$5:G3020,G3020),"0000"))</f>
        <v/>
      </c>
      <c r="C3020" s="26"/>
      <c r="D3020" s="26"/>
      <c r="E3020" s="27"/>
      <c r="F3020" s="27"/>
      <c r="G3020" s="31" t="str">
        <f aca="false">IF(F3020="","",IF(F3020&lt;=5,"A",IF(F3020&lt;=8,"B",IF(F3020&lt;=10,"C","D"))))</f>
        <v/>
      </c>
      <c r="H3020" s="28"/>
      <c r="I3020" s="27"/>
      <c r="J3020" s="26"/>
      <c r="K3020" s="27"/>
      <c r="L3020" s="27"/>
      <c r="M3020" s="27"/>
      <c r="N3020" s="27"/>
      <c r="O3020" s="31" t="str">
        <f aca="false">IF(G3020="","",VLOOKUP(G3020,Setup!$A$14:$C$17,3,0))</f>
        <v/>
      </c>
      <c r="P3020" s="27"/>
      <c r="Q3020" s="33" t="str">
        <f aca="false">IF(OR(P3020="",M3020&lt;&gt;"Paid",O3020=""),"",P3020/O3020)</f>
        <v/>
      </c>
      <c r="R3020" s="34" t="str">
        <f aca="false">IF(Q3020="","",Q3020+N(H3020)*0.000000001)</f>
        <v/>
      </c>
      <c r="S3020" s="32" t="str">
        <f aca="false">IF(R3020="","",SUMPRODUCT((I$5:I$4004=I3020)*ISNUMBER(R$5:R$4004)*(R$5:R$4004&gt;R3020))+1)</f>
        <v/>
      </c>
      <c r="T3020" s="32" t="str">
        <f aca="false">IF(S3020="","",IF(S3020&lt;=Setup!$B$5,"🏆 WINNER",""))</f>
        <v/>
      </c>
      <c r="U3020" s="31" t="str">
        <f aca="false">IF(S3020="","",I3020&amp;"|"&amp;S3020)</f>
        <v/>
      </c>
    </row>
    <row r="3021" customFormat="false" ht="15" hidden="false" customHeight="false" outlineLevel="0" collapsed="false">
      <c r="A3021" s="24" t="n">
        <v>3017</v>
      </c>
      <c r="B3021" s="25" t="str">
        <f aca="false">IF(OR(C3021="",I3021="",G3021=""),"",IFERROR(VLOOKUP(I3021,Setup!$A$9:$B$11,2,0),"???")&amp;"-"&amp;G3021&amp;"-"&amp;TEXT(COUNTIFS(I$5:I3021,I3021,G$5:G3021,G3021),"0000"))</f>
        <v/>
      </c>
      <c r="C3021" s="26"/>
      <c r="D3021" s="26"/>
      <c r="E3021" s="27"/>
      <c r="F3021" s="27"/>
      <c r="G3021" s="24" t="str">
        <f aca="false">IF(F3021="","",IF(F3021&lt;=5,"A",IF(F3021&lt;=8,"B",IF(F3021&lt;=10,"C","D"))))</f>
        <v/>
      </c>
      <c r="H3021" s="28"/>
      <c r="I3021" s="27"/>
      <c r="J3021" s="26"/>
      <c r="K3021" s="27"/>
      <c r="L3021" s="27"/>
      <c r="M3021" s="27"/>
      <c r="N3021" s="27"/>
      <c r="O3021" s="24" t="str">
        <f aca="false">IF(G3021="","",VLOOKUP(G3021,Setup!$A$14:$C$17,3,0))</f>
        <v/>
      </c>
      <c r="P3021" s="27"/>
      <c r="Q3021" s="29" t="str">
        <f aca="false">IF(OR(P3021="",M3021&lt;&gt;"Paid",O3021=""),"",P3021/O3021)</f>
        <v/>
      </c>
      <c r="R3021" s="30" t="str">
        <f aca="false">IF(Q3021="","",Q3021+N(H3021)*0.000000001)</f>
        <v/>
      </c>
      <c r="S3021" s="25" t="str">
        <f aca="false">IF(R3021="","",SUMPRODUCT((I$5:I$4004=I3021)*ISNUMBER(R$5:R$4004)*(R$5:R$4004&gt;R3021))+1)</f>
        <v/>
      </c>
      <c r="T3021" s="25" t="str">
        <f aca="false">IF(S3021="","",IF(S3021&lt;=Setup!$B$5,"🏆 WINNER",""))</f>
        <v/>
      </c>
      <c r="U3021" s="24" t="str">
        <f aca="false">IF(S3021="","",I3021&amp;"|"&amp;S3021)</f>
        <v/>
      </c>
    </row>
    <row r="3022" customFormat="false" ht="15" hidden="false" customHeight="false" outlineLevel="0" collapsed="false">
      <c r="A3022" s="31" t="n">
        <v>3018</v>
      </c>
      <c r="B3022" s="32" t="str">
        <f aca="false">IF(OR(C3022="",I3022="",G3022=""),"",IFERROR(VLOOKUP(I3022,Setup!$A$9:$B$11,2,0),"???")&amp;"-"&amp;G3022&amp;"-"&amp;TEXT(COUNTIFS(I$5:I3022,I3022,G$5:G3022,G3022),"0000"))</f>
        <v/>
      </c>
      <c r="C3022" s="26"/>
      <c r="D3022" s="26"/>
      <c r="E3022" s="27"/>
      <c r="F3022" s="27"/>
      <c r="G3022" s="31" t="str">
        <f aca="false">IF(F3022="","",IF(F3022&lt;=5,"A",IF(F3022&lt;=8,"B",IF(F3022&lt;=10,"C","D"))))</f>
        <v/>
      </c>
      <c r="H3022" s="28"/>
      <c r="I3022" s="27"/>
      <c r="J3022" s="26"/>
      <c r="K3022" s="27"/>
      <c r="L3022" s="27"/>
      <c r="M3022" s="27"/>
      <c r="N3022" s="27"/>
      <c r="O3022" s="31" t="str">
        <f aca="false">IF(G3022="","",VLOOKUP(G3022,Setup!$A$14:$C$17,3,0))</f>
        <v/>
      </c>
      <c r="P3022" s="27"/>
      <c r="Q3022" s="33" t="str">
        <f aca="false">IF(OR(P3022="",M3022&lt;&gt;"Paid",O3022=""),"",P3022/O3022)</f>
        <v/>
      </c>
      <c r="R3022" s="34" t="str">
        <f aca="false">IF(Q3022="","",Q3022+N(H3022)*0.000000001)</f>
        <v/>
      </c>
      <c r="S3022" s="32" t="str">
        <f aca="false">IF(R3022="","",SUMPRODUCT((I$5:I$4004=I3022)*ISNUMBER(R$5:R$4004)*(R$5:R$4004&gt;R3022))+1)</f>
        <v/>
      </c>
      <c r="T3022" s="32" t="str">
        <f aca="false">IF(S3022="","",IF(S3022&lt;=Setup!$B$5,"🏆 WINNER",""))</f>
        <v/>
      </c>
      <c r="U3022" s="31" t="str">
        <f aca="false">IF(S3022="","",I3022&amp;"|"&amp;S3022)</f>
        <v/>
      </c>
    </row>
    <row r="3023" customFormat="false" ht="15" hidden="false" customHeight="false" outlineLevel="0" collapsed="false">
      <c r="A3023" s="24" t="n">
        <v>3019</v>
      </c>
      <c r="B3023" s="25" t="str">
        <f aca="false">IF(OR(C3023="",I3023="",G3023=""),"",IFERROR(VLOOKUP(I3023,Setup!$A$9:$B$11,2,0),"???")&amp;"-"&amp;G3023&amp;"-"&amp;TEXT(COUNTIFS(I$5:I3023,I3023,G$5:G3023,G3023),"0000"))</f>
        <v/>
      </c>
      <c r="C3023" s="26"/>
      <c r="D3023" s="26"/>
      <c r="E3023" s="27"/>
      <c r="F3023" s="27"/>
      <c r="G3023" s="24" t="str">
        <f aca="false">IF(F3023="","",IF(F3023&lt;=5,"A",IF(F3023&lt;=8,"B",IF(F3023&lt;=10,"C","D"))))</f>
        <v/>
      </c>
      <c r="H3023" s="28"/>
      <c r="I3023" s="27"/>
      <c r="J3023" s="26"/>
      <c r="K3023" s="27"/>
      <c r="L3023" s="27"/>
      <c r="M3023" s="27"/>
      <c r="N3023" s="27"/>
      <c r="O3023" s="24" t="str">
        <f aca="false">IF(G3023="","",VLOOKUP(G3023,Setup!$A$14:$C$17,3,0))</f>
        <v/>
      </c>
      <c r="P3023" s="27"/>
      <c r="Q3023" s="29" t="str">
        <f aca="false">IF(OR(P3023="",M3023&lt;&gt;"Paid",O3023=""),"",P3023/O3023)</f>
        <v/>
      </c>
      <c r="R3023" s="30" t="str">
        <f aca="false">IF(Q3023="","",Q3023+N(H3023)*0.000000001)</f>
        <v/>
      </c>
      <c r="S3023" s="25" t="str">
        <f aca="false">IF(R3023="","",SUMPRODUCT((I$5:I$4004=I3023)*ISNUMBER(R$5:R$4004)*(R$5:R$4004&gt;R3023))+1)</f>
        <v/>
      </c>
      <c r="T3023" s="25" t="str">
        <f aca="false">IF(S3023="","",IF(S3023&lt;=Setup!$B$5,"🏆 WINNER",""))</f>
        <v/>
      </c>
      <c r="U3023" s="24" t="str">
        <f aca="false">IF(S3023="","",I3023&amp;"|"&amp;S3023)</f>
        <v/>
      </c>
    </row>
    <row r="3024" customFormat="false" ht="15" hidden="false" customHeight="false" outlineLevel="0" collapsed="false">
      <c r="A3024" s="31" t="n">
        <v>3020</v>
      </c>
      <c r="B3024" s="32" t="str">
        <f aca="false">IF(OR(C3024="",I3024="",G3024=""),"",IFERROR(VLOOKUP(I3024,Setup!$A$9:$B$11,2,0),"???")&amp;"-"&amp;G3024&amp;"-"&amp;TEXT(COUNTIFS(I$5:I3024,I3024,G$5:G3024,G3024),"0000"))</f>
        <v/>
      </c>
      <c r="C3024" s="26"/>
      <c r="D3024" s="26"/>
      <c r="E3024" s="27"/>
      <c r="F3024" s="27"/>
      <c r="G3024" s="31" t="str">
        <f aca="false">IF(F3024="","",IF(F3024&lt;=5,"A",IF(F3024&lt;=8,"B",IF(F3024&lt;=10,"C","D"))))</f>
        <v/>
      </c>
      <c r="H3024" s="28"/>
      <c r="I3024" s="27"/>
      <c r="J3024" s="26"/>
      <c r="K3024" s="27"/>
      <c r="L3024" s="27"/>
      <c r="M3024" s="27"/>
      <c r="N3024" s="27"/>
      <c r="O3024" s="31" t="str">
        <f aca="false">IF(G3024="","",VLOOKUP(G3024,Setup!$A$14:$C$17,3,0))</f>
        <v/>
      </c>
      <c r="P3024" s="27"/>
      <c r="Q3024" s="33" t="str">
        <f aca="false">IF(OR(P3024="",M3024&lt;&gt;"Paid",O3024=""),"",P3024/O3024)</f>
        <v/>
      </c>
      <c r="R3024" s="34" t="str">
        <f aca="false">IF(Q3024="","",Q3024+N(H3024)*0.000000001)</f>
        <v/>
      </c>
      <c r="S3024" s="32" t="str">
        <f aca="false">IF(R3024="","",SUMPRODUCT((I$5:I$4004=I3024)*ISNUMBER(R$5:R$4004)*(R$5:R$4004&gt;R3024))+1)</f>
        <v/>
      </c>
      <c r="T3024" s="32" t="str">
        <f aca="false">IF(S3024="","",IF(S3024&lt;=Setup!$B$5,"🏆 WINNER",""))</f>
        <v/>
      </c>
      <c r="U3024" s="31" t="str">
        <f aca="false">IF(S3024="","",I3024&amp;"|"&amp;S3024)</f>
        <v/>
      </c>
    </row>
    <row r="3025" customFormat="false" ht="15" hidden="false" customHeight="false" outlineLevel="0" collapsed="false">
      <c r="A3025" s="24" t="n">
        <v>3021</v>
      </c>
      <c r="B3025" s="25" t="str">
        <f aca="false">IF(OR(C3025="",I3025="",G3025=""),"",IFERROR(VLOOKUP(I3025,Setup!$A$9:$B$11,2,0),"???")&amp;"-"&amp;G3025&amp;"-"&amp;TEXT(COUNTIFS(I$5:I3025,I3025,G$5:G3025,G3025),"0000"))</f>
        <v/>
      </c>
      <c r="C3025" s="26"/>
      <c r="D3025" s="26"/>
      <c r="E3025" s="27"/>
      <c r="F3025" s="27"/>
      <c r="G3025" s="24" t="str">
        <f aca="false">IF(F3025="","",IF(F3025&lt;=5,"A",IF(F3025&lt;=8,"B",IF(F3025&lt;=10,"C","D"))))</f>
        <v/>
      </c>
      <c r="H3025" s="28"/>
      <c r="I3025" s="27"/>
      <c r="J3025" s="26"/>
      <c r="K3025" s="27"/>
      <c r="L3025" s="27"/>
      <c r="M3025" s="27"/>
      <c r="N3025" s="27"/>
      <c r="O3025" s="24" t="str">
        <f aca="false">IF(G3025="","",VLOOKUP(G3025,Setup!$A$14:$C$17,3,0))</f>
        <v/>
      </c>
      <c r="P3025" s="27"/>
      <c r="Q3025" s="29" t="str">
        <f aca="false">IF(OR(P3025="",M3025&lt;&gt;"Paid",O3025=""),"",P3025/O3025)</f>
        <v/>
      </c>
      <c r="R3025" s="30" t="str">
        <f aca="false">IF(Q3025="","",Q3025+N(H3025)*0.000000001)</f>
        <v/>
      </c>
      <c r="S3025" s="25" t="str">
        <f aca="false">IF(R3025="","",SUMPRODUCT((I$5:I$4004=I3025)*ISNUMBER(R$5:R$4004)*(R$5:R$4004&gt;R3025))+1)</f>
        <v/>
      </c>
      <c r="T3025" s="25" t="str">
        <f aca="false">IF(S3025="","",IF(S3025&lt;=Setup!$B$5,"🏆 WINNER",""))</f>
        <v/>
      </c>
      <c r="U3025" s="24" t="str">
        <f aca="false">IF(S3025="","",I3025&amp;"|"&amp;S3025)</f>
        <v/>
      </c>
    </row>
    <row r="3026" customFormat="false" ht="15" hidden="false" customHeight="false" outlineLevel="0" collapsed="false">
      <c r="A3026" s="31" t="n">
        <v>3022</v>
      </c>
      <c r="B3026" s="32" t="str">
        <f aca="false">IF(OR(C3026="",I3026="",G3026=""),"",IFERROR(VLOOKUP(I3026,Setup!$A$9:$B$11,2,0),"???")&amp;"-"&amp;G3026&amp;"-"&amp;TEXT(COUNTIFS(I$5:I3026,I3026,G$5:G3026,G3026),"0000"))</f>
        <v/>
      </c>
      <c r="C3026" s="26"/>
      <c r="D3026" s="26"/>
      <c r="E3026" s="27"/>
      <c r="F3026" s="27"/>
      <c r="G3026" s="31" t="str">
        <f aca="false">IF(F3026="","",IF(F3026&lt;=5,"A",IF(F3026&lt;=8,"B",IF(F3026&lt;=10,"C","D"))))</f>
        <v/>
      </c>
      <c r="H3026" s="28"/>
      <c r="I3026" s="27"/>
      <c r="J3026" s="26"/>
      <c r="K3026" s="27"/>
      <c r="L3026" s="27"/>
      <c r="M3026" s="27"/>
      <c r="N3026" s="27"/>
      <c r="O3026" s="31" t="str">
        <f aca="false">IF(G3026="","",VLOOKUP(G3026,Setup!$A$14:$C$17,3,0))</f>
        <v/>
      </c>
      <c r="P3026" s="27"/>
      <c r="Q3026" s="33" t="str">
        <f aca="false">IF(OR(P3026="",M3026&lt;&gt;"Paid",O3026=""),"",P3026/O3026)</f>
        <v/>
      </c>
      <c r="R3026" s="34" t="str">
        <f aca="false">IF(Q3026="","",Q3026+N(H3026)*0.000000001)</f>
        <v/>
      </c>
      <c r="S3026" s="32" t="str">
        <f aca="false">IF(R3026="","",SUMPRODUCT((I$5:I$4004=I3026)*ISNUMBER(R$5:R$4004)*(R$5:R$4004&gt;R3026))+1)</f>
        <v/>
      </c>
      <c r="T3026" s="32" t="str">
        <f aca="false">IF(S3026="","",IF(S3026&lt;=Setup!$B$5,"🏆 WINNER",""))</f>
        <v/>
      </c>
      <c r="U3026" s="31" t="str">
        <f aca="false">IF(S3026="","",I3026&amp;"|"&amp;S3026)</f>
        <v/>
      </c>
    </row>
    <row r="3027" customFormat="false" ht="15" hidden="false" customHeight="false" outlineLevel="0" collapsed="false">
      <c r="A3027" s="24" t="n">
        <v>3023</v>
      </c>
      <c r="B3027" s="25" t="str">
        <f aca="false">IF(OR(C3027="",I3027="",G3027=""),"",IFERROR(VLOOKUP(I3027,Setup!$A$9:$B$11,2,0),"???")&amp;"-"&amp;G3027&amp;"-"&amp;TEXT(COUNTIFS(I$5:I3027,I3027,G$5:G3027,G3027),"0000"))</f>
        <v/>
      </c>
      <c r="C3027" s="26"/>
      <c r="D3027" s="26"/>
      <c r="E3027" s="27"/>
      <c r="F3027" s="27"/>
      <c r="G3027" s="24" t="str">
        <f aca="false">IF(F3027="","",IF(F3027&lt;=5,"A",IF(F3027&lt;=8,"B",IF(F3027&lt;=10,"C","D"))))</f>
        <v/>
      </c>
      <c r="H3027" s="28"/>
      <c r="I3027" s="27"/>
      <c r="J3027" s="26"/>
      <c r="K3027" s="27"/>
      <c r="L3027" s="27"/>
      <c r="M3027" s="27"/>
      <c r="N3027" s="27"/>
      <c r="O3027" s="24" t="str">
        <f aca="false">IF(G3027="","",VLOOKUP(G3027,Setup!$A$14:$C$17,3,0))</f>
        <v/>
      </c>
      <c r="P3027" s="27"/>
      <c r="Q3027" s="29" t="str">
        <f aca="false">IF(OR(P3027="",M3027&lt;&gt;"Paid",O3027=""),"",P3027/O3027)</f>
        <v/>
      </c>
      <c r="R3027" s="30" t="str">
        <f aca="false">IF(Q3027="","",Q3027+N(H3027)*0.000000001)</f>
        <v/>
      </c>
      <c r="S3027" s="25" t="str">
        <f aca="false">IF(R3027="","",SUMPRODUCT((I$5:I$4004=I3027)*ISNUMBER(R$5:R$4004)*(R$5:R$4004&gt;R3027))+1)</f>
        <v/>
      </c>
      <c r="T3027" s="25" t="str">
        <f aca="false">IF(S3027="","",IF(S3027&lt;=Setup!$B$5,"🏆 WINNER",""))</f>
        <v/>
      </c>
      <c r="U3027" s="24" t="str">
        <f aca="false">IF(S3027="","",I3027&amp;"|"&amp;S3027)</f>
        <v/>
      </c>
    </row>
    <row r="3028" customFormat="false" ht="15" hidden="false" customHeight="false" outlineLevel="0" collapsed="false">
      <c r="A3028" s="31" t="n">
        <v>3024</v>
      </c>
      <c r="B3028" s="32" t="str">
        <f aca="false">IF(OR(C3028="",I3028="",G3028=""),"",IFERROR(VLOOKUP(I3028,Setup!$A$9:$B$11,2,0),"???")&amp;"-"&amp;G3028&amp;"-"&amp;TEXT(COUNTIFS(I$5:I3028,I3028,G$5:G3028,G3028),"0000"))</f>
        <v/>
      </c>
      <c r="C3028" s="26"/>
      <c r="D3028" s="26"/>
      <c r="E3028" s="27"/>
      <c r="F3028" s="27"/>
      <c r="G3028" s="31" t="str">
        <f aca="false">IF(F3028="","",IF(F3028&lt;=5,"A",IF(F3028&lt;=8,"B",IF(F3028&lt;=10,"C","D"))))</f>
        <v/>
      </c>
      <c r="H3028" s="28"/>
      <c r="I3028" s="27"/>
      <c r="J3028" s="26"/>
      <c r="K3028" s="27"/>
      <c r="L3028" s="27"/>
      <c r="M3028" s="27"/>
      <c r="N3028" s="27"/>
      <c r="O3028" s="31" t="str">
        <f aca="false">IF(G3028="","",VLOOKUP(G3028,Setup!$A$14:$C$17,3,0))</f>
        <v/>
      </c>
      <c r="P3028" s="27"/>
      <c r="Q3028" s="33" t="str">
        <f aca="false">IF(OR(P3028="",M3028&lt;&gt;"Paid",O3028=""),"",P3028/O3028)</f>
        <v/>
      </c>
      <c r="R3028" s="34" t="str">
        <f aca="false">IF(Q3028="","",Q3028+N(H3028)*0.000000001)</f>
        <v/>
      </c>
      <c r="S3028" s="32" t="str">
        <f aca="false">IF(R3028="","",SUMPRODUCT((I$5:I$4004=I3028)*ISNUMBER(R$5:R$4004)*(R$5:R$4004&gt;R3028))+1)</f>
        <v/>
      </c>
      <c r="T3028" s="32" t="str">
        <f aca="false">IF(S3028="","",IF(S3028&lt;=Setup!$B$5,"🏆 WINNER",""))</f>
        <v/>
      </c>
      <c r="U3028" s="31" t="str">
        <f aca="false">IF(S3028="","",I3028&amp;"|"&amp;S3028)</f>
        <v/>
      </c>
    </row>
    <row r="3029" customFormat="false" ht="15" hidden="false" customHeight="false" outlineLevel="0" collapsed="false">
      <c r="A3029" s="24" t="n">
        <v>3025</v>
      </c>
      <c r="B3029" s="25" t="str">
        <f aca="false">IF(OR(C3029="",I3029="",G3029=""),"",IFERROR(VLOOKUP(I3029,Setup!$A$9:$B$11,2,0),"???")&amp;"-"&amp;G3029&amp;"-"&amp;TEXT(COUNTIFS(I$5:I3029,I3029,G$5:G3029,G3029),"0000"))</f>
        <v/>
      </c>
      <c r="C3029" s="26"/>
      <c r="D3029" s="26"/>
      <c r="E3029" s="27"/>
      <c r="F3029" s="27"/>
      <c r="G3029" s="24" t="str">
        <f aca="false">IF(F3029="","",IF(F3029&lt;=5,"A",IF(F3029&lt;=8,"B",IF(F3029&lt;=10,"C","D"))))</f>
        <v/>
      </c>
      <c r="H3029" s="28"/>
      <c r="I3029" s="27"/>
      <c r="J3029" s="26"/>
      <c r="K3029" s="27"/>
      <c r="L3029" s="27"/>
      <c r="M3029" s="27"/>
      <c r="N3029" s="27"/>
      <c r="O3029" s="24" t="str">
        <f aca="false">IF(G3029="","",VLOOKUP(G3029,Setup!$A$14:$C$17,3,0))</f>
        <v/>
      </c>
      <c r="P3029" s="27"/>
      <c r="Q3029" s="29" t="str">
        <f aca="false">IF(OR(P3029="",M3029&lt;&gt;"Paid",O3029=""),"",P3029/O3029)</f>
        <v/>
      </c>
      <c r="R3029" s="30" t="str">
        <f aca="false">IF(Q3029="","",Q3029+N(H3029)*0.000000001)</f>
        <v/>
      </c>
      <c r="S3029" s="25" t="str">
        <f aca="false">IF(R3029="","",SUMPRODUCT((I$5:I$4004=I3029)*ISNUMBER(R$5:R$4004)*(R$5:R$4004&gt;R3029))+1)</f>
        <v/>
      </c>
      <c r="T3029" s="25" t="str">
        <f aca="false">IF(S3029="","",IF(S3029&lt;=Setup!$B$5,"🏆 WINNER",""))</f>
        <v/>
      </c>
      <c r="U3029" s="24" t="str">
        <f aca="false">IF(S3029="","",I3029&amp;"|"&amp;S3029)</f>
        <v/>
      </c>
    </row>
    <row r="3030" customFormat="false" ht="15" hidden="false" customHeight="false" outlineLevel="0" collapsed="false">
      <c r="A3030" s="31" t="n">
        <v>3026</v>
      </c>
      <c r="B3030" s="32" t="str">
        <f aca="false">IF(OR(C3030="",I3030="",G3030=""),"",IFERROR(VLOOKUP(I3030,Setup!$A$9:$B$11,2,0),"???")&amp;"-"&amp;G3030&amp;"-"&amp;TEXT(COUNTIFS(I$5:I3030,I3030,G$5:G3030,G3030),"0000"))</f>
        <v/>
      </c>
      <c r="C3030" s="26"/>
      <c r="D3030" s="26"/>
      <c r="E3030" s="27"/>
      <c r="F3030" s="27"/>
      <c r="G3030" s="31" t="str">
        <f aca="false">IF(F3030="","",IF(F3030&lt;=5,"A",IF(F3030&lt;=8,"B",IF(F3030&lt;=10,"C","D"))))</f>
        <v/>
      </c>
      <c r="H3030" s="28"/>
      <c r="I3030" s="27"/>
      <c r="J3030" s="26"/>
      <c r="K3030" s="27"/>
      <c r="L3030" s="27"/>
      <c r="M3030" s="27"/>
      <c r="N3030" s="27"/>
      <c r="O3030" s="31" t="str">
        <f aca="false">IF(G3030="","",VLOOKUP(G3030,Setup!$A$14:$C$17,3,0))</f>
        <v/>
      </c>
      <c r="P3030" s="27"/>
      <c r="Q3030" s="33" t="str">
        <f aca="false">IF(OR(P3030="",M3030&lt;&gt;"Paid",O3030=""),"",P3030/O3030)</f>
        <v/>
      </c>
      <c r="R3030" s="34" t="str">
        <f aca="false">IF(Q3030="","",Q3030+N(H3030)*0.000000001)</f>
        <v/>
      </c>
      <c r="S3030" s="32" t="str">
        <f aca="false">IF(R3030="","",SUMPRODUCT((I$5:I$4004=I3030)*ISNUMBER(R$5:R$4004)*(R$5:R$4004&gt;R3030))+1)</f>
        <v/>
      </c>
      <c r="T3030" s="32" t="str">
        <f aca="false">IF(S3030="","",IF(S3030&lt;=Setup!$B$5,"🏆 WINNER",""))</f>
        <v/>
      </c>
      <c r="U3030" s="31" t="str">
        <f aca="false">IF(S3030="","",I3030&amp;"|"&amp;S3030)</f>
        <v/>
      </c>
    </row>
    <row r="3031" customFormat="false" ht="15" hidden="false" customHeight="false" outlineLevel="0" collapsed="false">
      <c r="A3031" s="24" t="n">
        <v>3027</v>
      </c>
      <c r="B3031" s="25" t="str">
        <f aca="false">IF(OR(C3031="",I3031="",G3031=""),"",IFERROR(VLOOKUP(I3031,Setup!$A$9:$B$11,2,0),"???")&amp;"-"&amp;G3031&amp;"-"&amp;TEXT(COUNTIFS(I$5:I3031,I3031,G$5:G3031,G3031),"0000"))</f>
        <v/>
      </c>
      <c r="C3031" s="26"/>
      <c r="D3031" s="26"/>
      <c r="E3031" s="27"/>
      <c r="F3031" s="27"/>
      <c r="G3031" s="24" t="str">
        <f aca="false">IF(F3031="","",IF(F3031&lt;=5,"A",IF(F3031&lt;=8,"B",IF(F3031&lt;=10,"C","D"))))</f>
        <v/>
      </c>
      <c r="H3031" s="28"/>
      <c r="I3031" s="27"/>
      <c r="J3031" s="26"/>
      <c r="K3031" s="27"/>
      <c r="L3031" s="27"/>
      <c r="M3031" s="27"/>
      <c r="N3031" s="27"/>
      <c r="O3031" s="24" t="str">
        <f aca="false">IF(G3031="","",VLOOKUP(G3031,Setup!$A$14:$C$17,3,0))</f>
        <v/>
      </c>
      <c r="P3031" s="27"/>
      <c r="Q3031" s="29" t="str">
        <f aca="false">IF(OR(P3031="",M3031&lt;&gt;"Paid",O3031=""),"",P3031/O3031)</f>
        <v/>
      </c>
      <c r="R3031" s="30" t="str">
        <f aca="false">IF(Q3031="","",Q3031+N(H3031)*0.000000001)</f>
        <v/>
      </c>
      <c r="S3031" s="25" t="str">
        <f aca="false">IF(R3031="","",SUMPRODUCT((I$5:I$4004=I3031)*ISNUMBER(R$5:R$4004)*(R$5:R$4004&gt;R3031))+1)</f>
        <v/>
      </c>
      <c r="T3031" s="25" t="str">
        <f aca="false">IF(S3031="","",IF(S3031&lt;=Setup!$B$5,"🏆 WINNER",""))</f>
        <v/>
      </c>
      <c r="U3031" s="24" t="str">
        <f aca="false">IF(S3031="","",I3031&amp;"|"&amp;S3031)</f>
        <v/>
      </c>
    </row>
    <row r="3032" customFormat="false" ht="15" hidden="false" customHeight="false" outlineLevel="0" collapsed="false">
      <c r="A3032" s="31" t="n">
        <v>3028</v>
      </c>
      <c r="B3032" s="32" t="str">
        <f aca="false">IF(OR(C3032="",I3032="",G3032=""),"",IFERROR(VLOOKUP(I3032,Setup!$A$9:$B$11,2,0),"???")&amp;"-"&amp;G3032&amp;"-"&amp;TEXT(COUNTIFS(I$5:I3032,I3032,G$5:G3032,G3032),"0000"))</f>
        <v/>
      </c>
      <c r="C3032" s="26"/>
      <c r="D3032" s="26"/>
      <c r="E3032" s="27"/>
      <c r="F3032" s="27"/>
      <c r="G3032" s="31" t="str">
        <f aca="false">IF(F3032="","",IF(F3032&lt;=5,"A",IF(F3032&lt;=8,"B",IF(F3032&lt;=10,"C","D"))))</f>
        <v/>
      </c>
      <c r="H3032" s="28"/>
      <c r="I3032" s="27"/>
      <c r="J3032" s="26"/>
      <c r="K3032" s="27"/>
      <c r="L3032" s="27"/>
      <c r="M3032" s="27"/>
      <c r="N3032" s="27"/>
      <c r="O3032" s="31" t="str">
        <f aca="false">IF(G3032="","",VLOOKUP(G3032,Setup!$A$14:$C$17,3,0))</f>
        <v/>
      </c>
      <c r="P3032" s="27"/>
      <c r="Q3032" s="33" t="str">
        <f aca="false">IF(OR(P3032="",M3032&lt;&gt;"Paid",O3032=""),"",P3032/O3032)</f>
        <v/>
      </c>
      <c r="R3032" s="34" t="str">
        <f aca="false">IF(Q3032="","",Q3032+N(H3032)*0.000000001)</f>
        <v/>
      </c>
      <c r="S3032" s="32" t="str">
        <f aca="false">IF(R3032="","",SUMPRODUCT((I$5:I$4004=I3032)*ISNUMBER(R$5:R$4004)*(R$5:R$4004&gt;R3032))+1)</f>
        <v/>
      </c>
      <c r="T3032" s="32" t="str">
        <f aca="false">IF(S3032="","",IF(S3032&lt;=Setup!$B$5,"🏆 WINNER",""))</f>
        <v/>
      </c>
      <c r="U3032" s="31" t="str">
        <f aca="false">IF(S3032="","",I3032&amp;"|"&amp;S3032)</f>
        <v/>
      </c>
    </row>
    <row r="3033" customFormat="false" ht="15" hidden="false" customHeight="false" outlineLevel="0" collapsed="false">
      <c r="A3033" s="24" t="n">
        <v>3029</v>
      </c>
      <c r="B3033" s="25" t="str">
        <f aca="false">IF(OR(C3033="",I3033="",G3033=""),"",IFERROR(VLOOKUP(I3033,Setup!$A$9:$B$11,2,0),"???")&amp;"-"&amp;G3033&amp;"-"&amp;TEXT(COUNTIFS(I$5:I3033,I3033,G$5:G3033,G3033),"0000"))</f>
        <v/>
      </c>
      <c r="C3033" s="26"/>
      <c r="D3033" s="26"/>
      <c r="E3033" s="27"/>
      <c r="F3033" s="27"/>
      <c r="G3033" s="24" t="str">
        <f aca="false">IF(F3033="","",IF(F3033&lt;=5,"A",IF(F3033&lt;=8,"B",IF(F3033&lt;=10,"C","D"))))</f>
        <v/>
      </c>
      <c r="H3033" s="28"/>
      <c r="I3033" s="27"/>
      <c r="J3033" s="26"/>
      <c r="K3033" s="27"/>
      <c r="L3033" s="27"/>
      <c r="M3033" s="27"/>
      <c r="N3033" s="27"/>
      <c r="O3033" s="24" t="str">
        <f aca="false">IF(G3033="","",VLOOKUP(G3033,Setup!$A$14:$C$17,3,0))</f>
        <v/>
      </c>
      <c r="P3033" s="27"/>
      <c r="Q3033" s="29" t="str">
        <f aca="false">IF(OR(P3033="",M3033&lt;&gt;"Paid",O3033=""),"",P3033/O3033)</f>
        <v/>
      </c>
      <c r="R3033" s="30" t="str">
        <f aca="false">IF(Q3033="","",Q3033+N(H3033)*0.000000001)</f>
        <v/>
      </c>
      <c r="S3033" s="25" t="str">
        <f aca="false">IF(R3033="","",SUMPRODUCT((I$5:I$4004=I3033)*ISNUMBER(R$5:R$4004)*(R$5:R$4004&gt;R3033))+1)</f>
        <v/>
      </c>
      <c r="T3033" s="25" t="str">
        <f aca="false">IF(S3033="","",IF(S3033&lt;=Setup!$B$5,"🏆 WINNER",""))</f>
        <v/>
      </c>
      <c r="U3033" s="24" t="str">
        <f aca="false">IF(S3033="","",I3033&amp;"|"&amp;S3033)</f>
        <v/>
      </c>
    </row>
    <row r="3034" customFormat="false" ht="15" hidden="false" customHeight="false" outlineLevel="0" collapsed="false">
      <c r="A3034" s="31" t="n">
        <v>3030</v>
      </c>
      <c r="B3034" s="32" t="str">
        <f aca="false">IF(OR(C3034="",I3034="",G3034=""),"",IFERROR(VLOOKUP(I3034,Setup!$A$9:$B$11,2,0),"???")&amp;"-"&amp;G3034&amp;"-"&amp;TEXT(COUNTIFS(I$5:I3034,I3034,G$5:G3034,G3034),"0000"))</f>
        <v/>
      </c>
      <c r="C3034" s="26"/>
      <c r="D3034" s="26"/>
      <c r="E3034" s="27"/>
      <c r="F3034" s="27"/>
      <c r="G3034" s="31" t="str">
        <f aca="false">IF(F3034="","",IF(F3034&lt;=5,"A",IF(F3034&lt;=8,"B",IF(F3034&lt;=10,"C","D"))))</f>
        <v/>
      </c>
      <c r="H3034" s="28"/>
      <c r="I3034" s="27"/>
      <c r="J3034" s="26"/>
      <c r="K3034" s="27"/>
      <c r="L3034" s="27"/>
      <c r="M3034" s="27"/>
      <c r="N3034" s="27"/>
      <c r="O3034" s="31" t="str">
        <f aca="false">IF(G3034="","",VLOOKUP(G3034,Setup!$A$14:$C$17,3,0))</f>
        <v/>
      </c>
      <c r="P3034" s="27"/>
      <c r="Q3034" s="33" t="str">
        <f aca="false">IF(OR(P3034="",M3034&lt;&gt;"Paid",O3034=""),"",P3034/O3034)</f>
        <v/>
      </c>
      <c r="R3034" s="34" t="str">
        <f aca="false">IF(Q3034="","",Q3034+N(H3034)*0.000000001)</f>
        <v/>
      </c>
      <c r="S3034" s="32" t="str">
        <f aca="false">IF(R3034="","",SUMPRODUCT((I$5:I$4004=I3034)*ISNUMBER(R$5:R$4004)*(R$5:R$4004&gt;R3034))+1)</f>
        <v/>
      </c>
      <c r="T3034" s="32" t="str">
        <f aca="false">IF(S3034="","",IF(S3034&lt;=Setup!$B$5,"🏆 WINNER",""))</f>
        <v/>
      </c>
      <c r="U3034" s="31" t="str">
        <f aca="false">IF(S3034="","",I3034&amp;"|"&amp;S3034)</f>
        <v/>
      </c>
    </row>
    <row r="3035" customFormat="false" ht="15" hidden="false" customHeight="false" outlineLevel="0" collapsed="false">
      <c r="A3035" s="24" t="n">
        <v>3031</v>
      </c>
      <c r="B3035" s="25" t="str">
        <f aca="false">IF(OR(C3035="",I3035="",G3035=""),"",IFERROR(VLOOKUP(I3035,Setup!$A$9:$B$11,2,0),"???")&amp;"-"&amp;G3035&amp;"-"&amp;TEXT(COUNTIFS(I$5:I3035,I3035,G$5:G3035,G3035),"0000"))</f>
        <v/>
      </c>
      <c r="C3035" s="26"/>
      <c r="D3035" s="26"/>
      <c r="E3035" s="27"/>
      <c r="F3035" s="27"/>
      <c r="G3035" s="24" t="str">
        <f aca="false">IF(F3035="","",IF(F3035&lt;=5,"A",IF(F3035&lt;=8,"B",IF(F3035&lt;=10,"C","D"))))</f>
        <v/>
      </c>
      <c r="H3035" s="28"/>
      <c r="I3035" s="27"/>
      <c r="J3035" s="26"/>
      <c r="K3035" s="27"/>
      <c r="L3035" s="27"/>
      <c r="M3035" s="27"/>
      <c r="N3035" s="27"/>
      <c r="O3035" s="24" t="str">
        <f aca="false">IF(G3035="","",VLOOKUP(G3035,Setup!$A$14:$C$17,3,0))</f>
        <v/>
      </c>
      <c r="P3035" s="27"/>
      <c r="Q3035" s="29" t="str">
        <f aca="false">IF(OR(P3035="",M3035&lt;&gt;"Paid",O3035=""),"",P3035/O3035)</f>
        <v/>
      </c>
      <c r="R3035" s="30" t="str">
        <f aca="false">IF(Q3035="","",Q3035+N(H3035)*0.000000001)</f>
        <v/>
      </c>
      <c r="S3035" s="25" t="str">
        <f aca="false">IF(R3035="","",SUMPRODUCT((I$5:I$4004=I3035)*ISNUMBER(R$5:R$4004)*(R$5:R$4004&gt;R3035))+1)</f>
        <v/>
      </c>
      <c r="T3035" s="25" t="str">
        <f aca="false">IF(S3035="","",IF(S3035&lt;=Setup!$B$5,"🏆 WINNER",""))</f>
        <v/>
      </c>
      <c r="U3035" s="24" t="str">
        <f aca="false">IF(S3035="","",I3035&amp;"|"&amp;S3035)</f>
        <v/>
      </c>
    </row>
    <row r="3036" customFormat="false" ht="15" hidden="false" customHeight="false" outlineLevel="0" collapsed="false">
      <c r="A3036" s="31" t="n">
        <v>3032</v>
      </c>
      <c r="B3036" s="32" t="str">
        <f aca="false">IF(OR(C3036="",I3036="",G3036=""),"",IFERROR(VLOOKUP(I3036,Setup!$A$9:$B$11,2,0),"???")&amp;"-"&amp;G3036&amp;"-"&amp;TEXT(COUNTIFS(I$5:I3036,I3036,G$5:G3036,G3036),"0000"))</f>
        <v/>
      </c>
      <c r="C3036" s="26"/>
      <c r="D3036" s="26"/>
      <c r="E3036" s="27"/>
      <c r="F3036" s="27"/>
      <c r="G3036" s="31" t="str">
        <f aca="false">IF(F3036="","",IF(F3036&lt;=5,"A",IF(F3036&lt;=8,"B",IF(F3036&lt;=10,"C","D"))))</f>
        <v/>
      </c>
      <c r="H3036" s="28"/>
      <c r="I3036" s="27"/>
      <c r="J3036" s="26"/>
      <c r="K3036" s="27"/>
      <c r="L3036" s="27"/>
      <c r="M3036" s="27"/>
      <c r="N3036" s="27"/>
      <c r="O3036" s="31" t="str">
        <f aca="false">IF(G3036="","",VLOOKUP(G3036,Setup!$A$14:$C$17,3,0))</f>
        <v/>
      </c>
      <c r="P3036" s="27"/>
      <c r="Q3036" s="33" t="str">
        <f aca="false">IF(OR(P3036="",M3036&lt;&gt;"Paid",O3036=""),"",P3036/O3036)</f>
        <v/>
      </c>
      <c r="R3036" s="34" t="str">
        <f aca="false">IF(Q3036="","",Q3036+N(H3036)*0.000000001)</f>
        <v/>
      </c>
      <c r="S3036" s="32" t="str">
        <f aca="false">IF(R3036="","",SUMPRODUCT((I$5:I$4004=I3036)*ISNUMBER(R$5:R$4004)*(R$5:R$4004&gt;R3036))+1)</f>
        <v/>
      </c>
      <c r="T3036" s="32" t="str">
        <f aca="false">IF(S3036="","",IF(S3036&lt;=Setup!$B$5,"🏆 WINNER",""))</f>
        <v/>
      </c>
      <c r="U3036" s="31" t="str">
        <f aca="false">IF(S3036="","",I3036&amp;"|"&amp;S3036)</f>
        <v/>
      </c>
    </row>
    <row r="3037" customFormat="false" ht="15" hidden="false" customHeight="false" outlineLevel="0" collapsed="false">
      <c r="A3037" s="24" t="n">
        <v>3033</v>
      </c>
      <c r="B3037" s="25" t="str">
        <f aca="false">IF(OR(C3037="",I3037="",G3037=""),"",IFERROR(VLOOKUP(I3037,Setup!$A$9:$B$11,2,0),"???")&amp;"-"&amp;G3037&amp;"-"&amp;TEXT(COUNTIFS(I$5:I3037,I3037,G$5:G3037,G3037),"0000"))</f>
        <v/>
      </c>
      <c r="C3037" s="26"/>
      <c r="D3037" s="26"/>
      <c r="E3037" s="27"/>
      <c r="F3037" s="27"/>
      <c r="G3037" s="24" t="str">
        <f aca="false">IF(F3037="","",IF(F3037&lt;=5,"A",IF(F3037&lt;=8,"B",IF(F3037&lt;=10,"C","D"))))</f>
        <v/>
      </c>
      <c r="H3037" s="28"/>
      <c r="I3037" s="27"/>
      <c r="J3037" s="26"/>
      <c r="K3037" s="27"/>
      <c r="L3037" s="27"/>
      <c r="M3037" s="27"/>
      <c r="N3037" s="27"/>
      <c r="O3037" s="24" t="str">
        <f aca="false">IF(G3037="","",VLOOKUP(G3037,Setup!$A$14:$C$17,3,0))</f>
        <v/>
      </c>
      <c r="P3037" s="27"/>
      <c r="Q3037" s="29" t="str">
        <f aca="false">IF(OR(P3037="",M3037&lt;&gt;"Paid",O3037=""),"",P3037/O3037)</f>
        <v/>
      </c>
      <c r="R3037" s="30" t="str">
        <f aca="false">IF(Q3037="","",Q3037+N(H3037)*0.000000001)</f>
        <v/>
      </c>
      <c r="S3037" s="25" t="str">
        <f aca="false">IF(R3037="","",SUMPRODUCT((I$5:I$4004=I3037)*ISNUMBER(R$5:R$4004)*(R$5:R$4004&gt;R3037))+1)</f>
        <v/>
      </c>
      <c r="T3037" s="25" t="str">
        <f aca="false">IF(S3037="","",IF(S3037&lt;=Setup!$B$5,"🏆 WINNER",""))</f>
        <v/>
      </c>
      <c r="U3037" s="24" t="str">
        <f aca="false">IF(S3037="","",I3037&amp;"|"&amp;S3037)</f>
        <v/>
      </c>
    </row>
    <row r="3038" customFormat="false" ht="15" hidden="false" customHeight="false" outlineLevel="0" collapsed="false">
      <c r="A3038" s="31" t="n">
        <v>3034</v>
      </c>
      <c r="B3038" s="32" t="str">
        <f aca="false">IF(OR(C3038="",I3038="",G3038=""),"",IFERROR(VLOOKUP(I3038,Setup!$A$9:$B$11,2,0),"???")&amp;"-"&amp;G3038&amp;"-"&amp;TEXT(COUNTIFS(I$5:I3038,I3038,G$5:G3038,G3038),"0000"))</f>
        <v/>
      </c>
      <c r="C3038" s="26"/>
      <c r="D3038" s="26"/>
      <c r="E3038" s="27"/>
      <c r="F3038" s="27"/>
      <c r="G3038" s="31" t="str">
        <f aca="false">IF(F3038="","",IF(F3038&lt;=5,"A",IF(F3038&lt;=8,"B",IF(F3038&lt;=10,"C","D"))))</f>
        <v/>
      </c>
      <c r="H3038" s="28"/>
      <c r="I3038" s="27"/>
      <c r="J3038" s="26"/>
      <c r="K3038" s="27"/>
      <c r="L3038" s="27"/>
      <c r="M3038" s="27"/>
      <c r="N3038" s="27"/>
      <c r="O3038" s="31" t="str">
        <f aca="false">IF(G3038="","",VLOOKUP(G3038,Setup!$A$14:$C$17,3,0))</f>
        <v/>
      </c>
      <c r="P3038" s="27"/>
      <c r="Q3038" s="33" t="str">
        <f aca="false">IF(OR(P3038="",M3038&lt;&gt;"Paid",O3038=""),"",P3038/O3038)</f>
        <v/>
      </c>
      <c r="R3038" s="34" t="str">
        <f aca="false">IF(Q3038="","",Q3038+N(H3038)*0.000000001)</f>
        <v/>
      </c>
      <c r="S3038" s="32" t="str">
        <f aca="false">IF(R3038="","",SUMPRODUCT((I$5:I$4004=I3038)*ISNUMBER(R$5:R$4004)*(R$5:R$4004&gt;R3038))+1)</f>
        <v/>
      </c>
      <c r="T3038" s="32" t="str">
        <f aca="false">IF(S3038="","",IF(S3038&lt;=Setup!$B$5,"🏆 WINNER",""))</f>
        <v/>
      </c>
      <c r="U3038" s="31" t="str">
        <f aca="false">IF(S3038="","",I3038&amp;"|"&amp;S3038)</f>
        <v/>
      </c>
    </row>
    <row r="3039" customFormat="false" ht="15" hidden="false" customHeight="false" outlineLevel="0" collapsed="false">
      <c r="A3039" s="24" t="n">
        <v>3035</v>
      </c>
      <c r="B3039" s="25" t="str">
        <f aca="false">IF(OR(C3039="",I3039="",G3039=""),"",IFERROR(VLOOKUP(I3039,Setup!$A$9:$B$11,2,0),"???")&amp;"-"&amp;G3039&amp;"-"&amp;TEXT(COUNTIFS(I$5:I3039,I3039,G$5:G3039,G3039),"0000"))</f>
        <v/>
      </c>
      <c r="C3039" s="26"/>
      <c r="D3039" s="26"/>
      <c r="E3039" s="27"/>
      <c r="F3039" s="27"/>
      <c r="G3039" s="24" t="str">
        <f aca="false">IF(F3039="","",IF(F3039&lt;=5,"A",IF(F3039&lt;=8,"B",IF(F3039&lt;=10,"C","D"))))</f>
        <v/>
      </c>
      <c r="H3039" s="28"/>
      <c r="I3039" s="27"/>
      <c r="J3039" s="26"/>
      <c r="K3039" s="27"/>
      <c r="L3039" s="27"/>
      <c r="M3039" s="27"/>
      <c r="N3039" s="27"/>
      <c r="O3039" s="24" t="str">
        <f aca="false">IF(G3039="","",VLOOKUP(G3039,Setup!$A$14:$C$17,3,0))</f>
        <v/>
      </c>
      <c r="P3039" s="27"/>
      <c r="Q3039" s="29" t="str">
        <f aca="false">IF(OR(P3039="",M3039&lt;&gt;"Paid",O3039=""),"",P3039/O3039)</f>
        <v/>
      </c>
      <c r="R3039" s="30" t="str">
        <f aca="false">IF(Q3039="","",Q3039+N(H3039)*0.000000001)</f>
        <v/>
      </c>
      <c r="S3039" s="25" t="str">
        <f aca="false">IF(R3039="","",SUMPRODUCT((I$5:I$4004=I3039)*ISNUMBER(R$5:R$4004)*(R$5:R$4004&gt;R3039))+1)</f>
        <v/>
      </c>
      <c r="T3039" s="25" t="str">
        <f aca="false">IF(S3039="","",IF(S3039&lt;=Setup!$B$5,"🏆 WINNER",""))</f>
        <v/>
      </c>
      <c r="U3039" s="24" t="str">
        <f aca="false">IF(S3039="","",I3039&amp;"|"&amp;S3039)</f>
        <v/>
      </c>
    </row>
    <row r="3040" customFormat="false" ht="15" hidden="false" customHeight="false" outlineLevel="0" collapsed="false">
      <c r="A3040" s="31" t="n">
        <v>3036</v>
      </c>
      <c r="B3040" s="32" t="str">
        <f aca="false">IF(OR(C3040="",I3040="",G3040=""),"",IFERROR(VLOOKUP(I3040,Setup!$A$9:$B$11,2,0),"???")&amp;"-"&amp;G3040&amp;"-"&amp;TEXT(COUNTIFS(I$5:I3040,I3040,G$5:G3040,G3040),"0000"))</f>
        <v/>
      </c>
      <c r="C3040" s="26"/>
      <c r="D3040" s="26"/>
      <c r="E3040" s="27"/>
      <c r="F3040" s="27"/>
      <c r="G3040" s="31" t="str">
        <f aca="false">IF(F3040="","",IF(F3040&lt;=5,"A",IF(F3040&lt;=8,"B",IF(F3040&lt;=10,"C","D"))))</f>
        <v/>
      </c>
      <c r="H3040" s="28"/>
      <c r="I3040" s="27"/>
      <c r="J3040" s="26"/>
      <c r="K3040" s="27"/>
      <c r="L3040" s="27"/>
      <c r="M3040" s="27"/>
      <c r="N3040" s="27"/>
      <c r="O3040" s="31" t="str">
        <f aca="false">IF(G3040="","",VLOOKUP(G3040,Setup!$A$14:$C$17,3,0))</f>
        <v/>
      </c>
      <c r="P3040" s="27"/>
      <c r="Q3040" s="33" t="str">
        <f aca="false">IF(OR(P3040="",M3040&lt;&gt;"Paid",O3040=""),"",P3040/O3040)</f>
        <v/>
      </c>
      <c r="R3040" s="34" t="str">
        <f aca="false">IF(Q3040="","",Q3040+N(H3040)*0.000000001)</f>
        <v/>
      </c>
      <c r="S3040" s="32" t="str">
        <f aca="false">IF(R3040="","",SUMPRODUCT((I$5:I$4004=I3040)*ISNUMBER(R$5:R$4004)*(R$5:R$4004&gt;R3040))+1)</f>
        <v/>
      </c>
      <c r="T3040" s="32" t="str">
        <f aca="false">IF(S3040="","",IF(S3040&lt;=Setup!$B$5,"🏆 WINNER",""))</f>
        <v/>
      </c>
      <c r="U3040" s="31" t="str">
        <f aca="false">IF(S3040="","",I3040&amp;"|"&amp;S3040)</f>
        <v/>
      </c>
    </row>
    <row r="3041" customFormat="false" ht="15" hidden="false" customHeight="false" outlineLevel="0" collapsed="false">
      <c r="A3041" s="24" t="n">
        <v>3037</v>
      </c>
      <c r="B3041" s="25" t="str">
        <f aca="false">IF(OR(C3041="",I3041="",G3041=""),"",IFERROR(VLOOKUP(I3041,Setup!$A$9:$B$11,2,0),"???")&amp;"-"&amp;G3041&amp;"-"&amp;TEXT(COUNTIFS(I$5:I3041,I3041,G$5:G3041,G3041),"0000"))</f>
        <v/>
      </c>
      <c r="C3041" s="26"/>
      <c r="D3041" s="26"/>
      <c r="E3041" s="27"/>
      <c r="F3041" s="27"/>
      <c r="G3041" s="24" t="str">
        <f aca="false">IF(F3041="","",IF(F3041&lt;=5,"A",IF(F3041&lt;=8,"B",IF(F3041&lt;=10,"C","D"))))</f>
        <v/>
      </c>
      <c r="H3041" s="28"/>
      <c r="I3041" s="27"/>
      <c r="J3041" s="26"/>
      <c r="K3041" s="27"/>
      <c r="L3041" s="27"/>
      <c r="M3041" s="27"/>
      <c r="N3041" s="27"/>
      <c r="O3041" s="24" t="str">
        <f aca="false">IF(G3041="","",VLOOKUP(G3041,Setup!$A$14:$C$17,3,0))</f>
        <v/>
      </c>
      <c r="P3041" s="27"/>
      <c r="Q3041" s="29" t="str">
        <f aca="false">IF(OR(P3041="",M3041&lt;&gt;"Paid",O3041=""),"",P3041/O3041)</f>
        <v/>
      </c>
      <c r="R3041" s="30" t="str">
        <f aca="false">IF(Q3041="","",Q3041+N(H3041)*0.000000001)</f>
        <v/>
      </c>
      <c r="S3041" s="25" t="str">
        <f aca="false">IF(R3041="","",SUMPRODUCT((I$5:I$4004=I3041)*ISNUMBER(R$5:R$4004)*(R$5:R$4004&gt;R3041))+1)</f>
        <v/>
      </c>
      <c r="T3041" s="25" t="str">
        <f aca="false">IF(S3041="","",IF(S3041&lt;=Setup!$B$5,"🏆 WINNER",""))</f>
        <v/>
      </c>
      <c r="U3041" s="24" t="str">
        <f aca="false">IF(S3041="","",I3041&amp;"|"&amp;S3041)</f>
        <v/>
      </c>
    </row>
    <row r="3042" customFormat="false" ht="15" hidden="false" customHeight="false" outlineLevel="0" collapsed="false">
      <c r="A3042" s="31" t="n">
        <v>3038</v>
      </c>
      <c r="B3042" s="32" t="str">
        <f aca="false">IF(OR(C3042="",I3042="",G3042=""),"",IFERROR(VLOOKUP(I3042,Setup!$A$9:$B$11,2,0),"???")&amp;"-"&amp;G3042&amp;"-"&amp;TEXT(COUNTIFS(I$5:I3042,I3042,G$5:G3042,G3042),"0000"))</f>
        <v/>
      </c>
      <c r="C3042" s="26"/>
      <c r="D3042" s="26"/>
      <c r="E3042" s="27"/>
      <c r="F3042" s="27"/>
      <c r="G3042" s="31" t="str">
        <f aca="false">IF(F3042="","",IF(F3042&lt;=5,"A",IF(F3042&lt;=8,"B",IF(F3042&lt;=10,"C","D"))))</f>
        <v/>
      </c>
      <c r="H3042" s="28"/>
      <c r="I3042" s="27"/>
      <c r="J3042" s="26"/>
      <c r="K3042" s="27"/>
      <c r="L3042" s="27"/>
      <c r="M3042" s="27"/>
      <c r="N3042" s="27"/>
      <c r="O3042" s="31" t="str">
        <f aca="false">IF(G3042="","",VLOOKUP(G3042,Setup!$A$14:$C$17,3,0))</f>
        <v/>
      </c>
      <c r="P3042" s="27"/>
      <c r="Q3042" s="33" t="str">
        <f aca="false">IF(OR(P3042="",M3042&lt;&gt;"Paid",O3042=""),"",P3042/O3042)</f>
        <v/>
      </c>
      <c r="R3042" s="34" t="str">
        <f aca="false">IF(Q3042="","",Q3042+N(H3042)*0.000000001)</f>
        <v/>
      </c>
      <c r="S3042" s="32" t="str">
        <f aca="false">IF(R3042="","",SUMPRODUCT((I$5:I$4004=I3042)*ISNUMBER(R$5:R$4004)*(R$5:R$4004&gt;R3042))+1)</f>
        <v/>
      </c>
      <c r="T3042" s="32" t="str">
        <f aca="false">IF(S3042="","",IF(S3042&lt;=Setup!$B$5,"🏆 WINNER",""))</f>
        <v/>
      </c>
      <c r="U3042" s="31" t="str">
        <f aca="false">IF(S3042="","",I3042&amp;"|"&amp;S3042)</f>
        <v/>
      </c>
    </row>
    <row r="3043" customFormat="false" ht="15" hidden="false" customHeight="false" outlineLevel="0" collapsed="false">
      <c r="A3043" s="24" t="n">
        <v>3039</v>
      </c>
      <c r="B3043" s="25" t="str">
        <f aca="false">IF(OR(C3043="",I3043="",G3043=""),"",IFERROR(VLOOKUP(I3043,Setup!$A$9:$B$11,2,0),"???")&amp;"-"&amp;G3043&amp;"-"&amp;TEXT(COUNTIFS(I$5:I3043,I3043,G$5:G3043,G3043),"0000"))</f>
        <v/>
      </c>
      <c r="C3043" s="26"/>
      <c r="D3043" s="26"/>
      <c r="E3043" s="27"/>
      <c r="F3043" s="27"/>
      <c r="G3043" s="24" t="str">
        <f aca="false">IF(F3043="","",IF(F3043&lt;=5,"A",IF(F3043&lt;=8,"B",IF(F3043&lt;=10,"C","D"))))</f>
        <v/>
      </c>
      <c r="H3043" s="28"/>
      <c r="I3043" s="27"/>
      <c r="J3043" s="26"/>
      <c r="K3043" s="27"/>
      <c r="L3043" s="27"/>
      <c r="M3043" s="27"/>
      <c r="N3043" s="27"/>
      <c r="O3043" s="24" t="str">
        <f aca="false">IF(G3043="","",VLOOKUP(G3043,Setup!$A$14:$C$17,3,0))</f>
        <v/>
      </c>
      <c r="P3043" s="27"/>
      <c r="Q3043" s="29" t="str">
        <f aca="false">IF(OR(P3043="",M3043&lt;&gt;"Paid",O3043=""),"",P3043/O3043)</f>
        <v/>
      </c>
      <c r="R3043" s="30" t="str">
        <f aca="false">IF(Q3043="","",Q3043+N(H3043)*0.000000001)</f>
        <v/>
      </c>
      <c r="S3043" s="25" t="str">
        <f aca="false">IF(R3043="","",SUMPRODUCT((I$5:I$4004=I3043)*ISNUMBER(R$5:R$4004)*(R$5:R$4004&gt;R3043))+1)</f>
        <v/>
      </c>
      <c r="T3043" s="25" t="str">
        <f aca="false">IF(S3043="","",IF(S3043&lt;=Setup!$B$5,"🏆 WINNER",""))</f>
        <v/>
      </c>
      <c r="U3043" s="24" t="str">
        <f aca="false">IF(S3043="","",I3043&amp;"|"&amp;S3043)</f>
        <v/>
      </c>
    </row>
    <row r="3044" customFormat="false" ht="15" hidden="false" customHeight="false" outlineLevel="0" collapsed="false">
      <c r="A3044" s="31" t="n">
        <v>3040</v>
      </c>
      <c r="B3044" s="32" t="str">
        <f aca="false">IF(OR(C3044="",I3044="",G3044=""),"",IFERROR(VLOOKUP(I3044,Setup!$A$9:$B$11,2,0),"???")&amp;"-"&amp;G3044&amp;"-"&amp;TEXT(COUNTIFS(I$5:I3044,I3044,G$5:G3044,G3044),"0000"))</f>
        <v/>
      </c>
      <c r="C3044" s="26"/>
      <c r="D3044" s="26"/>
      <c r="E3044" s="27"/>
      <c r="F3044" s="27"/>
      <c r="G3044" s="31" t="str">
        <f aca="false">IF(F3044="","",IF(F3044&lt;=5,"A",IF(F3044&lt;=8,"B",IF(F3044&lt;=10,"C","D"))))</f>
        <v/>
      </c>
      <c r="H3044" s="28"/>
      <c r="I3044" s="27"/>
      <c r="J3044" s="26"/>
      <c r="K3044" s="27"/>
      <c r="L3044" s="27"/>
      <c r="M3044" s="27"/>
      <c r="N3044" s="27"/>
      <c r="O3044" s="31" t="str">
        <f aca="false">IF(G3044="","",VLOOKUP(G3044,Setup!$A$14:$C$17,3,0))</f>
        <v/>
      </c>
      <c r="P3044" s="27"/>
      <c r="Q3044" s="33" t="str">
        <f aca="false">IF(OR(P3044="",M3044&lt;&gt;"Paid",O3044=""),"",P3044/O3044)</f>
        <v/>
      </c>
      <c r="R3044" s="34" t="str">
        <f aca="false">IF(Q3044="","",Q3044+N(H3044)*0.000000001)</f>
        <v/>
      </c>
      <c r="S3044" s="32" t="str">
        <f aca="false">IF(R3044="","",SUMPRODUCT((I$5:I$4004=I3044)*ISNUMBER(R$5:R$4004)*(R$5:R$4004&gt;R3044))+1)</f>
        <v/>
      </c>
      <c r="T3044" s="32" t="str">
        <f aca="false">IF(S3044="","",IF(S3044&lt;=Setup!$B$5,"🏆 WINNER",""))</f>
        <v/>
      </c>
      <c r="U3044" s="31" t="str">
        <f aca="false">IF(S3044="","",I3044&amp;"|"&amp;S3044)</f>
        <v/>
      </c>
    </row>
    <row r="3045" customFormat="false" ht="15" hidden="false" customHeight="false" outlineLevel="0" collapsed="false">
      <c r="A3045" s="24" t="n">
        <v>3041</v>
      </c>
      <c r="B3045" s="25" t="str">
        <f aca="false">IF(OR(C3045="",I3045="",G3045=""),"",IFERROR(VLOOKUP(I3045,Setup!$A$9:$B$11,2,0),"???")&amp;"-"&amp;G3045&amp;"-"&amp;TEXT(COUNTIFS(I$5:I3045,I3045,G$5:G3045,G3045),"0000"))</f>
        <v/>
      </c>
      <c r="C3045" s="26"/>
      <c r="D3045" s="26"/>
      <c r="E3045" s="27"/>
      <c r="F3045" s="27"/>
      <c r="G3045" s="24" t="str">
        <f aca="false">IF(F3045="","",IF(F3045&lt;=5,"A",IF(F3045&lt;=8,"B",IF(F3045&lt;=10,"C","D"))))</f>
        <v/>
      </c>
      <c r="H3045" s="28"/>
      <c r="I3045" s="27"/>
      <c r="J3045" s="26"/>
      <c r="K3045" s="27"/>
      <c r="L3045" s="27"/>
      <c r="M3045" s="27"/>
      <c r="N3045" s="27"/>
      <c r="O3045" s="24" t="str">
        <f aca="false">IF(G3045="","",VLOOKUP(G3045,Setup!$A$14:$C$17,3,0))</f>
        <v/>
      </c>
      <c r="P3045" s="27"/>
      <c r="Q3045" s="29" t="str">
        <f aca="false">IF(OR(P3045="",M3045&lt;&gt;"Paid",O3045=""),"",P3045/O3045)</f>
        <v/>
      </c>
      <c r="R3045" s="30" t="str">
        <f aca="false">IF(Q3045="","",Q3045+N(H3045)*0.000000001)</f>
        <v/>
      </c>
      <c r="S3045" s="25" t="str">
        <f aca="false">IF(R3045="","",SUMPRODUCT((I$5:I$4004=I3045)*ISNUMBER(R$5:R$4004)*(R$5:R$4004&gt;R3045))+1)</f>
        <v/>
      </c>
      <c r="T3045" s="25" t="str">
        <f aca="false">IF(S3045="","",IF(S3045&lt;=Setup!$B$5,"🏆 WINNER",""))</f>
        <v/>
      </c>
      <c r="U3045" s="24" t="str">
        <f aca="false">IF(S3045="","",I3045&amp;"|"&amp;S3045)</f>
        <v/>
      </c>
    </row>
    <row r="3046" customFormat="false" ht="15" hidden="false" customHeight="false" outlineLevel="0" collapsed="false">
      <c r="A3046" s="31" t="n">
        <v>3042</v>
      </c>
      <c r="B3046" s="32" t="str">
        <f aca="false">IF(OR(C3046="",I3046="",G3046=""),"",IFERROR(VLOOKUP(I3046,Setup!$A$9:$B$11,2,0),"???")&amp;"-"&amp;G3046&amp;"-"&amp;TEXT(COUNTIFS(I$5:I3046,I3046,G$5:G3046,G3046),"0000"))</f>
        <v/>
      </c>
      <c r="C3046" s="26"/>
      <c r="D3046" s="26"/>
      <c r="E3046" s="27"/>
      <c r="F3046" s="27"/>
      <c r="G3046" s="31" t="str">
        <f aca="false">IF(F3046="","",IF(F3046&lt;=5,"A",IF(F3046&lt;=8,"B",IF(F3046&lt;=10,"C","D"))))</f>
        <v/>
      </c>
      <c r="H3046" s="28"/>
      <c r="I3046" s="27"/>
      <c r="J3046" s="26"/>
      <c r="K3046" s="27"/>
      <c r="L3046" s="27"/>
      <c r="M3046" s="27"/>
      <c r="N3046" s="27"/>
      <c r="O3046" s="31" t="str">
        <f aca="false">IF(G3046="","",VLOOKUP(G3046,Setup!$A$14:$C$17,3,0))</f>
        <v/>
      </c>
      <c r="P3046" s="27"/>
      <c r="Q3046" s="33" t="str">
        <f aca="false">IF(OR(P3046="",M3046&lt;&gt;"Paid",O3046=""),"",P3046/O3046)</f>
        <v/>
      </c>
      <c r="R3046" s="34" t="str">
        <f aca="false">IF(Q3046="","",Q3046+N(H3046)*0.000000001)</f>
        <v/>
      </c>
      <c r="S3046" s="32" t="str">
        <f aca="false">IF(R3046="","",SUMPRODUCT((I$5:I$4004=I3046)*ISNUMBER(R$5:R$4004)*(R$5:R$4004&gt;R3046))+1)</f>
        <v/>
      </c>
      <c r="T3046" s="32" t="str">
        <f aca="false">IF(S3046="","",IF(S3046&lt;=Setup!$B$5,"🏆 WINNER",""))</f>
        <v/>
      </c>
      <c r="U3046" s="31" t="str">
        <f aca="false">IF(S3046="","",I3046&amp;"|"&amp;S3046)</f>
        <v/>
      </c>
    </row>
    <row r="3047" customFormat="false" ht="15" hidden="false" customHeight="false" outlineLevel="0" collapsed="false">
      <c r="A3047" s="24" t="n">
        <v>3043</v>
      </c>
      <c r="B3047" s="25" t="str">
        <f aca="false">IF(OR(C3047="",I3047="",G3047=""),"",IFERROR(VLOOKUP(I3047,Setup!$A$9:$B$11,2,0),"???")&amp;"-"&amp;G3047&amp;"-"&amp;TEXT(COUNTIFS(I$5:I3047,I3047,G$5:G3047,G3047),"0000"))</f>
        <v/>
      </c>
      <c r="C3047" s="26"/>
      <c r="D3047" s="26"/>
      <c r="E3047" s="27"/>
      <c r="F3047" s="27"/>
      <c r="G3047" s="24" t="str">
        <f aca="false">IF(F3047="","",IF(F3047&lt;=5,"A",IF(F3047&lt;=8,"B",IF(F3047&lt;=10,"C","D"))))</f>
        <v/>
      </c>
      <c r="H3047" s="28"/>
      <c r="I3047" s="27"/>
      <c r="J3047" s="26"/>
      <c r="K3047" s="27"/>
      <c r="L3047" s="27"/>
      <c r="M3047" s="27"/>
      <c r="N3047" s="27"/>
      <c r="O3047" s="24" t="str">
        <f aca="false">IF(G3047="","",VLOOKUP(G3047,Setup!$A$14:$C$17,3,0))</f>
        <v/>
      </c>
      <c r="P3047" s="27"/>
      <c r="Q3047" s="29" t="str">
        <f aca="false">IF(OR(P3047="",M3047&lt;&gt;"Paid",O3047=""),"",P3047/O3047)</f>
        <v/>
      </c>
      <c r="R3047" s="30" t="str">
        <f aca="false">IF(Q3047="","",Q3047+N(H3047)*0.000000001)</f>
        <v/>
      </c>
      <c r="S3047" s="25" t="str">
        <f aca="false">IF(R3047="","",SUMPRODUCT((I$5:I$4004=I3047)*ISNUMBER(R$5:R$4004)*(R$5:R$4004&gt;R3047))+1)</f>
        <v/>
      </c>
      <c r="T3047" s="25" t="str">
        <f aca="false">IF(S3047="","",IF(S3047&lt;=Setup!$B$5,"🏆 WINNER",""))</f>
        <v/>
      </c>
      <c r="U3047" s="24" t="str">
        <f aca="false">IF(S3047="","",I3047&amp;"|"&amp;S3047)</f>
        <v/>
      </c>
    </row>
    <row r="3048" customFormat="false" ht="15" hidden="false" customHeight="false" outlineLevel="0" collapsed="false">
      <c r="A3048" s="31" t="n">
        <v>3044</v>
      </c>
      <c r="B3048" s="32" t="str">
        <f aca="false">IF(OR(C3048="",I3048="",G3048=""),"",IFERROR(VLOOKUP(I3048,Setup!$A$9:$B$11,2,0),"???")&amp;"-"&amp;G3048&amp;"-"&amp;TEXT(COUNTIFS(I$5:I3048,I3048,G$5:G3048,G3048),"0000"))</f>
        <v/>
      </c>
      <c r="C3048" s="26"/>
      <c r="D3048" s="26"/>
      <c r="E3048" s="27"/>
      <c r="F3048" s="27"/>
      <c r="G3048" s="31" t="str">
        <f aca="false">IF(F3048="","",IF(F3048&lt;=5,"A",IF(F3048&lt;=8,"B",IF(F3048&lt;=10,"C","D"))))</f>
        <v/>
      </c>
      <c r="H3048" s="28"/>
      <c r="I3048" s="27"/>
      <c r="J3048" s="26"/>
      <c r="K3048" s="27"/>
      <c r="L3048" s="27"/>
      <c r="M3048" s="27"/>
      <c r="N3048" s="27"/>
      <c r="O3048" s="31" t="str">
        <f aca="false">IF(G3048="","",VLOOKUP(G3048,Setup!$A$14:$C$17,3,0))</f>
        <v/>
      </c>
      <c r="P3048" s="27"/>
      <c r="Q3048" s="33" t="str">
        <f aca="false">IF(OR(P3048="",M3048&lt;&gt;"Paid",O3048=""),"",P3048/O3048)</f>
        <v/>
      </c>
      <c r="R3048" s="34" t="str">
        <f aca="false">IF(Q3048="","",Q3048+N(H3048)*0.000000001)</f>
        <v/>
      </c>
      <c r="S3048" s="32" t="str">
        <f aca="false">IF(R3048="","",SUMPRODUCT((I$5:I$4004=I3048)*ISNUMBER(R$5:R$4004)*(R$5:R$4004&gt;R3048))+1)</f>
        <v/>
      </c>
      <c r="T3048" s="32" t="str">
        <f aca="false">IF(S3048="","",IF(S3048&lt;=Setup!$B$5,"🏆 WINNER",""))</f>
        <v/>
      </c>
      <c r="U3048" s="31" t="str">
        <f aca="false">IF(S3048="","",I3048&amp;"|"&amp;S3048)</f>
        <v/>
      </c>
    </row>
    <row r="3049" customFormat="false" ht="15" hidden="false" customHeight="false" outlineLevel="0" collapsed="false">
      <c r="A3049" s="24" t="n">
        <v>3045</v>
      </c>
      <c r="B3049" s="25" t="str">
        <f aca="false">IF(OR(C3049="",I3049="",G3049=""),"",IFERROR(VLOOKUP(I3049,Setup!$A$9:$B$11,2,0),"???")&amp;"-"&amp;G3049&amp;"-"&amp;TEXT(COUNTIFS(I$5:I3049,I3049,G$5:G3049,G3049),"0000"))</f>
        <v/>
      </c>
      <c r="C3049" s="26"/>
      <c r="D3049" s="26"/>
      <c r="E3049" s="27"/>
      <c r="F3049" s="27"/>
      <c r="G3049" s="24" t="str">
        <f aca="false">IF(F3049="","",IF(F3049&lt;=5,"A",IF(F3049&lt;=8,"B",IF(F3049&lt;=10,"C","D"))))</f>
        <v/>
      </c>
      <c r="H3049" s="28"/>
      <c r="I3049" s="27"/>
      <c r="J3049" s="26"/>
      <c r="K3049" s="27"/>
      <c r="L3049" s="27"/>
      <c r="M3049" s="27"/>
      <c r="N3049" s="27"/>
      <c r="O3049" s="24" t="str">
        <f aca="false">IF(G3049="","",VLOOKUP(G3049,Setup!$A$14:$C$17,3,0))</f>
        <v/>
      </c>
      <c r="P3049" s="27"/>
      <c r="Q3049" s="29" t="str">
        <f aca="false">IF(OR(P3049="",M3049&lt;&gt;"Paid",O3049=""),"",P3049/O3049)</f>
        <v/>
      </c>
      <c r="R3049" s="30" t="str">
        <f aca="false">IF(Q3049="","",Q3049+N(H3049)*0.000000001)</f>
        <v/>
      </c>
      <c r="S3049" s="25" t="str">
        <f aca="false">IF(R3049="","",SUMPRODUCT((I$5:I$4004=I3049)*ISNUMBER(R$5:R$4004)*(R$5:R$4004&gt;R3049))+1)</f>
        <v/>
      </c>
      <c r="T3049" s="25" t="str">
        <f aca="false">IF(S3049="","",IF(S3049&lt;=Setup!$B$5,"🏆 WINNER",""))</f>
        <v/>
      </c>
      <c r="U3049" s="24" t="str">
        <f aca="false">IF(S3049="","",I3049&amp;"|"&amp;S3049)</f>
        <v/>
      </c>
    </row>
    <row r="3050" customFormat="false" ht="15" hidden="false" customHeight="false" outlineLevel="0" collapsed="false">
      <c r="A3050" s="31" t="n">
        <v>3046</v>
      </c>
      <c r="B3050" s="32" t="str">
        <f aca="false">IF(OR(C3050="",I3050="",G3050=""),"",IFERROR(VLOOKUP(I3050,Setup!$A$9:$B$11,2,0),"???")&amp;"-"&amp;G3050&amp;"-"&amp;TEXT(COUNTIFS(I$5:I3050,I3050,G$5:G3050,G3050),"0000"))</f>
        <v/>
      </c>
      <c r="C3050" s="26"/>
      <c r="D3050" s="26"/>
      <c r="E3050" s="27"/>
      <c r="F3050" s="27"/>
      <c r="G3050" s="31" t="str">
        <f aca="false">IF(F3050="","",IF(F3050&lt;=5,"A",IF(F3050&lt;=8,"B",IF(F3050&lt;=10,"C","D"))))</f>
        <v/>
      </c>
      <c r="H3050" s="28"/>
      <c r="I3050" s="27"/>
      <c r="J3050" s="26"/>
      <c r="K3050" s="27"/>
      <c r="L3050" s="27"/>
      <c r="M3050" s="27"/>
      <c r="N3050" s="27"/>
      <c r="O3050" s="31" t="str">
        <f aca="false">IF(G3050="","",VLOOKUP(G3050,Setup!$A$14:$C$17,3,0))</f>
        <v/>
      </c>
      <c r="P3050" s="27"/>
      <c r="Q3050" s="33" t="str">
        <f aca="false">IF(OR(P3050="",M3050&lt;&gt;"Paid",O3050=""),"",P3050/O3050)</f>
        <v/>
      </c>
      <c r="R3050" s="34" t="str">
        <f aca="false">IF(Q3050="","",Q3050+N(H3050)*0.000000001)</f>
        <v/>
      </c>
      <c r="S3050" s="32" t="str">
        <f aca="false">IF(R3050="","",SUMPRODUCT((I$5:I$4004=I3050)*ISNUMBER(R$5:R$4004)*(R$5:R$4004&gt;R3050))+1)</f>
        <v/>
      </c>
      <c r="T3050" s="32" t="str">
        <f aca="false">IF(S3050="","",IF(S3050&lt;=Setup!$B$5,"🏆 WINNER",""))</f>
        <v/>
      </c>
      <c r="U3050" s="31" t="str">
        <f aca="false">IF(S3050="","",I3050&amp;"|"&amp;S3050)</f>
        <v/>
      </c>
    </row>
    <row r="3051" customFormat="false" ht="15" hidden="false" customHeight="false" outlineLevel="0" collapsed="false">
      <c r="A3051" s="24" t="n">
        <v>3047</v>
      </c>
      <c r="B3051" s="25" t="str">
        <f aca="false">IF(OR(C3051="",I3051="",G3051=""),"",IFERROR(VLOOKUP(I3051,Setup!$A$9:$B$11,2,0),"???")&amp;"-"&amp;G3051&amp;"-"&amp;TEXT(COUNTIFS(I$5:I3051,I3051,G$5:G3051,G3051),"0000"))</f>
        <v/>
      </c>
      <c r="C3051" s="26"/>
      <c r="D3051" s="26"/>
      <c r="E3051" s="27"/>
      <c r="F3051" s="27"/>
      <c r="G3051" s="24" t="str">
        <f aca="false">IF(F3051="","",IF(F3051&lt;=5,"A",IF(F3051&lt;=8,"B",IF(F3051&lt;=10,"C","D"))))</f>
        <v/>
      </c>
      <c r="H3051" s="28"/>
      <c r="I3051" s="27"/>
      <c r="J3051" s="26"/>
      <c r="K3051" s="27"/>
      <c r="L3051" s="27"/>
      <c r="M3051" s="27"/>
      <c r="N3051" s="27"/>
      <c r="O3051" s="24" t="str">
        <f aca="false">IF(G3051="","",VLOOKUP(G3051,Setup!$A$14:$C$17,3,0))</f>
        <v/>
      </c>
      <c r="P3051" s="27"/>
      <c r="Q3051" s="29" t="str">
        <f aca="false">IF(OR(P3051="",M3051&lt;&gt;"Paid",O3051=""),"",P3051/O3051)</f>
        <v/>
      </c>
      <c r="R3051" s="30" t="str">
        <f aca="false">IF(Q3051="","",Q3051+N(H3051)*0.000000001)</f>
        <v/>
      </c>
      <c r="S3051" s="25" t="str">
        <f aca="false">IF(R3051="","",SUMPRODUCT((I$5:I$4004=I3051)*ISNUMBER(R$5:R$4004)*(R$5:R$4004&gt;R3051))+1)</f>
        <v/>
      </c>
      <c r="T3051" s="25" t="str">
        <f aca="false">IF(S3051="","",IF(S3051&lt;=Setup!$B$5,"🏆 WINNER",""))</f>
        <v/>
      </c>
      <c r="U3051" s="24" t="str">
        <f aca="false">IF(S3051="","",I3051&amp;"|"&amp;S3051)</f>
        <v/>
      </c>
    </row>
    <row r="3052" customFormat="false" ht="15" hidden="false" customHeight="false" outlineLevel="0" collapsed="false">
      <c r="A3052" s="31" t="n">
        <v>3048</v>
      </c>
      <c r="B3052" s="32" t="str">
        <f aca="false">IF(OR(C3052="",I3052="",G3052=""),"",IFERROR(VLOOKUP(I3052,Setup!$A$9:$B$11,2,0),"???")&amp;"-"&amp;G3052&amp;"-"&amp;TEXT(COUNTIFS(I$5:I3052,I3052,G$5:G3052,G3052),"0000"))</f>
        <v/>
      </c>
      <c r="C3052" s="26"/>
      <c r="D3052" s="26"/>
      <c r="E3052" s="27"/>
      <c r="F3052" s="27"/>
      <c r="G3052" s="31" t="str">
        <f aca="false">IF(F3052="","",IF(F3052&lt;=5,"A",IF(F3052&lt;=8,"B",IF(F3052&lt;=10,"C","D"))))</f>
        <v/>
      </c>
      <c r="H3052" s="28"/>
      <c r="I3052" s="27"/>
      <c r="J3052" s="26"/>
      <c r="K3052" s="27"/>
      <c r="L3052" s="27"/>
      <c r="M3052" s="27"/>
      <c r="N3052" s="27"/>
      <c r="O3052" s="31" t="str">
        <f aca="false">IF(G3052="","",VLOOKUP(G3052,Setup!$A$14:$C$17,3,0))</f>
        <v/>
      </c>
      <c r="P3052" s="27"/>
      <c r="Q3052" s="33" t="str">
        <f aca="false">IF(OR(P3052="",M3052&lt;&gt;"Paid",O3052=""),"",P3052/O3052)</f>
        <v/>
      </c>
      <c r="R3052" s="34" t="str">
        <f aca="false">IF(Q3052="","",Q3052+N(H3052)*0.000000001)</f>
        <v/>
      </c>
      <c r="S3052" s="32" t="str">
        <f aca="false">IF(R3052="","",SUMPRODUCT((I$5:I$4004=I3052)*ISNUMBER(R$5:R$4004)*(R$5:R$4004&gt;R3052))+1)</f>
        <v/>
      </c>
      <c r="T3052" s="32" t="str">
        <f aca="false">IF(S3052="","",IF(S3052&lt;=Setup!$B$5,"🏆 WINNER",""))</f>
        <v/>
      </c>
      <c r="U3052" s="31" t="str">
        <f aca="false">IF(S3052="","",I3052&amp;"|"&amp;S3052)</f>
        <v/>
      </c>
    </row>
    <row r="3053" customFormat="false" ht="15" hidden="false" customHeight="false" outlineLevel="0" collapsed="false">
      <c r="A3053" s="24" t="n">
        <v>3049</v>
      </c>
      <c r="B3053" s="25" t="str">
        <f aca="false">IF(OR(C3053="",I3053="",G3053=""),"",IFERROR(VLOOKUP(I3053,Setup!$A$9:$B$11,2,0),"???")&amp;"-"&amp;G3053&amp;"-"&amp;TEXT(COUNTIFS(I$5:I3053,I3053,G$5:G3053,G3053),"0000"))</f>
        <v/>
      </c>
      <c r="C3053" s="26"/>
      <c r="D3053" s="26"/>
      <c r="E3053" s="27"/>
      <c r="F3053" s="27"/>
      <c r="G3053" s="24" t="str">
        <f aca="false">IF(F3053="","",IF(F3053&lt;=5,"A",IF(F3053&lt;=8,"B",IF(F3053&lt;=10,"C","D"))))</f>
        <v/>
      </c>
      <c r="H3053" s="28"/>
      <c r="I3053" s="27"/>
      <c r="J3053" s="26"/>
      <c r="K3053" s="27"/>
      <c r="L3053" s="27"/>
      <c r="M3053" s="27"/>
      <c r="N3053" s="27"/>
      <c r="O3053" s="24" t="str">
        <f aca="false">IF(G3053="","",VLOOKUP(G3053,Setup!$A$14:$C$17,3,0))</f>
        <v/>
      </c>
      <c r="P3053" s="27"/>
      <c r="Q3053" s="29" t="str">
        <f aca="false">IF(OR(P3053="",M3053&lt;&gt;"Paid",O3053=""),"",P3053/O3053)</f>
        <v/>
      </c>
      <c r="R3053" s="30" t="str">
        <f aca="false">IF(Q3053="","",Q3053+N(H3053)*0.000000001)</f>
        <v/>
      </c>
      <c r="S3053" s="25" t="str">
        <f aca="false">IF(R3053="","",SUMPRODUCT((I$5:I$4004=I3053)*ISNUMBER(R$5:R$4004)*(R$5:R$4004&gt;R3053))+1)</f>
        <v/>
      </c>
      <c r="T3053" s="25" t="str">
        <f aca="false">IF(S3053="","",IF(S3053&lt;=Setup!$B$5,"🏆 WINNER",""))</f>
        <v/>
      </c>
      <c r="U3053" s="24" t="str">
        <f aca="false">IF(S3053="","",I3053&amp;"|"&amp;S3053)</f>
        <v/>
      </c>
    </row>
    <row r="3054" customFormat="false" ht="15" hidden="false" customHeight="false" outlineLevel="0" collapsed="false">
      <c r="A3054" s="31" t="n">
        <v>3050</v>
      </c>
      <c r="B3054" s="32" t="str">
        <f aca="false">IF(OR(C3054="",I3054="",G3054=""),"",IFERROR(VLOOKUP(I3054,Setup!$A$9:$B$11,2,0),"???")&amp;"-"&amp;G3054&amp;"-"&amp;TEXT(COUNTIFS(I$5:I3054,I3054,G$5:G3054,G3054),"0000"))</f>
        <v/>
      </c>
      <c r="C3054" s="26"/>
      <c r="D3054" s="26"/>
      <c r="E3054" s="27"/>
      <c r="F3054" s="27"/>
      <c r="G3054" s="31" t="str">
        <f aca="false">IF(F3054="","",IF(F3054&lt;=5,"A",IF(F3054&lt;=8,"B",IF(F3054&lt;=10,"C","D"))))</f>
        <v/>
      </c>
      <c r="H3054" s="28"/>
      <c r="I3054" s="27"/>
      <c r="J3054" s="26"/>
      <c r="K3054" s="27"/>
      <c r="L3054" s="27"/>
      <c r="M3054" s="27"/>
      <c r="N3054" s="27"/>
      <c r="O3054" s="31" t="str">
        <f aca="false">IF(G3054="","",VLOOKUP(G3054,Setup!$A$14:$C$17,3,0))</f>
        <v/>
      </c>
      <c r="P3054" s="27"/>
      <c r="Q3054" s="33" t="str">
        <f aca="false">IF(OR(P3054="",M3054&lt;&gt;"Paid",O3054=""),"",P3054/O3054)</f>
        <v/>
      </c>
      <c r="R3054" s="34" t="str">
        <f aca="false">IF(Q3054="","",Q3054+N(H3054)*0.000000001)</f>
        <v/>
      </c>
      <c r="S3054" s="32" t="str">
        <f aca="false">IF(R3054="","",SUMPRODUCT((I$5:I$4004=I3054)*ISNUMBER(R$5:R$4004)*(R$5:R$4004&gt;R3054))+1)</f>
        <v/>
      </c>
      <c r="T3054" s="32" t="str">
        <f aca="false">IF(S3054="","",IF(S3054&lt;=Setup!$B$5,"🏆 WINNER",""))</f>
        <v/>
      </c>
      <c r="U3054" s="31" t="str">
        <f aca="false">IF(S3054="","",I3054&amp;"|"&amp;S3054)</f>
        <v/>
      </c>
    </row>
    <row r="3055" customFormat="false" ht="15" hidden="false" customHeight="false" outlineLevel="0" collapsed="false">
      <c r="A3055" s="24" t="n">
        <v>3051</v>
      </c>
      <c r="B3055" s="25" t="str">
        <f aca="false">IF(OR(C3055="",I3055="",G3055=""),"",IFERROR(VLOOKUP(I3055,Setup!$A$9:$B$11,2,0),"???")&amp;"-"&amp;G3055&amp;"-"&amp;TEXT(COUNTIFS(I$5:I3055,I3055,G$5:G3055,G3055),"0000"))</f>
        <v/>
      </c>
      <c r="C3055" s="26"/>
      <c r="D3055" s="26"/>
      <c r="E3055" s="27"/>
      <c r="F3055" s="27"/>
      <c r="G3055" s="24" t="str">
        <f aca="false">IF(F3055="","",IF(F3055&lt;=5,"A",IF(F3055&lt;=8,"B",IF(F3055&lt;=10,"C","D"))))</f>
        <v/>
      </c>
      <c r="H3055" s="28"/>
      <c r="I3055" s="27"/>
      <c r="J3055" s="26"/>
      <c r="K3055" s="27"/>
      <c r="L3055" s="27"/>
      <c r="M3055" s="27"/>
      <c r="N3055" s="27"/>
      <c r="O3055" s="24" t="str">
        <f aca="false">IF(G3055="","",VLOOKUP(G3055,Setup!$A$14:$C$17,3,0))</f>
        <v/>
      </c>
      <c r="P3055" s="27"/>
      <c r="Q3055" s="29" t="str">
        <f aca="false">IF(OR(P3055="",M3055&lt;&gt;"Paid",O3055=""),"",P3055/O3055)</f>
        <v/>
      </c>
      <c r="R3055" s="30" t="str">
        <f aca="false">IF(Q3055="","",Q3055+N(H3055)*0.000000001)</f>
        <v/>
      </c>
      <c r="S3055" s="25" t="str">
        <f aca="false">IF(R3055="","",SUMPRODUCT((I$5:I$4004=I3055)*ISNUMBER(R$5:R$4004)*(R$5:R$4004&gt;R3055))+1)</f>
        <v/>
      </c>
      <c r="T3055" s="25" t="str">
        <f aca="false">IF(S3055="","",IF(S3055&lt;=Setup!$B$5,"🏆 WINNER",""))</f>
        <v/>
      </c>
      <c r="U3055" s="24" t="str">
        <f aca="false">IF(S3055="","",I3055&amp;"|"&amp;S3055)</f>
        <v/>
      </c>
    </row>
    <row r="3056" customFormat="false" ht="15" hidden="false" customHeight="false" outlineLevel="0" collapsed="false">
      <c r="A3056" s="31" t="n">
        <v>3052</v>
      </c>
      <c r="B3056" s="32" t="str">
        <f aca="false">IF(OR(C3056="",I3056="",G3056=""),"",IFERROR(VLOOKUP(I3056,Setup!$A$9:$B$11,2,0),"???")&amp;"-"&amp;G3056&amp;"-"&amp;TEXT(COUNTIFS(I$5:I3056,I3056,G$5:G3056,G3056),"0000"))</f>
        <v/>
      </c>
      <c r="C3056" s="26"/>
      <c r="D3056" s="26"/>
      <c r="E3056" s="27"/>
      <c r="F3056" s="27"/>
      <c r="G3056" s="31" t="str">
        <f aca="false">IF(F3056="","",IF(F3056&lt;=5,"A",IF(F3056&lt;=8,"B",IF(F3056&lt;=10,"C","D"))))</f>
        <v/>
      </c>
      <c r="H3056" s="28"/>
      <c r="I3056" s="27"/>
      <c r="J3056" s="26"/>
      <c r="K3056" s="27"/>
      <c r="L3056" s="27"/>
      <c r="M3056" s="27"/>
      <c r="N3056" s="27"/>
      <c r="O3056" s="31" t="str">
        <f aca="false">IF(G3056="","",VLOOKUP(G3056,Setup!$A$14:$C$17,3,0))</f>
        <v/>
      </c>
      <c r="P3056" s="27"/>
      <c r="Q3056" s="33" t="str">
        <f aca="false">IF(OR(P3056="",M3056&lt;&gt;"Paid",O3056=""),"",P3056/O3056)</f>
        <v/>
      </c>
      <c r="R3056" s="34" t="str">
        <f aca="false">IF(Q3056="","",Q3056+N(H3056)*0.000000001)</f>
        <v/>
      </c>
      <c r="S3056" s="32" t="str">
        <f aca="false">IF(R3056="","",SUMPRODUCT((I$5:I$4004=I3056)*ISNUMBER(R$5:R$4004)*(R$5:R$4004&gt;R3056))+1)</f>
        <v/>
      </c>
      <c r="T3056" s="32" t="str">
        <f aca="false">IF(S3056="","",IF(S3056&lt;=Setup!$B$5,"🏆 WINNER",""))</f>
        <v/>
      </c>
      <c r="U3056" s="31" t="str">
        <f aca="false">IF(S3056="","",I3056&amp;"|"&amp;S3056)</f>
        <v/>
      </c>
    </row>
    <row r="3057" customFormat="false" ht="15" hidden="false" customHeight="false" outlineLevel="0" collapsed="false">
      <c r="A3057" s="24" t="n">
        <v>3053</v>
      </c>
      <c r="B3057" s="25" t="str">
        <f aca="false">IF(OR(C3057="",I3057="",G3057=""),"",IFERROR(VLOOKUP(I3057,Setup!$A$9:$B$11,2,0),"???")&amp;"-"&amp;G3057&amp;"-"&amp;TEXT(COUNTIFS(I$5:I3057,I3057,G$5:G3057,G3057),"0000"))</f>
        <v/>
      </c>
      <c r="C3057" s="26"/>
      <c r="D3057" s="26"/>
      <c r="E3057" s="27"/>
      <c r="F3057" s="27"/>
      <c r="G3057" s="24" t="str">
        <f aca="false">IF(F3057="","",IF(F3057&lt;=5,"A",IF(F3057&lt;=8,"B",IF(F3057&lt;=10,"C","D"))))</f>
        <v/>
      </c>
      <c r="H3057" s="28"/>
      <c r="I3057" s="27"/>
      <c r="J3057" s="26"/>
      <c r="K3057" s="27"/>
      <c r="L3057" s="27"/>
      <c r="M3057" s="27"/>
      <c r="N3057" s="27"/>
      <c r="O3057" s="24" t="str">
        <f aca="false">IF(G3057="","",VLOOKUP(G3057,Setup!$A$14:$C$17,3,0))</f>
        <v/>
      </c>
      <c r="P3057" s="27"/>
      <c r="Q3057" s="29" t="str">
        <f aca="false">IF(OR(P3057="",M3057&lt;&gt;"Paid",O3057=""),"",P3057/O3057)</f>
        <v/>
      </c>
      <c r="R3057" s="30" t="str">
        <f aca="false">IF(Q3057="","",Q3057+N(H3057)*0.000000001)</f>
        <v/>
      </c>
      <c r="S3057" s="25" t="str">
        <f aca="false">IF(R3057="","",SUMPRODUCT((I$5:I$4004=I3057)*ISNUMBER(R$5:R$4004)*(R$5:R$4004&gt;R3057))+1)</f>
        <v/>
      </c>
      <c r="T3057" s="25" t="str">
        <f aca="false">IF(S3057="","",IF(S3057&lt;=Setup!$B$5,"🏆 WINNER",""))</f>
        <v/>
      </c>
      <c r="U3057" s="24" t="str">
        <f aca="false">IF(S3057="","",I3057&amp;"|"&amp;S3057)</f>
        <v/>
      </c>
    </row>
    <row r="3058" customFormat="false" ht="15" hidden="false" customHeight="false" outlineLevel="0" collapsed="false">
      <c r="A3058" s="31" t="n">
        <v>3054</v>
      </c>
      <c r="B3058" s="32" t="str">
        <f aca="false">IF(OR(C3058="",I3058="",G3058=""),"",IFERROR(VLOOKUP(I3058,Setup!$A$9:$B$11,2,0),"???")&amp;"-"&amp;G3058&amp;"-"&amp;TEXT(COUNTIFS(I$5:I3058,I3058,G$5:G3058,G3058),"0000"))</f>
        <v/>
      </c>
      <c r="C3058" s="26"/>
      <c r="D3058" s="26"/>
      <c r="E3058" s="27"/>
      <c r="F3058" s="27"/>
      <c r="G3058" s="31" t="str">
        <f aca="false">IF(F3058="","",IF(F3058&lt;=5,"A",IF(F3058&lt;=8,"B",IF(F3058&lt;=10,"C","D"))))</f>
        <v/>
      </c>
      <c r="H3058" s="28"/>
      <c r="I3058" s="27"/>
      <c r="J3058" s="26"/>
      <c r="K3058" s="27"/>
      <c r="L3058" s="27"/>
      <c r="M3058" s="27"/>
      <c r="N3058" s="27"/>
      <c r="O3058" s="31" t="str">
        <f aca="false">IF(G3058="","",VLOOKUP(G3058,Setup!$A$14:$C$17,3,0))</f>
        <v/>
      </c>
      <c r="P3058" s="27"/>
      <c r="Q3058" s="33" t="str">
        <f aca="false">IF(OR(P3058="",M3058&lt;&gt;"Paid",O3058=""),"",P3058/O3058)</f>
        <v/>
      </c>
      <c r="R3058" s="34" t="str">
        <f aca="false">IF(Q3058="","",Q3058+N(H3058)*0.000000001)</f>
        <v/>
      </c>
      <c r="S3058" s="32" t="str">
        <f aca="false">IF(R3058="","",SUMPRODUCT((I$5:I$4004=I3058)*ISNUMBER(R$5:R$4004)*(R$5:R$4004&gt;R3058))+1)</f>
        <v/>
      </c>
      <c r="T3058" s="32" t="str">
        <f aca="false">IF(S3058="","",IF(S3058&lt;=Setup!$B$5,"🏆 WINNER",""))</f>
        <v/>
      </c>
      <c r="U3058" s="31" t="str">
        <f aca="false">IF(S3058="","",I3058&amp;"|"&amp;S3058)</f>
        <v/>
      </c>
    </row>
    <row r="3059" customFormat="false" ht="15" hidden="false" customHeight="false" outlineLevel="0" collapsed="false">
      <c r="A3059" s="24" t="n">
        <v>3055</v>
      </c>
      <c r="B3059" s="25" t="str">
        <f aca="false">IF(OR(C3059="",I3059="",G3059=""),"",IFERROR(VLOOKUP(I3059,Setup!$A$9:$B$11,2,0),"???")&amp;"-"&amp;G3059&amp;"-"&amp;TEXT(COUNTIFS(I$5:I3059,I3059,G$5:G3059,G3059),"0000"))</f>
        <v/>
      </c>
      <c r="C3059" s="26"/>
      <c r="D3059" s="26"/>
      <c r="E3059" s="27"/>
      <c r="F3059" s="27"/>
      <c r="G3059" s="24" t="str">
        <f aca="false">IF(F3059="","",IF(F3059&lt;=5,"A",IF(F3059&lt;=8,"B",IF(F3059&lt;=10,"C","D"))))</f>
        <v/>
      </c>
      <c r="H3059" s="28"/>
      <c r="I3059" s="27"/>
      <c r="J3059" s="26"/>
      <c r="K3059" s="27"/>
      <c r="L3059" s="27"/>
      <c r="M3059" s="27"/>
      <c r="N3059" s="27"/>
      <c r="O3059" s="24" t="str">
        <f aca="false">IF(G3059="","",VLOOKUP(G3059,Setup!$A$14:$C$17,3,0))</f>
        <v/>
      </c>
      <c r="P3059" s="27"/>
      <c r="Q3059" s="29" t="str">
        <f aca="false">IF(OR(P3059="",M3059&lt;&gt;"Paid",O3059=""),"",P3059/O3059)</f>
        <v/>
      </c>
      <c r="R3059" s="30" t="str">
        <f aca="false">IF(Q3059="","",Q3059+N(H3059)*0.000000001)</f>
        <v/>
      </c>
      <c r="S3059" s="25" t="str">
        <f aca="false">IF(R3059="","",SUMPRODUCT((I$5:I$4004=I3059)*ISNUMBER(R$5:R$4004)*(R$5:R$4004&gt;R3059))+1)</f>
        <v/>
      </c>
      <c r="T3059" s="25" t="str">
        <f aca="false">IF(S3059="","",IF(S3059&lt;=Setup!$B$5,"🏆 WINNER",""))</f>
        <v/>
      </c>
      <c r="U3059" s="24" t="str">
        <f aca="false">IF(S3059="","",I3059&amp;"|"&amp;S3059)</f>
        <v/>
      </c>
    </row>
    <row r="3060" customFormat="false" ht="15" hidden="false" customHeight="false" outlineLevel="0" collapsed="false">
      <c r="A3060" s="31" t="n">
        <v>3056</v>
      </c>
      <c r="B3060" s="32" t="str">
        <f aca="false">IF(OR(C3060="",I3060="",G3060=""),"",IFERROR(VLOOKUP(I3060,Setup!$A$9:$B$11,2,0),"???")&amp;"-"&amp;G3060&amp;"-"&amp;TEXT(COUNTIFS(I$5:I3060,I3060,G$5:G3060,G3060),"0000"))</f>
        <v/>
      </c>
      <c r="C3060" s="26"/>
      <c r="D3060" s="26"/>
      <c r="E3060" s="27"/>
      <c r="F3060" s="27"/>
      <c r="G3060" s="31" t="str">
        <f aca="false">IF(F3060="","",IF(F3060&lt;=5,"A",IF(F3060&lt;=8,"B",IF(F3060&lt;=10,"C","D"))))</f>
        <v/>
      </c>
      <c r="H3060" s="28"/>
      <c r="I3060" s="27"/>
      <c r="J3060" s="26"/>
      <c r="K3060" s="27"/>
      <c r="L3060" s="27"/>
      <c r="M3060" s="27"/>
      <c r="N3060" s="27"/>
      <c r="O3060" s="31" t="str">
        <f aca="false">IF(G3060="","",VLOOKUP(G3060,Setup!$A$14:$C$17,3,0))</f>
        <v/>
      </c>
      <c r="P3060" s="27"/>
      <c r="Q3060" s="33" t="str">
        <f aca="false">IF(OR(P3060="",M3060&lt;&gt;"Paid",O3060=""),"",P3060/O3060)</f>
        <v/>
      </c>
      <c r="R3060" s="34" t="str">
        <f aca="false">IF(Q3060="","",Q3060+N(H3060)*0.000000001)</f>
        <v/>
      </c>
      <c r="S3060" s="32" t="str">
        <f aca="false">IF(R3060="","",SUMPRODUCT((I$5:I$4004=I3060)*ISNUMBER(R$5:R$4004)*(R$5:R$4004&gt;R3060))+1)</f>
        <v/>
      </c>
      <c r="T3060" s="32" t="str">
        <f aca="false">IF(S3060="","",IF(S3060&lt;=Setup!$B$5,"🏆 WINNER",""))</f>
        <v/>
      </c>
      <c r="U3060" s="31" t="str">
        <f aca="false">IF(S3060="","",I3060&amp;"|"&amp;S3060)</f>
        <v/>
      </c>
    </row>
    <row r="3061" customFormat="false" ht="15" hidden="false" customHeight="false" outlineLevel="0" collapsed="false">
      <c r="A3061" s="24" t="n">
        <v>3057</v>
      </c>
      <c r="B3061" s="25" t="str">
        <f aca="false">IF(OR(C3061="",I3061="",G3061=""),"",IFERROR(VLOOKUP(I3061,Setup!$A$9:$B$11,2,0),"???")&amp;"-"&amp;G3061&amp;"-"&amp;TEXT(COUNTIFS(I$5:I3061,I3061,G$5:G3061,G3061),"0000"))</f>
        <v/>
      </c>
      <c r="C3061" s="26"/>
      <c r="D3061" s="26"/>
      <c r="E3061" s="27"/>
      <c r="F3061" s="27"/>
      <c r="G3061" s="24" t="str">
        <f aca="false">IF(F3061="","",IF(F3061&lt;=5,"A",IF(F3061&lt;=8,"B",IF(F3061&lt;=10,"C","D"))))</f>
        <v/>
      </c>
      <c r="H3061" s="28"/>
      <c r="I3061" s="27"/>
      <c r="J3061" s="26"/>
      <c r="K3061" s="27"/>
      <c r="L3061" s="27"/>
      <c r="M3061" s="27"/>
      <c r="N3061" s="27"/>
      <c r="O3061" s="24" t="str">
        <f aca="false">IF(G3061="","",VLOOKUP(G3061,Setup!$A$14:$C$17,3,0))</f>
        <v/>
      </c>
      <c r="P3061" s="27"/>
      <c r="Q3061" s="29" t="str">
        <f aca="false">IF(OR(P3061="",M3061&lt;&gt;"Paid",O3061=""),"",P3061/O3061)</f>
        <v/>
      </c>
      <c r="R3061" s="30" t="str">
        <f aca="false">IF(Q3061="","",Q3061+N(H3061)*0.000000001)</f>
        <v/>
      </c>
      <c r="S3061" s="25" t="str">
        <f aca="false">IF(R3061="","",SUMPRODUCT((I$5:I$4004=I3061)*ISNUMBER(R$5:R$4004)*(R$5:R$4004&gt;R3061))+1)</f>
        <v/>
      </c>
      <c r="T3061" s="25" t="str">
        <f aca="false">IF(S3061="","",IF(S3061&lt;=Setup!$B$5,"🏆 WINNER",""))</f>
        <v/>
      </c>
      <c r="U3061" s="24" t="str">
        <f aca="false">IF(S3061="","",I3061&amp;"|"&amp;S3061)</f>
        <v/>
      </c>
    </row>
    <row r="3062" customFormat="false" ht="15" hidden="false" customHeight="false" outlineLevel="0" collapsed="false">
      <c r="A3062" s="31" t="n">
        <v>3058</v>
      </c>
      <c r="B3062" s="32" t="str">
        <f aca="false">IF(OR(C3062="",I3062="",G3062=""),"",IFERROR(VLOOKUP(I3062,Setup!$A$9:$B$11,2,0),"???")&amp;"-"&amp;G3062&amp;"-"&amp;TEXT(COUNTIFS(I$5:I3062,I3062,G$5:G3062,G3062),"0000"))</f>
        <v/>
      </c>
      <c r="C3062" s="26"/>
      <c r="D3062" s="26"/>
      <c r="E3062" s="27"/>
      <c r="F3062" s="27"/>
      <c r="G3062" s="31" t="str">
        <f aca="false">IF(F3062="","",IF(F3062&lt;=5,"A",IF(F3062&lt;=8,"B",IF(F3062&lt;=10,"C","D"))))</f>
        <v/>
      </c>
      <c r="H3062" s="28"/>
      <c r="I3062" s="27"/>
      <c r="J3062" s="26"/>
      <c r="K3062" s="27"/>
      <c r="L3062" s="27"/>
      <c r="M3062" s="27"/>
      <c r="N3062" s="27"/>
      <c r="O3062" s="31" t="str">
        <f aca="false">IF(G3062="","",VLOOKUP(G3062,Setup!$A$14:$C$17,3,0))</f>
        <v/>
      </c>
      <c r="P3062" s="27"/>
      <c r="Q3062" s="33" t="str">
        <f aca="false">IF(OR(P3062="",M3062&lt;&gt;"Paid",O3062=""),"",P3062/O3062)</f>
        <v/>
      </c>
      <c r="R3062" s="34" t="str">
        <f aca="false">IF(Q3062="","",Q3062+N(H3062)*0.000000001)</f>
        <v/>
      </c>
      <c r="S3062" s="32" t="str">
        <f aca="false">IF(R3062="","",SUMPRODUCT((I$5:I$4004=I3062)*ISNUMBER(R$5:R$4004)*(R$5:R$4004&gt;R3062))+1)</f>
        <v/>
      </c>
      <c r="T3062" s="32" t="str">
        <f aca="false">IF(S3062="","",IF(S3062&lt;=Setup!$B$5,"🏆 WINNER",""))</f>
        <v/>
      </c>
      <c r="U3062" s="31" t="str">
        <f aca="false">IF(S3062="","",I3062&amp;"|"&amp;S3062)</f>
        <v/>
      </c>
    </row>
    <row r="3063" customFormat="false" ht="15" hidden="false" customHeight="false" outlineLevel="0" collapsed="false">
      <c r="A3063" s="24" t="n">
        <v>3059</v>
      </c>
      <c r="B3063" s="25" t="str">
        <f aca="false">IF(OR(C3063="",I3063="",G3063=""),"",IFERROR(VLOOKUP(I3063,Setup!$A$9:$B$11,2,0),"???")&amp;"-"&amp;G3063&amp;"-"&amp;TEXT(COUNTIFS(I$5:I3063,I3063,G$5:G3063,G3063),"0000"))</f>
        <v/>
      </c>
      <c r="C3063" s="26"/>
      <c r="D3063" s="26"/>
      <c r="E3063" s="27"/>
      <c r="F3063" s="27"/>
      <c r="G3063" s="24" t="str">
        <f aca="false">IF(F3063="","",IF(F3063&lt;=5,"A",IF(F3063&lt;=8,"B",IF(F3063&lt;=10,"C","D"))))</f>
        <v/>
      </c>
      <c r="H3063" s="28"/>
      <c r="I3063" s="27"/>
      <c r="J3063" s="26"/>
      <c r="K3063" s="27"/>
      <c r="L3063" s="27"/>
      <c r="M3063" s="27"/>
      <c r="N3063" s="27"/>
      <c r="O3063" s="24" t="str">
        <f aca="false">IF(G3063="","",VLOOKUP(G3063,Setup!$A$14:$C$17,3,0))</f>
        <v/>
      </c>
      <c r="P3063" s="27"/>
      <c r="Q3063" s="29" t="str">
        <f aca="false">IF(OR(P3063="",M3063&lt;&gt;"Paid",O3063=""),"",P3063/O3063)</f>
        <v/>
      </c>
      <c r="R3063" s="30" t="str">
        <f aca="false">IF(Q3063="","",Q3063+N(H3063)*0.000000001)</f>
        <v/>
      </c>
      <c r="S3063" s="25" t="str">
        <f aca="false">IF(R3063="","",SUMPRODUCT((I$5:I$4004=I3063)*ISNUMBER(R$5:R$4004)*(R$5:R$4004&gt;R3063))+1)</f>
        <v/>
      </c>
      <c r="T3063" s="25" t="str">
        <f aca="false">IF(S3063="","",IF(S3063&lt;=Setup!$B$5,"🏆 WINNER",""))</f>
        <v/>
      </c>
      <c r="U3063" s="24" t="str">
        <f aca="false">IF(S3063="","",I3063&amp;"|"&amp;S3063)</f>
        <v/>
      </c>
    </row>
    <row r="3064" customFormat="false" ht="15" hidden="false" customHeight="false" outlineLevel="0" collapsed="false">
      <c r="A3064" s="31" t="n">
        <v>3060</v>
      </c>
      <c r="B3064" s="32" t="str">
        <f aca="false">IF(OR(C3064="",I3064="",G3064=""),"",IFERROR(VLOOKUP(I3064,Setup!$A$9:$B$11,2,0),"???")&amp;"-"&amp;G3064&amp;"-"&amp;TEXT(COUNTIFS(I$5:I3064,I3064,G$5:G3064,G3064),"0000"))</f>
        <v/>
      </c>
      <c r="C3064" s="26"/>
      <c r="D3064" s="26"/>
      <c r="E3064" s="27"/>
      <c r="F3064" s="27"/>
      <c r="G3064" s="31" t="str">
        <f aca="false">IF(F3064="","",IF(F3064&lt;=5,"A",IF(F3064&lt;=8,"B",IF(F3064&lt;=10,"C","D"))))</f>
        <v/>
      </c>
      <c r="H3064" s="28"/>
      <c r="I3064" s="27"/>
      <c r="J3064" s="26"/>
      <c r="K3064" s="27"/>
      <c r="L3064" s="27"/>
      <c r="M3064" s="27"/>
      <c r="N3064" s="27"/>
      <c r="O3064" s="31" t="str">
        <f aca="false">IF(G3064="","",VLOOKUP(G3064,Setup!$A$14:$C$17,3,0))</f>
        <v/>
      </c>
      <c r="P3064" s="27"/>
      <c r="Q3064" s="33" t="str">
        <f aca="false">IF(OR(P3064="",M3064&lt;&gt;"Paid",O3064=""),"",P3064/O3064)</f>
        <v/>
      </c>
      <c r="R3064" s="34" t="str">
        <f aca="false">IF(Q3064="","",Q3064+N(H3064)*0.000000001)</f>
        <v/>
      </c>
      <c r="S3064" s="32" t="str">
        <f aca="false">IF(R3064="","",SUMPRODUCT((I$5:I$4004=I3064)*ISNUMBER(R$5:R$4004)*(R$5:R$4004&gt;R3064))+1)</f>
        <v/>
      </c>
      <c r="T3064" s="32" t="str">
        <f aca="false">IF(S3064="","",IF(S3064&lt;=Setup!$B$5,"🏆 WINNER",""))</f>
        <v/>
      </c>
      <c r="U3064" s="31" t="str">
        <f aca="false">IF(S3064="","",I3064&amp;"|"&amp;S3064)</f>
        <v/>
      </c>
    </row>
    <row r="3065" customFormat="false" ht="15" hidden="false" customHeight="false" outlineLevel="0" collapsed="false">
      <c r="A3065" s="24" t="n">
        <v>3061</v>
      </c>
      <c r="B3065" s="25" t="str">
        <f aca="false">IF(OR(C3065="",I3065="",G3065=""),"",IFERROR(VLOOKUP(I3065,Setup!$A$9:$B$11,2,0),"???")&amp;"-"&amp;G3065&amp;"-"&amp;TEXT(COUNTIFS(I$5:I3065,I3065,G$5:G3065,G3065),"0000"))</f>
        <v/>
      </c>
      <c r="C3065" s="26"/>
      <c r="D3065" s="26"/>
      <c r="E3065" s="27"/>
      <c r="F3065" s="27"/>
      <c r="G3065" s="24" t="str">
        <f aca="false">IF(F3065="","",IF(F3065&lt;=5,"A",IF(F3065&lt;=8,"B",IF(F3065&lt;=10,"C","D"))))</f>
        <v/>
      </c>
      <c r="H3065" s="28"/>
      <c r="I3065" s="27"/>
      <c r="J3065" s="26"/>
      <c r="K3065" s="27"/>
      <c r="L3065" s="27"/>
      <c r="M3065" s="27"/>
      <c r="N3065" s="27"/>
      <c r="O3065" s="24" t="str">
        <f aca="false">IF(G3065="","",VLOOKUP(G3065,Setup!$A$14:$C$17,3,0))</f>
        <v/>
      </c>
      <c r="P3065" s="27"/>
      <c r="Q3065" s="29" t="str">
        <f aca="false">IF(OR(P3065="",M3065&lt;&gt;"Paid",O3065=""),"",P3065/O3065)</f>
        <v/>
      </c>
      <c r="R3065" s="30" t="str">
        <f aca="false">IF(Q3065="","",Q3065+N(H3065)*0.000000001)</f>
        <v/>
      </c>
      <c r="S3065" s="25" t="str">
        <f aca="false">IF(R3065="","",SUMPRODUCT((I$5:I$4004=I3065)*ISNUMBER(R$5:R$4004)*(R$5:R$4004&gt;R3065))+1)</f>
        <v/>
      </c>
      <c r="T3065" s="25" t="str">
        <f aca="false">IF(S3065="","",IF(S3065&lt;=Setup!$B$5,"🏆 WINNER",""))</f>
        <v/>
      </c>
      <c r="U3065" s="24" t="str">
        <f aca="false">IF(S3065="","",I3065&amp;"|"&amp;S3065)</f>
        <v/>
      </c>
    </row>
    <row r="3066" customFormat="false" ht="15" hidden="false" customHeight="false" outlineLevel="0" collapsed="false">
      <c r="A3066" s="31" t="n">
        <v>3062</v>
      </c>
      <c r="B3066" s="32" t="str">
        <f aca="false">IF(OR(C3066="",I3066="",G3066=""),"",IFERROR(VLOOKUP(I3066,Setup!$A$9:$B$11,2,0),"???")&amp;"-"&amp;G3066&amp;"-"&amp;TEXT(COUNTIFS(I$5:I3066,I3066,G$5:G3066,G3066),"0000"))</f>
        <v/>
      </c>
      <c r="C3066" s="26"/>
      <c r="D3066" s="26"/>
      <c r="E3066" s="27"/>
      <c r="F3066" s="27"/>
      <c r="G3066" s="31" t="str">
        <f aca="false">IF(F3066="","",IF(F3066&lt;=5,"A",IF(F3066&lt;=8,"B",IF(F3066&lt;=10,"C","D"))))</f>
        <v/>
      </c>
      <c r="H3066" s="28"/>
      <c r="I3066" s="27"/>
      <c r="J3066" s="26"/>
      <c r="K3066" s="27"/>
      <c r="L3066" s="27"/>
      <c r="M3066" s="27"/>
      <c r="N3066" s="27"/>
      <c r="O3066" s="31" t="str">
        <f aca="false">IF(G3066="","",VLOOKUP(G3066,Setup!$A$14:$C$17,3,0))</f>
        <v/>
      </c>
      <c r="P3066" s="27"/>
      <c r="Q3066" s="33" t="str">
        <f aca="false">IF(OR(P3066="",M3066&lt;&gt;"Paid",O3066=""),"",P3066/O3066)</f>
        <v/>
      </c>
      <c r="R3066" s="34" t="str">
        <f aca="false">IF(Q3066="","",Q3066+N(H3066)*0.000000001)</f>
        <v/>
      </c>
      <c r="S3066" s="32" t="str">
        <f aca="false">IF(R3066="","",SUMPRODUCT((I$5:I$4004=I3066)*ISNUMBER(R$5:R$4004)*(R$5:R$4004&gt;R3066))+1)</f>
        <v/>
      </c>
      <c r="T3066" s="32" t="str">
        <f aca="false">IF(S3066="","",IF(S3066&lt;=Setup!$B$5,"🏆 WINNER",""))</f>
        <v/>
      </c>
      <c r="U3066" s="31" t="str">
        <f aca="false">IF(S3066="","",I3066&amp;"|"&amp;S3066)</f>
        <v/>
      </c>
    </row>
    <row r="3067" customFormat="false" ht="15" hidden="false" customHeight="false" outlineLevel="0" collapsed="false">
      <c r="A3067" s="24" t="n">
        <v>3063</v>
      </c>
      <c r="B3067" s="25" t="str">
        <f aca="false">IF(OR(C3067="",I3067="",G3067=""),"",IFERROR(VLOOKUP(I3067,Setup!$A$9:$B$11,2,0),"???")&amp;"-"&amp;G3067&amp;"-"&amp;TEXT(COUNTIFS(I$5:I3067,I3067,G$5:G3067,G3067),"0000"))</f>
        <v/>
      </c>
      <c r="C3067" s="26"/>
      <c r="D3067" s="26"/>
      <c r="E3067" s="27"/>
      <c r="F3067" s="27"/>
      <c r="G3067" s="24" t="str">
        <f aca="false">IF(F3067="","",IF(F3067&lt;=5,"A",IF(F3067&lt;=8,"B",IF(F3067&lt;=10,"C","D"))))</f>
        <v/>
      </c>
      <c r="H3067" s="28"/>
      <c r="I3067" s="27"/>
      <c r="J3067" s="26"/>
      <c r="K3067" s="27"/>
      <c r="L3067" s="27"/>
      <c r="M3067" s="27"/>
      <c r="N3067" s="27"/>
      <c r="O3067" s="24" t="str">
        <f aca="false">IF(G3067="","",VLOOKUP(G3067,Setup!$A$14:$C$17,3,0))</f>
        <v/>
      </c>
      <c r="P3067" s="27"/>
      <c r="Q3067" s="29" t="str">
        <f aca="false">IF(OR(P3067="",M3067&lt;&gt;"Paid",O3067=""),"",P3067/O3067)</f>
        <v/>
      </c>
      <c r="R3067" s="30" t="str">
        <f aca="false">IF(Q3067="","",Q3067+N(H3067)*0.000000001)</f>
        <v/>
      </c>
      <c r="S3067" s="25" t="str">
        <f aca="false">IF(R3067="","",SUMPRODUCT((I$5:I$4004=I3067)*ISNUMBER(R$5:R$4004)*(R$5:R$4004&gt;R3067))+1)</f>
        <v/>
      </c>
      <c r="T3067" s="25" t="str">
        <f aca="false">IF(S3067="","",IF(S3067&lt;=Setup!$B$5,"🏆 WINNER",""))</f>
        <v/>
      </c>
      <c r="U3067" s="24" t="str">
        <f aca="false">IF(S3067="","",I3067&amp;"|"&amp;S3067)</f>
        <v/>
      </c>
    </row>
    <row r="3068" customFormat="false" ht="15" hidden="false" customHeight="false" outlineLevel="0" collapsed="false">
      <c r="A3068" s="31" t="n">
        <v>3064</v>
      </c>
      <c r="B3068" s="32" t="str">
        <f aca="false">IF(OR(C3068="",I3068="",G3068=""),"",IFERROR(VLOOKUP(I3068,Setup!$A$9:$B$11,2,0),"???")&amp;"-"&amp;G3068&amp;"-"&amp;TEXT(COUNTIFS(I$5:I3068,I3068,G$5:G3068,G3068),"0000"))</f>
        <v/>
      </c>
      <c r="C3068" s="26"/>
      <c r="D3068" s="26"/>
      <c r="E3068" s="27"/>
      <c r="F3068" s="27"/>
      <c r="G3068" s="31" t="str">
        <f aca="false">IF(F3068="","",IF(F3068&lt;=5,"A",IF(F3068&lt;=8,"B",IF(F3068&lt;=10,"C","D"))))</f>
        <v/>
      </c>
      <c r="H3068" s="28"/>
      <c r="I3068" s="27"/>
      <c r="J3068" s="26"/>
      <c r="K3068" s="27"/>
      <c r="L3068" s="27"/>
      <c r="M3068" s="27"/>
      <c r="N3068" s="27"/>
      <c r="O3068" s="31" t="str">
        <f aca="false">IF(G3068="","",VLOOKUP(G3068,Setup!$A$14:$C$17,3,0))</f>
        <v/>
      </c>
      <c r="P3068" s="27"/>
      <c r="Q3068" s="33" t="str">
        <f aca="false">IF(OR(P3068="",M3068&lt;&gt;"Paid",O3068=""),"",P3068/O3068)</f>
        <v/>
      </c>
      <c r="R3068" s="34" t="str">
        <f aca="false">IF(Q3068="","",Q3068+N(H3068)*0.000000001)</f>
        <v/>
      </c>
      <c r="S3068" s="32" t="str">
        <f aca="false">IF(R3068="","",SUMPRODUCT((I$5:I$4004=I3068)*ISNUMBER(R$5:R$4004)*(R$5:R$4004&gt;R3068))+1)</f>
        <v/>
      </c>
      <c r="T3068" s="32" t="str">
        <f aca="false">IF(S3068="","",IF(S3068&lt;=Setup!$B$5,"🏆 WINNER",""))</f>
        <v/>
      </c>
      <c r="U3068" s="31" t="str">
        <f aca="false">IF(S3068="","",I3068&amp;"|"&amp;S3068)</f>
        <v/>
      </c>
    </row>
    <row r="3069" customFormat="false" ht="15" hidden="false" customHeight="false" outlineLevel="0" collapsed="false">
      <c r="A3069" s="24" t="n">
        <v>3065</v>
      </c>
      <c r="B3069" s="25" t="str">
        <f aca="false">IF(OR(C3069="",I3069="",G3069=""),"",IFERROR(VLOOKUP(I3069,Setup!$A$9:$B$11,2,0),"???")&amp;"-"&amp;G3069&amp;"-"&amp;TEXT(COUNTIFS(I$5:I3069,I3069,G$5:G3069,G3069),"0000"))</f>
        <v/>
      </c>
      <c r="C3069" s="26"/>
      <c r="D3069" s="26"/>
      <c r="E3069" s="27"/>
      <c r="F3069" s="27"/>
      <c r="G3069" s="24" t="str">
        <f aca="false">IF(F3069="","",IF(F3069&lt;=5,"A",IF(F3069&lt;=8,"B",IF(F3069&lt;=10,"C","D"))))</f>
        <v/>
      </c>
      <c r="H3069" s="28"/>
      <c r="I3069" s="27"/>
      <c r="J3069" s="26"/>
      <c r="K3069" s="27"/>
      <c r="L3069" s="27"/>
      <c r="M3069" s="27"/>
      <c r="N3069" s="27"/>
      <c r="O3069" s="24" t="str">
        <f aca="false">IF(G3069="","",VLOOKUP(G3069,Setup!$A$14:$C$17,3,0))</f>
        <v/>
      </c>
      <c r="P3069" s="27"/>
      <c r="Q3069" s="29" t="str">
        <f aca="false">IF(OR(P3069="",M3069&lt;&gt;"Paid",O3069=""),"",P3069/O3069)</f>
        <v/>
      </c>
      <c r="R3069" s="30" t="str">
        <f aca="false">IF(Q3069="","",Q3069+N(H3069)*0.000000001)</f>
        <v/>
      </c>
      <c r="S3069" s="25" t="str">
        <f aca="false">IF(R3069="","",SUMPRODUCT((I$5:I$4004=I3069)*ISNUMBER(R$5:R$4004)*(R$5:R$4004&gt;R3069))+1)</f>
        <v/>
      </c>
      <c r="T3069" s="25" t="str">
        <f aca="false">IF(S3069="","",IF(S3069&lt;=Setup!$B$5,"🏆 WINNER",""))</f>
        <v/>
      </c>
      <c r="U3069" s="24" t="str">
        <f aca="false">IF(S3069="","",I3069&amp;"|"&amp;S3069)</f>
        <v/>
      </c>
    </row>
    <row r="3070" customFormat="false" ht="15" hidden="false" customHeight="false" outlineLevel="0" collapsed="false">
      <c r="A3070" s="31" t="n">
        <v>3066</v>
      </c>
      <c r="B3070" s="32" t="str">
        <f aca="false">IF(OR(C3070="",I3070="",G3070=""),"",IFERROR(VLOOKUP(I3070,Setup!$A$9:$B$11,2,0),"???")&amp;"-"&amp;G3070&amp;"-"&amp;TEXT(COUNTIFS(I$5:I3070,I3070,G$5:G3070,G3070),"0000"))</f>
        <v/>
      </c>
      <c r="C3070" s="26"/>
      <c r="D3070" s="26"/>
      <c r="E3070" s="27"/>
      <c r="F3070" s="27"/>
      <c r="G3070" s="31" t="str">
        <f aca="false">IF(F3070="","",IF(F3070&lt;=5,"A",IF(F3070&lt;=8,"B",IF(F3070&lt;=10,"C","D"))))</f>
        <v/>
      </c>
      <c r="H3070" s="28"/>
      <c r="I3070" s="27"/>
      <c r="J3070" s="26"/>
      <c r="K3070" s="27"/>
      <c r="L3070" s="27"/>
      <c r="M3070" s="27"/>
      <c r="N3070" s="27"/>
      <c r="O3070" s="31" t="str">
        <f aca="false">IF(G3070="","",VLOOKUP(G3070,Setup!$A$14:$C$17,3,0))</f>
        <v/>
      </c>
      <c r="P3070" s="27"/>
      <c r="Q3070" s="33" t="str">
        <f aca="false">IF(OR(P3070="",M3070&lt;&gt;"Paid",O3070=""),"",P3070/O3070)</f>
        <v/>
      </c>
      <c r="R3070" s="34" t="str">
        <f aca="false">IF(Q3070="","",Q3070+N(H3070)*0.000000001)</f>
        <v/>
      </c>
      <c r="S3070" s="32" t="str">
        <f aca="false">IF(R3070="","",SUMPRODUCT((I$5:I$4004=I3070)*ISNUMBER(R$5:R$4004)*(R$5:R$4004&gt;R3070))+1)</f>
        <v/>
      </c>
      <c r="T3070" s="32" t="str">
        <f aca="false">IF(S3070="","",IF(S3070&lt;=Setup!$B$5,"🏆 WINNER",""))</f>
        <v/>
      </c>
      <c r="U3070" s="31" t="str">
        <f aca="false">IF(S3070="","",I3070&amp;"|"&amp;S3070)</f>
        <v/>
      </c>
    </row>
    <row r="3071" customFormat="false" ht="15" hidden="false" customHeight="false" outlineLevel="0" collapsed="false">
      <c r="A3071" s="24" t="n">
        <v>3067</v>
      </c>
      <c r="B3071" s="25" t="str">
        <f aca="false">IF(OR(C3071="",I3071="",G3071=""),"",IFERROR(VLOOKUP(I3071,Setup!$A$9:$B$11,2,0),"???")&amp;"-"&amp;G3071&amp;"-"&amp;TEXT(COUNTIFS(I$5:I3071,I3071,G$5:G3071,G3071),"0000"))</f>
        <v/>
      </c>
      <c r="C3071" s="26"/>
      <c r="D3071" s="26"/>
      <c r="E3071" s="27"/>
      <c r="F3071" s="27"/>
      <c r="G3071" s="24" t="str">
        <f aca="false">IF(F3071="","",IF(F3071&lt;=5,"A",IF(F3071&lt;=8,"B",IF(F3071&lt;=10,"C","D"))))</f>
        <v/>
      </c>
      <c r="H3071" s="28"/>
      <c r="I3071" s="27"/>
      <c r="J3071" s="26"/>
      <c r="K3071" s="27"/>
      <c r="L3071" s="27"/>
      <c r="M3071" s="27"/>
      <c r="N3071" s="27"/>
      <c r="O3071" s="24" t="str">
        <f aca="false">IF(G3071="","",VLOOKUP(G3071,Setup!$A$14:$C$17,3,0))</f>
        <v/>
      </c>
      <c r="P3071" s="27"/>
      <c r="Q3071" s="29" t="str">
        <f aca="false">IF(OR(P3071="",M3071&lt;&gt;"Paid",O3071=""),"",P3071/O3071)</f>
        <v/>
      </c>
      <c r="R3071" s="30" t="str">
        <f aca="false">IF(Q3071="","",Q3071+N(H3071)*0.000000001)</f>
        <v/>
      </c>
      <c r="S3071" s="25" t="str">
        <f aca="false">IF(R3071="","",SUMPRODUCT((I$5:I$4004=I3071)*ISNUMBER(R$5:R$4004)*(R$5:R$4004&gt;R3071))+1)</f>
        <v/>
      </c>
      <c r="T3071" s="25" t="str">
        <f aca="false">IF(S3071="","",IF(S3071&lt;=Setup!$B$5,"🏆 WINNER",""))</f>
        <v/>
      </c>
      <c r="U3071" s="24" t="str">
        <f aca="false">IF(S3071="","",I3071&amp;"|"&amp;S3071)</f>
        <v/>
      </c>
    </row>
    <row r="3072" customFormat="false" ht="15" hidden="false" customHeight="false" outlineLevel="0" collapsed="false">
      <c r="A3072" s="31" t="n">
        <v>3068</v>
      </c>
      <c r="B3072" s="32" t="str">
        <f aca="false">IF(OR(C3072="",I3072="",G3072=""),"",IFERROR(VLOOKUP(I3072,Setup!$A$9:$B$11,2,0),"???")&amp;"-"&amp;G3072&amp;"-"&amp;TEXT(COUNTIFS(I$5:I3072,I3072,G$5:G3072,G3072),"0000"))</f>
        <v/>
      </c>
      <c r="C3072" s="26"/>
      <c r="D3072" s="26"/>
      <c r="E3072" s="27"/>
      <c r="F3072" s="27"/>
      <c r="G3072" s="31" t="str">
        <f aca="false">IF(F3072="","",IF(F3072&lt;=5,"A",IF(F3072&lt;=8,"B",IF(F3072&lt;=10,"C","D"))))</f>
        <v/>
      </c>
      <c r="H3072" s="28"/>
      <c r="I3072" s="27"/>
      <c r="J3072" s="26"/>
      <c r="K3072" s="27"/>
      <c r="L3072" s="27"/>
      <c r="M3072" s="27"/>
      <c r="N3072" s="27"/>
      <c r="O3072" s="31" t="str">
        <f aca="false">IF(G3072="","",VLOOKUP(G3072,Setup!$A$14:$C$17,3,0))</f>
        <v/>
      </c>
      <c r="P3072" s="27"/>
      <c r="Q3072" s="33" t="str">
        <f aca="false">IF(OR(P3072="",M3072&lt;&gt;"Paid",O3072=""),"",P3072/O3072)</f>
        <v/>
      </c>
      <c r="R3072" s="34" t="str">
        <f aca="false">IF(Q3072="","",Q3072+N(H3072)*0.000000001)</f>
        <v/>
      </c>
      <c r="S3072" s="32" t="str">
        <f aca="false">IF(R3072="","",SUMPRODUCT((I$5:I$4004=I3072)*ISNUMBER(R$5:R$4004)*(R$5:R$4004&gt;R3072))+1)</f>
        <v/>
      </c>
      <c r="T3072" s="32" t="str">
        <f aca="false">IF(S3072="","",IF(S3072&lt;=Setup!$B$5,"🏆 WINNER",""))</f>
        <v/>
      </c>
      <c r="U3072" s="31" t="str">
        <f aca="false">IF(S3072="","",I3072&amp;"|"&amp;S3072)</f>
        <v/>
      </c>
    </row>
    <row r="3073" customFormat="false" ht="15" hidden="false" customHeight="false" outlineLevel="0" collapsed="false">
      <c r="A3073" s="24" t="n">
        <v>3069</v>
      </c>
      <c r="B3073" s="25" t="str">
        <f aca="false">IF(OR(C3073="",I3073="",G3073=""),"",IFERROR(VLOOKUP(I3073,Setup!$A$9:$B$11,2,0),"???")&amp;"-"&amp;G3073&amp;"-"&amp;TEXT(COUNTIFS(I$5:I3073,I3073,G$5:G3073,G3073),"0000"))</f>
        <v/>
      </c>
      <c r="C3073" s="26"/>
      <c r="D3073" s="26"/>
      <c r="E3073" s="27"/>
      <c r="F3073" s="27"/>
      <c r="G3073" s="24" t="str">
        <f aca="false">IF(F3073="","",IF(F3073&lt;=5,"A",IF(F3073&lt;=8,"B",IF(F3073&lt;=10,"C","D"))))</f>
        <v/>
      </c>
      <c r="H3073" s="28"/>
      <c r="I3073" s="27"/>
      <c r="J3073" s="26"/>
      <c r="K3073" s="27"/>
      <c r="L3073" s="27"/>
      <c r="M3073" s="27"/>
      <c r="N3073" s="27"/>
      <c r="O3073" s="24" t="str">
        <f aca="false">IF(G3073="","",VLOOKUP(G3073,Setup!$A$14:$C$17,3,0))</f>
        <v/>
      </c>
      <c r="P3073" s="27"/>
      <c r="Q3073" s="29" t="str">
        <f aca="false">IF(OR(P3073="",M3073&lt;&gt;"Paid",O3073=""),"",P3073/O3073)</f>
        <v/>
      </c>
      <c r="R3073" s="30" t="str">
        <f aca="false">IF(Q3073="","",Q3073+N(H3073)*0.000000001)</f>
        <v/>
      </c>
      <c r="S3073" s="25" t="str">
        <f aca="false">IF(R3073="","",SUMPRODUCT((I$5:I$4004=I3073)*ISNUMBER(R$5:R$4004)*(R$5:R$4004&gt;R3073))+1)</f>
        <v/>
      </c>
      <c r="T3073" s="25" t="str">
        <f aca="false">IF(S3073="","",IF(S3073&lt;=Setup!$B$5,"🏆 WINNER",""))</f>
        <v/>
      </c>
      <c r="U3073" s="24" t="str">
        <f aca="false">IF(S3073="","",I3073&amp;"|"&amp;S3073)</f>
        <v/>
      </c>
    </row>
    <row r="3074" customFormat="false" ht="15" hidden="false" customHeight="false" outlineLevel="0" collapsed="false">
      <c r="A3074" s="31" t="n">
        <v>3070</v>
      </c>
      <c r="B3074" s="32" t="str">
        <f aca="false">IF(OR(C3074="",I3074="",G3074=""),"",IFERROR(VLOOKUP(I3074,Setup!$A$9:$B$11,2,0),"???")&amp;"-"&amp;G3074&amp;"-"&amp;TEXT(COUNTIFS(I$5:I3074,I3074,G$5:G3074,G3074),"0000"))</f>
        <v/>
      </c>
      <c r="C3074" s="26"/>
      <c r="D3074" s="26"/>
      <c r="E3074" s="27"/>
      <c r="F3074" s="27"/>
      <c r="G3074" s="31" t="str">
        <f aca="false">IF(F3074="","",IF(F3074&lt;=5,"A",IF(F3074&lt;=8,"B",IF(F3074&lt;=10,"C","D"))))</f>
        <v/>
      </c>
      <c r="H3074" s="28"/>
      <c r="I3074" s="27"/>
      <c r="J3074" s="26"/>
      <c r="K3074" s="27"/>
      <c r="L3074" s="27"/>
      <c r="M3074" s="27"/>
      <c r="N3074" s="27"/>
      <c r="O3074" s="31" t="str">
        <f aca="false">IF(G3074="","",VLOOKUP(G3074,Setup!$A$14:$C$17,3,0))</f>
        <v/>
      </c>
      <c r="P3074" s="27"/>
      <c r="Q3074" s="33" t="str">
        <f aca="false">IF(OR(P3074="",M3074&lt;&gt;"Paid",O3074=""),"",P3074/O3074)</f>
        <v/>
      </c>
      <c r="R3074" s="34" t="str">
        <f aca="false">IF(Q3074="","",Q3074+N(H3074)*0.000000001)</f>
        <v/>
      </c>
      <c r="S3074" s="32" t="str">
        <f aca="false">IF(R3074="","",SUMPRODUCT((I$5:I$4004=I3074)*ISNUMBER(R$5:R$4004)*(R$5:R$4004&gt;R3074))+1)</f>
        <v/>
      </c>
      <c r="T3074" s="32" t="str">
        <f aca="false">IF(S3074="","",IF(S3074&lt;=Setup!$B$5,"🏆 WINNER",""))</f>
        <v/>
      </c>
      <c r="U3074" s="31" t="str">
        <f aca="false">IF(S3074="","",I3074&amp;"|"&amp;S3074)</f>
        <v/>
      </c>
    </row>
    <row r="3075" customFormat="false" ht="15" hidden="false" customHeight="false" outlineLevel="0" collapsed="false">
      <c r="A3075" s="24" t="n">
        <v>3071</v>
      </c>
      <c r="B3075" s="25" t="str">
        <f aca="false">IF(OR(C3075="",I3075="",G3075=""),"",IFERROR(VLOOKUP(I3075,Setup!$A$9:$B$11,2,0),"???")&amp;"-"&amp;G3075&amp;"-"&amp;TEXT(COUNTIFS(I$5:I3075,I3075,G$5:G3075,G3075),"0000"))</f>
        <v/>
      </c>
      <c r="C3075" s="26"/>
      <c r="D3075" s="26"/>
      <c r="E3075" s="27"/>
      <c r="F3075" s="27"/>
      <c r="G3075" s="24" t="str">
        <f aca="false">IF(F3075="","",IF(F3075&lt;=5,"A",IF(F3075&lt;=8,"B",IF(F3075&lt;=10,"C","D"))))</f>
        <v/>
      </c>
      <c r="H3075" s="28"/>
      <c r="I3075" s="27"/>
      <c r="J3075" s="26"/>
      <c r="K3075" s="27"/>
      <c r="L3075" s="27"/>
      <c r="M3075" s="27"/>
      <c r="N3075" s="27"/>
      <c r="O3075" s="24" t="str">
        <f aca="false">IF(G3075="","",VLOOKUP(G3075,Setup!$A$14:$C$17,3,0))</f>
        <v/>
      </c>
      <c r="P3075" s="27"/>
      <c r="Q3075" s="29" t="str">
        <f aca="false">IF(OR(P3075="",M3075&lt;&gt;"Paid",O3075=""),"",P3075/O3075)</f>
        <v/>
      </c>
      <c r="R3075" s="30" t="str">
        <f aca="false">IF(Q3075="","",Q3075+N(H3075)*0.000000001)</f>
        <v/>
      </c>
      <c r="S3075" s="25" t="str">
        <f aca="false">IF(R3075="","",SUMPRODUCT((I$5:I$4004=I3075)*ISNUMBER(R$5:R$4004)*(R$5:R$4004&gt;R3075))+1)</f>
        <v/>
      </c>
      <c r="T3075" s="25" t="str">
        <f aca="false">IF(S3075="","",IF(S3075&lt;=Setup!$B$5,"🏆 WINNER",""))</f>
        <v/>
      </c>
      <c r="U3075" s="24" t="str">
        <f aca="false">IF(S3075="","",I3075&amp;"|"&amp;S3075)</f>
        <v/>
      </c>
    </row>
    <row r="3076" customFormat="false" ht="15" hidden="false" customHeight="false" outlineLevel="0" collapsed="false">
      <c r="A3076" s="31" t="n">
        <v>3072</v>
      </c>
      <c r="B3076" s="32" t="str">
        <f aca="false">IF(OR(C3076="",I3076="",G3076=""),"",IFERROR(VLOOKUP(I3076,Setup!$A$9:$B$11,2,0),"???")&amp;"-"&amp;G3076&amp;"-"&amp;TEXT(COUNTIFS(I$5:I3076,I3076,G$5:G3076,G3076),"0000"))</f>
        <v/>
      </c>
      <c r="C3076" s="26"/>
      <c r="D3076" s="26"/>
      <c r="E3076" s="27"/>
      <c r="F3076" s="27"/>
      <c r="G3076" s="31" t="str">
        <f aca="false">IF(F3076="","",IF(F3076&lt;=5,"A",IF(F3076&lt;=8,"B",IF(F3076&lt;=10,"C","D"))))</f>
        <v/>
      </c>
      <c r="H3076" s="28"/>
      <c r="I3076" s="27"/>
      <c r="J3076" s="26"/>
      <c r="K3076" s="27"/>
      <c r="L3076" s="27"/>
      <c r="M3076" s="27"/>
      <c r="N3076" s="27"/>
      <c r="O3076" s="31" t="str">
        <f aca="false">IF(G3076="","",VLOOKUP(G3076,Setup!$A$14:$C$17,3,0))</f>
        <v/>
      </c>
      <c r="P3076" s="27"/>
      <c r="Q3076" s="33" t="str">
        <f aca="false">IF(OR(P3076="",M3076&lt;&gt;"Paid",O3076=""),"",P3076/O3076)</f>
        <v/>
      </c>
      <c r="R3076" s="34" t="str">
        <f aca="false">IF(Q3076="","",Q3076+N(H3076)*0.000000001)</f>
        <v/>
      </c>
      <c r="S3076" s="32" t="str">
        <f aca="false">IF(R3076="","",SUMPRODUCT((I$5:I$4004=I3076)*ISNUMBER(R$5:R$4004)*(R$5:R$4004&gt;R3076))+1)</f>
        <v/>
      </c>
      <c r="T3076" s="32" t="str">
        <f aca="false">IF(S3076="","",IF(S3076&lt;=Setup!$B$5,"🏆 WINNER",""))</f>
        <v/>
      </c>
      <c r="U3076" s="31" t="str">
        <f aca="false">IF(S3076="","",I3076&amp;"|"&amp;S3076)</f>
        <v/>
      </c>
    </row>
    <row r="3077" customFormat="false" ht="15" hidden="false" customHeight="false" outlineLevel="0" collapsed="false">
      <c r="A3077" s="24" t="n">
        <v>3073</v>
      </c>
      <c r="B3077" s="25" t="str">
        <f aca="false">IF(OR(C3077="",I3077="",G3077=""),"",IFERROR(VLOOKUP(I3077,Setup!$A$9:$B$11,2,0),"???")&amp;"-"&amp;G3077&amp;"-"&amp;TEXT(COUNTIFS(I$5:I3077,I3077,G$5:G3077,G3077),"0000"))</f>
        <v/>
      </c>
      <c r="C3077" s="26"/>
      <c r="D3077" s="26"/>
      <c r="E3077" s="27"/>
      <c r="F3077" s="27"/>
      <c r="G3077" s="24" t="str">
        <f aca="false">IF(F3077="","",IF(F3077&lt;=5,"A",IF(F3077&lt;=8,"B",IF(F3077&lt;=10,"C","D"))))</f>
        <v/>
      </c>
      <c r="H3077" s="28"/>
      <c r="I3077" s="27"/>
      <c r="J3077" s="26"/>
      <c r="K3077" s="27"/>
      <c r="L3077" s="27"/>
      <c r="M3077" s="27"/>
      <c r="N3077" s="27"/>
      <c r="O3077" s="24" t="str">
        <f aca="false">IF(G3077="","",VLOOKUP(G3077,Setup!$A$14:$C$17,3,0))</f>
        <v/>
      </c>
      <c r="P3077" s="27"/>
      <c r="Q3077" s="29" t="str">
        <f aca="false">IF(OR(P3077="",M3077&lt;&gt;"Paid",O3077=""),"",P3077/O3077)</f>
        <v/>
      </c>
      <c r="R3077" s="30" t="str">
        <f aca="false">IF(Q3077="","",Q3077+N(H3077)*0.000000001)</f>
        <v/>
      </c>
      <c r="S3077" s="25" t="str">
        <f aca="false">IF(R3077="","",SUMPRODUCT((I$5:I$4004=I3077)*ISNUMBER(R$5:R$4004)*(R$5:R$4004&gt;R3077))+1)</f>
        <v/>
      </c>
      <c r="T3077" s="25" t="str">
        <f aca="false">IF(S3077="","",IF(S3077&lt;=Setup!$B$5,"🏆 WINNER",""))</f>
        <v/>
      </c>
      <c r="U3077" s="24" t="str">
        <f aca="false">IF(S3077="","",I3077&amp;"|"&amp;S3077)</f>
        <v/>
      </c>
    </row>
    <row r="3078" customFormat="false" ht="15" hidden="false" customHeight="false" outlineLevel="0" collapsed="false">
      <c r="A3078" s="31" t="n">
        <v>3074</v>
      </c>
      <c r="B3078" s="32" t="str">
        <f aca="false">IF(OR(C3078="",I3078="",G3078=""),"",IFERROR(VLOOKUP(I3078,Setup!$A$9:$B$11,2,0),"???")&amp;"-"&amp;G3078&amp;"-"&amp;TEXT(COUNTIFS(I$5:I3078,I3078,G$5:G3078,G3078),"0000"))</f>
        <v/>
      </c>
      <c r="C3078" s="26"/>
      <c r="D3078" s="26"/>
      <c r="E3078" s="27"/>
      <c r="F3078" s="27"/>
      <c r="G3078" s="31" t="str">
        <f aca="false">IF(F3078="","",IF(F3078&lt;=5,"A",IF(F3078&lt;=8,"B",IF(F3078&lt;=10,"C","D"))))</f>
        <v/>
      </c>
      <c r="H3078" s="28"/>
      <c r="I3078" s="27"/>
      <c r="J3078" s="26"/>
      <c r="K3078" s="27"/>
      <c r="L3078" s="27"/>
      <c r="M3078" s="27"/>
      <c r="N3078" s="27"/>
      <c r="O3078" s="31" t="str">
        <f aca="false">IF(G3078="","",VLOOKUP(G3078,Setup!$A$14:$C$17,3,0))</f>
        <v/>
      </c>
      <c r="P3078" s="27"/>
      <c r="Q3078" s="33" t="str">
        <f aca="false">IF(OR(P3078="",M3078&lt;&gt;"Paid",O3078=""),"",P3078/O3078)</f>
        <v/>
      </c>
      <c r="R3078" s="34" t="str">
        <f aca="false">IF(Q3078="","",Q3078+N(H3078)*0.000000001)</f>
        <v/>
      </c>
      <c r="S3078" s="32" t="str">
        <f aca="false">IF(R3078="","",SUMPRODUCT((I$5:I$4004=I3078)*ISNUMBER(R$5:R$4004)*(R$5:R$4004&gt;R3078))+1)</f>
        <v/>
      </c>
      <c r="T3078" s="32" t="str">
        <f aca="false">IF(S3078="","",IF(S3078&lt;=Setup!$B$5,"🏆 WINNER",""))</f>
        <v/>
      </c>
      <c r="U3078" s="31" t="str">
        <f aca="false">IF(S3078="","",I3078&amp;"|"&amp;S3078)</f>
        <v/>
      </c>
    </row>
    <row r="3079" customFormat="false" ht="15" hidden="false" customHeight="false" outlineLevel="0" collapsed="false">
      <c r="A3079" s="24" t="n">
        <v>3075</v>
      </c>
      <c r="B3079" s="25" t="str">
        <f aca="false">IF(OR(C3079="",I3079="",G3079=""),"",IFERROR(VLOOKUP(I3079,Setup!$A$9:$B$11,2,0),"???")&amp;"-"&amp;G3079&amp;"-"&amp;TEXT(COUNTIFS(I$5:I3079,I3079,G$5:G3079,G3079),"0000"))</f>
        <v/>
      </c>
      <c r="C3079" s="26"/>
      <c r="D3079" s="26"/>
      <c r="E3079" s="27"/>
      <c r="F3079" s="27"/>
      <c r="G3079" s="24" t="str">
        <f aca="false">IF(F3079="","",IF(F3079&lt;=5,"A",IF(F3079&lt;=8,"B",IF(F3079&lt;=10,"C","D"))))</f>
        <v/>
      </c>
      <c r="H3079" s="28"/>
      <c r="I3079" s="27"/>
      <c r="J3079" s="26"/>
      <c r="K3079" s="27"/>
      <c r="L3079" s="27"/>
      <c r="M3079" s="27"/>
      <c r="N3079" s="27"/>
      <c r="O3079" s="24" t="str">
        <f aca="false">IF(G3079="","",VLOOKUP(G3079,Setup!$A$14:$C$17,3,0))</f>
        <v/>
      </c>
      <c r="P3079" s="27"/>
      <c r="Q3079" s="29" t="str">
        <f aca="false">IF(OR(P3079="",M3079&lt;&gt;"Paid",O3079=""),"",P3079/O3079)</f>
        <v/>
      </c>
      <c r="R3079" s="30" t="str">
        <f aca="false">IF(Q3079="","",Q3079+N(H3079)*0.000000001)</f>
        <v/>
      </c>
      <c r="S3079" s="25" t="str">
        <f aca="false">IF(R3079="","",SUMPRODUCT((I$5:I$4004=I3079)*ISNUMBER(R$5:R$4004)*(R$5:R$4004&gt;R3079))+1)</f>
        <v/>
      </c>
      <c r="T3079" s="25" t="str">
        <f aca="false">IF(S3079="","",IF(S3079&lt;=Setup!$B$5,"🏆 WINNER",""))</f>
        <v/>
      </c>
      <c r="U3079" s="24" t="str">
        <f aca="false">IF(S3079="","",I3079&amp;"|"&amp;S3079)</f>
        <v/>
      </c>
    </row>
    <row r="3080" customFormat="false" ht="15" hidden="false" customHeight="false" outlineLevel="0" collapsed="false">
      <c r="A3080" s="31" t="n">
        <v>3076</v>
      </c>
      <c r="B3080" s="32" t="str">
        <f aca="false">IF(OR(C3080="",I3080="",G3080=""),"",IFERROR(VLOOKUP(I3080,Setup!$A$9:$B$11,2,0),"???")&amp;"-"&amp;G3080&amp;"-"&amp;TEXT(COUNTIFS(I$5:I3080,I3080,G$5:G3080,G3080),"0000"))</f>
        <v/>
      </c>
      <c r="C3080" s="26"/>
      <c r="D3080" s="26"/>
      <c r="E3080" s="27"/>
      <c r="F3080" s="27"/>
      <c r="G3080" s="31" t="str">
        <f aca="false">IF(F3080="","",IF(F3080&lt;=5,"A",IF(F3080&lt;=8,"B",IF(F3080&lt;=10,"C","D"))))</f>
        <v/>
      </c>
      <c r="H3080" s="28"/>
      <c r="I3080" s="27"/>
      <c r="J3080" s="26"/>
      <c r="K3080" s="27"/>
      <c r="L3080" s="27"/>
      <c r="M3080" s="27"/>
      <c r="N3080" s="27"/>
      <c r="O3080" s="31" t="str">
        <f aca="false">IF(G3080="","",VLOOKUP(G3080,Setup!$A$14:$C$17,3,0))</f>
        <v/>
      </c>
      <c r="P3080" s="27"/>
      <c r="Q3080" s="33" t="str">
        <f aca="false">IF(OR(P3080="",M3080&lt;&gt;"Paid",O3080=""),"",P3080/O3080)</f>
        <v/>
      </c>
      <c r="R3080" s="34" t="str">
        <f aca="false">IF(Q3080="","",Q3080+N(H3080)*0.000000001)</f>
        <v/>
      </c>
      <c r="S3080" s="32" t="str">
        <f aca="false">IF(R3080="","",SUMPRODUCT((I$5:I$4004=I3080)*ISNUMBER(R$5:R$4004)*(R$5:R$4004&gt;R3080))+1)</f>
        <v/>
      </c>
      <c r="T3080" s="32" t="str">
        <f aca="false">IF(S3080="","",IF(S3080&lt;=Setup!$B$5,"🏆 WINNER",""))</f>
        <v/>
      </c>
      <c r="U3080" s="31" t="str">
        <f aca="false">IF(S3080="","",I3080&amp;"|"&amp;S3080)</f>
        <v/>
      </c>
    </row>
    <row r="3081" customFormat="false" ht="15" hidden="false" customHeight="false" outlineLevel="0" collapsed="false">
      <c r="A3081" s="24" t="n">
        <v>3077</v>
      </c>
      <c r="B3081" s="25" t="str">
        <f aca="false">IF(OR(C3081="",I3081="",G3081=""),"",IFERROR(VLOOKUP(I3081,Setup!$A$9:$B$11,2,0),"???")&amp;"-"&amp;G3081&amp;"-"&amp;TEXT(COUNTIFS(I$5:I3081,I3081,G$5:G3081,G3081),"0000"))</f>
        <v/>
      </c>
      <c r="C3081" s="26"/>
      <c r="D3081" s="26"/>
      <c r="E3081" s="27"/>
      <c r="F3081" s="27"/>
      <c r="G3081" s="24" t="str">
        <f aca="false">IF(F3081="","",IF(F3081&lt;=5,"A",IF(F3081&lt;=8,"B",IF(F3081&lt;=10,"C","D"))))</f>
        <v/>
      </c>
      <c r="H3081" s="28"/>
      <c r="I3081" s="27"/>
      <c r="J3081" s="26"/>
      <c r="K3081" s="27"/>
      <c r="L3081" s="27"/>
      <c r="M3081" s="27"/>
      <c r="N3081" s="27"/>
      <c r="O3081" s="24" t="str">
        <f aca="false">IF(G3081="","",VLOOKUP(G3081,Setup!$A$14:$C$17,3,0))</f>
        <v/>
      </c>
      <c r="P3081" s="27"/>
      <c r="Q3081" s="29" t="str">
        <f aca="false">IF(OR(P3081="",M3081&lt;&gt;"Paid",O3081=""),"",P3081/O3081)</f>
        <v/>
      </c>
      <c r="R3081" s="30" t="str">
        <f aca="false">IF(Q3081="","",Q3081+N(H3081)*0.000000001)</f>
        <v/>
      </c>
      <c r="S3081" s="25" t="str">
        <f aca="false">IF(R3081="","",SUMPRODUCT((I$5:I$4004=I3081)*ISNUMBER(R$5:R$4004)*(R$5:R$4004&gt;R3081))+1)</f>
        <v/>
      </c>
      <c r="T3081" s="25" t="str">
        <f aca="false">IF(S3081="","",IF(S3081&lt;=Setup!$B$5,"🏆 WINNER",""))</f>
        <v/>
      </c>
      <c r="U3081" s="24" t="str">
        <f aca="false">IF(S3081="","",I3081&amp;"|"&amp;S3081)</f>
        <v/>
      </c>
    </row>
    <row r="3082" customFormat="false" ht="15" hidden="false" customHeight="false" outlineLevel="0" collapsed="false">
      <c r="A3082" s="31" t="n">
        <v>3078</v>
      </c>
      <c r="B3082" s="32" t="str">
        <f aca="false">IF(OR(C3082="",I3082="",G3082=""),"",IFERROR(VLOOKUP(I3082,Setup!$A$9:$B$11,2,0),"???")&amp;"-"&amp;G3082&amp;"-"&amp;TEXT(COUNTIFS(I$5:I3082,I3082,G$5:G3082,G3082),"0000"))</f>
        <v/>
      </c>
      <c r="C3082" s="26"/>
      <c r="D3082" s="26"/>
      <c r="E3082" s="27"/>
      <c r="F3082" s="27"/>
      <c r="G3082" s="31" t="str">
        <f aca="false">IF(F3082="","",IF(F3082&lt;=5,"A",IF(F3082&lt;=8,"B",IF(F3082&lt;=10,"C","D"))))</f>
        <v/>
      </c>
      <c r="H3082" s="28"/>
      <c r="I3082" s="27"/>
      <c r="J3082" s="26"/>
      <c r="K3082" s="27"/>
      <c r="L3082" s="27"/>
      <c r="M3082" s="27"/>
      <c r="N3082" s="27"/>
      <c r="O3082" s="31" t="str">
        <f aca="false">IF(G3082="","",VLOOKUP(G3082,Setup!$A$14:$C$17,3,0))</f>
        <v/>
      </c>
      <c r="P3082" s="27"/>
      <c r="Q3082" s="33" t="str">
        <f aca="false">IF(OR(P3082="",M3082&lt;&gt;"Paid",O3082=""),"",P3082/O3082)</f>
        <v/>
      </c>
      <c r="R3082" s="34" t="str">
        <f aca="false">IF(Q3082="","",Q3082+N(H3082)*0.000000001)</f>
        <v/>
      </c>
      <c r="S3082" s="32" t="str">
        <f aca="false">IF(R3082="","",SUMPRODUCT((I$5:I$4004=I3082)*ISNUMBER(R$5:R$4004)*(R$5:R$4004&gt;R3082))+1)</f>
        <v/>
      </c>
      <c r="T3082" s="32" t="str">
        <f aca="false">IF(S3082="","",IF(S3082&lt;=Setup!$B$5,"🏆 WINNER",""))</f>
        <v/>
      </c>
      <c r="U3082" s="31" t="str">
        <f aca="false">IF(S3082="","",I3082&amp;"|"&amp;S3082)</f>
        <v/>
      </c>
    </row>
    <row r="3083" customFormat="false" ht="15" hidden="false" customHeight="false" outlineLevel="0" collapsed="false">
      <c r="A3083" s="24" t="n">
        <v>3079</v>
      </c>
      <c r="B3083" s="25" t="str">
        <f aca="false">IF(OR(C3083="",I3083="",G3083=""),"",IFERROR(VLOOKUP(I3083,Setup!$A$9:$B$11,2,0),"???")&amp;"-"&amp;G3083&amp;"-"&amp;TEXT(COUNTIFS(I$5:I3083,I3083,G$5:G3083,G3083),"0000"))</f>
        <v/>
      </c>
      <c r="C3083" s="26"/>
      <c r="D3083" s="26"/>
      <c r="E3083" s="27"/>
      <c r="F3083" s="27"/>
      <c r="G3083" s="24" t="str">
        <f aca="false">IF(F3083="","",IF(F3083&lt;=5,"A",IF(F3083&lt;=8,"B",IF(F3083&lt;=10,"C","D"))))</f>
        <v/>
      </c>
      <c r="H3083" s="28"/>
      <c r="I3083" s="27"/>
      <c r="J3083" s="26"/>
      <c r="K3083" s="27"/>
      <c r="L3083" s="27"/>
      <c r="M3083" s="27"/>
      <c r="N3083" s="27"/>
      <c r="O3083" s="24" t="str">
        <f aca="false">IF(G3083="","",VLOOKUP(G3083,Setup!$A$14:$C$17,3,0))</f>
        <v/>
      </c>
      <c r="P3083" s="27"/>
      <c r="Q3083" s="29" t="str">
        <f aca="false">IF(OR(P3083="",M3083&lt;&gt;"Paid",O3083=""),"",P3083/O3083)</f>
        <v/>
      </c>
      <c r="R3083" s="30" t="str">
        <f aca="false">IF(Q3083="","",Q3083+N(H3083)*0.000000001)</f>
        <v/>
      </c>
      <c r="S3083" s="25" t="str">
        <f aca="false">IF(R3083="","",SUMPRODUCT((I$5:I$4004=I3083)*ISNUMBER(R$5:R$4004)*(R$5:R$4004&gt;R3083))+1)</f>
        <v/>
      </c>
      <c r="T3083" s="25" t="str">
        <f aca="false">IF(S3083="","",IF(S3083&lt;=Setup!$B$5,"🏆 WINNER",""))</f>
        <v/>
      </c>
      <c r="U3083" s="24" t="str">
        <f aca="false">IF(S3083="","",I3083&amp;"|"&amp;S3083)</f>
        <v/>
      </c>
    </row>
    <row r="3084" customFormat="false" ht="15" hidden="false" customHeight="false" outlineLevel="0" collapsed="false">
      <c r="A3084" s="31" t="n">
        <v>3080</v>
      </c>
      <c r="B3084" s="32" t="str">
        <f aca="false">IF(OR(C3084="",I3084="",G3084=""),"",IFERROR(VLOOKUP(I3084,Setup!$A$9:$B$11,2,0),"???")&amp;"-"&amp;G3084&amp;"-"&amp;TEXT(COUNTIFS(I$5:I3084,I3084,G$5:G3084,G3084),"0000"))</f>
        <v/>
      </c>
      <c r="C3084" s="26"/>
      <c r="D3084" s="26"/>
      <c r="E3084" s="27"/>
      <c r="F3084" s="27"/>
      <c r="G3084" s="31" t="str">
        <f aca="false">IF(F3084="","",IF(F3084&lt;=5,"A",IF(F3084&lt;=8,"B",IF(F3084&lt;=10,"C","D"))))</f>
        <v/>
      </c>
      <c r="H3084" s="28"/>
      <c r="I3084" s="27"/>
      <c r="J3084" s="26"/>
      <c r="K3084" s="27"/>
      <c r="L3084" s="27"/>
      <c r="M3084" s="27"/>
      <c r="N3084" s="27"/>
      <c r="O3084" s="31" t="str">
        <f aca="false">IF(G3084="","",VLOOKUP(G3084,Setup!$A$14:$C$17,3,0))</f>
        <v/>
      </c>
      <c r="P3084" s="27"/>
      <c r="Q3084" s="33" t="str">
        <f aca="false">IF(OR(P3084="",M3084&lt;&gt;"Paid",O3084=""),"",P3084/O3084)</f>
        <v/>
      </c>
      <c r="R3084" s="34" t="str">
        <f aca="false">IF(Q3084="","",Q3084+N(H3084)*0.000000001)</f>
        <v/>
      </c>
      <c r="S3084" s="32" t="str">
        <f aca="false">IF(R3084="","",SUMPRODUCT((I$5:I$4004=I3084)*ISNUMBER(R$5:R$4004)*(R$5:R$4004&gt;R3084))+1)</f>
        <v/>
      </c>
      <c r="T3084" s="32" t="str">
        <f aca="false">IF(S3084="","",IF(S3084&lt;=Setup!$B$5,"🏆 WINNER",""))</f>
        <v/>
      </c>
      <c r="U3084" s="31" t="str">
        <f aca="false">IF(S3084="","",I3084&amp;"|"&amp;S3084)</f>
        <v/>
      </c>
    </row>
    <row r="3085" customFormat="false" ht="15" hidden="false" customHeight="false" outlineLevel="0" collapsed="false">
      <c r="A3085" s="24" t="n">
        <v>3081</v>
      </c>
      <c r="B3085" s="25" t="str">
        <f aca="false">IF(OR(C3085="",I3085="",G3085=""),"",IFERROR(VLOOKUP(I3085,Setup!$A$9:$B$11,2,0),"???")&amp;"-"&amp;G3085&amp;"-"&amp;TEXT(COUNTIFS(I$5:I3085,I3085,G$5:G3085,G3085),"0000"))</f>
        <v/>
      </c>
      <c r="C3085" s="26"/>
      <c r="D3085" s="26"/>
      <c r="E3085" s="27"/>
      <c r="F3085" s="27"/>
      <c r="G3085" s="24" t="str">
        <f aca="false">IF(F3085="","",IF(F3085&lt;=5,"A",IF(F3085&lt;=8,"B",IF(F3085&lt;=10,"C","D"))))</f>
        <v/>
      </c>
      <c r="H3085" s="28"/>
      <c r="I3085" s="27"/>
      <c r="J3085" s="26"/>
      <c r="K3085" s="27"/>
      <c r="L3085" s="27"/>
      <c r="M3085" s="27"/>
      <c r="N3085" s="27"/>
      <c r="O3085" s="24" t="str">
        <f aca="false">IF(G3085="","",VLOOKUP(G3085,Setup!$A$14:$C$17,3,0))</f>
        <v/>
      </c>
      <c r="P3085" s="27"/>
      <c r="Q3085" s="29" t="str">
        <f aca="false">IF(OR(P3085="",M3085&lt;&gt;"Paid",O3085=""),"",P3085/O3085)</f>
        <v/>
      </c>
      <c r="R3085" s="30" t="str">
        <f aca="false">IF(Q3085="","",Q3085+N(H3085)*0.000000001)</f>
        <v/>
      </c>
      <c r="S3085" s="25" t="str">
        <f aca="false">IF(R3085="","",SUMPRODUCT((I$5:I$4004=I3085)*ISNUMBER(R$5:R$4004)*(R$5:R$4004&gt;R3085))+1)</f>
        <v/>
      </c>
      <c r="T3085" s="25" t="str">
        <f aca="false">IF(S3085="","",IF(S3085&lt;=Setup!$B$5,"🏆 WINNER",""))</f>
        <v/>
      </c>
      <c r="U3085" s="24" t="str">
        <f aca="false">IF(S3085="","",I3085&amp;"|"&amp;S3085)</f>
        <v/>
      </c>
    </row>
    <row r="3086" customFormat="false" ht="15" hidden="false" customHeight="false" outlineLevel="0" collapsed="false">
      <c r="A3086" s="31" t="n">
        <v>3082</v>
      </c>
      <c r="B3086" s="32" t="str">
        <f aca="false">IF(OR(C3086="",I3086="",G3086=""),"",IFERROR(VLOOKUP(I3086,Setup!$A$9:$B$11,2,0),"???")&amp;"-"&amp;G3086&amp;"-"&amp;TEXT(COUNTIFS(I$5:I3086,I3086,G$5:G3086,G3086),"0000"))</f>
        <v/>
      </c>
      <c r="C3086" s="26"/>
      <c r="D3086" s="26"/>
      <c r="E3086" s="27"/>
      <c r="F3086" s="27"/>
      <c r="G3086" s="31" t="str">
        <f aca="false">IF(F3086="","",IF(F3086&lt;=5,"A",IF(F3086&lt;=8,"B",IF(F3086&lt;=10,"C","D"))))</f>
        <v/>
      </c>
      <c r="H3086" s="28"/>
      <c r="I3086" s="27"/>
      <c r="J3086" s="26"/>
      <c r="K3086" s="27"/>
      <c r="L3086" s="27"/>
      <c r="M3086" s="27"/>
      <c r="N3086" s="27"/>
      <c r="O3086" s="31" t="str">
        <f aca="false">IF(G3086="","",VLOOKUP(G3086,Setup!$A$14:$C$17,3,0))</f>
        <v/>
      </c>
      <c r="P3086" s="27"/>
      <c r="Q3086" s="33" t="str">
        <f aca="false">IF(OR(P3086="",M3086&lt;&gt;"Paid",O3086=""),"",P3086/O3086)</f>
        <v/>
      </c>
      <c r="R3086" s="34" t="str">
        <f aca="false">IF(Q3086="","",Q3086+N(H3086)*0.000000001)</f>
        <v/>
      </c>
      <c r="S3086" s="32" t="str">
        <f aca="false">IF(R3086="","",SUMPRODUCT((I$5:I$4004=I3086)*ISNUMBER(R$5:R$4004)*(R$5:R$4004&gt;R3086))+1)</f>
        <v/>
      </c>
      <c r="T3086" s="32" t="str">
        <f aca="false">IF(S3086="","",IF(S3086&lt;=Setup!$B$5,"🏆 WINNER",""))</f>
        <v/>
      </c>
      <c r="U3086" s="31" t="str">
        <f aca="false">IF(S3086="","",I3086&amp;"|"&amp;S3086)</f>
        <v/>
      </c>
    </row>
    <row r="3087" customFormat="false" ht="15" hidden="false" customHeight="false" outlineLevel="0" collapsed="false">
      <c r="A3087" s="24" t="n">
        <v>3083</v>
      </c>
      <c r="B3087" s="25" t="str">
        <f aca="false">IF(OR(C3087="",I3087="",G3087=""),"",IFERROR(VLOOKUP(I3087,Setup!$A$9:$B$11,2,0),"???")&amp;"-"&amp;G3087&amp;"-"&amp;TEXT(COUNTIFS(I$5:I3087,I3087,G$5:G3087,G3087),"0000"))</f>
        <v/>
      </c>
      <c r="C3087" s="26"/>
      <c r="D3087" s="26"/>
      <c r="E3087" s="27"/>
      <c r="F3087" s="27"/>
      <c r="G3087" s="24" t="str">
        <f aca="false">IF(F3087="","",IF(F3087&lt;=5,"A",IF(F3087&lt;=8,"B",IF(F3087&lt;=10,"C","D"))))</f>
        <v/>
      </c>
      <c r="H3087" s="28"/>
      <c r="I3087" s="27"/>
      <c r="J3087" s="26"/>
      <c r="K3087" s="27"/>
      <c r="L3087" s="27"/>
      <c r="M3087" s="27"/>
      <c r="N3087" s="27"/>
      <c r="O3087" s="24" t="str">
        <f aca="false">IF(G3087="","",VLOOKUP(G3087,Setup!$A$14:$C$17,3,0))</f>
        <v/>
      </c>
      <c r="P3087" s="27"/>
      <c r="Q3087" s="29" t="str">
        <f aca="false">IF(OR(P3087="",M3087&lt;&gt;"Paid",O3087=""),"",P3087/O3087)</f>
        <v/>
      </c>
      <c r="R3087" s="30" t="str">
        <f aca="false">IF(Q3087="","",Q3087+N(H3087)*0.000000001)</f>
        <v/>
      </c>
      <c r="S3087" s="25" t="str">
        <f aca="false">IF(R3087="","",SUMPRODUCT((I$5:I$4004=I3087)*ISNUMBER(R$5:R$4004)*(R$5:R$4004&gt;R3087))+1)</f>
        <v/>
      </c>
      <c r="T3087" s="25" t="str">
        <f aca="false">IF(S3087="","",IF(S3087&lt;=Setup!$B$5,"🏆 WINNER",""))</f>
        <v/>
      </c>
      <c r="U3087" s="24" t="str">
        <f aca="false">IF(S3087="","",I3087&amp;"|"&amp;S3087)</f>
        <v/>
      </c>
    </row>
    <row r="3088" customFormat="false" ht="15" hidden="false" customHeight="false" outlineLevel="0" collapsed="false">
      <c r="A3088" s="31" t="n">
        <v>3084</v>
      </c>
      <c r="B3088" s="32" t="str">
        <f aca="false">IF(OR(C3088="",I3088="",G3088=""),"",IFERROR(VLOOKUP(I3088,Setup!$A$9:$B$11,2,0),"???")&amp;"-"&amp;G3088&amp;"-"&amp;TEXT(COUNTIFS(I$5:I3088,I3088,G$5:G3088,G3088),"0000"))</f>
        <v/>
      </c>
      <c r="C3088" s="26"/>
      <c r="D3088" s="26"/>
      <c r="E3088" s="27"/>
      <c r="F3088" s="27"/>
      <c r="G3088" s="31" t="str">
        <f aca="false">IF(F3088="","",IF(F3088&lt;=5,"A",IF(F3088&lt;=8,"B",IF(F3088&lt;=10,"C","D"))))</f>
        <v/>
      </c>
      <c r="H3088" s="28"/>
      <c r="I3088" s="27"/>
      <c r="J3088" s="26"/>
      <c r="K3088" s="27"/>
      <c r="L3088" s="27"/>
      <c r="M3088" s="27"/>
      <c r="N3088" s="27"/>
      <c r="O3088" s="31" t="str">
        <f aca="false">IF(G3088="","",VLOOKUP(G3088,Setup!$A$14:$C$17,3,0))</f>
        <v/>
      </c>
      <c r="P3088" s="27"/>
      <c r="Q3088" s="33" t="str">
        <f aca="false">IF(OR(P3088="",M3088&lt;&gt;"Paid",O3088=""),"",P3088/O3088)</f>
        <v/>
      </c>
      <c r="R3088" s="34" t="str">
        <f aca="false">IF(Q3088="","",Q3088+N(H3088)*0.000000001)</f>
        <v/>
      </c>
      <c r="S3088" s="32" t="str">
        <f aca="false">IF(R3088="","",SUMPRODUCT((I$5:I$4004=I3088)*ISNUMBER(R$5:R$4004)*(R$5:R$4004&gt;R3088))+1)</f>
        <v/>
      </c>
      <c r="T3088" s="32" t="str">
        <f aca="false">IF(S3088="","",IF(S3088&lt;=Setup!$B$5,"🏆 WINNER",""))</f>
        <v/>
      </c>
      <c r="U3088" s="31" t="str">
        <f aca="false">IF(S3088="","",I3088&amp;"|"&amp;S3088)</f>
        <v/>
      </c>
    </row>
    <row r="3089" customFormat="false" ht="15" hidden="false" customHeight="false" outlineLevel="0" collapsed="false">
      <c r="A3089" s="24" t="n">
        <v>3085</v>
      </c>
      <c r="B3089" s="25" t="str">
        <f aca="false">IF(OR(C3089="",I3089="",G3089=""),"",IFERROR(VLOOKUP(I3089,Setup!$A$9:$B$11,2,0),"???")&amp;"-"&amp;G3089&amp;"-"&amp;TEXT(COUNTIFS(I$5:I3089,I3089,G$5:G3089,G3089),"0000"))</f>
        <v/>
      </c>
      <c r="C3089" s="26"/>
      <c r="D3089" s="26"/>
      <c r="E3089" s="27"/>
      <c r="F3089" s="27"/>
      <c r="G3089" s="24" t="str">
        <f aca="false">IF(F3089="","",IF(F3089&lt;=5,"A",IF(F3089&lt;=8,"B",IF(F3089&lt;=10,"C","D"))))</f>
        <v/>
      </c>
      <c r="H3089" s="28"/>
      <c r="I3089" s="27"/>
      <c r="J3089" s="26"/>
      <c r="K3089" s="27"/>
      <c r="L3089" s="27"/>
      <c r="M3089" s="27"/>
      <c r="N3089" s="27"/>
      <c r="O3089" s="24" t="str">
        <f aca="false">IF(G3089="","",VLOOKUP(G3089,Setup!$A$14:$C$17,3,0))</f>
        <v/>
      </c>
      <c r="P3089" s="27"/>
      <c r="Q3089" s="29" t="str">
        <f aca="false">IF(OR(P3089="",M3089&lt;&gt;"Paid",O3089=""),"",P3089/O3089)</f>
        <v/>
      </c>
      <c r="R3089" s="30" t="str">
        <f aca="false">IF(Q3089="","",Q3089+N(H3089)*0.000000001)</f>
        <v/>
      </c>
      <c r="S3089" s="25" t="str">
        <f aca="false">IF(R3089="","",SUMPRODUCT((I$5:I$4004=I3089)*ISNUMBER(R$5:R$4004)*(R$5:R$4004&gt;R3089))+1)</f>
        <v/>
      </c>
      <c r="T3089" s="25" t="str">
        <f aca="false">IF(S3089="","",IF(S3089&lt;=Setup!$B$5,"🏆 WINNER",""))</f>
        <v/>
      </c>
      <c r="U3089" s="24" t="str">
        <f aca="false">IF(S3089="","",I3089&amp;"|"&amp;S3089)</f>
        <v/>
      </c>
    </row>
    <row r="3090" customFormat="false" ht="15" hidden="false" customHeight="false" outlineLevel="0" collapsed="false">
      <c r="A3090" s="31" t="n">
        <v>3086</v>
      </c>
      <c r="B3090" s="32" t="str">
        <f aca="false">IF(OR(C3090="",I3090="",G3090=""),"",IFERROR(VLOOKUP(I3090,Setup!$A$9:$B$11,2,0),"???")&amp;"-"&amp;G3090&amp;"-"&amp;TEXT(COUNTIFS(I$5:I3090,I3090,G$5:G3090,G3090),"0000"))</f>
        <v/>
      </c>
      <c r="C3090" s="26"/>
      <c r="D3090" s="26"/>
      <c r="E3090" s="27"/>
      <c r="F3090" s="27"/>
      <c r="G3090" s="31" t="str">
        <f aca="false">IF(F3090="","",IF(F3090&lt;=5,"A",IF(F3090&lt;=8,"B",IF(F3090&lt;=10,"C","D"))))</f>
        <v/>
      </c>
      <c r="H3090" s="28"/>
      <c r="I3090" s="27"/>
      <c r="J3090" s="26"/>
      <c r="K3090" s="27"/>
      <c r="L3090" s="27"/>
      <c r="M3090" s="27"/>
      <c r="N3090" s="27"/>
      <c r="O3090" s="31" t="str">
        <f aca="false">IF(G3090="","",VLOOKUP(G3090,Setup!$A$14:$C$17,3,0))</f>
        <v/>
      </c>
      <c r="P3090" s="27"/>
      <c r="Q3090" s="33" t="str">
        <f aca="false">IF(OR(P3090="",M3090&lt;&gt;"Paid",O3090=""),"",P3090/O3090)</f>
        <v/>
      </c>
      <c r="R3090" s="34" t="str">
        <f aca="false">IF(Q3090="","",Q3090+N(H3090)*0.000000001)</f>
        <v/>
      </c>
      <c r="S3090" s="32" t="str">
        <f aca="false">IF(R3090="","",SUMPRODUCT((I$5:I$4004=I3090)*ISNUMBER(R$5:R$4004)*(R$5:R$4004&gt;R3090))+1)</f>
        <v/>
      </c>
      <c r="T3090" s="32" t="str">
        <f aca="false">IF(S3090="","",IF(S3090&lt;=Setup!$B$5,"🏆 WINNER",""))</f>
        <v/>
      </c>
      <c r="U3090" s="31" t="str">
        <f aca="false">IF(S3090="","",I3090&amp;"|"&amp;S3090)</f>
        <v/>
      </c>
    </row>
    <row r="3091" customFormat="false" ht="15" hidden="false" customHeight="false" outlineLevel="0" collapsed="false">
      <c r="A3091" s="24" t="n">
        <v>3087</v>
      </c>
      <c r="B3091" s="25" t="str">
        <f aca="false">IF(OR(C3091="",I3091="",G3091=""),"",IFERROR(VLOOKUP(I3091,Setup!$A$9:$B$11,2,0),"???")&amp;"-"&amp;G3091&amp;"-"&amp;TEXT(COUNTIFS(I$5:I3091,I3091,G$5:G3091,G3091),"0000"))</f>
        <v/>
      </c>
      <c r="C3091" s="26"/>
      <c r="D3091" s="26"/>
      <c r="E3091" s="27"/>
      <c r="F3091" s="27"/>
      <c r="G3091" s="24" t="str">
        <f aca="false">IF(F3091="","",IF(F3091&lt;=5,"A",IF(F3091&lt;=8,"B",IF(F3091&lt;=10,"C","D"))))</f>
        <v/>
      </c>
      <c r="H3091" s="28"/>
      <c r="I3091" s="27"/>
      <c r="J3091" s="26"/>
      <c r="K3091" s="27"/>
      <c r="L3091" s="27"/>
      <c r="M3091" s="27"/>
      <c r="N3091" s="27"/>
      <c r="O3091" s="24" t="str">
        <f aca="false">IF(G3091="","",VLOOKUP(G3091,Setup!$A$14:$C$17,3,0))</f>
        <v/>
      </c>
      <c r="P3091" s="27"/>
      <c r="Q3091" s="29" t="str">
        <f aca="false">IF(OR(P3091="",M3091&lt;&gt;"Paid",O3091=""),"",P3091/O3091)</f>
        <v/>
      </c>
      <c r="R3091" s="30" t="str">
        <f aca="false">IF(Q3091="","",Q3091+N(H3091)*0.000000001)</f>
        <v/>
      </c>
      <c r="S3091" s="25" t="str">
        <f aca="false">IF(R3091="","",SUMPRODUCT((I$5:I$4004=I3091)*ISNUMBER(R$5:R$4004)*(R$5:R$4004&gt;R3091))+1)</f>
        <v/>
      </c>
      <c r="T3091" s="25" t="str">
        <f aca="false">IF(S3091="","",IF(S3091&lt;=Setup!$B$5,"🏆 WINNER",""))</f>
        <v/>
      </c>
      <c r="U3091" s="24" t="str">
        <f aca="false">IF(S3091="","",I3091&amp;"|"&amp;S3091)</f>
        <v/>
      </c>
    </row>
    <row r="3092" customFormat="false" ht="15" hidden="false" customHeight="false" outlineLevel="0" collapsed="false">
      <c r="A3092" s="31" t="n">
        <v>3088</v>
      </c>
      <c r="B3092" s="32" t="str">
        <f aca="false">IF(OR(C3092="",I3092="",G3092=""),"",IFERROR(VLOOKUP(I3092,Setup!$A$9:$B$11,2,0),"???")&amp;"-"&amp;G3092&amp;"-"&amp;TEXT(COUNTIFS(I$5:I3092,I3092,G$5:G3092,G3092),"0000"))</f>
        <v/>
      </c>
      <c r="C3092" s="26"/>
      <c r="D3092" s="26"/>
      <c r="E3092" s="27"/>
      <c r="F3092" s="27"/>
      <c r="G3092" s="31" t="str">
        <f aca="false">IF(F3092="","",IF(F3092&lt;=5,"A",IF(F3092&lt;=8,"B",IF(F3092&lt;=10,"C","D"))))</f>
        <v/>
      </c>
      <c r="H3092" s="28"/>
      <c r="I3092" s="27"/>
      <c r="J3092" s="26"/>
      <c r="K3092" s="27"/>
      <c r="L3092" s="27"/>
      <c r="M3092" s="27"/>
      <c r="N3092" s="27"/>
      <c r="O3092" s="31" t="str">
        <f aca="false">IF(G3092="","",VLOOKUP(G3092,Setup!$A$14:$C$17,3,0))</f>
        <v/>
      </c>
      <c r="P3092" s="27"/>
      <c r="Q3092" s="33" t="str">
        <f aca="false">IF(OR(P3092="",M3092&lt;&gt;"Paid",O3092=""),"",P3092/O3092)</f>
        <v/>
      </c>
      <c r="R3092" s="34" t="str">
        <f aca="false">IF(Q3092="","",Q3092+N(H3092)*0.000000001)</f>
        <v/>
      </c>
      <c r="S3092" s="32" t="str">
        <f aca="false">IF(R3092="","",SUMPRODUCT((I$5:I$4004=I3092)*ISNUMBER(R$5:R$4004)*(R$5:R$4004&gt;R3092))+1)</f>
        <v/>
      </c>
      <c r="T3092" s="32" t="str">
        <f aca="false">IF(S3092="","",IF(S3092&lt;=Setup!$B$5,"🏆 WINNER",""))</f>
        <v/>
      </c>
      <c r="U3092" s="31" t="str">
        <f aca="false">IF(S3092="","",I3092&amp;"|"&amp;S3092)</f>
        <v/>
      </c>
    </row>
    <row r="3093" customFormat="false" ht="15" hidden="false" customHeight="false" outlineLevel="0" collapsed="false">
      <c r="A3093" s="24" t="n">
        <v>3089</v>
      </c>
      <c r="B3093" s="25" t="str">
        <f aca="false">IF(OR(C3093="",I3093="",G3093=""),"",IFERROR(VLOOKUP(I3093,Setup!$A$9:$B$11,2,0),"???")&amp;"-"&amp;G3093&amp;"-"&amp;TEXT(COUNTIFS(I$5:I3093,I3093,G$5:G3093,G3093),"0000"))</f>
        <v/>
      </c>
      <c r="C3093" s="26"/>
      <c r="D3093" s="26"/>
      <c r="E3093" s="27"/>
      <c r="F3093" s="27"/>
      <c r="G3093" s="24" t="str">
        <f aca="false">IF(F3093="","",IF(F3093&lt;=5,"A",IF(F3093&lt;=8,"B",IF(F3093&lt;=10,"C","D"))))</f>
        <v/>
      </c>
      <c r="H3093" s="28"/>
      <c r="I3093" s="27"/>
      <c r="J3093" s="26"/>
      <c r="K3093" s="27"/>
      <c r="L3093" s="27"/>
      <c r="M3093" s="27"/>
      <c r="N3093" s="27"/>
      <c r="O3093" s="24" t="str">
        <f aca="false">IF(G3093="","",VLOOKUP(G3093,Setup!$A$14:$C$17,3,0))</f>
        <v/>
      </c>
      <c r="P3093" s="27"/>
      <c r="Q3093" s="29" t="str">
        <f aca="false">IF(OR(P3093="",M3093&lt;&gt;"Paid",O3093=""),"",P3093/O3093)</f>
        <v/>
      </c>
      <c r="R3093" s="30" t="str">
        <f aca="false">IF(Q3093="","",Q3093+N(H3093)*0.000000001)</f>
        <v/>
      </c>
      <c r="S3093" s="25" t="str">
        <f aca="false">IF(R3093="","",SUMPRODUCT((I$5:I$4004=I3093)*ISNUMBER(R$5:R$4004)*(R$5:R$4004&gt;R3093))+1)</f>
        <v/>
      </c>
      <c r="T3093" s="25" t="str">
        <f aca="false">IF(S3093="","",IF(S3093&lt;=Setup!$B$5,"🏆 WINNER",""))</f>
        <v/>
      </c>
      <c r="U3093" s="24" t="str">
        <f aca="false">IF(S3093="","",I3093&amp;"|"&amp;S3093)</f>
        <v/>
      </c>
    </row>
    <row r="3094" customFormat="false" ht="15" hidden="false" customHeight="false" outlineLevel="0" collapsed="false">
      <c r="A3094" s="31" t="n">
        <v>3090</v>
      </c>
      <c r="B3094" s="32" t="str">
        <f aca="false">IF(OR(C3094="",I3094="",G3094=""),"",IFERROR(VLOOKUP(I3094,Setup!$A$9:$B$11,2,0),"???")&amp;"-"&amp;G3094&amp;"-"&amp;TEXT(COUNTIFS(I$5:I3094,I3094,G$5:G3094,G3094),"0000"))</f>
        <v/>
      </c>
      <c r="C3094" s="26"/>
      <c r="D3094" s="26"/>
      <c r="E3094" s="27"/>
      <c r="F3094" s="27"/>
      <c r="G3094" s="31" t="str">
        <f aca="false">IF(F3094="","",IF(F3094&lt;=5,"A",IF(F3094&lt;=8,"B",IF(F3094&lt;=10,"C","D"))))</f>
        <v/>
      </c>
      <c r="H3094" s="28"/>
      <c r="I3094" s="27"/>
      <c r="J3094" s="26"/>
      <c r="K3094" s="27"/>
      <c r="L3094" s="27"/>
      <c r="M3094" s="27"/>
      <c r="N3094" s="27"/>
      <c r="O3094" s="31" t="str">
        <f aca="false">IF(G3094="","",VLOOKUP(G3094,Setup!$A$14:$C$17,3,0))</f>
        <v/>
      </c>
      <c r="P3094" s="27"/>
      <c r="Q3094" s="33" t="str">
        <f aca="false">IF(OR(P3094="",M3094&lt;&gt;"Paid",O3094=""),"",P3094/O3094)</f>
        <v/>
      </c>
      <c r="R3094" s="34" t="str">
        <f aca="false">IF(Q3094="","",Q3094+N(H3094)*0.000000001)</f>
        <v/>
      </c>
      <c r="S3094" s="32" t="str">
        <f aca="false">IF(R3094="","",SUMPRODUCT((I$5:I$4004=I3094)*ISNUMBER(R$5:R$4004)*(R$5:R$4004&gt;R3094))+1)</f>
        <v/>
      </c>
      <c r="T3094" s="32" t="str">
        <f aca="false">IF(S3094="","",IF(S3094&lt;=Setup!$B$5,"🏆 WINNER",""))</f>
        <v/>
      </c>
      <c r="U3094" s="31" t="str">
        <f aca="false">IF(S3094="","",I3094&amp;"|"&amp;S3094)</f>
        <v/>
      </c>
    </row>
    <row r="3095" customFormat="false" ht="15" hidden="false" customHeight="false" outlineLevel="0" collapsed="false">
      <c r="A3095" s="24" t="n">
        <v>3091</v>
      </c>
      <c r="B3095" s="25" t="str">
        <f aca="false">IF(OR(C3095="",I3095="",G3095=""),"",IFERROR(VLOOKUP(I3095,Setup!$A$9:$B$11,2,0),"???")&amp;"-"&amp;G3095&amp;"-"&amp;TEXT(COUNTIFS(I$5:I3095,I3095,G$5:G3095,G3095),"0000"))</f>
        <v/>
      </c>
      <c r="C3095" s="26"/>
      <c r="D3095" s="26"/>
      <c r="E3095" s="27"/>
      <c r="F3095" s="27"/>
      <c r="G3095" s="24" t="str">
        <f aca="false">IF(F3095="","",IF(F3095&lt;=5,"A",IF(F3095&lt;=8,"B",IF(F3095&lt;=10,"C","D"))))</f>
        <v/>
      </c>
      <c r="H3095" s="28"/>
      <c r="I3095" s="27"/>
      <c r="J3095" s="26"/>
      <c r="K3095" s="27"/>
      <c r="L3095" s="27"/>
      <c r="M3095" s="27"/>
      <c r="N3095" s="27"/>
      <c r="O3095" s="24" t="str">
        <f aca="false">IF(G3095="","",VLOOKUP(G3095,Setup!$A$14:$C$17,3,0))</f>
        <v/>
      </c>
      <c r="P3095" s="27"/>
      <c r="Q3095" s="29" t="str">
        <f aca="false">IF(OR(P3095="",M3095&lt;&gt;"Paid",O3095=""),"",P3095/O3095)</f>
        <v/>
      </c>
      <c r="R3095" s="30" t="str">
        <f aca="false">IF(Q3095="","",Q3095+N(H3095)*0.000000001)</f>
        <v/>
      </c>
      <c r="S3095" s="25" t="str">
        <f aca="false">IF(R3095="","",SUMPRODUCT((I$5:I$4004=I3095)*ISNUMBER(R$5:R$4004)*(R$5:R$4004&gt;R3095))+1)</f>
        <v/>
      </c>
      <c r="T3095" s="25" t="str">
        <f aca="false">IF(S3095="","",IF(S3095&lt;=Setup!$B$5,"🏆 WINNER",""))</f>
        <v/>
      </c>
      <c r="U3095" s="24" t="str">
        <f aca="false">IF(S3095="","",I3095&amp;"|"&amp;S3095)</f>
        <v/>
      </c>
    </row>
    <row r="3096" customFormat="false" ht="15" hidden="false" customHeight="false" outlineLevel="0" collapsed="false">
      <c r="A3096" s="31" t="n">
        <v>3092</v>
      </c>
      <c r="B3096" s="32" t="str">
        <f aca="false">IF(OR(C3096="",I3096="",G3096=""),"",IFERROR(VLOOKUP(I3096,Setup!$A$9:$B$11,2,0),"???")&amp;"-"&amp;G3096&amp;"-"&amp;TEXT(COUNTIFS(I$5:I3096,I3096,G$5:G3096,G3096),"0000"))</f>
        <v/>
      </c>
      <c r="C3096" s="26"/>
      <c r="D3096" s="26"/>
      <c r="E3096" s="27"/>
      <c r="F3096" s="27"/>
      <c r="G3096" s="31" t="str">
        <f aca="false">IF(F3096="","",IF(F3096&lt;=5,"A",IF(F3096&lt;=8,"B",IF(F3096&lt;=10,"C","D"))))</f>
        <v/>
      </c>
      <c r="H3096" s="28"/>
      <c r="I3096" s="27"/>
      <c r="J3096" s="26"/>
      <c r="K3096" s="27"/>
      <c r="L3096" s="27"/>
      <c r="M3096" s="27"/>
      <c r="N3096" s="27"/>
      <c r="O3096" s="31" t="str">
        <f aca="false">IF(G3096="","",VLOOKUP(G3096,Setup!$A$14:$C$17,3,0))</f>
        <v/>
      </c>
      <c r="P3096" s="27"/>
      <c r="Q3096" s="33" t="str">
        <f aca="false">IF(OR(P3096="",M3096&lt;&gt;"Paid",O3096=""),"",P3096/O3096)</f>
        <v/>
      </c>
      <c r="R3096" s="34" t="str">
        <f aca="false">IF(Q3096="","",Q3096+N(H3096)*0.000000001)</f>
        <v/>
      </c>
      <c r="S3096" s="32" t="str">
        <f aca="false">IF(R3096="","",SUMPRODUCT((I$5:I$4004=I3096)*ISNUMBER(R$5:R$4004)*(R$5:R$4004&gt;R3096))+1)</f>
        <v/>
      </c>
      <c r="T3096" s="32" t="str">
        <f aca="false">IF(S3096="","",IF(S3096&lt;=Setup!$B$5,"🏆 WINNER",""))</f>
        <v/>
      </c>
      <c r="U3096" s="31" t="str">
        <f aca="false">IF(S3096="","",I3096&amp;"|"&amp;S3096)</f>
        <v/>
      </c>
    </row>
    <row r="3097" customFormat="false" ht="15" hidden="false" customHeight="false" outlineLevel="0" collapsed="false">
      <c r="A3097" s="24" t="n">
        <v>3093</v>
      </c>
      <c r="B3097" s="25" t="str">
        <f aca="false">IF(OR(C3097="",I3097="",G3097=""),"",IFERROR(VLOOKUP(I3097,Setup!$A$9:$B$11,2,0),"???")&amp;"-"&amp;G3097&amp;"-"&amp;TEXT(COUNTIFS(I$5:I3097,I3097,G$5:G3097,G3097),"0000"))</f>
        <v/>
      </c>
      <c r="C3097" s="26"/>
      <c r="D3097" s="26"/>
      <c r="E3097" s="27"/>
      <c r="F3097" s="27"/>
      <c r="G3097" s="24" t="str">
        <f aca="false">IF(F3097="","",IF(F3097&lt;=5,"A",IF(F3097&lt;=8,"B",IF(F3097&lt;=10,"C","D"))))</f>
        <v/>
      </c>
      <c r="H3097" s="28"/>
      <c r="I3097" s="27"/>
      <c r="J3097" s="26"/>
      <c r="K3097" s="27"/>
      <c r="L3097" s="27"/>
      <c r="M3097" s="27"/>
      <c r="N3097" s="27"/>
      <c r="O3097" s="24" t="str">
        <f aca="false">IF(G3097="","",VLOOKUP(G3097,Setup!$A$14:$C$17,3,0))</f>
        <v/>
      </c>
      <c r="P3097" s="27"/>
      <c r="Q3097" s="29" t="str">
        <f aca="false">IF(OR(P3097="",M3097&lt;&gt;"Paid",O3097=""),"",P3097/O3097)</f>
        <v/>
      </c>
      <c r="R3097" s="30" t="str">
        <f aca="false">IF(Q3097="","",Q3097+N(H3097)*0.000000001)</f>
        <v/>
      </c>
      <c r="S3097" s="25" t="str">
        <f aca="false">IF(R3097="","",SUMPRODUCT((I$5:I$4004=I3097)*ISNUMBER(R$5:R$4004)*(R$5:R$4004&gt;R3097))+1)</f>
        <v/>
      </c>
      <c r="T3097" s="25" t="str">
        <f aca="false">IF(S3097="","",IF(S3097&lt;=Setup!$B$5,"🏆 WINNER",""))</f>
        <v/>
      </c>
      <c r="U3097" s="24" t="str">
        <f aca="false">IF(S3097="","",I3097&amp;"|"&amp;S3097)</f>
        <v/>
      </c>
    </row>
    <row r="3098" customFormat="false" ht="15" hidden="false" customHeight="false" outlineLevel="0" collapsed="false">
      <c r="A3098" s="31" t="n">
        <v>3094</v>
      </c>
      <c r="B3098" s="32" t="str">
        <f aca="false">IF(OR(C3098="",I3098="",G3098=""),"",IFERROR(VLOOKUP(I3098,Setup!$A$9:$B$11,2,0),"???")&amp;"-"&amp;G3098&amp;"-"&amp;TEXT(COUNTIFS(I$5:I3098,I3098,G$5:G3098,G3098),"0000"))</f>
        <v/>
      </c>
      <c r="C3098" s="26"/>
      <c r="D3098" s="26"/>
      <c r="E3098" s="27"/>
      <c r="F3098" s="27"/>
      <c r="G3098" s="31" t="str">
        <f aca="false">IF(F3098="","",IF(F3098&lt;=5,"A",IF(F3098&lt;=8,"B",IF(F3098&lt;=10,"C","D"))))</f>
        <v/>
      </c>
      <c r="H3098" s="28"/>
      <c r="I3098" s="27"/>
      <c r="J3098" s="26"/>
      <c r="K3098" s="27"/>
      <c r="L3098" s="27"/>
      <c r="M3098" s="27"/>
      <c r="N3098" s="27"/>
      <c r="O3098" s="31" t="str">
        <f aca="false">IF(G3098="","",VLOOKUP(G3098,Setup!$A$14:$C$17,3,0))</f>
        <v/>
      </c>
      <c r="P3098" s="27"/>
      <c r="Q3098" s="33" t="str">
        <f aca="false">IF(OR(P3098="",M3098&lt;&gt;"Paid",O3098=""),"",P3098/O3098)</f>
        <v/>
      </c>
      <c r="R3098" s="34" t="str">
        <f aca="false">IF(Q3098="","",Q3098+N(H3098)*0.000000001)</f>
        <v/>
      </c>
      <c r="S3098" s="32" t="str">
        <f aca="false">IF(R3098="","",SUMPRODUCT((I$5:I$4004=I3098)*ISNUMBER(R$5:R$4004)*(R$5:R$4004&gt;R3098))+1)</f>
        <v/>
      </c>
      <c r="T3098" s="32" t="str">
        <f aca="false">IF(S3098="","",IF(S3098&lt;=Setup!$B$5,"🏆 WINNER",""))</f>
        <v/>
      </c>
      <c r="U3098" s="31" t="str">
        <f aca="false">IF(S3098="","",I3098&amp;"|"&amp;S3098)</f>
        <v/>
      </c>
    </row>
    <row r="3099" customFormat="false" ht="15" hidden="false" customHeight="false" outlineLevel="0" collapsed="false">
      <c r="A3099" s="24" t="n">
        <v>3095</v>
      </c>
      <c r="B3099" s="25" t="str">
        <f aca="false">IF(OR(C3099="",I3099="",G3099=""),"",IFERROR(VLOOKUP(I3099,Setup!$A$9:$B$11,2,0),"???")&amp;"-"&amp;G3099&amp;"-"&amp;TEXT(COUNTIFS(I$5:I3099,I3099,G$5:G3099,G3099),"0000"))</f>
        <v/>
      </c>
      <c r="C3099" s="26"/>
      <c r="D3099" s="26"/>
      <c r="E3099" s="27"/>
      <c r="F3099" s="27"/>
      <c r="G3099" s="24" t="str">
        <f aca="false">IF(F3099="","",IF(F3099&lt;=5,"A",IF(F3099&lt;=8,"B",IF(F3099&lt;=10,"C","D"))))</f>
        <v/>
      </c>
      <c r="H3099" s="28"/>
      <c r="I3099" s="27"/>
      <c r="J3099" s="26"/>
      <c r="K3099" s="27"/>
      <c r="L3099" s="27"/>
      <c r="M3099" s="27"/>
      <c r="N3099" s="27"/>
      <c r="O3099" s="24" t="str">
        <f aca="false">IF(G3099="","",VLOOKUP(G3099,Setup!$A$14:$C$17,3,0))</f>
        <v/>
      </c>
      <c r="P3099" s="27"/>
      <c r="Q3099" s="29" t="str">
        <f aca="false">IF(OR(P3099="",M3099&lt;&gt;"Paid",O3099=""),"",P3099/O3099)</f>
        <v/>
      </c>
      <c r="R3099" s="30" t="str">
        <f aca="false">IF(Q3099="","",Q3099+N(H3099)*0.000000001)</f>
        <v/>
      </c>
      <c r="S3099" s="25" t="str">
        <f aca="false">IF(R3099="","",SUMPRODUCT((I$5:I$4004=I3099)*ISNUMBER(R$5:R$4004)*(R$5:R$4004&gt;R3099))+1)</f>
        <v/>
      </c>
      <c r="T3099" s="25" t="str">
        <f aca="false">IF(S3099="","",IF(S3099&lt;=Setup!$B$5,"🏆 WINNER",""))</f>
        <v/>
      </c>
      <c r="U3099" s="24" t="str">
        <f aca="false">IF(S3099="","",I3099&amp;"|"&amp;S3099)</f>
        <v/>
      </c>
    </row>
    <row r="3100" customFormat="false" ht="15" hidden="false" customHeight="false" outlineLevel="0" collapsed="false">
      <c r="A3100" s="31" t="n">
        <v>3096</v>
      </c>
      <c r="B3100" s="32" t="str">
        <f aca="false">IF(OR(C3100="",I3100="",G3100=""),"",IFERROR(VLOOKUP(I3100,Setup!$A$9:$B$11,2,0),"???")&amp;"-"&amp;G3100&amp;"-"&amp;TEXT(COUNTIFS(I$5:I3100,I3100,G$5:G3100,G3100),"0000"))</f>
        <v/>
      </c>
      <c r="C3100" s="26"/>
      <c r="D3100" s="26"/>
      <c r="E3100" s="27"/>
      <c r="F3100" s="27"/>
      <c r="G3100" s="31" t="str">
        <f aca="false">IF(F3100="","",IF(F3100&lt;=5,"A",IF(F3100&lt;=8,"B",IF(F3100&lt;=10,"C","D"))))</f>
        <v/>
      </c>
      <c r="H3100" s="28"/>
      <c r="I3100" s="27"/>
      <c r="J3100" s="26"/>
      <c r="K3100" s="27"/>
      <c r="L3100" s="27"/>
      <c r="M3100" s="27"/>
      <c r="N3100" s="27"/>
      <c r="O3100" s="31" t="str">
        <f aca="false">IF(G3100="","",VLOOKUP(G3100,Setup!$A$14:$C$17,3,0))</f>
        <v/>
      </c>
      <c r="P3100" s="27"/>
      <c r="Q3100" s="33" t="str">
        <f aca="false">IF(OR(P3100="",M3100&lt;&gt;"Paid",O3100=""),"",P3100/O3100)</f>
        <v/>
      </c>
      <c r="R3100" s="34" t="str">
        <f aca="false">IF(Q3100="","",Q3100+N(H3100)*0.000000001)</f>
        <v/>
      </c>
      <c r="S3100" s="32" t="str">
        <f aca="false">IF(R3100="","",SUMPRODUCT((I$5:I$4004=I3100)*ISNUMBER(R$5:R$4004)*(R$5:R$4004&gt;R3100))+1)</f>
        <v/>
      </c>
      <c r="T3100" s="32" t="str">
        <f aca="false">IF(S3100="","",IF(S3100&lt;=Setup!$B$5,"🏆 WINNER",""))</f>
        <v/>
      </c>
      <c r="U3100" s="31" t="str">
        <f aca="false">IF(S3100="","",I3100&amp;"|"&amp;S3100)</f>
        <v/>
      </c>
    </row>
    <row r="3101" customFormat="false" ht="15" hidden="false" customHeight="false" outlineLevel="0" collapsed="false">
      <c r="A3101" s="24" t="n">
        <v>3097</v>
      </c>
      <c r="B3101" s="25" t="str">
        <f aca="false">IF(OR(C3101="",I3101="",G3101=""),"",IFERROR(VLOOKUP(I3101,Setup!$A$9:$B$11,2,0),"???")&amp;"-"&amp;G3101&amp;"-"&amp;TEXT(COUNTIFS(I$5:I3101,I3101,G$5:G3101,G3101),"0000"))</f>
        <v/>
      </c>
      <c r="C3101" s="26"/>
      <c r="D3101" s="26"/>
      <c r="E3101" s="27"/>
      <c r="F3101" s="27"/>
      <c r="G3101" s="24" t="str">
        <f aca="false">IF(F3101="","",IF(F3101&lt;=5,"A",IF(F3101&lt;=8,"B",IF(F3101&lt;=10,"C","D"))))</f>
        <v/>
      </c>
      <c r="H3101" s="28"/>
      <c r="I3101" s="27"/>
      <c r="J3101" s="26"/>
      <c r="K3101" s="27"/>
      <c r="L3101" s="27"/>
      <c r="M3101" s="27"/>
      <c r="N3101" s="27"/>
      <c r="O3101" s="24" t="str">
        <f aca="false">IF(G3101="","",VLOOKUP(G3101,Setup!$A$14:$C$17,3,0))</f>
        <v/>
      </c>
      <c r="P3101" s="27"/>
      <c r="Q3101" s="29" t="str">
        <f aca="false">IF(OR(P3101="",M3101&lt;&gt;"Paid",O3101=""),"",P3101/O3101)</f>
        <v/>
      </c>
      <c r="R3101" s="30" t="str">
        <f aca="false">IF(Q3101="","",Q3101+N(H3101)*0.000000001)</f>
        <v/>
      </c>
      <c r="S3101" s="25" t="str">
        <f aca="false">IF(R3101="","",SUMPRODUCT((I$5:I$4004=I3101)*ISNUMBER(R$5:R$4004)*(R$5:R$4004&gt;R3101))+1)</f>
        <v/>
      </c>
      <c r="T3101" s="25" t="str">
        <f aca="false">IF(S3101="","",IF(S3101&lt;=Setup!$B$5,"🏆 WINNER",""))</f>
        <v/>
      </c>
      <c r="U3101" s="24" t="str">
        <f aca="false">IF(S3101="","",I3101&amp;"|"&amp;S3101)</f>
        <v/>
      </c>
    </row>
    <row r="3102" customFormat="false" ht="15" hidden="false" customHeight="false" outlineLevel="0" collapsed="false">
      <c r="A3102" s="31" t="n">
        <v>3098</v>
      </c>
      <c r="B3102" s="32" t="str">
        <f aca="false">IF(OR(C3102="",I3102="",G3102=""),"",IFERROR(VLOOKUP(I3102,Setup!$A$9:$B$11,2,0),"???")&amp;"-"&amp;G3102&amp;"-"&amp;TEXT(COUNTIFS(I$5:I3102,I3102,G$5:G3102,G3102),"0000"))</f>
        <v/>
      </c>
      <c r="C3102" s="26"/>
      <c r="D3102" s="26"/>
      <c r="E3102" s="27"/>
      <c r="F3102" s="27"/>
      <c r="G3102" s="31" t="str">
        <f aca="false">IF(F3102="","",IF(F3102&lt;=5,"A",IF(F3102&lt;=8,"B",IF(F3102&lt;=10,"C","D"))))</f>
        <v/>
      </c>
      <c r="H3102" s="28"/>
      <c r="I3102" s="27"/>
      <c r="J3102" s="26"/>
      <c r="K3102" s="27"/>
      <c r="L3102" s="27"/>
      <c r="M3102" s="27"/>
      <c r="N3102" s="27"/>
      <c r="O3102" s="31" t="str">
        <f aca="false">IF(G3102="","",VLOOKUP(G3102,Setup!$A$14:$C$17,3,0))</f>
        <v/>
      </c>
      <c r="P3102" s="27"/>
      <c r="Q3102" s="33" t="str">
        <f aca="false">IF(OR(P3102="",M3102&lt;&gt;"Paid",O3102=""),"",P3102/O3102)</f>
        <v/>
      </c>
      <c r="R3102" s="34" t="str">
        <f aca="false">IF(Q3102="","",Q3102+N(H3102)*0.000000001)</f>
        <v/>
      </c>
      <c r="S3102" s="32" t="str">
        <f aca="false">IF(R3102="","",SUMPRODUCT((I$5:I$4004=I3102)*ISNUMBER(R$5:R$4004)*(R$5:R$4004&gt;R3102))+1)</f>
        <v/>
      </c>
      <c r="T3102" s="32" t="str">
        <f aca="false">IF(S3102="","",IF(S3102&lt;=Setup!$B$5,"🏆 WINNER",""))</f>
        <v/>
      </c>
      <c r="U3102" s="31" t="str">
        <f aca="false">IF(S3102="","",I3102&amp;"|"&amp;S3102)</f>
        <v/>
      </c>
    </row>
    <row r="3103" customFormat="false" ht="15" hidden="false" customHeight="false" outlineLevel="0" collapsed="false">
      <c r="A3103" s="24" t="n">
        <v>3099</v>
      </c>
      <c r="B3103" s="25" t="str">
        <f aca="false">IF(OR(C3103="",I3103="",G3103=""),"",IFERROR(VLOOKUP(I3103,Setup!$A$9:$B$11,2,0),"???")&amp;"-"&amp;G3103&amp;"-"&amp;TEXT(COUNTIFS(I$5:I3103,I3103,G$5:G3103,G3103),"0000"))</f>
        <v/>
      </c>
      <c r="C3103" s="26"/>
      <c r="D3103" s="26"/>
      <c r="E3103" s="27"/>
      <c r="F3103" s="27"/>
      <c r="G3103" s="24" t="str">
        <f aca="false">IF(F3103="","",IF(F3103&lt;=5,"A",IF(F3103&lt;=8,"B",IF(F3103&lt;=10,"C","D"))))</f>
        <v/>
      </c>
      <c r="H3103" s="28"/>
      <c r="I3103" s="27"/>
      <c r="J3103" s="26"/>
      <c r="K3103" s="27"/>
      <c r="L3103" s="27"/>
      <c r="M3103" s="27"/>
      <c r="N3103" s="27"/>
      <c r="O3103" s="24" t="str">
        <f aca="false">IF(G3103="","",VLOOKUP(G3103,Setup!$A$14:$C$17,3,0))</f>
        <v/>
      </c>
      <c r="P3103" s="27"/>
      <c r="Q3103" s="29" t="str">
        <f aca="false">IF(OR(P3103="",M3103&lt;&gt;"Paid",O3103=""),"",P3103/O3103)</f>
        <v/>
      </c>
      <c r="R3103" s="30" t="str">
        <f aca="false">IF(Q3103="","",Q3103+N(H3103)*0.000000001)</f>
        <v/>
      </c>
      <c r="S3103" s="25" t="str">
        <f aca="false">IF(R3103="","",SUMPRODUCT((I$5:I$4004=I3103)*ISNUMBER(R$5:R$4004)*(R$5:R$4004&gt;R3103))+1)</f>
        <v/>
      </c>
      <c r="T3103" s="25" t="str">
        <f aca="false">IF(S3103="","",IF(S3103&lt;=Setup!$B$5,"🏆 WINNER",""))</f>
        <v/>
      </c>
      <c r="U3103" s="24" t="str">
        <f aca="false">IF(S3103="","",I3103&amp;"|"&amp;S3103)</f>
        <v/>
      </c>
    </row>
    <row r="3104" customFormat="false" ht="15" hidden="false" customHeight="false" outlineLevel="0" collapsed="false">
      <c r="A3104" s="31" t="n">
        <v>3100</v>
      </c>
      <c r="B3104" s="32" t="str">
        <f aca="false">IF(OR(C3104="",I3104="",G3104=""),"",IFERROR(VLOOKUP(I3104,Setup!$A$9:$B$11,2,0),"???")&amp;"-"&amp;G3104&amp;"-"&amp;TEXT(COUNTIFS(I$5:I3104,I3104,G$5:G3104,G3104),"0000"))</f>
        <v/>
      </c>
      <c r="C3104" s="26"/>
      <c r="D3104" s="26"/>
      <c r="E3104" s="27"/>
      <c r="F3104" s="27"/>
      <c r="G3104" s="31" t="str">
        <f aca="false">IF(F3104="","",IF(F3104&lt;=5,"A",IF(F3104&lt;=8,"B",IF(F3104&lt;=10,"C","D"))))</f>
        <v/>
      </c>
      <c r="H3104" s="28"/>
      <c r="I3104" s="27"/>
      <c r="J3104" s="26"/>
      <c r="K3104" s="27"/>
      <c r="L3104" s="27"/>
      <c r="M3104" s="27"/>
      <c r="N3104" s="27"/>
      <c r="O3104" s="31" t="str">
        <f aca="false">IF(G3104="","",VLOOKUP(G3104,Setup!$A$14:$C$17,3,0))</f>
        <v/>
      </c>
      <c r="P3104" s="27"/>
      <c r="Q3104" s="33" t="str">
        <f aca="false">IF(OR(P3104="",M3104&lt;&gt;"Paid",O3104=""),"",P3104/O3104)</f>
        <v/>
      </c>
      <c r="R3104" s="34" t="str">
        <f aca="false">IF(Q3104="","",Q3104+N(H3104)*0.000000001)</f>
        <v/>
      </c>
      <c r="S3104" s="32" t="str">
        <f aca="false">IF(R3104="","",SUMPRODUCT((I$5:I$4004=I3104)*ISNUMBER(R$5:R$4004)*(R$5:R$4004&gt;R3104))+1)</f>
        <v/>
      </c>
      <c r="T3104" s="32" t="str">
        <f aca="false">IF(S3104="","",IF(S3104&lt;=Setup!$B$5,"🏆 WINNER",""))</f>
        <v/>
      </c>
      <c r="U3104" s="31" t="str">
        <f aca="false">IF(S3104="","",I3104&amp;"|"&amp;S3104)</f>
        <v/>
      </c>
    </row>
    <row r="3105" customFormat="false" ht="15" hidden="false" customHeight="false" outlineLevel="0" collapsed="false">
      <c r="A3105" s="24" t="n">
        <v>3101</v>
      </c>
      <c r="B3105" s="25" t="str">
        <f aca="false">IF(OR(C3105="",I3105="",G3105=""),"",IFERROR(VLOOKUP(I3105,Setup!$A$9:$B$11,2,0),"???")&amp;"-"&amp;G3105&amp;"-"&amp;TEXT(COUNTIFS(I$5:I3105,I3105,G$5:G3105,G3105),"0000"))</f>
        <v/>
      </c>
      <c r="C3105" s="26"/>
      <c r="D3105" s="26"/>
      <c r="E3105" s="27"/>
      <c r="F3105" s="27"/>
      <c r="G3105" s="24" t="str">
        <f aca="false">IF(F3105="","",IF(F3105&lt;=5,"A",IF(F3105&lt;=8,"B",IF(F3105&lt;=10,"C","D"))))</f>
        <v/>
      </c>
      <c r="H3105" s="28"/>
      <c r="I3105" s="27"/>
      <c r="J3105" s="26"/>
      <c r="K3105" s="27"/>
      <c r="L3105" s="27"/>
      <c r="M3105" s="27"/>
      <c r="N3105" s="27"/>
      <c r="O3105" s="24" t="str">
        <f aca="false">IF(G3105="","",VLOOKUP(G3105,Setup!$A$14:$C$17,3,0))</f>
        <v/>
      </c>
      <c r="P3105" s="27"/>
      <c r="Q3105" s="29" t="str">
        <f aca="false">IF(OR(P3105="",M3105&lt;&gt;"Paid",O3105=""),"",P3105/O3105)</f>
        <v/>
      </c>
      <c r="R3105" s="30" t="str">
        <f aca="false">IF(Q3105="","",Q3105+N(H3105)*0.000000001)</f>
        <v/>
      </c>
      <c r="S3105" s="25" t="str">
        <f aca="false">IF(R3105="","",SUMPRODUCT((I$5:I$4004=I3105)*ISNUMBER(R$5:R$4004)*(R$5:R$4004&gt;R3105))+1)</f>
        <v/>
      </c>
      <c r="T3105" s="25" t="str">
        <f aca="false">IF(S3105="","",IF(S3105&lt;=Setup!$B$5,"🏆 WINNER",""))</f>
        <v/>
      </c>
      <c r="U3105" s="24" t="str">
        <f aca="false">IF(S3105="","",I3105&amp;"|"&amp;S3105)</f>
        <v/>
      </c>
    </row>
    <row r="3106" customFormat="false" ht="15" hidden="false" customHeight="false" outlineLevel="0" collapsed="false">
      <c r="A3106" s="31" t="n">
        <v>3102</v>
      </c>
      <c r="B3106" s="32" t="str">
        <f aca="false">IF(OR(C3106="",I3106="",G3106=""),"",IFERROR(VLOOKUP(I3106,Setup!$A$9:$B$11,2,0),"???")&amp;"-"&amp;G3106&amp;"-"&amp;TEXT(COUNTIFS(I$5:I3106,I3106,G$5:G3106,G3106),"0000"))</f>
        <v/>
      </c>
      <c r="C3106" s="26"/>
      <c r="D3106" s="26"/>
      <c r="E3106" s="27"/>
      <c r="F3106" s="27"/>
      <c r="G3106" s="31" t="str">
        <f aca="false">IF(F3106="","",IF(F3106&lt;=5,"A",IF(F3106&lt;=8,"B",IF(F3106&lt;=10,"C","D"))))</f>
        <v/>
      </c>
      <c r="H3106" s="28"/>
      <c r="I3106" s="27"/>
      <c r="J3106" s="26"/>
      <c r="K3106" s="27"/>
      <c r="L3106" s="27"/>
      <c r="M3106" s="27"/>
      <c r="N3106" s="27"/>
      <c r="O3106" s="31" t="str">
        <f aca="false">IF(G3106="","",VLOOKUP(G3106,Setup!$A$14:$C$17,3,0))</f>
        <v/>
      </c>
      <c r="P3106" s="27"/>
      <c r="Q3106" s="33" t="str">
        <f aca="false">IF(OR(P3106="",M3106&lt;&gt;"Paid",O3106=""),"",P3106/O3106)</f>
        <v/>
      </c>
      <c r="R3106" s="34" t="str">
        <f aca="false">IF(Q3106="","",Q3106+N(H3106)*0.000000001)</f>
        <v/>
      </c>
      <c r="S3106" s="32" t="str">
        <f aca="false">IF(R3106="","",SUMPRODUCT((I$5:I$4004=I3106)*ISNUMBER(R$5:R$4004)*(R$5:R$4004&gt;R3106))+1)</f>
        <v/>
      </c>
      <c r="T3106" s="32" t="str">
        <f aca="false">IF(S3106="","",IF(S3106&lt;=Setup!$B$5,"🏆 WINNER",""))</f>
        <v/>
      </c>
      <c r="U3106" s="31" t="str">
        <f aca="false">IF(S3106="","",I3106&amp;"|"&amp;S3106)</f>
        <v/>
      </c>
    </row>
    <row r="3107" customFormat="false" ht="15" hidden="false" customHeight="false" outlineLevel="0" collapsed="false">
      <c r="A3107" s="24" t="n">
        <v>3103</v>
      </c>
      <c r="B3107" s="25" t="str">
        <f aca="false">IF(OR(C3107="",I3107="",G3107=""),"",IFERROR(VLOOKUP(I3107,Setup!$A$9:$B$11,2,0),"???")&amp;"-"&amp;G3107&amp;"-"&amp;TEXT(COUNTIFS(I$5:I3107,I3107,G$5:G3107,G3107),"0000"))</f>
        <v/>
      </c>
      <c r="C3107" s="26"/>
      <c r="D3107" s="26"/>
      <c r="E3107" s="27"/>
      <c r="F3107" s="27"/>
      <c r="G3107" s="24" t="str">
        <f aca="false">IF(F3107="","",IF(F3107&lt;=5,"A",IF(F3107&lt;=8,"B",IF(F3107&lt;=10,"C","D"))))</f>
        <v/>
      </c>
      <c r="H3107" s="28"/>
      <c r="I3107" s="27"/>
      <c r="J3107" s="26"/>
      <c r="K3107" s="27"/>
      <c r="L3107" s="27"/>
      <c r="M3107" s="27"/>
      <c r="N3107" s="27"/>
      <c r="O3107" s="24" t="str">
        <f aca="false">IF(G3107="","",VLOOKUP(G3107,Setup!$A$14:$C$17,3,0))</f>
        <v/>
      </c>
      <c r="P3107" s="27"/>
      <c r="Q3107" s="29" t="str">
        <f aca="false">IF(OR(P3107="",M3107&lt;&gt;"Paid",O3107=""),"",P3107/O3107)</f>
        <v/>
      </c>
      <c r="R3107" s="30" t="str">
        <f aca="false">IF(Q3107="","",Q3107+N(H3107)*0.000000001)</f>
        <v/>
      </c>
      <c r="S3107" s="25" t="str">
        <f aca="false">IF(R3107="","",SUMPRODUCT((I$5:I$4004=I3107)*ISNUMBER(R$5:R$4004)*(R$5:R$4004&gt;R3107))+1)</f>
        <v/>
      </c>
      <c r="T3107" s="25" t="str">
        <f aca="false">IF(S3107="","",IF(S3107&lt;=Setup!$B$5,"🏆 WINNER",""))</f>
        <v/>
      </c>
      <c r="U3107" s="24" t="str">
        <f aca="false">IF(S3107="","",I3107&amp;"|"&amp;S3107)</f>
        <v/>
      </c>
    </row>
    <row r="3108" customFormat="false" ht="15" hidden="false" customHeight="false" outlineLevel="0" collapsed="false">
      <c r="A3108" s="31" t="n">
        <v>3104</v>
      </c>
      <c r="B3108" s="32" t="str">
        <f aca="false">IF(OR(C3108="",I3108="",G3108=""),"",IFERROR(VLOOKUP(I3108,Setup!$A$9:$B$11,2,0),"???")&amp;"-"&amp;G3108&amp;"-"&amp;TEXT(COUNTIFS(I$5:I3108,I3108,G$5:G3108,G3108),"0000"))</f>
        <v/>
      </c>
      <c r="C3108" s="26"/>
      <c r="D3108" s="26"/>
      <c r="E3108" s="27"/>
      <c r="F3108" s="27"/>
      <c r="G3108" s="31" t="str">
        <f aca="false">IF(F3108="","",IF(F3108&lt;=5,"A",IF(F3108&lt;=8,"B",IF(F3108&lt;=10,"C","D"))))</f>
        <v/>
      </c>
      <c r="H3108" s="28"/>
      <c r="I3108" s="27"/>
      <c r="J3108" s="26"/>
      <c r="K3108" s="27"/>
      <c r="L3108" s="27"/>
      <c r="M3108" s="27"/>
      <c r="N3108" s="27"/>
      <c r="O3108" s="31" t="str">
        <f aca="false">IF(G3108="","",VLOOKUP(G3108,Setup!$A$14:$C$17,3,0))</f>
        <v/>
      </c>
      <c r="P3108" s="27"/>
      <c r="Q3108" s="33" t="str">
        <f aca="false">IF(OR(P3108="",M3108&lt;&gt;"Paid",O3108=""),"",P3108/O3108)</f>
        <v/>
      </c>
      <c r="R3108" s="34" t="str">
        <f aca="false">IF(Q3108="","",Q3108+N(H3108)*0.000000001)</f>
        <v/>
      </c>
      <c r="S3108" s="32" t="str">
        <f aca="false">IF(R3108="","",SUMPRODUCT((I$5:I$4004=I3108)*ISNUMBER(R$5:R$4004)*(R$5:R$4004&gt;R3108))+1)</f>
        <v/>
      </c>
      <c r="T3108" s="32" t="str">
        <f aca="false">IF(S3108="","",IF(S3108&lt;=Setup!$B$5,"🏆 WINNER",""))</f>
        <v/>
      </c>
      <c r="U3108" s="31" t="str">
        <f aca="false">IF(S3108="","",I3108&amp;"|"&amp;S3108)</f>
        <v/>
      </c>
    </row>
    <row r="3109" customFormat="false" ht="15" hidden="false" customHeight="false" outlineLevel="0" collapsed="false">
      <c r="A3109" s="24" t="n">
        <v>3105</v>
      </c>
      <c r="B3109" s="25" t="str">
        <f aca="false">IF(OR(C3109="",I3109="",G3109=""),"",IFERROR(VLOOKUP(I3109,Setup!$A$9:$B$11,2,0),"???")&amp;"-"&amp;G3109&amp;"-"&amp;TEXT(COUNTIFS(I$5:I3109,I3109,G$5:G3109,G3109),"0000"))</f>
        <v/>
      </c>
      <c r="C3109" s="26"/>
      <c r="D3109" s="26"/>
      <c r="E3109" s="27"/>
      <c r="F3109" s="27"/>
      <c r="G3109" s="24" t="str">
        <f aca="false">IF(F3109="","",IF(F3109&lt;=5,"A",IF(F3109&lt;=8,"B",IF(F3109&lt;=10,"C","D"))))</f>
        <v/>
      </c>
      <c r="H3109" s="28"/>
      <c r="I3109" s="27"/>
      <c r="J3109" s="26"/>
      <c r="K3109" s="27"/>
      <c r="L3109" s="27"/>
      <c r="M3109" s="27"/>
      <c r="N3109" s="27"/>
      <c r="O3109" s="24" t="str">
        <f aca="false">IF(G3109="","",VLOOKUP(G3109,Setup!$A$14:$C$17,3,0))</f>
        <v/>
      </c>
      <c r="P3109" s="27"/>
      <c r="Q3109" s="29" t="str">
        <f aca="false">IF(OR(P3109="",M3109&lt;&gt;"Paid",O3109=""),"",P3109/O3109)</f>
        <v/>
      </c>
      <c r="R3109" s="30" t="str">
        <f aca="false">IF(Q3109="","",Q3109+N(H3109)*0.000000001)</f>
        <v/>
      </c>
      <c r="S3109" s="25" t="str">
        <f aca="false">IF(R3109="","",SUMPRODUCT((I$5:I$4004=I3109)*ISNUMBER(R$5:R$4004)*(R$5:R$4004&gt;R3109))+1)</f>
        <v/>
      </c>
      <c r="T3109" s="25" t="str">
        <f aca="false">IF(S3109="","",IF(S3109&lt;=Setup!$B$5,"🏆 WINNER",""))</f>
        <v/>
      </c>
      <c r="U3109" s="24" t="str">
        <f aca="false">IF(S3109="","",I3109&amp;"|"&amp;S3109)</f>
        <v/>
      </c>
    </row>
    <row r="3110" customFormat="false" ht="15" hidden="false" customHeight="false" outlineLevel="0" collapsed="false">
      <c r="A3110" s="31" t="n">
        <v>3106</v>
      </c>
      <c r="B3110" s="32" t="str">
        <f aca="false">IF(OR(C3110="",I3110="",G3110=""),"",IFERROR(VLOOKUP(I3110,Setup!$A$9:$B$11,2,0),"???")&amp;"-"&amp;G3110&amp;"-"&amp;TEXT(COUNTIFS(I$5:I3110,I3110,G$5:G3110,G3110),"0000"))</f>
        <v/>
      </c>
      <c r="C3110" s="26"/>
      <c r="D3110" s="26"/>
      <c r="E3110" s="27"/>
      <c r="F3110" s="27"/>
      <c r="G3110" s="31" t="str">
        <f aca="false">IF(F3110="","",IF(F3110&lt;=5,"A",IF(F3110&lt;=8,"B",IF(F3110&lt;=10,"C","D"))))</f>
        <v/>
      </c>
      <c r="H3110" s="28"/>
      <c r="I3110" s="27"/>
      <c r="J3110" s="26"/>
      <c r="K3110" s="27"/>
      <c r="L3110" s="27"/>
      <c r="M3110" s="27"/>
      <c r="N3110" s="27"/>
      <c r="O3110" s="31" t="str">
        <f aca="false">IF(G3110="","",VLOOKUP(G3110,Setup!$A$14:$C$17,3,0))</f>
        <v/>
      </c>
      <c r="P3110" s="27"/>
      <c r="Q3110" s="33" t="str">
        <f aca="false">IF(OR(P3110="",M3110&lt;&gt;"Paid",O3110=""),"",P3110/O3110)</f>
        <v/>
      </c>
      <c r="R3110" s="34" t="str">
        <f aca="false">IF(Q3110="","",Q3110+N(H3110)*0.000000001)</f>
        <v/>
      </c>
      <c r="S3110" s="32" t="str">
        <f aca="false">IF(R3110="","",SUMPRODUCT((I$5:I$4004=I3110)*ISNUMBER(R$5:R$4004)*(R$5:R$4004&gt;R3110))+1)</f>
        <v/>
      </c>
      <c r="T3110" s="32" t="str">
        <f aca="false">IF(S3110="","",IF(S3110&lt;=Setup!$B$5,"🏆 WINNER",""))</f>
        <v/>
      </c>
      <c r="U3110" s="31" t="str">
        <f aca="false">IF(S3110="","",I3110&amp;"|"&amp;S3110)</f>
        <v/>
      </c>
    </row>
    <row r="3111" customFormat="false" ht="15" hidden="false" customHeight="false" outlineLevel="0" collapsed="false">
      <c r="A3111" s="24" t="n">
        <v>3107</v>
      </c>
      <c r="B3111" s="25" t="str">
        <f aca="false">IF(OR(C3111="",I3111="",G3111=""),"",IFERROR(VLOOKUP(I3111,Setup!$A$9:$B$11,2,0),"???")&amp;"-"&amp;G3111&amp;"-"&amp;TEXT(COUNTIFS(I$5:I3111,I3111,G$5:G3111,G3111),"0000"))</f>
        <v/>
      </c>
      <c r="C3111" s="26"/>
      <c r="D3111" s="26"/>
      <c r="E3111" s="27"/>
      <c r="F3111" s="27"/>
      <c r="G3111" s="24" t="str">
        <f aca="false">IF(F3111="","",IF(F3111&lt;=5,"A",IF(F3111&lt;=8,"B",IF(F3111&lt;=10,"C","D"))))</f>
        <v/>
      </c>
      <c r="H3111" s="28"/>
      <c r="I3111" s="27"/>
      <c r="J3111" s="26"/>
      <c r="K3111" s="27"/>
      <c r="L3111" s="27"/>
      <c r="M3111" s="27"/>
      <c r="N3111" s="27"/>
      <c r="O3111" s="24" t="str">
        <f aca="false">IF(G3111="","",VLOOKUP(G3111,Setup!$A$14:$C$17,3,0))</f>
        <v/>
      </c>
      <c r="P3111" s="27"/>
      <c r="Q3111" s="29" t="str">
        <f aca="false">IF(OR(P3111="",M3111&lt;&gt;"Paid",O3111=""),"",P3111/O3111)</f>
        <v/>
      </c>
      <c r="R3111" s="30" t="str">
        <f aca="false">IF(Q3111="","",Q3111+N(H3111)*0.000000001)</f>
        <v/>
      </c>
      <c r="S3111" s="25" t="str">
        <f aca="false">IF(R3111="","",SUMPRODUCT((I$5:I$4004=I3111)*ISNUMBER(R$5:R$4004)*(R$5:R$4004&gt;R3111))+1)</f>
        <v/>
      </c>
      <c r="T3111" s="25" t="str">
        <f aca="false">IF(S3111="","",IF(S3111&lt;=Setup!$B$5,"🏆 WINNER",""))</f>
        <v/>
      </c>
      <c r="U3111" s="24" t="str">
        <f aca="false">IF(S3111="","",I3111&amp;"|"&amp;S3111)</f>
        <v/>
      </c>
    </row>
    <row r="3112" customFormat="false" ht="15" hidden="false" customHeight="false" outlineLevel="0" collapsed="false">
      <c r="A3112" s="31" t="n">
        <v>3108</v>
      </c>
      <c r="B3112" s="32" t="str">
        <f aca="false">IF(OR(C3112="",I3112="",G3112=""),"",IFERROR(VLOOKUP(I3112,Setup!$A$9:$B$11,2,0),"???")&amp;"-"&amp;G3112&amp;"-"&amp;TEXT(COUNTIFS(I$5:I3112,I3112,G$5:G3112,G3112),"0000"))</f>
        <v/>
      </c>
      <c r="C3112" s="26"/>
      <c r="D3112" s="26"/>
      <c r="E3112" s="27"/>
      <c r="F3112" s="27"/>
      <c r="G3112" s="31" t="str">
        <f aca="false">IF(F3112="","",IF(F3112&lt;=5,"A",IF(F3112&lt;=8,"B",IF(F3112&lt;=10,"C","D"))))</f>
        <v/>
      </c>
      <c r="H3112" s="28"/>
      <c r="I3112" s="27"/>
      <c r="J3112" s="26"/>
      <c r="K3112" s="27"/>
      <c r="L3112" s="27"/>
      <c r="M3112" s="27"/>
      <c r="N3112" s="27"/>
      <c r="O3112" s="31" t="str">
        <f aca="false">IF(G3112="","",VLOOKUP(G3112,Setup!$A$14:$C$17,3,0))</f>
        <v/>
      </c>
      <c r="P3112" s="27"/>
      <c r="Q3112" s="33" t="str">
        <f aca="false">IF(OR(P3112="",M3112&lt;&gt;"Paid",O3112=""),"",P3112/O3112)</f>
        <v/>
      </c>
      <c r="R3112" s="34" t="str">
        <f aca="false">IF(Q3112="","",Q3112+N(H3112)*0.000000001)</f>
        <v/>
      </c>
      <c r="S3112" s="32" t="str">
        <f aca="false">IF(R3112="","",SUMPRODUCT((I$5:I$4004=I3112)*ISNUMBER(R$5:R$4004)*(R$5:R$4004&gt;R3112))+1)</f>
        <v/>
      </c>
      <c r="T3112" s="32" t="str">
        <f aca="false">IF(S3112="","",IF(S3112&lt;=Setup!$B$5,"🏆 WINNER",""))</f>
        <v/>
      </c>
      <c r="U3112" s="31" t="str">
        <f aca="false">IF(S3112="","",I3112&amp;"|"&amp;S3112)</f>
        <v/>
      </c>
    </row>
    <row r="3113" customFormat="false" ht="15" hidden="false" customHeight="false" outlineLevel="0" collapsed="false">
      <c r="A3113" s="24" t="n">
        <v>3109</v>
      </c>
      <c r="B3113" s="25" t="str">
        <f aca="false">IF(OR(C3113="",I3113="",G3113=""),"",IFERROR(VLOOKUP(I3113,Setup!$A$9:$B$11,2,0),"???")&amp;"-"&amp;G3113&amp;"-"&amp;TEXT(COUNTIFS(I$5:I3113,I3113,G$5:G3113,G3113),"0000"))</f>
        <v/>
      </c>
      <c r="C3113" s="26"/>
      <c r="D3113" s="26"/>
      <c r="E3113" s="27"/>
      <c r="F3113" s="27"/>
      <c r="G3113" s="24" t="str">
        <f aca="false">IF(F3113="","",IF(F3113&lt;=5,"A",IF(F3113&lt;=8,"B",IF(F3113&lt;=10,"C","D"))))</f>
        <v/>
      </c>
      <c r="H3113" s="28"/>
      <c r="I3113" s="27"/>
      <c r="J3113" s="26"/>
      <c r="K3113" s="27"/>
      <c r="L3113" s="27"/>
      <c r="M3113" s="27"/>
      <c r="N3113" s="27"/>
      <c r="O3113" s="24" t="str">
        <f aca="false">IF(G3113="","",VLOOKUP(G3113,Setup!$A$14:$C$17,3,0))</f>
        <v/>
      </c>
      <c r="P3113" s="27"/>
      <c r="Q3113" s="29" t="str">
        <f aca="false">IF(OR(P3113="",M3113&lt;&gt;"Paid",O3113=""),"",P3113/O3113)</f>
        <v/>
      </c>
      <c r="R3113" s="30" t="str">
        <f aca="false">IF(Q3113="","",Q3113+N(H3113)*0.000000001)</f>
        <v/>
      </c>
      <c r="S3113" s="25" t="str">
        <f aca="false">IF(R3113="","",SUMPRODUCT((I$5:I$4004=I3113)*ISNUMBER(R$5:R$4004)*(R$5:R$4004&gt;R3113))+1)</f>
        <v/>
      </c>
      <c r="T3113" s="25" t="str">
        <f aca="false">IF(S3113="","",IF(S3113&lt;=Setup!$B$5,"🏆 WINNER",""))</f>
        <v/>
      </c>
      <c r="U3113" s="24" t="str">
        <f aca="false">IF(S3113="","",I3113&amp;"|"&amp;S3113)</f>
        <v/>
      </c>
    </row>
    <row r="3114" customFormat="false" ht="15" hidden="false" customHeight="false" outlineLevel="0" collapsed="false">
      <c r="A3114" s="31" t="n">
        <v>3110</v>
      </c>
      <c r="B3114" s="32" t="str">
        <f aca="false">IF(OR(C3114="",I3114="",G3114=""),"",IFERROR(VLOOKUP(I3114,Setup!$A$9:$B$11,2,0),"???")&amp;"-"&amp;G3114&amp;"-"&amp;TEXT(COUNTIFS(I$5:I3114,I3114,G$5:G3114,G3114),"0000"))</f>
        <v/>
      </c>
      <c r="C3114" s="26"/>
      <c r="D3114" s="26"/>
      <c r="E3114" s="27"/>
      <c r="F3114" s="27"/>
      <c r="G3114" s="31" t="str">
        <f aca="false">IF(F3114="","",IF(F3114&lt;=5,"A",IF(F3114&lt;=8,"B",IF(F3114&lt;=10,"C","D"))))</f>
        <v/>
      </c>
      <c r="H3114" s="28"/>
      <c r="I3114" s="27"/>
      <c r="J3114" s="26"/>
      <c r="K3114" s="27"/>
      <c r="L3114" s="27"/>
      <c r="M3114" s="27"/>
      <c r="N3114" s="27"/>
      <c r="O3114" s="31" t="str">
        <f aca="false">IF(G3114="","",VLOOKUP(G3114,Setup!$A$14:$C$17,3,0))</f>
        <v/>
      </c>
      <c r="P3114" s="27"/>
      <c r="Q3114" s="33" t="str">
        <f aca="false">IF(OR(P3114="",M3114&lt;&gt;"Paid",O3114=""),"",P3114/O3114)</f>
        <v/>
      </c>
      <c r="R3114" s="34" t="str">
        <f aca="false">IF(Q3114="","",Q3114+N(H3114)*0.000000001)</f>
        <v/>
      </c>
      <c r="S3114" s="32" t="str">
        <f aca="false">IF(R3114="","",SUMPRODUCT((I$5:I$4004=I3114)*ISNUMBER(R$5:R$4004)*(R$5:R$4004&gt;R3114))+1)</f>
        <v/>
      </c>
      <c r="T3114" s="32" t="str">
        <f aca="false">IF(S3114="","",IF(S3114&lt;=Setup!$B$5,"🏆 WINNER",""))</f>
        <v/>
      </c>
      <c r="U3114" s="31" t="str">
        <f aca="false">IF(S3114="","",I3114&amp;"|"&amp;S3114)</f>
        <v/>
      </c>
    </row>
    <row r="3115" customFormat="false" ht="15" hidden="false" customHeight="false" outlineLevel="0" collapsed="false">
      <c r="A3115" s="24" t="n">
        <v>3111</v>
      </c>
      <c r="B3115" s="25" t="str">
        <f aca="false">IF(OR(C3115="",I3115="",G3115=""),"",IFERROR(VLOOKUP(I3115,Setup!$A$9:$B$11,2,0),"???")&amp;"-"&amp;G3115&amp;"-"&amp;TEXT(COUNTIFS(I$5:I3115,I3115,G$5:G3115,G3115),"0000"))</f>
        <v/>
      </c>
      <c r="C3115" s="26"/>
      <c r="D3115" s="26"/>
      <c r="E3115" s="27"/>
      <c r="F3115" s="27"/>
      <c r="G3115" s="24" t="str">
        <f aca="false">IF(F3115="","",IF(F3115&lt;=5,"A",IF(F3115&lt;=8,"B",IF(F3115&lt;=10,"C","D"))))</f>
        <v/>
      </c>
      <c r="H3115" s="28"/>
      <c r="I3115" s="27"/>
      <c r="J3115" s="26"/>
      <c r="K3115" s="27"/>
      <c r="L3115" s="27"/>
      <c r="M3115" s="27"/>
      <c r="N3115" s="27"/>
      <c r="O3115" s="24" t="str">
        <f aca="false">IF(G3115="","",VLOOKUP(G3115,Setup!$A$14:$C$17,3,0))</f>
        <v/>
      </c>
      <c r="P3115" s="27"/>
      <c r="Q3115" s="29" t="str">
        <f aca="false">IF(OR(P3115="",M3115&lt;&gt;"Paid",O3115=""),"",P3115/O3115)</f>
        <v/>
      </c>
      <c r="R3115" s="30" t="str">
        <f aca="false">IF(Q3115="","",Q3115+N(H3115)*0.000000001)</f>
        <v/>
      </c>
      <c r="S3115" s="25" t="str">
        <f aca="false">IF(R3115="","",SUMPRODUCT((I$5:I$4004=I3115)*ISNUMBER(R$5:R$4004)*(R$5:R$4004&gt;R3115))+1)</f>
        <v/>
      </c>
      <c r="T3115" s="25" t="str">
        <f aca="false">IF(S3115="","",IF(S3115&lt;=Setup!$B$5,"🏆 WINNER",""))</f>
        <v/>
      </c>
      <c r="U3115" s="24" t="str">
        <f aca="false">IF(S3115="","",I3115&amp;"|"&amp;S3115)</f>
        <v/>
      </c>
    </row>
    <row r="3116" customFormat="false" ht="15" hidden="false" customHeight="false" outlineLevel="0" collapsed="false">
      <c r="A3116" s="31" t="n">
        <v>3112</v>
      </c>
      <c r="B3116" s="32" t="str">
        <f aca="false">IF(OR(C3116="",I3116="",G3116=""),"",IFERROR(VLOOKUP(I3116,Setup!$A$9:$B$11,2,0),"???")&amp;"-"&amp;G3116&amp;"-"&amp;TEXT(COUNTIFS(I$5:I3116,I3116,G$5:G3116,G3116),"0000"))</f>
        <v/>
      </c>
      <c r="C3116" s="26"/>
      <c r="D3116" s="26"/>
      <c r="E3116" s="27"/>
      <c r="F3116" s="27"/>
      <c r="G3116" s="31" t="str">
        <f aca="false">IF(F3116="","",IF(F3116&lt;=5,"A",IF(F3116&lt;=8,"B",IF(F3116&lt;=10,"C","D"))))</f>
        <v/>
      </c>
      <c r="H3116" s="28"/>
      <c r="I3116" s="27"/>
      <c r="J3116" s="26"/>
      <c r="K3116" s="27"/>
      <c r="L3116" s="27"/>
      <c r="M3116" s="27"/>
      <c r="N3116" s="27"/>
      <c r="O3116" s="31" t="str">
        <f aca="false">IF(G3116="","",VLOOKUP(G3116,Setup!$A$14:$C$17,3,0))</f>
        <v/>
      </c>
      <c r="P3116" s="27"/>
      <c r="Q3116" s="33" t="str">
        <f aca="false">IF(OR(P3116="",M3116&lt;&gt;"Paid",O3116=""),"",P3116/O3116)</f>
        <v/>
      </c>
      <c r="R3116" s="34" t="str">
        <f aca="false">IF(Q3116="","",Q3116+N(H3116)*0.000000001)</f>
        <v/>
      </c>
      <c r="S3116" s="32" t="str">
        <f aca="false">IF(R3116="","",SUMPRODUCT((I$5:I$4004=I3116)*ISNUMBER(R$5:R$4004)*(R$5:R$4004&gt;R3116))+1)</f>
        <v/>
      </c>
      <c r="T3116" s="32" t="str">
        <f aca="false">IF(S3116="","",IF(S3116&lt;=Setup!$B$5,"🏆 WINNER",""))</f>
        <v/>
      </c>
      <c r="U3116" s="31" t="str">
        <f aca="false">IF(S3116="","",I3116&amp;"|"&amp;S3116)</f>
        <v/>
      </c>
    </row>
    <row r="3117" customFormat="false" ht="15" hidden="false" customHeight="false" outlineLevel="0" collapsed="false">
      <c r="A3117" s="24" t="n">
        <v>3113</v>
      </c>
      <c r="B3117" s="25" t="str">
        <f aca="false">IF(OR(C3117="",I3117="",G3117=""),"",IFERROR(VLOOKUP(I3117,Setup!$A$9:$B$11,2,0),"???")&amp;"-"&amp;G3117&amp;"-"&amp;TEXT(COUNTIFS(I$5:I3117,I3117,G$5:G3117,G3117),"0000"))</f>
        <v/>
      </c>
      <c r="C3117" s="26"/>
      <c r="D3117" s="26"/>
      <c r="E3117" s="27"/>
      <c r="F3117" s="27"/>
      <c r="G3117" s="24" t="str">
        <f aca="false">IF(F3117="","",IF(F3117&lt;=5,"A",IF(F3117&lt;=8,"B",IF(F3117&lt;=10,"C","D"))))</f>
        <v/>
      </c>
      <c r="H3117" s="28"/>
      <c r="I3117" s="27"/>
      <c r="J3117" s="26"/>
      <c r="K3117" s="27"/>
      <c r="L3117" s="27"/>
      <c r="M3117" s="27"/>
      <c r="N3117" s="27"/>
      <c r="O3117" s="24" t="str">
        <f aca="false">IF(G3117="","",VLOOKUP(G3117,Setup!$A$14:$C$17,3,0))</f>
        <v/>
      </c>
      <c r="P3117" s="27"/>
      <c r="Q3117" s="29" t="str">
        <f aca="false">IF(OR(P3117="",M3117&lt;&gt;"Paid",O3117=""),"",P3117/O3117)</f>
        <v/>
      </c>
      <c r="R3117" s="30" t="str">
        <f aca="false">IF(Q3117="","",Q3117+N(H3117)*0.000000001)</f>
        <v/>
      </c>
      <c r="S3117" s="25" t="str">
        <f aca="false">IF(R3117="","",SUMPRODUCT((I$5:I$4004=I3117)*ISNUMBER(R$5:R$4004)*(R$5:R$4004&gt;R3117))+1)</f>
        <v/>
      </c>
      <c r="T3117" s="25" t="str">
        <f aca="false">IF(S3117="","",IF(S3117&lt;=Setup!$B$5,"🏆 WINNER",""))</f>
        <v/>
      </c>
      <c r="U3117" s="24" t="str">
        <f aca="false">IF(S3117="","",I3117&amp;"|"&amp;S3117)</f>
        <v/>
      </c>
    </row>
    <row r="3118" customFormat="false" ht="15" hidden="false" customHeight="false" outlineLevel="0" collapsed="false">
      <c r="A3118" s="31" t="n">
        <v>3114</v>
      </c>
      <c r="B3118" s="32" t="str">
        <f aca="false">IF(OR(C3118="",I3118="",G3118=""),"",IFERROR(VLOOKUP(I3118,Setup!$A$9:$B$11,2,0),"???")&amp;"-"&amp;G3118&amp;"-"&amp;TEXT(COUNTIFS(I$5:I3118,I3118,G$5:G3118,G3118),"0000"))</f>
        <v/>
      </c>
      <c r="C3118" s="26"/>
      <c r="D3118" s="26"/>
      <c r="E3118" s="27"/>
      <c r="F3118" s="27"/>
      <c r="G3118" s="31" t="str">
        <f aca="false">IF(F3118="","",IF(F3118&lt;=5,"A",IF(F3118&lt;=8,"B",IF(F3118&lt;=10,"C","D"))))</f>
        <v/>
      </c>
      <c r="H3118" s="28"/>
      <c r="I3118" s="27"/>
      <c r="J3118" s="26"/>
      <c r="K3118" s="27"/>
      <c r="L3118" s="27"/>
      <c r="M3118" s="27"/>
      <c r="N3118" s="27"/>
      <c r="O3118" s="31" t="str">
        <f aca="false">IF(G3118="","",VLOOKUP(G3118,Setup!$A$14:$C$17,3,0))</f>
        <v/>
      </c>
      <c r="P3118" s="27"/>
      <c r="Q3118" s="33" t="str">
        <f aca="false">IF(OR(P3118="",M3118&lt;&gt;"Paid",O3118=""),"",P3118/O3118)</f>
        <v/>
      </c>
      <c r="R3118" s="34" t="str">
        <f aca="false">IF(Q3118="","",Q3118+N(H3118)*0.000000001)</f>
        <v/>
      </c>
      <c r="S3118" s="32" t="str">
        <f aca="false">IF(R3118="","",SUMPRODUCT((I$5:I$4004=I3118)*ISNUMBER(R$5:R$4004)*(R$5:R$4004&gt;R3118))+1)</f>
        <v/>
      </c>
      <c r="T3118" s="32" t="str">
        <f aca="false">IF(S3118="","",IF(S3118&lt;=Setup!$B$5,"🏆 WINNER",""))</f>
        <v/>
      </c>
      <c r="U3118" s="31" t="str">
        <f aca="false">IF(S3118="","",I3118&amp;"|"&amp;S3118)</f>
        <v/>
      </c>
    </row>
    <row r="3119" customFormat="false" ht="15" hidden="false" customHeight="false" outlineLevel="0" collapsed="false">
      <c r="A3119" s="24" t="n">
        <v>3115</v>
      </c>
      <c r="B3119" s="25" t="str">
        <f aca="false">IF(OR(C3119="",I3119="",G3119=""),"",IFERROR(VLOOKUP(I3119,Setup!$A$9:$B$11,2,0),"???")&amp;"-"&amp;G3119&amp;"-"&amp;TEXT(COUNTIFS(I$5:I3119,I3119,G$5:G3119,G3119),"0000"))</f>
        <v/>
      </c>
      <c r="C3119" s="26"/>
      <c r="D3119" s="26"/>
      <c r="E3119" s="27"/>
      <c r="F3119" s="27"/>
      <c r="G3119" s="24" t="str">
        <f aca="false">IF(F3119="","",IF(F3119&lt;=5,"A",IF(F3119&lt;=8,"B",IF(F3119&lt;=10,"C","D"))))</f>
        <v/>
      </c>
      <c r="H3119" s="28"/>
      <c r="I3119" s="27"/>
      <c r="J3119" s="26"/>
      <c r="K3119" s="27"/>
      <c r="L3119" s="27"/>
      <c r="M3119" s="27"/>
      <c r="N3119" s="27"/>
      <c r="O3119" s="24" t="str">
        <f aca="false">IF(G3119="","",VLOOKUP(G3119,Setup!$A$14:$C$17,3,0))</f>
        <v/>
      </c>
      <c r="P3119" s="27"/>
      <c r="Q3119" s="29" t="str">
        <f aca="false">IF(OR(P3119="",M3119&lt;&gt;"Paid",O3119=""),"",P3119/O3119)</f>
        <v/>
      </c>
      <c r="R3119" s="30" t="str">
        <f aca="false">IF(Q3119="","",Q3119+N(H3119)*0.000000001)</f>
        <v/>
      </c>
      <c r="S3119" s="25" t="str">
        <f aca="false">IF(R3119="","",SUMPRODUCT((I$5:I$4004=I3119)*ISNUMBER(R$5:R$4004)*(R$5:R$4004&gt;R3119))+1)</f>
        <v/>
      </c>
      <c r="T3119" s="25" t="str">
        <f aca="false">IF(S3119="","",IF(S3119&lt;=Setup!$B$5,"🏆 WINNER",""))</f>
        <v/>
      </c>
      <c r="U3119" s="24" t="str">
        <f aca="false">IF(S3119="","",I3119&amp;"|"&amp;S3119)</f>
        <v/>
      </c>
    </row>
    <row r="3120" customFormat="false" ht="15" hidden="false" customHeight="false" outlineLevel="0" collapsed="false">
      <c r="A3120" s="31" t="n">
        <v>3116</v>
      </c>
      <c r="B3120" s="32" t="str">
        <f aca="false">IF(OR(C3120="",I3120="",G3120=""),"",IFERROR(VLOOKUP(I3120,Setup!$A$9:$B$11,2,0),"???")&amp;"-"&amp;G3120&amp;"-"&amp;TEXT(COUNTIFS(I$5:I3120,I3120,G$5:G3120,G3120),"0000"))</f>
        <v/>
      </c>
      <c r="C3120" s="26"/>
      <c r="D3120" s="26"/>
      <c r="E3120" s="27"/>
      <c r="F3120" s="27"/>
      <c r="G3120" s="31" t="str">
        <f aca="false">IF(F3120="","",IF(F3120&lt;=5,"A",IF(F3120&lt;=8,"B",IF(F3120&lt;=10,"C","D"))))</f>
        <v/>
      </c>
      <c r="H3120" s="28"/>
      <c r="I3120" s="27"/>
      <c r="J3120" s="26"/>
      <c r="K3120" s="27"/>
      <c r="L3120" s="27"/>
      <c r="M3120" s="27"/>
      <c r="N3120" s="27"/>
      <c r="O3120" s="31" t="str">
        <f aca="false">IF(G3120="","",VLOOKUP(G3120,Setup!$A$14:$C$17,3,0))</f>
        <v/>
      </c>
      <c r="P3120" s="27"/>
      <c r="Q3120" s="33" t="str">
        <f aca="false">IF(OR(P3120="",M3120&lt;&gt;"Paid",O3120=""),"",P3120/O3120)</f>
        <v/>
      </c>
      <c r="R3120" s="34" t="str">
        <f aca="false">IF(Q3120="","",Q3120+N(H3120)*0.000000001)</f>
        <v/>
      </c>
      <c r="S3120" s="32" t="str">
        <f aca="false">IF(R3120="","",SUMPRODUCT((I$5:I$4004=I3120)*ISNUMBER(R$5:R$4004)*(R$5:R$4004&gt;R3120))+1)</f>
        <v/>
      </c>
      <c r="T3120" s="32" t="str">
        <f aca="false">IF(S3120="","",IF(S3120&lt;=Setup!$B$5,"🏆 WINNER",""))</f>
        <v/>
      </c>
      <c r="U3120" s="31" t="str">
        <f aca="false">IF(S3120="","",I3120&amp;"|"&amp;S3120)</f>
        <v/>
      </c>
    </row>
    <row r="3121" customFormat="false" ht="15" hidden="false" customHeight="false" outlineLevel="0" collapsed="false">
      <c r="A3121" s="24" t="n">
        <v>3117</v>
      </c>
      <c r="B3121" s="25" t="str">
        <f aca="false">IF(OR(C3121="",I3121="",G3121=""),"",IFERROR(VLOOKUP(I3121,Setup!$A$9:$B$11,2,0),"???")&amp;"-"&amp;G3121&amp;"-"&amp;TEXT(COUNTIFS(I$5:I3121,I3121,G$5:G3121,G3121),"0000"))</f>
        <v/>
      </c>
      <c r="C3121" s="26"/>
      <c r="D3121" s="26"/>
      <c r="E3121" s="27"/>
      <c r="F3121" s="27"/>
      <c r="G3121" s="24" t="str">
        <f aca="false">IF(F3121="","",IF(F3121&lt;=5,"A",IF(F3121&lt;=8,"B",IF(F3121&lt;=10,"C","D"))))</f>
        <v/>
      </c>
      <c r="H3121" s="28"/>
      <c r="I3121" s="27"/>
      <c r="J3121" s="26"/>
      <c r="K3121" s="27"/>
      <c r="L3121" s="27"/>
      <c r="M3121" s="27"/>
      <c r="N3121" s="27"/>
      <c r="O3121" s="24" t="str">
        <f aca="false">IF(G3121="","",VLOOKUP(G3121,Setup!$A$14:$C$17,3,0))</f>
        <v/>
      </c>
      <c r="P3121" s="27"/>
      <c r="Q3121" s="29" t="str">
        <f aca="false">IF(OR(P3121="",M3121&lt;&gt;"Paid",O3121=""),"",P3121/O3121)</f>
        <v/>
      </c>
      <c r="R3121" s="30" t="str">
        <f aca="false">IF(Q3121="","",Q3121+N(H3121)*0.000000001)</f>
        <v/>
      </c>
      <c r="S3121" s="25" t="str">
        <f aca="false">IF(R3121="","",SUMPRODUCT((I$5:I$4004=I3121)*ISNUMBER(R$5:R$4004)*(R$5:R$4004&gt;R3121))+1)</f>
        <v/>
      </c>
      <c r="T3121" s="25" t="str">
        <f aca="false">IF(S3121="","",IF(S3121&lt;=Setup!$B$5,"🏆 WINNER",""))</f>
        <v/>
      </c>
      <c r="U3121" s="24" t="str">
        <f aca="false">IF(S3121="","",I3121&amp;"|"&amp;S3121)</f>
        <v/>
      </c>
    </row>
    <row r="3122" customFormat="false" ht="15" hidden="false" customHeight="false" outlineLevel="0" collapsed="false">
      <c r="A3122" s="31" t="n">
        <v>3118</v>
      </c>
      <c r="B3122" s="32" t="str">
        <f aca="false">IF(OR(C3122="",I3122="",G3122=""),"",IFERROR(VLOOKUP(I3122,Setup!$A$9:$B$11,2,0),"???")&amp;"-"&amp;G3122&amp;"-"&amp;TEXT(COUNTIFS(I$5:I3122,I3122,G$5:G3122,G3122),"0000"))</f>
        <v/>
      </c>
      <c r="C3122" s="26"/>
      <c r="D3122" s="26"/>
      <c r="E3122" s="27"/>
      <c r="F3122" s="27"/>
      <c r="G3122" s="31" t="str">
        <f aca="false">IF(F3122="","",IF(F3122&lt;=5,"A",IF(F3122&lt;=8,"B",IF(F3122&lt;=10,"C","D"))))</f>
        <v/>
      </c>
      <c r="H3122" s="28"/>
      <c r="I3122" s="27"/>
      <c r="J3122" s="26"/>
      <c r="K3122" s="27"/>
      <c r="L3122" s="27"/>
      <c r="M3122" s="27"/>
      <c r="N3122" s="27"/>
      <c r="O3122" s="31" t="str">
        <f aca="false">IF(G3122="","",VLOOKUP(G3122,Setup!$A$14:$C$17,3,0))</f>
        <v/>
      </c>
      <c r="P3122" s="27"/>
      <c r="Q3122" s="33" t="str">
        <f aca="false">IF(OR(P3122="",M3122&lt;&gt;"Paid",O3122=""),"",P3122/O3122)</f>
        <v/>
      </c>
      <c r="R3122" s="34" t="str">
        <f aca="false">IF(Q3122="","",Q3122+N(H3122)*0.000000001)</f>
        <v/>
      </c>
      <c r="S3122" s="32" t="str">
        <f aca="false">IF(R3122="","",SUMPRODUCT((I$5:I$4004=I3122)*ISNUMBER(R$5:R$4004)*(R$5:R$4004&gt;R3122))+1)</f>
        <v/>
      </c>
      <c r="T3122" s="32" t="str">
        <f aca="false">IF(S3122="","",IF(S3122&lt;=Setup!$B$5,"🏆 WINNER",""))</f>
        <v/>
      </c>
      <c r="U3122" s="31" t="str">
        <f aca="false">IF(S3122="","",I3122&amp;"|"&amp;S3122)</f>
        <v/>
      </c>
    </row>
    <row r="3123" customFormat="false" ht="15" hidden="false" customHeight="false" outlineLevel="0" collapsed="false">
      <c r="A3123" s="24" t="n">
        <v>3119</v>
      </c>
      <c r="B3123" s="25" t="str">
        <f aca="false">IF(OR(C3123="",I3123="",G3123=""),"",IFERROR(VLOOKUP(I3123,Setup!$A$9:$B$11,2,0),"???")&amp;"-"&amp;G3123&amp;"-"&amp;TEXT(COUNTIFS(I$5:I3123,I3123,G$5:G3123,G3123),"0000"))</f>
        <v/>
      </c>
      <c r="C3123" s="26"/>
      <c r="D3123" s="26"/>
      <c r="E3123" s="27"/>
      <c r="F3123" s="27"/>
      <c r="G3123" s="24" t="str">
        <f aca="false">IF(F3123="","",IF(F3123&lt;=5,"A",IF(F3123&lt;=8,"B",IF(F3123&lt;=10,"C","D"))))</f>
        <v/>
      </c>
      <c r="H3123" s="28"/>
      <c r="I3123" s="27"/>
      <c r="J3123" s="26"/>
      <c r="K3123" s="27"/>
      <c r="L3123" s="27"/>
      <c r="M3123" s="27"/>
      <c r="N3123" s="27"/>
      <c r="O3123" s="24" t="str">
        <f aca="false">IF(G3123="","",VLOOKUP(G3123,Setup!$A$14:$C$17,3,0))</f>
        <v/>
      </c>
      <c r="P3123" s="27"/>
      <c r="Q3123" s="29" t="str">
        <f aca="false">IF(OR(P3123="",M3123&lt;&gt;"Paid",O3123=""),"",P3123/O3123)</f>
        <v/>
      </c>
      <c r="R3123" s="30" t="str">
        <f aca="false">IF(Q3123="","",Q3123+N(H3123)*0.000000001)</f>
        <v/>
      </c>
      <c r="S3123" s="25" t="str">
        <f aca="false">IF(R3123="","",SUMPRODUCT((I$5:I$4004=I3123)*ISNUMBER(R$5:R$4004)*(R$5:R$4004&gt;R3123))+1)</f>
        <v/>
      </c>
      <c r="T3123" s="25" t="str">
        <f aca="false">IF(S3123="","",IF(S3123&lt;=Setup!$B$5,"🏆 WINNER",""))</f>
        <v/>
      </c>
      <c r="U3123" s="24" t="str">
        <f aca="false">IF(S3123="","",I3123&amp;"|"&amp;S3123)</f>
        <v/>
      </c>
    </row>
    <row r="3124" customFormat="false" ht="15" hidden="false" customHeight="false" outlineLevel="0" collapsed="false">
      <c r="A3124" s="31" t="n">
        <v>3120</v>
      </c>
      <c r="B3124" s="32" t="str">
        <f aca="false">IF(OR(C3124="",I3124="",G3124=""),"",IFERROR(VLOOKUP(I3124,Setup!$A$9:$B$11,2,0),"???")&amp;"-"&amp;G3124&amp;"-"&amp;TEXT(COUNTIFS(I$5:I3124,I3124,G$5:G3124,G3124),"0000"))</f>
        <v/>
      </c>
      <c r="C3124" s="26"/>
      <c r="D3124" s="26"/>
      <c r="E3124" s="27"/>
      <c r="F3124" s="27"/>
      <c r="G3124" s="31" t="str">
        <f aca="false">IF(F3124="","",IF(F3124&lt;=5,"A",IF(F3124&lt;=8,"B",IF(F3124&lt;=10,"C","D"))))</f>
        <v/>
      </c>
      <c r="H3124" s="28"/>
      <c r="I3124" s="27"/>
      <c r="J3124" s="26"/>
      <c r="K3124" s="27"/>
      <c r="L3124" s="27"/>
      <c r="M3124" s="27"/>
      <c r="N3124" s="27"/>
      <c r="O3124" s="31" t="str">
        <f aca="false">IF(G3124="","",VLOOKUP(G3124,Setup!$A$14:$C$17,3,0))</f>
        <v/>
      </c>
      <c r="P3124" s="27"/>
      <c r="Q3124" s="33" t="str">
        <f aca="false">IF(OR(P3124="",M3124&lt;&gt;"Paid",O3124=""),"",P3124/O3124)</f>
        <v/>
      </c>
      <c r="R3124" s="34" t="str">
        <f aca="false">IF(Q3124="","",Q3124+N(H3124)*0.000000001)</f>
        <v/>
      </c>
      <c r="S3124" s="32" t="str">
        <f aca="false">IF(R3124="","",SUMPRODUCT((I$5:I$4004=I3124)*ISNUMBER(R$5:R$4004)*(R$5:R$4004&gt;R3124))+1)</f>
        <v/>
      </c>
      <c r="T3124" s="32" t="str">
        <f aca="false">IF(S3124="","",IF(S3124&lt;=Setup!$B$5,"🏆 WINNER",""))</f>
        <v/>
      </c>
      <c r="U3124" s="31" t="str">
        <f aca="false">IF(S3124="","",I3124&amp;"|"&amp;S3124)</f>
        <v/>
      </c>
    </row>
    <row r="3125" customFormat="false" ht="15" hidden="false" customHeight="false" outlineLevel="0" collapsed="false">
      <c r="A3125" s="24" t="n">
        <v>3121</v>
      </c>
      <c r="B3125" s="25" t="str">
        <f aca="false">IF(OR(C3125="",I3125="",G3125=""),"",IFERROR(VLOOKUP(I3125,Setup!$A$9:$B$11,2,0),"???")&amp;"-"&amp;G3125&amp;"-"&amp;TEXT(COUNTIFS(I$5:I3125,I3125,G$5:G3125,G3125),"0000"))</f>
        <v/>
      </c>
      <c r="C3125" s="26"/>
      <c r="D3125" s="26"/>
      <c r="E3125" s="27"/>
      <c r="F3125" s="27"/>
      <c r="G3125" s="24" t="str">
        <f aca="false">IF(F3125="","",IF(F3125&lt;=5,"A",IF(F3125&lt;=8,"B",IF(F3125&lt;=10,"C","D"))))</f>
        <v/>
      </c>
      <c r="H3125" s="28"/>
      <c r="I3125" s="27"/>
      <c r="J3125" s="26"/>
      <c r="K3125" s="27"/>
      <c r="L3125" s="27"/>
      <c r="M3125" s="27"/>
      <c r="N3125" s="27"/>
      <c r="O3125" s="24" t="str">
        <f aca="false">IF(G3125="","",VLOOKUP(G3125,Setup!$A$14:$C$17,3,0))</f>
        <v/>
      </c>
      <c r="P3125" s="27"/>
      <c r="Q3125" s="29" t="str">
        <f aca="false">IF(OR(P3125="",M3125&lt;&gt;"Paid",O3125=""),"",P3125/O3125)</f>
        <v/>
      </c>
      <c r="R3125" s="30" t="str">
        <f aca="false">IF(Q3125="","",Q3125+N(H3125)*0.000000001)</f>
        <v/>
      </c>
      <c r="S3125" s="25" t="str">
        <f aca="false">IF(R3125="","",SUMPRODUCT((I$5:I$4004=I3125)*ISNUMBER(R$5:R$4004)*(R$5:R$4004&gt;R3125))+1)</f>
        <v/>
      </c>
      <c r="T3125" s="25" t="str">
        <f aca="false">IF(S3125="","",IF(S3125&lt;=Setup!$B$5,"🏆 WINNER",""))</f>
        <v/>
      </c>
      <c r="U3125" s="24" t="str">
        <f aca="false">IF(S3125="","",I3125&amp;"|"&amp;S3125)</f>
        <v/>
      </c>
    </row>
    <row r="3126" customFormat="false" ht="15" hidden="false" customHeight="false" outlineLevel="0" collapsed="false">
      <c r="A3126" s="31" t="n">
        <v>3122</v>
      </c>
      <c r="B3126" s="32" t="str">
        <f aca="false">IF(OR(C3126="",I3126="",G3126=""),"",IFERROR(VLOOKUP(I3126,Setup!$A$9:$B$11,2,0),"???")&amp;"-"&amp;G3126&amp;"-"&amp;TEXT(COUNTIFS(I$5:I3126,I3126,G$5:G3126,G3126),"0000"))</f>
        <v/>
      </c>
      <c r="C3126" s="26"/>
      <c r="D3126" s="26"/>
      <c r="E3126" s="27"/>
      <c r="F3126" s="27"/>
      <c r="G3126" s="31" t="str">
        <f aca="false">IF(F3126="","",IF(F3126&lt;=5,"A",IF(F3126&lt;=8,"B",IF(F3126&lt;=10,"C","D"))))</f>
        <v/>
      </c>
      <c r="H3126" s="28"/>
      <c r="I3126" s="27"/>
      <c r="J3126" s="26"/>
      <c r="K3126" s="27"/>
      <c r="L3126" s="27"/>
      <c r="M3126" s="27"/>
      <c r="N3126" s="27"/>
      <c r="O3126" s="31" t="str">
        <f aca="false">IF(G3126="","",VLOOKUP(G3126,Setup!$A$14:$C$17,3,0))</f>
        <v/>
      </c>
      <c r="P3126" s="27"/>
      <c r="Q3126" s="33" t="str">
        <f aca="false">IF(OR(P3126="",M3126&lt;&gt;"Paid",O3126=""),"",P3126/O3126)</f>
        <v/>
      </c>
      <c r="R3126" s="34" t="str">
        <f aca="false">IF(Q3126="","",Q3126+N(H3126)*0.000000001)</f>
        <v/>
      </c>
      <c r="S3126" s="32" t="str">
        <f aca="false">IF(R3126="","",SUMPRODUCT((I$5:I$4004=I3126)*ISNUMBER(R$5:R$4004)*(R$5:R$4004&gt;R3126))+1)</f>
        <v/>
      </c>
      <c r="T3126" s="32" t="str">
        <f aca="false">IF(S3126="","",IF(S3126&lt;=Setup!$B$5,"🏆 WINNER",""))</f>
        <v/>
      </c>
      <c r="U3126" s="31" t="str">
        <f aca="false">IF(S3126="","",I3126&amp;"|"&amp;S3126)</f>
        <v/>
      </c>
    </row>
    <row r="3127" customFormat="false" ht="15" hidden="false" customHeight="false" outlineLevel="0" collapsed="false">
      <c r="A3127" s="24" t="n">
        <v>3123</v>
      </c>
      <c r="B3127" s="25" t="str">
        <f aca="false">IF(OR(C3127="",I3127="",G3127=""),"",IFERROR(VLOOKUP(I3127,Setup!$A$9:$B$11,2,0),"???")&amp;"-"&amp;G3127&amp;"-"&amp;TEXT(COUNTIFS(I$5:I3127,I3127,G$5:G3127,G3127),"0000"))</f>
        <v/>
      </c>
      <c r="C3127" s="26"/>
      <c r="D3127" s="26"/>
      <c r="E3127" s="27"/>
      <c r="F3127" s="27"/>
      <c r="G3127" s="24" t="str">
        <f aca="false">IF(F3127="","",IF(F3127&lt;=5,"A",IF(F3127&lt;=8,"B",IF(F3127&lt;=10,"C","D"))))</f>
        <v/>
      </c>
      <c r="H3127" s="28"/>
      <c r="I3127" s="27"/>
      <c r="J3127" s="26"/>
      <c r="K3127" s="27"/>
      <c r="L3127" s="27"/>
      <c r="M3127" s="27"/>
      <c r="N3127" s="27"/>
      <c r="O3127" s="24" t="str">
        <f aca="false">IF(G3127="","",VLOOKUP(G3127,Setup!$A$14:$C$17,3,0))</f>
        <v/>
      </c>
      <c r="P3127" s="27"/>
      <c r="Q3127" s="29" t="str">
        <f aca="false">IF(OR(P3127="",M3127&lt;&gt;"Paid",O3127=""),"",P3127/O3127)</f>
        <v/>
      </c>
      <c r="R3127" s="30" t="str">
        <f aca="false">IF(Q3127="","",Q3127+N(H3127)*0.000000001)</f>
        <v/>
      </c>
      <c r="S3127" s="25" t="str">
        <f aca="false">IF(R3127="","",SUMPRODUCT((I$5:I$4004=I3127)*ISNUMBER(R$5:R$4004)*(R$5:R$4004&gt;R3127))+1)</f>
        <v/>
      </c>
      <c r="T3127" s="25" t="str">
        <f aca="false">IF(S3127="","",IF(S3127&lt;=Setup!$B$5,"🏆 WINNER",""))</f>
        <v/>
      </c>
      <c r="U3127" s="24" t="str">
        <f aca="false">IF(S3127="","",I3127&amp;"|"&amp;S3127)</f>
        <v/>
      </c>
    </row>
    <row r="3128" customFormat="false" ht="15" hidden="false" customHeight="false" outlineLevel="0" collapsed="false">
      <c r="A3128" s="31" t="n">
        <v>3124</v>
      </c>
      <c r="B3128" s="32" t="str">
        <f aca="false">IF(OR(C3128="",I3128="",G3128=""),"",IFERROR(VLOOKUP(I3128,Setup!$A$9:$B$11,2,0),"???")&amp;"-"&amp;G3128&amp;"-"&amp;TEXT(COUNTIFS(I$5:I3128,I3128,G$5:G3128,G3128),"0000"))</f>
        <v/>
      </c>
      <c r="C3128" s="26"/>
      <c r="D3128" s="26"/>
      <c r="E3128" s="27"/>
      <c r="F3128" s="27"/>
      <c r="G3128" s="31" t="str">
        <f aca="false">IF(F3128="","",IF(F3128&lt;=5,"A",IF(F3128&lt;=8,"B",IF(F3128&lt;=10,"C","D"))))</f>
        <v/>
      </c>
      <c r="H3128" s="28"/>
      <c r="I3128" s="27"/>
      <c r="J3128" s="26"/>
      <c r="K3128" s="27"/>
      <c r="L3128" s="27"/>
      <c r="M3128" s="27"/>
      <c r="N3128" s="27"/>
      <c r="O3128" s="31" t="str">
        <f aca="false">IF(G3128="","",VLOOKUP(G3128,Setup!$A$14:$C$17,3,0))</f>
        <v/>
      </c>
      <c r="P3128" s="27"/>
      <c r="Q3128" s="33" t="str">
        <f aca="false">IF(OR(P3128="",M3128&lt;&gt;"Paid",O3128=""),"",P3128/O3128)</f>
        <v/>
      </c>
      <c r="R3128" s="34" t="str">
        <f aca="false">IF(Q3128="","",Q3128+N(H3128)*0.000000001)</f>
        <v/>
      </c>
      <c r="S3128" s="32" t="str">
        <f aca="false">IF(R3128="","",SUMPRODUCT((I$5:I$4004=I3128)*ISNUMBER(R$5:R$4004)*(R$5:R$4004&gt;R3128))+1)</f>
        <v/>
      </c>
      <c r="T3128" s="32" t="str">
        <f aca="false">IF(S3128="","",IF(S3128&lt;=Setup!$B$5,"🏆 WINNER",""))</f>
        <v/>
      </c>
      <c r="U3128" s="31" t="str">
        <f aca="false">IF(S3128="","",I3128&amp;"|"&amp;S3128)</f>
        <v/>
      </c>
    </row>
    <row r="3129" customFormat="false" ht="15" hidden="false" customHeight="false" outlineLevel="0" collapsed="false">
      <c r="A3129" s="24" t="n">
        <v>3125</v>
      </c>
      <c r="B3129" s="25" t="str">
        <f aca="false">IF(OR(C3129="",I3129="",G3129=""),"",IFERROR(VLOOKUP(I3129,Setup!$A$9:$B$11,2,0),"???")&amp;"-"&amp;G3129&amp;"-"&amp;TEXT(COUNTIFS(I$5:I3129,I3129,G$5:G3129,G3129),"0000"))</f>
        <v/>
      </c>
      <c r="C3129" s="26"/>
      <c r="D3129" s="26"/>
      <c r="E3129" s="27"/>
      <c r="F3129" s="27"/>
      <c r="G3129" s="24" t="str">
        <f aca="false">IF(F3129="","",IF(F3129&lt;=5,"A",IF(F3129&lt;=8,"B",IF(F3129&lt;=10,"C","D"))))</f>
        <v/>
      </c>
      <c r="H3129" s="28"/>
      <c r="I3129" s="27"/>
      <c r="J3129" s="26"/>
      <c r="K3129" s="27"/>
      <c r="L3129" s="27"/>
      <c r="M3129" s="27"/>
      <c r="N3129" s="27"/>
      <c r="O3129" s="24" t="str">
        <f aca="false">IF(G3129="","",VLOOKUP(G3129,Setup!$A$14:$C$17,3,0))</f>
        <v/>
      </c>
      <c r="P3129" s="27"/>
      <c r="Q3129" s="29" t="str">
        <f aca="false">IF(OR(P3129="",M3129&lt;&gt;"Paid",O3129=""),"",P3129/O3129)</f>
        <v/>
      </c>
      <c r="R3129" s="30" t="str">
        <f aca="false">IF(Q3129="","",Q3129+N(H3129)*0.000000001)</f>
        <v/>
      </c>
      <c r="S3129" s="25" t="str">
        <f aca="false">IF(R3129="","",SUMPRODUCT((I$5:I$4004=I3129)*ISNUMBER(R$5:R$4004)*(R$5:R$4004&gt;R3129))+1)</f>
        <v/>
      </c>
      <c r="T3129" s="25" t="str">
        <f aca="false">IF(S3129="","",IF(S3129&lt;=Setup!$B$5,"🏆 WINNER",""))</f>
        <v/>
      </c>
      <c r="U3129" s="24" t="str">
        <f aca="false">IF(S3129="","",I3129&amp;"|"&amp;S3129)</f>
        <v/>
      </c>
    </row>
    <row r="3130" customFormat="false" ht="15" hidden="false" customHeight="false" outlineLevel="0" collapsed="false">
      <c r="A3130" s="31" t="n">
        <v>3126</v>
      </c>
      <c r="B3130" s="32" t="str">
        <f aca="false">IF(OR(C3130="",I3130="",G3130=""),"",IFERROR(VLOOKUP(I3130,Setup!$A$9:$B$11,2,0),"???")&amp;"-"&amp;G3130&amp;"-"&amp;TEXT(COUNTIFS(I$5:I3130,I3130,G$5:G3130,G3130),"0000"))</f>
        <v/>
      </c>
      <c r="C3130" s="26"/>
      <c r="D3130" s="26"/>
      <c r="E3130" s="27"/>
      <c r="F3130" s="27"/>
      <c r="G3130" s="31" t="str">
        <f aca="false">IF(F3130="","",IF(F3130&lt;=5,"A",IF(F3130&lt;=8,"B",IF(F3130&lt;=10,"C","D"))))</f>
        <v/>
      </c>
      <c r="H3130" s="28"/>
      <c r="I3130" s="27"/>
      <c r="J3130" s="26"/>
      <c r="K3130" s="27"/>
      <c r="L3130" s="27"/>
      <c r="M3130" s="27"/>
      <c r="N3130" s="27"/>
      <c r="O3130" s="31" t="str">
        <f aca="false">IF(G3130="","",VLOOKUP(G3130,Setup!$A$14:$C$17,3,0))</f>
        <v/>
      </c>
      <c r="P3130" s="27"/>
      <c r="Q3130" s="33" t="str">
        <f aca="false">IF(OR(P3130="",M3130&lt;&gt;"Paid",O3130=""),"",P3130/O3130)</f>
        <v/>
      </c>
      <c r="R3130" s="34" t="str">
        <f aca="false">IF(Q3130="","",Q3130+N(H3130)*0.000000001)</f>
        <v/>
      </c>
      <c r="S3130" s="32" t="str">
        <f aca="false">IF(R3130="","",SUMPRODUCT((I$5:I$4004=I3130)*ISNUMBER(R$5:R$4004)*(R$5:R$4004&gt;R3130))+1)</f>
        <v/>
      </c>
      <c r="T3130" s="32" t="str">
        <f aca="false">IF(S3130="","",IF(S3130&lt;=Setup!$B$5,"🏆 WINNER",""))</f>
        <v/>
      </c>
      <c r="U3130" s="31" t="str">
        <f aca="false">IF(S3130="","",I3130&amp;"|"&amp;S3130)</f>
        <v/>
      </c>
    </row>
    <row r="3131" customFormat="false" ht="15" hidden="false" customHeight="false" outlineLevel="0" collapsed="false">
      <c r="A3131" s="24" t="n">
        <v>3127</v>
      </c>
      <c r="B3131" s="25" t="str">
        <f aca="false">IF(OR(C3131="",I3131="",G3131=""),"",IFERROR(VLOOKUP(I3131,Setup!$A$9:$B$11,2,0),"???")&amp;"-"&amp;G3131&amp;"-"&amp;TEXT(COUNTIFS(I$5:I3131,I3131,G$5:G3131,G3131),"0000"))</f>
        <v/>
      </c>
      <c r="C3131" s="26"/>
      <c r="D3131" s="26"/>
      <c r="E3131" s="27"/>
      <c r="F3131" s="27"/>
      <c r="G3131" s="24" t="str">
        <f aca="false">IF(F3131="","",IF(F3131&lt;=5,"A",IF(F3131&lt;=8,"B",IF(F3131&lt;=10,"C","D"))))</f>
        <v/>
      </c>
      <c r="H3131" s="28"/>
      <c r="I3131" s="27"/>
      <c r="J3131" s="26"/>
      <c r="K3131" s="27"/>
      <c r="L3131" s="27"/>
      <c r="M3131" s="27"/>
      <c r="N3131" s="27"/>
      <c r="O3131" s="24" t="str">
        <f aca="false">IF(G3131="","",VLOOKUP(G3131,Setup!$A$14:$C$17,3,0))</f>
        <v/>
      </c>
      <c r="P3131" s="27"/>
      <c r="Q3131" s="29" t="str">
        <f aca="false">IF(OR(P3131="",M3131&lt;&gt;"Paid",O3131=""),"",P3131/O3131)</f>
        <v/>
      </c>
      <c r="R3131" s="30" t="str">
        <f aca="false">IF(Q3131="","",Q3131+N(H3131)*0.000000001)</f>
        <v/>
      </c>
      <c r="S3131" s="25" t="str">
        <f aca="false">IF(R3131="","",SUMPRODUCT((I$5:I$4004=I3131)*ISNUMBER(R$5:R$4004)*(R$5:R$4004&gt;R3131))+1)</f>
        <v/>
      </c>
      <c r="T3131" s="25" t="str">
        <f aca="false">IF(S3131="","",IF(S3131&lt;=Setup!$B$5,"🏆 WINNER",""))</f>
        <v/>
      </c>
      <c r="U3131" s="24" t="str">
        <f aca="false">IF(S3131="","",I3131&amp;"|"&amp;S3131)</f>
        <v/>
      </c>
    </row>
    <row r="3132" customFormat="false" ht="15" hidden="false" customHeight="false" outlineLevel="0" collapsed="false">
      <c r="A3132" s="31" t="n">
        <v>3128</v>
      </c>
      <c r="B3132" s="32" t="str">
        <f aca="false">IF(OR(C3132="",I3132="",G3132=""),"",IFERROR(VLOOKUP(I3132,Setup!$A$9:$B$11,2,0),"???")&amp;"-"&amp;G3132&amp;"-"&amp;TEXT(COUNTIFS(I$5:I3132,I3132,G$5:G3132,G3132),"0000"))</f>
        <v/>
      </c>
      <c r="C3132" s="26"/>
      <c r="D3132" s="26"/>
      <c r="E3132" s="27"/>
      <c r="F3132" s="27"/>
      <c r="G3132" s="31" t="str">
        <f aca="false">IF(F3132="","",IF(F3132&lt;=5,"A",IF(F3132&lt;=8,"B",IF(F3132&lt;=10,"C","D"))))</f>
        <v/>
      </c>
      <c r="H3132" s="28"/>
      <c r="I3132" s="27"/>
      <c r="J3132" s="26"/>
      <c r="K3132" s="27"/>
      <c r="L3132" s="27"/>
      <c r="M3132" s="27"/>
      <c r="N3132" s="27"/>
      <c r="O3132" s="31" t="str">
        <f aca="false">IF(G3132="","",VLOOKUP(G3132,Setup!$A$14:$C$17,3,0))</f>
        <v/>
      </c>
      <c r="P3132" s="27"/>
      <c r="Q3132" s="33" t="str">
        <f aca="false">IF(OR(P3132="",M3132&lt;&gt;"Paid",O3132=""),"",P3132/O3132)</f>
        <v/>
      </c>
      <c r="R3132" s="34" t="str">
        <f aca="false">IF(Q3132="","",Q3132+N(H3132)*0.000000001)</f>
        <v/>
      </c>
      <c r="S3132" s="32" t="str">
        <f aca="false">IF(R3132="","",SUMPRODUCT((I$5:I$4004=I3132)*ISNUMBER(R$5:R$4004)*(R$5:R$4004&gt;R3132))+1)</f>
        <v/>
      </c>
      <c r="T3132" s="32" t="str">
        <f aca="false">IF(S3132="","",IF(S3132&lt;=Setup!$B$5,"🏆 WINNER",""))</f>
        <v/>
      </c>
      <c r="U3132" s="31" t="str">
        <f aca="false">IF(S3132="","",I3132&amp;"|"&amp;S3132)</f>
        <v/>
      </c>
    </row>
    <row r="3133" customFormat="false" ht="15" hidden="false" customHeight="false" outlineLevel="0" collapsed="false">
      <c r="A3133" s="24" t="n">
        <v>3129</v>
      </c>
      <c r="B3133" s="25" t="str">
        <f aca="false">IF(OR(C3133="",I3133="",G3133=""),"",IFERROR(VLOOKUP(I3133,Setup!$A$9:$B$11,2,0),"???")&amp;"-"&amp;G3133&amp;"-"&amp;TEXT(COUNTIFS(I$5:I3133,I3133,G$5:G3133,G3133),"0000"))</f>
        <v/>
      </c>
      <c r="C3133" s="26"/>
      <c r="D3133" s="26"/>
      <c r="E3133" s="27"/>
      <c r="F3133" s="27"/>
      <c r="G3133" s="24" t="str">
        <f aca="false">IF(F3133="","",IF(F3133&lt;=5,"A",IF(F3133&lt;=8,"B",IF(F3133&lt;=10,"C","D"))))</f>
        <v/>
      </c>
      <c r="H3133" s="28"/>
      <c r="I3133" s="27"/>
      <c r="J3133" s="26"/>
      <c r="K3133" s="27"/>
      <c r="L3133" s="27"/>
      <c r="M3133" s="27"/>
      <c r="N3133" s="27"/>
      <c r="O3133" s="24" t="str">
        <f aca="false">IF(G3133="","",VLOOKUP(G3133,Setup!$A$14:$C$17,3,0))</f>
        <v/>
      </c>
      <c r="P3133" s="27"/>
      <c r="Q3133" s="29" t="str">
        <f aca="false">IF(OR(P3133="",M3133&lt;&gt;"Paid",O3133=""),"",P3133/O3133)</f>
        <v/>
      </c>
      <c r="R3133" s="30" t="str">
        <f aca="false">IF(Q3133="","",Q3133+N(H3133)*0.000000001)</f>
        <v/>
      </c>
      <c r="S3133" s="25" t="str">
        <f aca="false">IF(R3133="","",SUMPRODUCT((I$5:I$4004=I3133)*ISNUMBER(R$5:R$4004)*(R$5:R$4004&gt;R3133))+1)</f>
        <v/>
      </c>
      <c r="T3133" s="25" t="str">
        <f aca="false">IF(S3133="","",IF(S3133&lt;=Setup!$B$5,"🏆 WINNER",""))</f>
        <v/>
      </c>
      <c r="U3133" s="24" t="str">
        <f aca="false">IF(S3133="","",I3133&amp;"|"&amp;S3133)</f>
        <v/>
      </c>
    </row>
    <row r="3134" customFormat="false" ht="15" hidden="false" customHeight="false" outlineLevel="0" collapsed="false">
      <c r="A3134" s="31" t="n">
        <v>3130</v>
      </c>
      <c r="B3134" s="32" t="str">
        <f aca="false">IF(OR(C3134="",I3134="",G3134=""),"",IFERROR(VLOOKUP(I3134,Setup!$A$9:$B$11,2,0),"???")&amp;"-"&amp;G3134&amp;"-"&amp;TEXT(COUNTIFS(I$5:I3134,I3134,G$5:G3134,G3134),"0000"))</f>
        <v/>
      </c>
      <c r="C3134" s="26"/>
      <c r="D3134" s="26"/>
      <c r="E3134" s="27"/>
      <c r="F3134" s="27"/>
      <c r="G3134" s="31" t="str">
        <f aca="false">IF(F3134="","",IF(F3134&lt;=5,"A",IF(F3134&lt;=8,"B",IF(F3134&lt;=10,"C","D"))))</f>
        <v/>
      </c>
      <c r="H3134" s="28"/>
      <c r="I3134" s="27"/>
      <c r="J3134" s="26"/>
      <c r="K3134" s="27"/>
      <c r="L3134" s="27"/>
      <c r="M3134" s="27"/>
      <c r="N3134" s="27"/>
      <c r="O3134" s="31" t="str">
        <f aca="false">IF(G3134="","",VLOOKUP(G3134,Setup!$A$14:$C$17,3,0))</f>
        <v/>
      </c>
      <c r="P3134" s="27"/>
      <c r="Q3134" s="33" t="str">
        <f aca="false">IF(OR(P3134="",M3134&lt;&gt;"Paid",O3134=""),"",P3134/O3134)</f>
        <v/>
      </c>
      <c r="R3134" s="34" t="str">
        <f aca="false">IF(Q3134="","",Q3134+N(H3134)*0.000000001)</f>
        <v/>
      </c>
      <c r="S3134" s="32" t="str">
        <f aca="false">IF(R3134="","",SUMPRODUCT((I$5:I$4004=I3134)*ISNUMBER(R$5:R$4004)*(R$5:R$4004&gt;R3134))+1)</f>
        <v/>
      </c>
      <c r="T3134" s="32" t="str">
        <f aca="false">IF(S3134="","",IF(S3134&lt;=Setup!$B$5,"🏆 WINNER",""))</f>
        <v/>
      </c>
      <c r="U3134" s="31" t="str">
        <f aca="false">IF(S3134="","",I3134&amp;"|"&amp;S3134)</f>
        <v/>
      </c>
    </row>
    <row r="3135" customFormat="false" ht="15" hidden="false" customHeight="false" outlineLevel="0" collapsed="false">
      <c r="A3135" s="24" t="n">
        <v>3131</v>
      </c>
      <c r="B3135" s="25" t="str">
        <f aca="false">IF(OR(C3135="",I3135="",G3135=""),"",IFERROR(VLOOKUP(I3135,Setup!$A$9:$B$11,2,0),"???")&amp;"-"&amp;G3135&amp;"-"&amp;TEXT(COUNTIFS(I$5:I3135,I3135,G$5:G3135,G3135),"0000"))</f>
        <v/>
      </c>
      <c r="C3135" s="26"/>
      <c r="D3135" s="26"/>
      <c r="E3135" s="27"/>
      <c r="F3135" s="27"/>
      <c r="G3135" s="24" t="str">
        <f aca="false">IF(F3135="","",IF(F3135&lt;=5,"A",IF(F3135&lt;=8,"B",IF(F3135&lt;=10,"C","D"))))</f>
        <v/>
      </c>
      <c r="H3135" s="28"/>
      <c r="I3135" s="27"/>
      <c r="J3135" s="26"/>
      <c r="K3135" s="27"/>
      <c r="L3135" s="27"/>
      <c r="M3135" s="27"/>
      <c r="N3135" s="27"/>
      <c r="O3135" s="24" t="str">
        <f aca="false">IF(G3135="","",VLOOKUP(G3135,Setup!$A$14:$C$17,3,0))</f>
        <v/>
      </c>
      <c r="P3135" s="27"/>
      <c r="Q3135" s="29" t="str">
        <f aca="false">IF(OR(P3135="",M3135&lt;&gt;"Paid",O3135=""),"",P3135/O3135)</f>
        <v/>
      </c>
      <c r="R3135" s="30" t="str">
        <f aca="false">IF(Q3135="","",Q3135+N(H3135)*0.000000001)</f>
        <v/>
      </c>
      <c r="S3135" s="25" t="str">
        <f aca="false">IF(R3135="","",SUMPRODUCT((I$5:I$4004=I3135)*ISNUMBER(R$5:R$4004)*(R$5:R$4004&gt;R3135))+1)</f>
        <v/>
      </c>
      <c r="T3135" s="25" t="str">
        <f aca="false">IF(S3135="","",IF(S3135&lt;=Setup!$B$5,"🏆 WINNER",""))</f>
        <v/>
      </c>
      <c r="U3135" s="24" t="str">
        <f aca="false">IF(S3135="","",I3135&amp;"|"&amp;S3135)</f>
        <v/>
      </c>
    </row>
    <row r="3136" customFormat="false" ht="15" hidden="false" customHeight="false" outlineLevel="0" collapsed="false">
      <c r="A3136" s="31" t="n">
        <v>3132</v>
      </c>
      <c r="B3136" s="32" t="str">
        <f aca="false">IF(OR(C3136="",I3136="",G3136=""),"",IFERROR(VLOOKUP(I3136,Setup!$A$9:$B$11,2,0),"???")&amp;"-"&amp;G3136&amp;"-"&amp;TEXT(COUNTIFS(I$5:I3136,I3136,G$5:G3136,G3136),"0000"))</f>
        <v/>
      </c>
      <c r="C3136" s="26"/>
      <c r="D3136" s="26"/>
      <c r="E3136" s="27"/>
      <c r="F3136" s="27"/>
      <c r="G3136" s="31" t="str">
        <f aca="false">IF(F3136="","",IF(F3136&lt;=5,"A",IF(F3136&lt;=8,"B",IF(F3136&lt;=10,"C","D"))))</f>
        <v/>
      </c>
      <c r="H3136" s="28"/>
      <c r="I3136" s="27"/>
      <c r="J3136" s="26"/>
      <c r="K3136" s="27"/>
      <c r="L3136" s="27"/>
      <c r="M3136" s="27"/>
      <c r="N3136" s="27"/>
      <c r="O3136" s="31" t="str">
        <f aca="false">IF(G3136="","",VLOOKUP(G3136,Setup!$A$14:$C$17,3,0))</f>
        <v/>
      </c>
      <c r="P3136" s="27"/>
      <c r="Q3136" s="33" t="str">
        <f aca="false">IF(OR(P3136="",M3136&lt;&gt;"Paid",O3136=""),"",P3136/O3136)</f>
        <v/>
      </c>
      <c r="R3136" s="34" t="str">
        <f aca="false">IF(Q3136="","",Q3136+N(H3136)*0.000000001)</f>
        <v/>
      </c>
      <c r="S3136" s="32" t="str">
        <f aca="false">IF(R3136="","",SUMPRODUCT((I$5:I$4004=I3136)*ISNUMBER(R$5:R$4004)*(R$5:R$4004&gt;R3136))+1)</f>
        <v/>
      </c>
      <c r="T3136" s="32" t="str">
        <f aca="false">IF(S3136="","",IF(S3136&lt;=Setup!$B$5,"🏆 WINNER",""))</f>
        <v/>
      </c>
      <c r="U3136" s="31" t="str">
        <f aca="false">IF(S3136="","",I3136&amp;"|"&amp;S3136)</f>
        <v/>
      </c>
    </row>
    <row r="3137" customFormat="false" ht="15" hidden="false" customHeight="false" outlineLevel="0" collapsed="false">
      <c r="A3137" s="24" t="n">
        <v>3133</v>
      </c>
      <c r="B3137" s="25" t="str">
        <f aca="false">IF(OR(C3137="",I3137="",G3137=""),"",IFERROR(VLOOKUP(I3137,Setup!$A$9:$B$11,2,0),"???")&amp;"-"&amp;G3137&amp;"-"&amp;TEXT(COUNTIFS(I$5:I3137,I3137,G$5:G3137,G3137),"0000"))</f>
        <v/>
      </c>
      <c r="C3137" s="26"/>
      <c r="D3137" s="26"/>
      <c r="E3137" s="27"/>
      <c r="F3137" s="27"/>
      <c r="G3137" s="24" t="str">
        <f aca="false">IF(F3137="","",IF(F3137&lt;=5,"A",IF(F3137&lt;=8,"B",IF(F3137&lt;=10,"C","D"))))</f>
        <v/>
      </c>
      <c r="H3137" s="28"/>
      <c r="I3137" s="27"/>
      <c r="J3137" s="26"/>
      <c r="K3137" s="27"/>
      <c r="L3137" s="27"/>
      <c r="M3137" s="27"/>
      <c r="N3137" s="27"/>
      <c r="O3137" s="24" t="str">
        <f aca="false">IF(G3137="","",VLOOKUP(G3137,Setup!$A$14:$C$17,3,0))</f>
        <v/>
      </c>
      <c r="P3137" s="27"/>
      <c r="Q3137" s="29" t="str">
        <f aca="false">IF(OR(P3137="",M3137&lt;&gt;"Paid",O3137=""),"",P3137/O3137)</f>
        <v/>
      </c>
      <c r="R3137" s="30" t="str">
        <f aca="false">IF(Q3137="","",Q3137+N(H3137)*0.000000001)</f>
        <v/>
      </c>
      <c r="S3137" s="25" t="str">
        <f aca="false">IF(R3137="","",SUMPRODUCT((I$5:I$4004=I3137)*ISNUMBER(R$5:R$4004)*(R$5:R$4004&gt;R3137))+1)</f>
        <v/>
      </c>
      <c r="T3137" s="25" t="str">
        <f aca="false">IF(S3137="","",IF(S3137&lt;=Setup!$B$5,"🏆 WINNER",""))</f>
        <v/>
      </c>
      <c r="U3137" s="24" t="str">
        <f aca="false">IF(S3137="","",I3137&amp;"|"&amp;S3137)</f>
        <v/>
      </c>
    </row>
    <row r="3138" customFormat="false" ht="15" hidden="false" customHeight="false" outlineLevel="0" collapsed="false">
      <c r="A3138" s="31" t="n">
        <v>3134</v>
      </c>
      <c r="B3138" s="32" t="str">
        <f aca="false">IF(OR(C3138="",I3138="",G3138=""),"",IFERROR(VLOOKUP(I3138,Setup!$A$9:$B$11,2,0),"???")&amp;"-"&amp;G3138&amp;"-"&amp;TEXT(COUNTIFS(I$5:I3138,I3138,G$5:G3138,G3138),"0000"))</f>
        <v/>
      </c>
      <c r="C3138" s="26"/>
      <c r="D3138" s="26"/>
      <c r="E3138" s="27"/>
      <c r="F3138" s="27"/>
      <c r="G3138" s="31" t="str">
        <f aca="false">IF(F3138="","",IF(F3138&lt;=5,"A",IF(F3138&lt;=8,"B",IF(F3138&lt;=10,"C","D"))))</f>
        <v/>
      </c>
      <c r="H3138" s="28"/>
      <c r="I3138" s="27"/>
      <c r="J3138" s="26"/>
      <c r="K3138" s="27"/>
      <c r="L3138" s="27"/>
      <c r="M3138" s="27"/>
      <c r="N3138" s="27"/>
      <c r="O3138" s="31" t="str">
        <f aca="false">IF(G3138="","",VLOOKUP(G3138,Setup!$A$14:$C$17,3,0))</f>
        <v/>
      </c>
      <c r="P3138" s="27"/>
      <c r="Q3138" s="33" t="str">
        <f aca="false">IF(OR(P3138="",M3138&lt;&gt;"Paid",O3138=""),"",P3138/O3138)</f>
        <v/>
      </c>
      <c r="R3138" s="34" t="str">
        <f aca="false">IF(Q3138="","",Q3138+N(H3138)*0.000000001)</f>
        <v/>
      </c>
      <c r="S3138" s="32" t="str">
        <f aca="false">IF(R3138="","",SUMPRODUCT((I$5:I$4004=I3138)*ISNUMBER(R$5:R$4004)*(R$5:R$4004&gt;R3138))+1)</f>
        <v/>
      </c>
      <c r="T3138" s="32" t="str">
        <f aca="false">IF(S3138="","",IF(S3138&lt;=Setup!$B$5,"🏆 WINNER",""))</f>
        <v/>
      </c>
      <c r="U3138" s="31" t="str">
        <f aca="false">IF(S3138="","",I3138&amp;"|"&amp;S3138)</f>
        <v/>
      </c>
    </row>
    <row r="3139" customFormat="false" ht="15" hidden="false" customHeight="false" outlineLevel="0" collapsed="false">
      <c r="A3139" s="24" t="n">
        <v>3135</v>
      </c>
      <c r="B3139" s="25" t="str">
        <f aca="false">IF(OR(C3139="",I3139="",G3139=""),"",IFERROR(VLOOKUP(I3139,Setup!$A$9:$B$11,2,0),"???")&amp;"-"&amp;G3139&amp;"-"&amp;TEXT(COUNTIFS(I$5:I3139,I3139,G$5:G3139,G3139),"0000"))</f>
        <v/>
      </c>
      <c r="C3139" s="26"/>
      <c r="D3139" s="26"/>
      <c r="E3139" s="27"/>
      <c r="F3139" s="27"/>
      <c r="G3139" s="24" t="str">
        <f aca="false">IF(F3139="","",IF(F3139&lt;=5,"A",IF(F3139&lt;=8,"B",IF(F3139&lt;=10,"C","D"))))</f>
        <v/>
      </c>
      <c r="H3139" s="28"/>
      <c r="I3139" s="27"/>
      <c r="J3139" s="26"/>
      <c r="K3139" s="27"/>
      <c r="L3139" s="27"/>
      <c r="M3139" s="27"/>
      <c r="N3139" s="27"/>
      <c r="O3139" s="24" t="str">
        <f aca="false">IF(G3139="","",VLOOKUP(G3139,Setup!$A$14:$C$17,3,0))</f>
        <v/>
      </c>
      <c r="P3139" s="27"/>
      <c r="Q3139" s="29" t="str">
        <f aca="false">IF(OR(P3139="",M3139&lt;&gt;"Paid",O3139=""),"",P3139/O3139)</f>
        <v/>
      </c>
      <c r="R3139" s="30" t="str">
        <f aca="false">IF(Q3139="","",Q3139+N(H3139)*0.000000001)</f>
        <v/>
      </c>
      <c r="S3139" s="25" t="str">
        <f aca="false">IF(R3139="","",SUMPRODUCT((I$5:I$4004=I3139)*ISNUMBER(R$5:R$4004)*(R$5:R$4004&gt;R3139))+1)</f>
        <v/>
      </c>
      <c r="T3139" s="25" t="str">
        <f aca="false">IF(S3139="","",IF(S3139&lt;=Setup!$B$5,"🏆 WINNER",""))</f>
        <v/>
      </c>
      <c r="U3139" s="24" t="str">
        <f aca="false">IF(S3139="","",I3139&amp;"|"&amp;S3139)</f>
        <v/>
      </c>
    </row>
    <row r="3140" customFormat="false" ht="15" hidden="false" customHeight="false" outlineLevel="0" collapsed="false">
      <c r="A3140" s="31" t="n">
        <v>3136</v>
      </c>
      <c r="B3140" s="32" t="str">
        <f aca="false">IF(OR(C3140="",I3140="",G3140=""),"",IFERROR(VLOOKUP(I3140,Setup!$A$9:$B$11,2,0),"???")&amp;"-"&amp;G3140&amp;"-"&amp;TEXT(COUNTIFS(I$5:I3140,I3140,G$5:G3140,G3140),"0000"))</f>
        <v/>
      </c>
      <c r="C3140" s="26"/>
      <c r="D3140" s="26"/>
      <c r="E3140" s="27"/>
      <c r="F3140" s="27"/>
      <c r="G3140" s="31" t="str">
        <f aca="false">IF(F3140="","",IF(F3140&lt;=5,"A",IF(F3140&lt;=8,"B",IF(F3140&lt;=10,"C","D"))))</f>
        <v/>
      </c>
      <c r="H3140" s="28"/>
      <c r="I3140" s="27"/>
      <c r="J3140" s="26"/>
      <c r="K3140" s="27"/>
      <c r="L3140" s="27"/>
      <c r="M3140" s="27"/>
      <c r="N3140" s="27"/>
      <c r="O3140" s="31" t="str">
        <f aca="false">IF(G3140="","",VLOOKUP(G3140,Setup!$A$14:$C$17,3,0))</f>
        <v/>
      </c>
      <c r="P3140" s="27"/>
      <c r="Q3140" s="33" t="str">
        <f aca="false">IF(OR(P3140="",M3140&lt;&gt;"Paid",O3140=""),"",P3140/O3140)</f>
        <v/>
      </c>
      <c r="R3140" s="34" t="str">
        <f aca="false">IF(Q3140="","",Q3140+N(H3140)*0.000000001)</f>
        <v/>
      </c>
      <c r="S3140" s="32" t="str">
        <f aca="false">IF(R3140="","",SUMPRODUCT((I$5:I$4004=I3140)*ISNUMBER(R$5:R$4004)*(R$5:R$4004&gt;R3140))+1)</f>
        <v/>
      </c>
      <c r="T3140" s="32" t="str">
        <f aca="false">IF(S3140="","",IF(S3140&lt;=Setup!$B$5,"🏆 WINNER",""))</f>
        <v/>
      </c>
      <c r="U3140" s="31" t="str">
        <f aca="false">IF(S3140="","",I3140&amp;"|"&amp;S3140)</f>
        <v/>
      </c>
    </row>
    <row r="3141" customFormat="false" ht="15" hidden="false" customHeight="false" outlineLevel="0" collapsed="false">
      <c r="A3141" s="24" t="n">
        <v>3137</v>
      </c>
      <c r="B3141" s="25" t="str">
        <f aca="false">IF(OR(C3141="",I3141="",G3141=""),"",IFERROR(VLOOKUP(I3141,Setup!$A$9:$B$11,2,0),"???")&amp;"-"&amp;G3141&amp;"-"&amp;TEXT(COUNTIFS(I$5:I3141,I3141,G$5:G3141,G3141),"0000"))</f>
        <v/>
      </c>
      <c r="C3141" s="26"/>
      <c r="D3141" s="26"/>
      <c r="E3141" s="27"/>
      <c r="F3141" s="27"/>
      <c r="G3141" s="24" t="str">
        <f aca="false">IF(F3141="","",IF(F3141&lt;=5,"A",IF(F3141&lt;=8,"B",IF(F3141&lt;=10,"C","D"))))</f>
        <v/>
      </c>
      <c r="H3141" s="28"/>
      <c r="I3141" s="27"/>
      <c r="J3141" s="26"/>
      <c r="K3141" s="27"/>
      <c r="L3141" s="27"/>
      <c r="M3141" s="27"/>
      <c r="N3141" s="27"/>
      <c r="O3141" s="24" t="str">
        <f aca="false">IF(G3141="","",VLOOKUP(G3141,Setup!$A$14:$C$17,3,0))</f>
        <v/>
      </c>
      <c r="P3141" s="27"/>
      <c r="Q3141" s="29" t="str">
        <f aca="false">IF(OR(P3141="",M3141&lt;&gt;"Paid",O3141=""),"",P3141/O3141)</f>
        <v/>
      </c>
      <c r="R3141" s="30" t="str">
        <f aca="false">IF(Q3141="","",Q3141+N(H3141)*0.000000001)</f>
        <v/>
      </c>
      <c r="S3141" s="25" t="str">
        <f aca="false">IF(R3141="","",SUMPRODUCT((I$5:I$4004=I3141)*ISNUMBER(R$5:R$4004)*(R$5:R$4004&gt;R3141))+1)</f>
        <v/>
      </c>
      <c r="T3141" s="25" t="str">
        <f aca="false">IF(S3141="","",IF(S3141&lt;=Setup!$B$5,"🏆 WINNER",""))</f>
        <v/>
      </c>
      <c r="U3141" s="24" t="str">
        <f aca="false">IF(S3141="","",I3141&amp;"|"&amp;S3141)</f>
        <v/>
      </c>
    </row>
    <row r="3142" customFormat="false" ht="15" hidden="false" customHeight="false" outlineLevel="0" collapsed="false">
      <c r="A3142" s="31" t="n">
        <v>3138</v>
      </c>
      <c r="B3142" s="32" t="str">
        <f aca="false">IF(OR(C3142="",I3142="",G3142=""),"",IFERROR(VLOOKUP(I3142,Setup!$A$9:$B$11,2,0),"???")&amp;"-"&amp;G3142&amp;"-"&amp;TEXT(COUNTIFS(I$5:I3142,I3142,G$5:G3142,G3142),"0000"))</f>
        <v/>
      </c>
      <c r="C3142" s="26"/>
      <c r="D3142" s="26"/>
      <c r="E3142" s="27"/>
      <c r="F3142" s="27"/>
      <c r="G3142" s="31" t="str">
        <f aca="false">IF(F3142="","",IF(F3142&lt;=5,"A",IF(F3142&lt;=8,"B",IF(F3142&lt;=10,"C","D"))))</f>
        <v/>
      </c>
      <c r="H3142" s="28"/>
      <c r="I3142" s="27"/>
      <c r="J3142" s="26"/>
      <c r="K3142" s="27"/>
      <c r="L3142" s="27"/>
      <c r="M3142" s="27"/>
      <c r="N3142" s="27"/>
      <c r="O3142" s="31" t="str">
        <f aca="false">IF(G3142="","",VLOOKUP(G3142,Setup!$A$14:$C$17,3,0))</f>
        <v/>
      </c>
      <c r="P3142" s="27"/>
      <c r="Q3142" s="33" t="str">
        <f aca="false">IF(OR(P3142="",M3142&lt;&gt;"Paid",O3142=""),"",P3142/O3142)</f>
        <v/>
      </c>
      <c r="R3142" s="34" t="str">
        <f aca="false">IF(Q3142="","",Q3142+N(H3142)*0.000000001)</f>
        <v/>
      </c>
      <c r="S3142" s="32" t="str">
        <f aca="false">IF(R3142="","",SUMPRODUCT((I$5:I$4004=I3142)*ISNUMBER(R$5:R$4004)*(R$5:R$4004&gt;R3142))+1)</f>
        <v/>
      </c>
      <c r="T3142" s="32" t="str">
        <f aca="false">IF(S3142="","",IF(S3142&lt;=Setup!$B$5,"🏆 WINNER",""))</f>
        <v/>
      </c>
      <c r="U3142" s="31" t="str">
        <f aca="false">IF(S3142="","",I3142&amp;"|"&amp;S3142)</f>
        <v/>
      </c>
    </row>
    <row r="3143" customFormat="false" ht="15" hidden="false" customHeight="false" outlineLevel="0" collapsed="false">
      <c r="A3143" s="24" t="n">
        <v>3139</v>
      </c>
      <c r="B3143" s="25" t="str">
        <f aca="false">IF(OR(C3143="",I3143="",G3143=""),"",IFERROR(VLOOKUP(I3143,Setup!$A$9:$B$11,2,0),"???")&amp;"-"&amp;G3143&amp;"-"&amp;TEXT(COUNTIFS(I$5:I3143,I3143,G$5:G3143,G3143),"0000"))</f>
        <v/>
      </c>
      <c r="C3143" s="26"/>
      <c r="D3143" s="26"/>
      <c r="E3143" s="27"/>
      <c r="F3143" s="27"/>
      <c r="G3143" s="24" t="str">
        <f aca="false">IF(F3143="","",IF(F3143&lt;=5,"A",IF(F3143&lt;=8,"B",IF(F3143&lt;=10,"C","D"))))</f>
        <v/>
      </c>
      <c r="H3143" s="28"/>
      <c r="I3143" s="27"/>
      <c r="J3143" s="26"/>
      <c r="K3143" s="27"/>
      <c r="L3143" s="27"/>
      <c r="M3143" s="27"/>
      <c r="N3143" s="27"/>
      <c r="O3143" s="24" t="str">
        <f aca="false">IF(G3143="","",VLOOKUP(G3143,Setup!$A$14:$C$17,3,0))</f>
        <v/>
      </c>
      <c r="P3143" s="27"/>
      <c r="Q3143" s="29" t="str">
        <f aca="false">IF(OR(P3143="",M3143&lt;&gt;"Paid",O3143=""),"",P3143/O3143)</f>
        <v/>
      </c>
      <c r="R3143" s="30" t="str">
        <f aca="false">IF(Q3143="","",Q3143+N(H3143)*0.000000001)</f>
        <v/>
      </c>
      <c r="S3143" s="25" t="str">
        <f aca="false">IF(R3143="","",SUMPRODUCT((I$5:I$4004=I3143)*ISNUMBER(R$5:R$4004)*(R$5:R$4004&gt;R3143))+1)</f>
        <v/>
      </c>
      <c r="T3143" s="25" t="str">
        <f aca="false">IF(S3143="","",IF(S3143&lt;=Setup!$B$5,"🏆 WINNER",""))</f>
        <v/>
      </c>
      <c r="U3143" s="24" t="str">
        <f aca="false">IF(S3143="","",I3143&amp;"|"&amp;S3143)</f>
        <v/>
      </c>
    </row>
    <row r="3144" customFormat="false" ht="15" hidden="false" customHeight="false" outlineLevel="0" collapsed="false">
      <c r="A3144" s="31" t="n">
        <v>3140</v>
      </c>
      <c r="B3144" s="32" t="str">
        <f aca="false">IF(OR(C3144="",I3144="",G3144=""),"",IFERROR(VLOOKUP(I3144,Setup!$A$9:$B$11,2,0),"???")&amp;"-"&amp;G3144&amp;"-"&amp;TEXT(COUNTIFS(I$5:I3144,I3144,G$5:G3144,G3144),"0000"))</f>
        <v/>
      </c>
      <c r="C3144" s="26"/>
      <c r="D3144" s="26"/>
      <c r="E3144" s="27"/>
      <c r="F3144" s="27"/>
      <c r="G3144" s="31" t="str">
        <f aca="false">IF(F3144="","",IF(F3144&lt;=5,"A",IF(F3144&lt;=8,"B",IF(F3144&lt;=10,"C","D"))))</f>
        <v/>
      </c>
      <c r="H3144" s="28"/>
      <c r="I3144" s="27"/>
      <c r="J3144" s="26"/>
      <c r="K3144" s="27"/>
      <c r="L3144" s="27"/>
      <c r="M3144" s="27"/>
      <c r="N3144" s="27"/>
      <c r="O3144" s="31" t="str">
        <f aca="false">IF(G3144="","",VLOOKUP(G3144,Setup!$A$14:$C$17,3,0))</f>
        <v/>
      </c>
      <c r="P3144" s="27"/>
      <c r="Q3144" s="33" t="str">
        <f aca="false">IF(OR(P3144="",M3144&lt;&gt;"Paid",O3144=""),"",P3144/O3144)</f>
        <v/>
      </c>
      <c r="R3144" s="34" t="str">
        <f aca="false">IF(Q3144="","",Q3144+N(H3144)*0.000000001)</f>
        <v/>
      </c>
      <c r="S3144" s="32" t="str">
        <f aca="false">IF(R3144="","",SUMPRODUCT((I$5:I$4004=I3144)*ISNUMBER(R$5:R$4004)*(R$5:R$4004&gt;R3144))+1)</f>
        <v/>
      </c>
      <c r="T3144" s="32" t="str">
        <f aca="false">IF(S3144="","",IF(S3144&lt;=Setup!$B$5,"🏆 WINNER",""))</f>
        <v/>
      </c>
      <c r="U3144" s="31" t="str">
        <f aca="false">IF(S3144="","",I3144&amp;"|"&amp;S3144)</f>
        <v/>
      </c>
    </row>
    <row r="3145" customFormat="false" ht="15" hidden="false" customHeight="false" outlineLevel="0" collapsed="false">
      <c r="A3145" s="24" t="n">
        <v>3141</v>
      </c>
      <c r="B3145" s="25" t="str">
        <f aca="false">IF(OR(C3145="",I3145="",G3145=""),"",IFERROR(VLOOKUP(I3145,Setup!$A$9:$B$11,2,0),"???")&amp;"-"&amp;G3145&amp;"-"&amp;TEXT(COUNTIFS(I$5:I3145,I3145,G$5:G3145,G3145),"0000"))</f>
        <v/>
      </c>
      <c r="C3145" s="26"/>
      <c r="D3145" s="26"/>
      <c r="E3145" s="27"/>
      <c r="F3145" s="27"/>
      <c r="G3145" s="24" t="str">
        <f aca="false">IF(F3145="","",IF(F3145&lt;=5,"A",IF(F3145&lt;=8,"B",IF(F3145&lt;=10,"C","D"))))</f>
        <v/>
      </c>
      <c r="H3145" s="28"/>
      <c r="I3145" s="27"/>
      <c r="J3145" s="26"/>
      <c r="K3145" s="27"/>
      <c r="L3145" s="27"/>
      <c r="M3145" s="27"/>
      <c r="N3145" s="27"/>
      <c r="O3145" s="24" t="str">
        <f aca="false">IF(G3145="","",VLOOKUP(G3145,Setup!$A$14:$C$17,3,0))</f>
        <v/>
      </c>
      <c r="P3145" s="27"/>
      <c r="Q3145" s="29" t="str">
        <f aca="false">IF(OR(P3145="",M3145&lt;&gt;"Paid",O3145=""),"",P3145/O3145)</f>
        <v/>
      </c>
      <c r="R3145" s="30" t="str">
        <f aca="false">IF(Q3145="","",Q3145+N(H3145)*0.000000001)</f>
        <v/>
      </c>
      <c r="S3145" s="25" t="str">
        <f aca="false">IF(R3145="","",SUMPRODUCT((I$5:I$4004=I3145)*ISNUMBER(R$5:R$4004)*(R$5:R$4004&gt;R3145))+1)</f>
        <v/>
      </c>
      <c r="T3145" s="25" t="str">
        <f aca="false">IF(S3145="","",IF(S3145&lt;=Setup!$B$5,"🏆 WINNER",""))</f>
        <v/>
      </c>
      <c r="U3145" s="24" t="str">
        <f aca="false">IF(S3145="","",I3145&amp;"|"&amp;S3145)</f>
        <v/>
      </c>
    </row>
    <row r="3146" customFormat="false" ht="15" hidden="false" customHeight="false" outlineLevel="0" collapsed="false">
      <c r="A3146" s="31" t="n">
        <v>3142</v>
      </c>
      <c r="B3146" s="32" t="str">
        <f aca="false">IF(OR(C3146="",I3146="",G3146=""),"",IFERROR(VLOOKUP(I3146,Setup!$A$9:$B$11,2,0),"???")&amp;"-"&amp;G3146&amp;"-"&amp;TEXT(COUNTIFS(I$5:I3146,I3146,G$5:G3146,G3146),"0000"))</f>
        <v/>
      </c>
      <c r="C3146" s="26"/>
      <c r="D3146" s="26"/>
      <c r="E3146" s="27"/>
      <c r="F3146" s="27"/>
      <c r="G3146" s="31" t="str">
        <f aca="false">IF(F3146="","",IF(F3146&lt;=5,"A",IF(F3146&lt;=8,"B",IF(F3146&lt;=10,"C","D"))))</f>
        <v/>
      </c>
      <c r="H3146" s="28"/>
      <c r="I3146" s="27"/>
      <c r="J3146" s="26"/>
      <c r="K3146" s="27"/>
      <c r="L3146" s="27"/>
      <c r="M3146" s="27"/>
      <c r="N3146" s="27"/>
      <c r="O3146" s="31" t="str">
        <f aca="false">IF(G3146="","",VLOOKUP(G3146,Setup!$A$14:$C$17,3,0))</f>
        <v/>
      </c>
      <c r="P3146" s="27"/>
      <c r="Q3146" s="33" t="str">
        <f aca="false">IF(OR(P3146="",M3146&lt;&gt;"Paid",O3146=""),"",P3146/O3146)</f>
        <v/>
      </c>
      <c r="R3146" s="34" t="str">
        <f aca="false">IF(Q3146="","",Q3146+N(H3146)*0.000000001)</f>
        <v/>
      </c>
      <c r="S3146" s="32" t="str">
        <f aca="false">IF(R3146="","",SUMPRODUCT((I$5:I$4004=I3146)*ISNUMBER(R$5:R$4004)*(R$5:R$4004&gt;R3146))+1)</f>
        <v/>
      </c>
      <c r="T3146" s="32" t="str">
        <f aca="false">IF(S3146="","",IF(S3146&lt;=Setup!$B$5,"🏆 WINNER",""))</f>
        <v/>
      </c>
      <c r="U3146" s="31" t="str">
        <f aca="false">IF(S3146="","",I3146&amp;"|"&amp;S3146)</f>
        <v/>
      </c>
    </row>
    <row r="3147" customFormat="false" ht="15" hidden="false" customHeight="false" outlineLevel="0" collapsed="false">
      <c r="A3147" s="24" t="n">
        <v>3143</v>
      </c>
      <c r="B3147" s="25" t="str">
        <f aca="false">IF(OR(C3147="",I3147="",G3147=""),"",IFERROR(VLOOKUP(I3147,Setup!$A$9:$B$11,2,0),"???")&amp;"-"&amp;G3147&amp;"-"&amp;TEXT(COUNTIFS(I$5:I3147,I3147,G$5:G3147,G3147),"0000"))</f>
        <v/>
      </c>
      <c r="C3147" s="26"/>
      <c r="D3147" s="26"/>
      <c r="E3147" s="27"/>
      <c r="F3147" s="27"/>
      <c r="G3147" s="24" t="str">
        <f aca="false">IF(F3147="","",IF(F3147&lt;=5,"A",IF(F3147&lt;=8,"B",IF(F3147&lt;=10,"C","D"))))</f>
        <v/>
      </c>
      <c r="H3147" s="28"/>
      <c r="I3147" s="27"/>
      <c r="J3147" s="26"/>
      <c r="K3147" s="27"/>
      <c r="L3147" s="27"/>
      <c r="M3147" s="27"/>
      <c r="N3147" s="27"/>
      <c r="O3147" s="24" t="str">
        <f aca="false">IF(G3147="","",VLOOKUP(G3147,Setup!$A$14:$C$17,3,0))</f>
        <v/>
      </c>
      <c r="P3147" s="27"/>
      <c r="Q3147" s="29" t="str">
        <f aca="false">IF(OR(P3147="",M3147&lt;&gt;"Paid",O3147=""),"",P3147/O3147)</f>
        <v/>
      </c>
      <c r="R3147" s="30" t="str">
        <f aca="false">IF(Q3147="","",Q3147+N(H3147)*0.000000001)</f>
        <v/>
      </c>
      <c r="S3147" s="25" t="str">
        <f aca="false">IF(R3147="","",SUMPRODUCT((I$5:I$4004=I3147)*ISNUMBER(R$5:R$4004)*(R$5:R$4004&gt;R3147))+1)</f>
        <v/>
      </c>
      <c r="T3147" s="25" t="str">
        <f aca="false">IF(S3147="","",IF(S3147&lt;=Setup!$B$5,"🏆 WINNER",""))</f>
        <v/>
      </c>
      <c r="U3147" s="24" t="str">
        <f aca="false">IF(S3147="","",I3147&amp;"|"&amp;S3147)</f>
        <v/>
      </c>
    </row>
    <row r="3148" customFormat="false" ht="15" hidden="false" customHeight="false" outlineLevel="0" collapsed="false">
      <c r="A3148" s="31" t="n">
        <v>3144</v>
      </c>
      <c r="B3148" s="32" t="str">
        <f aca="false">IF(OR(C3148="",I3148="",G3148=""),"",IFERROR(VLOOKUP(I3148,Setup!$A$9:$B$11,2,0),"???")&amp;"-"&amp;G3148&amp;"-"&amp;TEXT(COUNTIFS(I$5:I3148,I3148,G$5:G3148,G3148),"0000"))</f>
        <v/>
      </c>
      <c r="C3148" s="26"/>
      <c r="D3148" s="26"/>
      <c r="E3148" s="27"/>
      <c r="F3148" s="27"/>
      <c r="G3148" s="31" t="str">
        <f aca="false">IF(F3148="","",IF(F3148&lt;=5,"A",IF(F3148&lt;=8,"B",IF(F3148&lt;=10,"C","D"))))</f>
        <v/>
      </c>
      <c r="H3148" s="28"/>
      <c r="I3148" s="27"/>
      <c r="J3148" s="26"/>
      <c r="K3148" s="27"/>
      <c r="L3148" s="27"/>
      <c r="M3148" s="27"/>
      <c r="N3148" s="27"/>
      <c r="O3148" s="31" t="str">
        <f aca="false">IF(G3148="","",VLOOKUP(G3148,Setup!$A$14:$C$17,3,0))</f>
        <v/>
      </c>
      <c r="P3148" s="27"/>
      <c r="Q3148" s="33" t="str">
        <f aca="false">IF(OR(P3148="",M3148&lt;&gt;"Paid",O3148=""),"",P3148/O3148)</f>
        <v/>
      </c>
      <c r="R3148" s="34" t="str">
        <f aca="false">IF(Q3148="","",Q3148+N(H3148)*0.000000001)</f>
        <v/>
      </c>
      <c r="S3148" s="32" t="str">
        <f aca="false">IF(R3148="","",SUMPRODUCT((I$5:I$4004=I3148)*ISNUMBER(R$5:R$4004)*(R$5:R$4004&gt;R3148))+1)</f>
        <v/>
      </c>
      <c r="T3148" s="32" t="str">
        <f aca="false">IF(S3148="","",IF(S3148&lt;=Setup!$B$5,"🏆 WINNER",""))</f>
        <v/>
      </c>
      <c r="U3148" s="31" t="str">
        <f aca="false">IF(S3148="","",I3148&amp;"|"&amp;S3148)</f>
        <v/>
      </c>
    </row>
    <row r="3149" customFormat="false" ht="15" hidden="false" customHeight="false" outlineLevel="0" collapsed="false">
      <c r="A3149" s="24" t="n">
        <v>3145</v>
      </c>
      <c r="B3149" s="25" t="str">
        <f aca="false">IF(OR(C3149="",I3149="",G3149=""),"",IFERROR(VLOOKUP(I3149,Setup!$A$9:$B$11,2,0),"???")&amp;"-"&amp;G3149&amp;"-"&amp;TEXT(COUNTIFS(I$5:I3149,I3149,G$5:G3149,G3149),"0000"))</f>
        <v/>
      </c>
      <c r="C3149" s="26"/>
      <c r="D3149" s="26"/>
      <c r="E3149" s="27"/>
      <c r="F3149" s="27"/>
      <c r="G3149" s="24" t="str">
        <f aca="false">IF(F3149="","",IF(F3149&lt;=5,"A",IF(F3149&lt;=8,"B",IF(F3149&lt;=10,"C","D"))))</f>
        <v/>
      </c>
      <c r="H3149" s="28"/>
      <c r="I3149" s="27"/>
      <c r="J3149" s="26"/>
      <c r="K3149" s="27"/>
      <c r="L3149" s="27"/>
      <c r="M3149" s="27"/>
      <c r="N3149" s="27"/>
      <c r="O3149" s="24" t="str">
        <f aca="false">IF(G3149="","",VLOOKUP(G3149,Setup!$A$14:$C$17,3,0))</f>
        <v/>
      </c>
      <c r="P3149" s="27"/>
      <c r="Q3149" s="29" t="str">
        <f aca="false">IF(OR(P3149="",M3149&lt;&gt;"Paid",O3149=""),"",P3149/O3149)</f>
        <v/>
      </c>
      <c r="R3149" s="30" t="str">
        <f aca="false">IF(Q3149="","",Q3149+N(H3149)*0.000000001)</f>
        <v/>
      </c>
      <c r="S3149" s="25" t="str">
        <f aca="false">IF(R3149="","",SUMPRODUCT((I$5:I$4004=I3149)*ISNUMBER(R$5:R$4004)*(R$5:R$4004&gt;R3149))+1)</f>
        <v/>
      </c>
      <c r="T3149" s="25" t="str">
        <f aca="false">IF(S3149="","",IF(S3149&lt;=Setup!$B$5,"🏆 WINNER",""))</f>
        <v/>
      </c>
      <c r="U3149" s="24" t="str">
        <f aca="false">IF(S3149="","",I3149&amp;"|"&amp;S3149)</f>
        <v/>
      </c>
    </row>
    <row r="3150" customFormat="false" ht="15" hidden="false" customHeight="false" outlineLevel="0" collapsed="false">
      <c r="A3150" s="31" t="n">
        <v>3146</v>
      </c>
      <c r="B3150" s="32" t="str">
        <f aca="false">IF(OR(C3150="",I3150="",G3150=""),"",IFERROR(VLOOKUP(I3150,Setup!$A$9:$B$11,2,0),"???")&amp;"-"&amp;G3150&amp;"-"&amp;TEXT(COUNTIFS(I$5:I3150,I3150,G$5:G3150,G3150),"0000"))</f>
        <v/>
      </c>
      <c r="C3150" s="26"/>
      <c r="D3150" s="26"/>
      <c r="E3150" s="27"/>
      <c r="F3150" s="27"/>
      <c r="G3150" s="31" t="str">
        <f aca="false">IF(F3150="","",IF(F3150&lt;=5,"A",IF(F3150&lt;=8,"B",IF(F3150&lt;=10,"C","D"))))</f>
        <v/>
      </c>
      <c r="H3150" s="28"/>
      <c r="I3150" s="27"/>
      <c r="J3150" s="26"/>
      <c r="K3150" s="27"/>
      <c r="L3150" s="27"/>
      <c r="M3150" s="27"/>
      <c r="N3150" s="27"/>
      <c r="O3150" s="31" t="str">
        <f aca="false">IF(G3150="","",VLOOKUP(G3150,Setup!$A$14:$C$17,3,0))</f>
        <v/>
      </c>
      <c r="P3150" s="27"/>
      <c r="Q3150" s="33" t="str">
        <f aca="false">IF(OR(P3150="",M3150&lt;&gt;"Paid",O3150=""),"",P3150/O3150)</f>
        <v/>
      </c>
      <c r="R3150" s="34" t="str">
        <f aca="false">IF(Q3150="","",Q3150+N(H3150)*0.000000001)</f>
        <v/>
      </c>
      <c r="S3150" s="32" t="str">
        <f aca="false">IF(R3150="","",SUMPRODUCT((I$5:I$4004=I3150)*ISNUMBER(R$5:R$4004)*(R$5:R$4004&gt;R3150))+1)</f>
        <v/>
      </c>
      <c r="T3150" s="32" t="str">
        <f aca="false">IF(S3150="","",IF(S3150&lt;=Setup!$B$5,"🏆 WINNER",""))</f>
        <v/>
      </c>
      <c r="U3150" s="31" t="str">
        <f aca="false">IF(S3150="","",I3150&amp;"|"&amp;S3150)</f>
        <v/>
      </c>
    </row>
    <row r="3151" customFormat="false" ht="15" hidden="false" customHeight="false" outlineLevel="0" collapsed="false">
      <c r="A3151" s="24" t="n">
        <v>3147</v>
      </c>
      <c r="B3151" s="25" t="str">
        <f aca="false">IF(OR(C3151="",I3151="",G3151=""),"",IFERROR(VLOOKUP(I3151,Setup!$A$9:$B$11,2,0),"???")&amp;"-"&amp;G3151&amp;"-"&amp;TEXT(COUNTIFS(I$5:I3151,I3151,G$5:G3151,G3151),"0000"))</f>
        <v/>
      </c>
      <c r="C3151" s="26"/>
      <c r="D3151" s="26"/>
      <c r="E3151" s="27"/>
      <c r="F3151" s="27"/>
      <c r="G3151" s="24" t="str">
        <f aca="false">IF(F3151="","",IF(F3151&lt;=5,"A",IF(F3151&lt;=8,"B",IF(F3151&lt;=10,"C","D"))))</f>
        <v/>
      </c>
      <c r="H3151" s="28"/>
      <c r="I3151" s="27"/>
      <c r="J3151" s="26"/>
      <c r="K3151" s="27"/>
      <c r="L3151" s="27"/>
      <c r="M3151" s="27"/>
      <c r="N3151" s="27"/>
      <c r="O3151" s="24" t="str">
        <f aca="false">IF(G3151="","",VLOOKUP(G3151,Setup!$A$14:$C$17,3,0))</f>
        <v/>
      </c>
      <c r="P3151" s="27"/>
      <c r="Q3151" s="29" t="str">
        <f aca="false">IF(OR(P3151="",M3151&lt;&gt;"Paid",O3151=""),"",P3151/O3151)</f>
        <v/>
      </c>
      <c r="R3151" s="30" t="str">
        <f aca="false">IF(Q3151="","",Q3151+N(H3151)*0.000000001)</f>
        <v/>
      </c>
      <c r="S3151" s="25" t="str">
        <f aca="false">IF(R3151="","",SUMPRODUCT((I$5:I$4004=I3151)*ISNUMBER(R$5:R$4004)*(R$5:R$4004&gt;R3151))+1)</f>
        <v/>
      </c>
      <c r="T3151" s="25" t="str">
        <f aca="false">IF(S3151="","",IF(S3151&lt;=Setup!$B$5,"🏆 WINNER",""))</f>
        <v/>
      </c>
      <c r="U3151" s="24" t="str">
        <f aca="false">IF(S3151="","",I3151&amp;"|"&amp;S3151)</f>
        <v/>
      </c>
    </row>
    <row r="3152" customFormat="false" ht="15" hidden="false" customHeight="false" outlineLevel="0" collapsed="false">
      <c r="A3152" s="31" t="n">
        <v>3148</v>
      </c>
      <c r="B3152" s="32" t="str">
        <f aca="false">IF(OR(C3152="",I3152="",G3152=""),"",IFERROR(VLOOKUP(I3152,Setup!$A$9:$B$11,2,0),"???")&amp;"-"&amp;G3152&amp;"-"&amp;TEXT(COUNTIFS(I$5:I3152,I3152,G$5:G3152,G3152),"0000"))</f>
        <v/>
      </c>
      <c r="C3152" s="26"/>
      <c r="D3152" s="26"/>
      <c r="E3152" s="27"/>
      <c r="F3152" s="27"/>
      <c r="G3152" s="31" t="str">
        <f aca="false">IF(F3152="","",IF(F3152&lt;=5,"A",IF(F3152&lt;=8,"B",IF(F3152&lt;=10,"C","D"))))</f>
        <v/>
      </c>
      <c r="H3152" s="28"/>
      <c r="I3152" s="27"/>
      <c r="J3152" s="26"/>
      <c r="K3152" s="27"/>
      <c r="L3152" s="27"/>
      <c r="M3152" s="27"/>
      <c r="N3152" s="27"/>
      <c r="O3152" s="31" t="str">
        <f aca="false">IF(G3152="","",VLOOKUP(G3152,Setup!$A$14:$C$17,3,0))</f>
        <v/>
      </c>
      <c r="P3152" s="27"/>
      <c r="Q3152" s="33" t="str">
        <f aca="false">IF(OR(P3152="",M3152&lt;&gt;"Paid",O3152=""),"",P3152/O3152)</f>
        <v/>
      </c>
      <c r="R3152" s="34" t="str">
        <f aca="false">IF(Q3152="","",Q3152+N(H3152)*0.000000001)</f>
        <v/>
      </c>
      <c r="S3152" s="32" t="str">
        <f aca="false">IF(R3152="","",SUMPRODUCT((I$5:I$4004=I3152)*ISNUMBER(R$5:R$4004)*(R$5:R$4004&gt;R3152))+1)</f>
        <v/>
      </c>
      <c r="T3152" s="32" t="str">
        <f aca="false">IF(S3152="","",IF(S3152&lt;=Setup!$B$5,"🏆 WINNER",""))</f>
        <v/>
      </c>
      <c r="U3152" s="31" t="str">
        <f aca="false">IF(S3152="","",I3152&amp;"|"&amp;S3152)</f>
        <v/>
      </c>
    </row>
    <row r="3153" customFormat="false" ht="15" hidden="false" customHeight="false" outlineLevel="0" collapsed="false">
      <c r="A3153" s="24" t="n">
        <v>3149</v>
      </c>
      <c r="B3153" s="25" t="str">
        <f aca="false">IF(OR(C3153="",I3153="",G3153=""),"",IFERROR(VLOOKUP(I3153,Setup!$A$9:$B$11,2,0),"???")&amp;"-"&amp;G3153&amp;"-"&amp;TEXT(COUNTIFS(I$5:I3153,I3153,G$5:G3153,G3153),"0000"))</f>
        <v/>
      </c>
      <c r="C3153" s="26"/>
      <c r="D3153" s="26"/>
      <c r="E3153" s="27"/>
      <c r="F3153" s="27"/>
      <c r="G3153" s="24" t="str">
        <f aca="false">IF(F3153="","",IF(F3153&lt;=5,"A",IF(F3153&lt;=8,"B",IF(F3153&lt;=10,"C","D"))))</f>
        <v/>
      </c>
      <c r="H3153" s="28"/>
      <c r="I3153" s="27"/>
      <c r="J3153" s="26"/>
      <c r="K3153" s="27"/>
      <c r="L3153" s="27"/>
      <c r="M3153" s="27"/>
      <c r="N3153" s="27"/>
      <c r="O3153" s="24" t="str">
        <f aca="false">IF(G3153="","",VLOOKUP(G3153,Setup!$A$14:$C$17,3,0))</f>
        <v/>
      </c>
      <c r="P3153" s="27"/>
      <c r="Q3153" s="29" t="str">
        <f aca="false">IF(OR(P3153="",M3153&lt;&gt;"Paid",O3153=""),"",P3153/O3153)</f>
        <v/>
      </c>
      <c r="R3153" s="30" t="str">
        <f aca="false">IF(Q3153="","",Q3153+N(H3153)*0.000000001)</f>
        <v/>
      </c>
      <c r="S3153" s="25" t="str">
        <f aca="false">IF(R3153="","",SUMPRODUCT((I$5:I$4004=I3153)*ISNUMBER(R$5:R$4004)*(R$5:R$4004&gt;R3153))+1)</f>
        <v/>
      </c>
      <c r="T3153" s="25" t="str">
        <f aca="false">IF(S3153="","",IF(S3153&lt;=Setup!$B$5,"🏆 WINNER",""))</f>
        <v/>
      </c>
      <c r="U3153" s="24" t="str">
        <f aca="false">IF(S3153="","",I3153&amp;"|"&amp;S3153)</f>
        <v/>
      </c>
    </row>
    <row r="3154" customFormat="false" ht="15" hidden="false" customHeight="false" outlineLevel="0" collapsed="false">
      <c r="A3154" s="31" t="n">
        <v>3150</v>
      </c>
      <c r="B3154" s="32" t="str">
        <f aca="false">IF(OR(C3154="",I3154="",G3154=""),"",IFERROR(VLOOKUP(I3154,Setup!$A$9:$B$11,2,0),"???")&amp;"-"&amp;G3154&amp;"-"&amp;TEXT(COUNTIFS(I$5:I3154,I3154,G$5:G3154,G3154),"0000"))</f>
        <v/>
      </c>
      <c r="C3154" s="26"/>
      <c r="D3154" s="26"/>
      <c r="E3154" s="27"/>
      <c r="F3154" s="27"/>
      <c r="G3154" s="31" t="str">
        <f aca="false">IF(F3154="","",IF(F3154&lt;=5,"A",IF(F3154&lt;=8,"B",IF(F3154&lt;=10,"C","D"))))</f>
        <v/>
      </c>
      <c r="H3154" s="28"/>
      <c r="I3154" s="27"/>
      <c r="J3154" s="26"/>
      <c r="K3154" s="27"/>
      <c r="L3154" s="27"/>
      <c r="M3154" s="27"/>
      <c r="N3154" s="27"/>
      <c r="O3154" s="31" t="str">
        <f aca="false">IF(G3154="","",VLOOKUP(G3154,Setup!$A$14:$C$17,3,0))</f>
        <v/>
      </c>
      <c r="P3154" s="27"/>
      <c r="Q3154" s="33" t="str">
        <f aca="false">IF(OR(P3154="",M3154&lt;&gt;"Paid",O3154=""),"",P3154/O3154)</f>
        <v/>
      </c>
      <c r="R3154" s="34" t="str">
        <f aca="false">IF(Q3154="","",Q3154+N(H3154)*0.000000001)</f>
        <v/>
      </c>
      <c r="S3154" s="32" t="str">
        <f aca="false">IF(R3154="","",SUMPRODUCT((I$5:I$4004=I3154)*ISNUMBER(R$5:R$4004)*(R$5:R$4004&gt;R3154))+1)</f>
        <v/>
      </c>
      <c r="T3154" s="32" t="str">
        <f aca="false">IF(S3154="","",IF(S3154&lt;=Setup!$B$5,"🏆 WINNER",""))</f>
        <v/>
      </c>
      <c r="U3154" s="31" t="str">
        <f aca="false">IF(S3154="","",I3154&amp;"|"&amp;S3154)</f>
        <v/>
      </c>
    </row>
    <row r="3155" customFormat="false" ht="15" hidden="false" customHeight="false" outlineLevel="0" collapsed="false">
      <c r="A3155" s="24" t="n">
        <v>3151</v>
      </c>
      <c r="B3155" s="25" t="str">
        <f aca="false">IF(OR(C3155="",I3155="",G3155=""),"",IFERROR(VLOOKUP(I3155,Setup!$A$9:$B$11,2,0),"???")&amp;"-"&amp;G3155&amp;"-"&amp;TEXT(COUNTIFS(I$5:I3155,I3155,G$5:G3155,G3155),"0000"))</f>
        <v/>
      </c>
      <c r="C3155" s="26"/>
      <c r="D3155" s="26"/>
      <c r="E3155" s="27"/>
      <c r="F3155" s="27"/>
      <c r="G3155" s="24" t="str">
        <f aca="false">IF(F3155="","",IF(F3155&lt;=5,"A",IF(F3155&lt;=8,"B",IF(F3155&lt;=10,"C","D"))))</f>
        <v/>
      </c>
      <c r="H3155" s="28"/>
      <c r="I3155" s="27"/>
      <c r="J3155" s="26"/>
      <c r="K3155" s="27"/>
      <c r="L3155" s="27"/>
      <c r="M3155" s="27"/>
      <c r="N3155" s="27"/>
      <c r="O3155" s="24" t="str">
        <f aca="false">IF(G3155="","",VLOOKUP(G3155,Setup!$A$14:$C$17,3,0))</f>
        <v/>
      </c>
      <c r="P3155" s="27"/>
      <c r="Q3155" s="29" t="str">
        <f aca="false">IF(OR(P3155="",M3155&lt;&gt;"Paid",O3155=""),"",P3155/O3155)</f>
        <v/>
      </c>
      <c r="R3155" s="30" t="str">
        <f aca="false">IF(Q3155="","",Q3155+N(H3155)*0.000000001)</f>
        <v/>
      </c>
      <c r="S3155" s="25" t="str">
        <f aca="false">IF(R3155="","",SUMPRODUCT((I$5:I$4004=I3155)*ISNUMBER(R$5:R$4004)*(R$5:R$4004&gt;R3155))+1)</f>
        <v/>
      </c>
      <c r="T3155" s="25" t="str">
        <f aca="false">IF(S3155="","",IF(S3155&lt;=Setup!$B$5,"🏆 WINNER",""))</f>
        <v/>
      </c>
      <c r="U3155" s="24" t="str">
        <f aca="false">IF(S3155="","",I3155&amp;"|"&amp;S3155)</f>
        <v/>
      </c>
    </row>
    <row r="3156" customFormat="false" ht="15" hidden="false" customHeight="false" outlineLevel="0" collapsed="false">
      <c r="A3156" s="31" t="n">
        <v>3152</v>
      </c>
      <c r="B3156" s="32" t="str">
        <f aca="false">IF(OR(C3156="",I3156="",G3156=""),"",IFERROR(VLOOKUP(I3156,Setup!$A$9:$B$11,2,0),"???")&amp;"-"&amp;G3156&amp;"-"&amp;TEXT(COUNTIFS(I$5:I3156,I3156,G$5:G3156,G3156),"0000"))</f>
        <v/>
      </c>
      <c r="C3156" s="26"/>
      <c r="D3156" s="26"/>
      <c r="E3156" s="27"/>
      <c r="F3156" s="27"/>
      <c r="G3156" s="31" t="str">
        <f aca="false">IF(F3156="","",IF(F3156&lt;=5,"A",IF(F3156&lt;=8,"B",IF(F3156&lt;=10,"C","D"))))</f>
        <v/>
      </c>
      <c r="H3156" s="28"/>
      <c r="I3156" s="27"/>
      <c r="J3156" s="26"/>
      <c r="K3156" s="27"/>
      <c r="L3156" s="27"/>
      <c r="M3156" s="27"/>
      <c r="N3156" s="27"/>
      <c r="O3156" s="31" t="str">
        <f aca="false">IF(G3156="","",VLOOKUP(G3156,Setup!$A$14:$C$17,3,0))</f>
        <v/>
      </c>
      <c r="P3156" s="27"/>
      <c r="Q3156" s="33" t="str">
        <f aca="false">IF(OR(P3156="",M3156&lt;&gt;"Paid",O3156=""),"",P3156/O3156)</f>
        <v/>
      </c>
      <c r="R3156" s="34" t="str">
        <f aca="false">IF(Q3156="","",Q3156+N(H3156)*0.000000001)</f>
        <v/>
      </c>
      <c r="S3156" s="32" t="str">
        <f aca="false">IF(R3156="","",SUMPRODUCT((I$5:I$4004=I3156)*ISNUMBER(R$5:R$4004)*(R$5:R$4004&gt;R3156))+1)</f>
        <v/>
      </c>
      <c r="T3156" s="32" t="str">
        <f aca="false">IF(S3156="","",IF(S3156&lt;=Setup!$B$5,"🏆 WINNER",""))</f>
        <v/>
      </c>
      <c r="U3156" s="31" t="str">
        <f aca="false">IF(S3156="","",I3156&amp;"|"&amp;S3156)</f>
        <v/>
      </c>
    </row>
    <row r="3157" customFormat="false" ht="15" hidden="false" customHeight="false" outlineLevel="0" collapsed="false">
      <c r="A3157" s="24" t="n">
        <v>3153</v>
      </c>
      <c r="B3157" s="25" t="str">
        <f aca="false">IF(OR(C3157="",I3157="",G3157=""),"",IFERROR(VLOOKUP(I3157,Setup!$A$9:$B$11,2,0),"???")&amp;"-"&amp;G3157&amp;"-"&amp;TEXT(COUNTIFS(I$5:I3157,I3157,G$5:G3157,G3157),"0000"))</f>
        <v/>
      </c>
      <c r="C3157" s="26"/>
      <c r="D3157" s="26"/>
      <c r="E3157" s="27"/>
      <c r="F3157" s="27"/>
      <c r="G3157" s="24" t="str">
        <f aca="false">IF(F3157="","",IF(F3157&lt;=5,"A",IF(F3157&lt;=8,"B",IF(F3157&lt;=10,"C","D"))))</f>
        <v/>
      </c>
      <c r="H3157" s="28"/>
      <c r="I3157" s="27"/>
      <c r="J3157" s="26"/>
      <c r="K3157" s="27"/>
      <c r="L3157" s="27"/>
      <c r="M3157" s="27"/>
      <c r="N3157" s="27"/>
      <c r="O3157" s="24" t="str">
        <f aca="false">IF(G3157="","",VLOOKUP(G3157,Setup!$A$14:$C$17,3,0))</f>
        <v/>
      </c>
      <c r="P3157" s="27"/>
      <c r="Q3157" s="29" t="str">
        <f aca="false">IF(OR(P3157="",M3157&lt;&gt;"Paid",O3157=""),"",P3157/O3157)</f>
        <v/>
      </c>
      <c r="R3157" s="30" t="str">
        <f aca="false">IF(Q3157="","",Q3157+N(H3157)*0.000000001)</f>
        <v/>
      </c>
      <c r="S3157" s="25" t="str">
        <f aca="false">IF(R3157="","",SUMPRODUCT((I$5:I$4004=I3157)*ISNUMBER(R$5:R$4004)*(R$5:R$4004&gt;R3157))+1)</f>
        <v/>
      </c>
      <c r="T3157" s="25" t="str">
        <f aca="false">IF(S3157="","",IF(S3157&lt;=Setup!$B$5,"🏆 WINNER",""))</f>
        <v/>
      </c>
      <c r="U3157" s="24" t="str">
        <f aca="false">IF(S3157="","",I3157&amp;"|"&amp;S3157)</f>
        <v/>
      </c>
    </row>
    <row r="3158" customFormat="false" ht="15" hidden="false" customHeight="false" outlineLevel="0" collapsed="false">
      <c r="A3158" s="31" t="n">
        <v>3154</v>
      </c>
      <c r="B3158" s="32" t="str">
        <f aca="false">IF(OR(C3158="",I3158="",G3158=""),"",IFERROR(VLOOKUP(I3158,Setup!$A$9:$B$11,2,0),"???")&amp;"-"&amp;G3158&amp;"-"&amp;TEXT(COUNTIFS(I$5:I3158,I3158,G$5:G3158,G3158),"0000"))</f>
        <v/>
      </c>
      <c r="C3158" s="26"/>
      <c r="D3158" s="26"/>
      <c r="E3158" s="27"/>
      <c r="F3158" s="27"/>
      <c r="G3158" s="31" t="str">
        <f aca="false">IF(F3158="","",IF(F3158&lt;=5,"A",IF(F3158&lt;=8,"B",IF(F3158&lt;=10,"C","D"))))</f>
        <v/>
      </c>
      <c r="H3158" s="28"/>
      <c r="I3158" s="27"/>
      <c r="J3158" s="26"/>
      <c r="K3158" s="27"/>
      <c r="L3158" s="27"/>
      <c r="M3158" s="27"/>
      <c r="N3158" s="27"/>
      <c r="O3158" s="31" t="str">
        <f aca="false">IF(G3158="","",VLOOKUP(G3158,Setup!$A$14:$C$17,3,0))</f>
        <v/>
      </c>
      <c r="P3158" s="27"/>
      <c r="Q3158" s="33" t="str">
        <f aca="false">IF(OR(P3158="",M3158&lt;&gt;"Paid",O3158=""),"",P3158/O3158)</f>
        <v/>
      </c>
      <c r="R3158" s="34" t="str">
        <f aca="false">IF(Q3158="","",Q3158+N(H3158)*0.000000001)</f>
        <v/>
      </c>
      <c r="S3158" s="32" t="str">
        <f aca="false">IF(R3158="","",SUMPRODUCT((I$5:I$4004=I3158)*ISNUMBER(R$5:R$4004)*(R$5:R$4004&gt;R3158))+1)</f>
        <v/>
      </c>
      <c r="T3158" s="32" t="str">
        <f aca="false">IF(S3158="","",IF(S3158&lt;=Setup!$B$5,"🏆 WINNER",""))</f>
        <v/>
      </c>
      <c r="U3158" s="31" t="str">
        <f aca="false">IF(S3158="","",I3158&amp;"|"&amp;S3158)</f>
        <v/>
      </c>
    </row>
    <row r="3159" customFormat="false" ht="15" hidden="false" customHeight="false" outlineLevel="0" collapsed="false">
      <c r="A3159" s="24" t="n">
        <v>3155</v>
      </c>
      <c r="B3159" s="25" t="str">
        <f aca="false">IF(OR(C3159="",I3159="",G3159=""),"",IFERROR(VLOOKUP(I3159,Setup!$A$9:$B$11,2,0),"???")&amp;"-"&amp;G3159&amp;"-"&amp;TEXT(COUNTIFS(I$5:I3159,I3159,G$5:G3159,G3159),"0000"))</f>
        <v/>
      </c>
      <c r="C3159" s="26"/>
      <c r="D3159" s="26"/>
      <c r="E3159" s="27"/>
      <c r="F3159" s="27"/>
      <c r="G3159" s="24" t="str">
        <f aca="false">IF(F3159="","",IF(F3159&lt;=5,"A",IF(F3159&lt;=8,"B",IF(F3159&lt;=10,"C","D"))))</f>
        <v/>
      </c>
      <c r="H3159" s="28"/>
      <c r="I3159" s="27"/>
      <c r="J3159" s="26"/>
      <c r="K3159" s="27"/>
      <c r="L3159" s="27"/>
      <c r="M3159" s="27"/>
      <c r="N3159" s="27"/>
      <c r="O3159" s="24" t="str">
        <f aca="false">IF(G3159="","",VLOOKUP(G3159,Setup!$A$14:$C$17,3,0))</f>
        <v/>
      </c>
      <c r="P3159" s="27"/>
      <c r="Q3159" s="29" t="str">
        <f aca="false">IF(OR(P3159="",M3159&lt;&gt;"Paid",O3159=""),"",P3159/O3159)</f>
        <v/>
      </c>
      <c r="R3159" s="30" t="str">
        <f aca="false">IF(Q3159="","",Q3159+N(H3159)*0.000000001)</f>
        <v/>
      </c>
      <c r="S3159" s="25" t="str">
        <f aca="false">IF(R3159="","",SUMPRODUCT((I$5:I$4004=I3159)*ISNUMBER(R$5:R$4004)*(R$5:R$4004&gt;R3159))+1)</f>
        <v/>
      </c>
      <c r="T3159" s="25" t="str">
        <f aca="false">IF(S3159="","",IF(S3159&lt;=Setup!$B$5,"🏆 WINNER",""))</f>
        <v/>
      </c>
      <c r="U3159" s="24" t="str">
        <f aca="false">IF(S3159="","",I3159&amp;"|"&amp;S3159)</f>
        <v/>
      </c>
    </row>
    <row r="3160" customFormat="false" ht="15" hidden="false" customHeight="false" outlineLevel="0" collapsed="false">
      <c r="A3160" s="31" t="n">
        <v>3156</v>
      </c>
      <c r="B3160" s="32" t="str">
        <f aca="false">IF(OR(C3160="",I3160="",G3160=""),"",IFERROR(VLOOKUP(I3160,Setup!$A$9:$B$11,2,0),"???")&amp;"-"&amp;G3160&amp;"-"&amp;TEXT(COUNTIFS(I$5:I3160,I3160,G$5:G3160,G3160),"0000"))</f>
        <v/>
      </c>
      <c r="C3160" s="26"/>
      <c r="D3160" s="26"/>
      <c r="E3160" s="27"/>
      <c r="F3160" s="27"/>
      <c r="G3160" s="31" t="str">
        <f aca="false">IF(F3160="","",IF(F3160&lt;=5,"A",IF(F3160&lt;=8,"B",IF(F3160&lt;=10,"C","D"))))</f>
        <v/>
      </c>
      <c r="H3160" s="28"/>
      <c r="I3160" s="27"/>
      <c r="J3160" s="26"/>
      <c r="K3160" s="27"/>
      <c r="L3160" s="27"/>
      <c r="M3160" s="27"/>
      <c r="N3160" s="27"/>
      <c r="O3160" s="31" t="str">
        <f aca="false">IF(G3160="","",VLOOKUP(G3160,Setup!$A$14:$C$17,3,0))</f>
        <v/>
      </c>
      <c r="P3160" s="27"/>
      <c r="Q3160" s="33" t="str">
        <f aca="false">IF(OR(P3160="",M3160&lt;&gt;"Paid",O3160=""),"",P3160/O3160)</f>
        <v/>
      </c>
      <c r="R3160" s="34" t="str">
        <f aca="false">IF(Q3160="","",Q3160+N(H3160)*0.000000001)</f>
        <v/>
      </c>
      <c r="S3160" s="32" t="str">
        <f aca="false">IF(R3160="","",SUMPRODUCT((I$5:I$4004=I3160)*ISNUMBER(R$5:R$4004)*(R$5:R$4004&gt;R3160))+1)</f>
        <v/>
      </c>
      <c r="T3160" s="32" t="str">
        <f aca="false">IF(S3160="","",IF(S3160&lt;=Setup!$B$5,"🏆 WINNER",""))</f>
        <v/>
      </c>
      <c r="U3160" s="31" t="str">
        <f aca="false">IF(S3160="","",I3160&amp;"|"&amp;S3160)</f>
        <v/>
      </c>
    </row>
    <row r="3161" customFormat="false" ht="15" hidden="false" customHeight="false" outlineLevel="0" collapsed="false">
      <c r="A3161" s="24" t="n">
        <v>3157</v>
      </c>
      <c r="B3161" s="25" t="str">
        <f aca="false">IF(OR(C3161="",I3161="",G3161=""),"",IFERROR(VLOOKUP(I3161,Setup!$A$9:$B$11,2,0),"???")&amp;"-"&amp;G3161&amp;"-"&amp;TEXT(COUNTIFS(I$5:I3161,I3161,G$5:G3161,G3161),"0000"))</f>
        <v/>
      </c>
      <c r="C3161" s="26"/>
      <c r="D3161" s="26"/>
      <c r="E3161" s="27"/>
      <c r="F3161" s="27"/>
      <c r="G3161" s="24" t="str">
        <f aca="false">IF(F3161="","",IF(F3161&lt;=5,"A",IF(F3161&lt;=8,"B",IF(F3161&lt;=10,"C","D"))))</f>
        <v/>
      </c>
      <c r="H3161" s="28"/>
      <c r="I3161" s="27"/>
      <c r="J3161" s="26"/>
      <c r="K3161" s="27"/>
      <c r="L3161" s="27"/>
      <c r="M3161" s="27"/>
      <c r="N3161" s="27"/>
      <c r="O3161" s="24" t="str">
        <f aca="false">IF(G3161="","",VLOOKUP(G3161,Setup!$A$14:$C$17,3,0))</f>
        <v/>
      </c>
      <c r="P3161" s="27"/>
      <c r="Q3161" s="29" t="str">
        <f aca="false">IF(OR(P3161="",M3161&lt;&gt;"Paid",O3161=""),"",P3161/O3161)</f>
        <v/>
      </c>
      <c r="R3161" s="30" t="str">
        <f aca="false">IF(Q3161="","",Q3161+N(H3161)*0.000000001)</f>
        <v/>
      </c>
      <c r="S3161" s="25" t="str">
        <f aca="false">IF(R3161="","",SUMPRODUCT((I$5:I$4004=I3161)*ISNUMBER(R$5:R$4004)*(R$5:R$4004&gt;R3161))+1)</f>
        <v/>
      </c>
      <c r="T3161" s="25" t="str">
        <f aca="false">IF(S3161="","",IF(S3161&lt;=Setup!$B$5,"🏆 WINNER",""))</f>
        <v/>
      </c>
      <c r="U3161" s="24" t="str">
        <f aca="false">IF(S3161="","",I3161&amp;"|"&amp;S3161)</f>
        <v/>
      </c>
    </row>
    <row r="3162" customFormat="false" ht="15" hidden="false" customHeight="false" outlineLevel="0" collapsed="false">
      <c r="A3162" s="31" t="n">
        <v>3158</v>
      </c>
      <c r="B3162" s="32" t="str">
        <f aca="false">IF(OR(C3162="",I3162="",G3162=""),"",IFERROR(VLOOKUP(I3162,Setup!$A$9:$B$11,2,0),"???")&amp;"-"&amp;G3162&amp;"-"&amp;TEXT(COUNTIFS(I$5:I3162,I3162,G$5:G3162,G3162),"0000"))</f>
        <v/>
      </c>
      <c r="C3162" s="26"/>
      <c r="D3162" s="26"/>
      <c r="E3162" s="27"/>
      <c r="F3162" s="27"/>
      <c r="G3162" s="31" t="str">
        <f aca="false">IF(F3162="","",IF(F3162&lt;=5,"A",IF(F3162&lt;=8,"B",IF(F3162&lt;=10,"C","D"))))</f>
        <v/>
      </c>
      <c r="H3162" s="28"/>
      <c r="I3162" s="27"/>
      <c r="J3162" s="26"/>
      <c r="K3162" s="27"/>
      <c r="L3162" s="27"/>
      <c r="M3162" s="27"/>
      <c r="N3162" s="27"/>
      <c r="O3162" s="31" t="str">
        <f aca="false">IF(G3162="","",VLOOKUP(G3162,Setup!$A$14:$C$17,3,0))</f>
        <v/>
      </c>
      <c r="P3162" s="27"/>
      <c r="Q3162" s="33" t="str">
        <f aca="false">IF(OR(P3162="",M3162&lt;&gt;"Paid",O3162=""),"",P3162/O3162)</f>
        <v/>
      </c>
      <c r="R3162" s="34" t="str">
        <f aca="false">IF(Q3162="","",Q3162+N(H3162)*0.000000001)</f>
        <v/>
      </c>
      <c r="S3162" s="32" t="str">
        <f aca="false">IF(R3162="","",SUMPRODUCT((I$5:I$4004=I3162)*ISNUMBER(R$5:R$4004)*(R$5:R$4004&gt;R3162))+1)</f>
        <v/>
      </c>
      <c r="T3162" s="32" t="str">
        <f aca="false">IF(S3162="","",IF(S3162&lt;=Setup!$B$5,"🏆 WINNER",""))</f>
        <v/>
      </c>
      <c r="U3162" s="31" t="str">
        <f aca="false">IF(S3162="","",I3162&amp;"|"&amp;S3162)</f>
        <v/>
      </c>
    </row>
    <row r="3163" customFormat="false" ht="15" hidden="false" customHeight="false" outlineLevel="0" collapsed="false">
      <c r="A3163" s="24" t="n">
        <v>3159</v>
      </c>
      <c r="B3163" s="25" t="str">
        <f aca="false">IF(OR(C3163="",I3163="",G3163=""),"",IFERROR(VLOOKUP(I3163,Setup!$A$9:$B$11,2,0),"???")&amp;"-"&amp;G3163&amp;"-"&amp;TEXT(COUNTIFS(I$5:I3163,I3163,G$5:G3163,G3163),"0000"))</f>
        <v/>
      </c>
      <c r="C3163" s="26"/>
      <c r="D3163" s="26"/>
      <c r="E3163" s="27"/>
      <c r="F3163" s="27"/>
      <c r="G3163" s="24" t="str">
        <f aca="false">IF(F3163="","",IF(F3163&lt;=5,"A",IF(F3163&lt;=8,"B",IF(F3163&lt;=10,"C","D"))))</f>
        <v/>
      </c>
      <c r="H3163" s="28"/>
      <c r="I3163" s="27"/>
      <c r="J3163" s="26"/>
      <c r="K3163" s="27"/>
      <c r="L3163" s="27"/>
      <c r="M3163" s="27"/>
      <c r="N3163" s="27"/>
      <c r="O3163" s="24" t="str">
        <f aca="false">IF(G3163="","",VLOOKUP(G3163,Setup!$A$14:$C$17,3,0))</f>
        <v/>
      </c>
      <c r="P3163" s="27"/>
      <c r="Q3163" s="29" t="str">
        <f aca="false">IF(OR(P3163="",M3163&lt;&gt;"Paid",O3163=""),"",P3163/O3163)</f>
        <v/>
      </c>
      <c r="R3163" s="30" t="str">
        <f aca="false">IF(Q3163="","",Q3163+N(H3163)*0.000000001)</f>
        <v/>
      </c>
      <c r="S3163" s="25" t="str">
        <f aca="false">IF(R3163="","",SUMPRODUCT((I$5:I$4004=I3163)*ISNUMBER(R$5:R$4004)*(R$5:R$4004&gt;R3163))+1)</f>
        <v/>
      </c>
      <c r="T3163" s="25" t="str">
        <f aca="false">IF(S3163="","",IF(S3163&lt;=Setup!$B$5,"🏆 WINNER",""))</f>
        <v/>
      </c>
      <c r="U3163" s="24" t="str">
        <f aca="false">IF(S3163="","",I3163&amp;"|"&amp;S3163)</f>
        <v/>
      </c>
    </row>
    <row r="3164" customFormat="false" ht="15" hidden="false" customHeight="false" outlineLevel="0" collapsed="false">
      <c r="A3164" s="31" t="n">
        <v>3160</v>
      </c>
      <c r="B3164" s="32" t="str">
        <f aca="false">IF(OR(C3164="",I3164="",G3164=""),"",IFERROR(VLOOKUP(I3164,Setup!$A$9:$B$11,2,0),"???")&amp;"-"&amp;G3164&amp;"-"&amp;TEXT(COUNTIFS(I$5:I3164,I3164,G$5:G3164,G3164),"0000"))</f>
        <v/>
      </c>
      <c r="C3164" s="26"/>
      <c r="D3164" s="26"/>
      <c r="E3164" s="27"/>
      <c r="F3164" s="27"/>
      <c r="G3164" s="31" t="str">
        <f aca="false">IF(F3164="","",IF(F3164&lt;=5,"A",IF(F3164&lt;=8,"B",IF(F3164&lt;=10,"C","D"))))</f>
        <v/>
      </c>
      <c r="H3164" s="28"/>
      <c r="I3164" s="27"/>
      <c r="J3164" s="26"/>
      <c r="K3164" s="27"/>
      <c r="L3164" s="27"/>
      <c r="M3164" s="27"/>
      <c r="N3164" s="27"/>
      <c r="O3164" s="31" t="str">
        <f aca="false">IF(G3164="","",VLOOKUP(G3164,Setup!$A$14:$C$17,3,0))</f>
        <v/>
      </c>
      <c r="P3164" s="27"/>
      <c r="Q3164" s="33" t="str">
        <f aca="false">IF(OR(P3164="",M3164&lt;&gt;"Paid",O3164=""),"",P3164/O3164)</f>
        <v/>
      </c>
      <c r="R3164" s="34" t="str">
        <f aca="false">IF(Q3164="","",Q3164+N(H3164)*0.000000001)</f>
        <v/>
      </c>
      <c r="S3164" s="32" t="str">
        <f aca="false">IF(R3164="","",SUMPRODUCT((I$5:I$4004=I3164)*ISNUMBER(R$5:R$4004)*(R$5:R$4004&gt;R3164))+1)</f>
        <v/>
      </c>
      <c r="T3164" s="32" t="str">
        <f aca="false">IF(S3164="","",IF(S3164&lt;=Setup!$B$5,"🏆 WINNER",""))</f>
        <v/>
      </c>
      <c r="U3164" s="31" t="str">
        <f aca="false">IF(S3164="","",I3164&amp;"|"&amp;S3164)</f>
        <v/>
      </c>
    </row>
    <row r="3165" customFormat="false" ht="15" hidden="false" customHeight="false" outlineLevel="0" collapsed="false">
      <c r="A3165" s="24" t="n">
        <v>3161</v>
      </c>
      <c r="B3165" s="25" t="str">
        <f aca="false">IF(OR(C3165="",I3165="",G3165=""),"",IFERROR(VLOOKUP(I3165,Setup!$A$9:$B$11,2,0),"???")&amp;"-"&amp;G3165&amp;"-"&amp;TEXT(COUNTIFS(I$5:I3165,I3165,G$5:G3165,G3165),"0000"))</f>
        <v/>
      </c>
      <c r="C3165" s="26"/>
      <c r="D3165" s="26"/>
      <c r="E3165" s="27"/>
      <c r="F3165" s="27"/>
      <c r="G3165" s="24" t="str">
        <f aca="false">IF(F3165="","",IF(F3165&lt;=5,"A",IF(F3165&lt;=8,"B",IF(F3165&lt;=10,"C","D"))))</f>
        <v/>
      </c>
      <c r="H3165" s="28"/>
      <c r="I3165" s="27"/>
      <c r="J3165" s="26"/>
      <c r="K3165" s="27"/>
      <c r="L3165" s="27"/>
      <c r="M3165" s="27"/>
      <c r="N3165" s="27"/>
      <c r="O3165" s="24" t="str">
        <f aca="false">IF(G3165="","",VLOOKUP(G3165,Setup!$A$14:$C$17,3,0))</f>
        <v/>
      </c>
      <c r="P3165" s="27"/>
      <c r="Q3165" s="29" t="str">
        <f aca="false">IF(OR(P3165="",M3165&lt;&gt;"Paid",O3165=""),"",P3165/O3165)</f>
        <v/>
      </c>
      <c r="R3165" s="30" t="str">
        <f aca="false">IF(Q3165="","",Q3165+N(H3165)*0.000000001)</f>
        <v/>
      </c>
      <c r="S3165" s="25" t="str">
        <f aca="false">IF(R3165="","",SUMPRODUCT((I$5:I$4004=I3165)*ISNUMBER(R$5:R$4004)*(R$5:R$4004&gt;R3165))+1)</f>
        <v/>
      </c>
      <c r="T3165" s="25" t="str">
        <f aca="false">IF(S3165="","",IF(S3165&lt;=Setup!$B$5,"🏆 WINNER",""))</f>
        <v/>
      </c>
      <c r="U3165" s="24" t="str">
        <f aca="false">IF(S3165="","",I3165&amp;"|"&amp;S3165)</f>
        <v/>
      </c>
    </row>
    <row r="3166" customFormat="false" ht="15" hidden="false" customHeight="false" outlineLevel="0" collapsed="false">
      <c r="A3166" s="31" t="n">
        <v>3162</v>
      </c>
      <c r="B3166" s="32" t="str">
        <f aca="false">IF(OR(C3166="",I3166="",G3166=""),"",IFERROR(VLOOKUP(I3166,Setup!$A$9:$B$11,2,0),"???")&amp;"-"&amp;G3166&amp;"-"&amp;TEXT(COUNTIFS(I$5:I3166,I3166,G$5:G3166,G3166),"0000"))</f>
        <v/>
      </c>
      <c r="C3166" s="26"/>
      <c r="D3166" s="26"/>
      <c r="E3166" s="27"/>
      <c r="F3166" s="27"/>
      <c r="G3166" s="31" t="str">
        <f aca="false">IF(F3166="","",IF(F3166&lt;=5,"A",IF(F3166&lt;=8,"B",IF(F3166&lt;=10,"C","D"))))</f>
        <v/>
      </c>
      <c r="H3166" s="28"/>
      <c r="I3166" s="27"/>
      <c r="J3166" s="26"/>
      <c r="K3166" s="27"/>
      <c r="L3166" s="27"/>
      <c r="M3166" s="27"/>
      <c r="N3166" s="27"/>
      <c r="O3166" s="31" t="str">
        <f aca="false">IF(G3166="","",VLOOKUP(G3166,Setup!$A$14:$C$17,3,0))</f>
        <v/>
      </c>
      <c r="P3166" s="27"/>
      <c r="Q3166" s="33" t="str">
        <f aca="false">IF(OR(P3166="",M3166&lt;&gt;"Paid",O3166=""),"",P3166/O3166)</f>
        <v/>
      </c>
      <c r="R3166" s="34" t="str">
        <f aca="false">IF(Q3166="","",Q3166+N(H3166)*0.000000001)</f>
        <v/>
      </c>
      <c r="S3166" s="32" t="str">
        <f aca="false">IF(R3166="","",SUMPRODUCT((I$5:I$4004=I3166)*ISNUMBER(R$5:R$4004)*(R$5:R$4004&gt;R3166))+1)</f>
        <v/>
      </c>
      <c r="T3166" s="32" t="str">
        <f aca="false">IF(S3166="","",IF(S3166&lt;=Setup!$B$5,"🏆 WINNER",""))</f>
        <v/>
      </c>
      <c r="U3166" s="31" t="str">
        <f aca="false">IF(S3166="","",I3166&amp;"|"&amp;S3166)</f>
        <v/>
      </c>
    </row>
    <row r="3167" customFormat="false" ht="15" hidden="false" customHeight="false" outlineLevel="0" collapsed="false">
      <c r="A3167" s="24" t="n">
        <v>3163</v>
      </c>
      <c r="B3167" s="25" t="str">
        <f aca="false">IF(OR(C3167="",I3167="",G3167=""),"",IFERROR(VLOOKUP(I3167,Setup!$A$9:$B$11,2,0),"???")&amp;"-"&amp;G3167&amp;"-"&amp;TEXT(COUNTIFS(I$5:I3167,I3167,G$5:G3167,G3167),"0000"))</f>
        <v/>
      </c>
      <c r="C3167" s="26"/>
      <c r="D3167" s="26"/>
      <c r="E3167" s="27"/>
      <c r="F3167" s="27"/>
      <c r="G3167" s="24" t="str">
        <f aca="false">IF(F3167="","",IF(F3167&lt;=5,"A",IF(F3167&lt;=8,"B",IF(F3167&lt;=10,"C","D"))))</f>
        <v/>
      </c>
      <c r="H3167" s="28"/>
      <c r="I3167" s="27"/>
      <c r="J3167" s="26"/>
      <c r="K3167" s="27"/>
      <c r="L3167" s="27"/>
      <c r="M3167" s="27"/>
      <c r="N3167" s="27"/>
      <c r="O3167" s="24" t="str">
        <f aca="false">IF(G3167="","",VLOOKUP(G3167,Setup!$A$14:$C$17,3,0))</f>
        <v/>
      </c>
      <c r="P3167" s="27"/>
      <c r="Q3167" s="29" t="str">
        <f aca="false">IF(OR(P3167="",M3167&lt;&gt;"Paid",O3167=""),"",P3167/O3167)</f>
        <v/>
      </c>
      <c r="R3167" s="30" t="str">
        <f aca="false">IF(Q3167="","",Q3167+N(H3167)*0.000000001)</f>
        <v/>
      </c>
      <c r="S3167" s="25" t="str">
        <f aca="false">IF(R3167="","",SUMPRODUCT((I$5:I$4004=I3167)*ISNUMBER(R$5:R$4004)*(R$5:R$4004&gt;R3167))+1)</f>
        <v/>
      </c>
      <c r="T3167" s="25" t="str">
        <f aca="false">IF(S3167="","",IF(S3167&lt;=Setup!$B$5,"🏆 WINNER",""))</f>
        <v/>
      </c>
      <c r="U3167" s="24" t="str">
        <f aca="false">IF(S3167="","",I3167&amp;"|"&amp;S3167)</f>
        <v/>
      </c>
    </row>
    <row r="3168" customFormat="false" ht="15" hidden="false" customHeight="false" outlineLevel="0" collapsed="false">
      <c r="A3168" s="31" t="n">
        <v>3164</v>
      </c>
      <c r="B3168" s="32" t="str">
        <f aca="false">IF(OR(C3168="",I3168="",G3168=""),"",IFERROR(VLOOKUP(I3168,Setup!$A$9:$B$11,2,0),"???")&amp;"-"&amp;G3168&amp;"-"&amp;TEXT(COUNTIFS(I$5:I3168,I3168,G$5:G3168,G3168),"0000"))</f>
        <v/>
      </c>
      <c r="C3168" s="26"/>
      <c r="D3168" s="26"/>
      <c r="E3168" s="27"/>
      <c r="F3168" s="27"/>
      <c r="G3168" s="31" t="str">
        <f aca="false">IF(F3168="","",IF(F3168&lt;=5,"A",IF(F3168&lt;=8,"B",IF(F3168&lt;=10,"C","D"))))</f>
        <v/>
      </c>
      <c r="H3168" s="28"/>
      <c r="I3168" s="27"/>
      <c r="J3168" s="26"/>
      <c r="K3168" s="27"/>
      <c r="L3168" s="27"/>
      <c r="M3168" s="27"/>
      <c r="N3168" s="27"/>
      <c r="O3168" s="31" t="str">
        <f aca="false">IF(G3168="","",VLOOKUP(G3168,Setup!$A$14:$C$17,3,0))</f>
        <v/>
      </c>
      <c r="P3168" s="27"/>
      <c r="Q3168" s="33" t="str">
        <f aca="false">IF(OR(P3168="",M3168&lt;&gt;"Paid",O3168=""),"",P3168/O3168)</f>
        <v/>
      </c>
      <c r="R3168" s="34" t="str">
        <f aca="false">IF(Q3168="","",Q3168+N(H3168)*0.000000001)</f>
        <v/>
      </c>
      <c r="S3168" s="32" t="str">
        <f aca="false">IF(R3168="","",SUMPRODUCT((I$5:I$4004=I3168)*ISNUMBER(R$5:R$4004)*(R$5:R$4004&gt;R3168))+1)</f>
        <v/>
      </c>
      <c r="T3168" s="32" t="str">
        <f aca="false">IF(S3168="","",IF(S3168&lt;=Setup!$B$5,"🏆 WINNER",""))</f>
        <v/>
      </c>
      <c r="U3168" s="31" t="str">
        <f aca="false">IF(S3168="","",I3168&amp;"|"&amp;S3168)</f>
        <v/>
      </c>
    </row>
    <row r="3169" customFormat="false" ht="15" hidden="false" customHeight="false" outlineLevel="0" collapsed="false">
      <c r="A3169" s="24" t="n">
        <v>3165</v>
      </c>
      <c r="B3169" s="25" t="str">
        <f aca="false">IF(OR(C3169="",I3169="",G3169=""),"",IFERROR(VLOOKUP(I3169,Setup!$A$9:$B$11,2,0),"???")&amp;"-"&amp;G3169&amp;"-"&amp;TEXT(COUNTIFS(I$5:I3169,I3169,G$5:G3169,G3169),"0000"))</f>
        <v/>
      </c>
      <c r="C3169" s="26"/>
      <c r="D3169" s="26"/>
      <c r="E3169" s="27"/>
      <c r="F3169" s="27"/>
      <c r="G3169" s="24" t="str">
        <f aca="false">IF(F3169="","",IF(F3169&lt;=5,"A",IF(F3169&lt;=8,"B",IF(F3169&lt;=10,"C","D"))))</f>
        <v/>
      </c>
      <c r="H3169" s="28"/>
      <c r="I3169" s="27"/>
      <c r="J3169" s="26"/>
      <c r="K3169" s="27"/>
      <c r="L3169" s="27"/>
      <c r="M3169" s="27"/>
      <c r="N3169" s="27"/>
      <c r="O3169" s="24" t="str">
        <f aca="false">IF(G3169="","",VLOOKUP(G3169,Setup!$A$14:$C$17,3,0))</f>
        <v/>
      </c>
      <c r="P3169" s="27"/>
      <c r="Q3169" s="29" t="str">
        <f aca="false">IF(OR(P3169="",M3169&lt;&gt;"Paid",O3169=""),"",P3169/O3169)</f>
        <v/>
      </c>
      <c r="R3169" s="30" t="str">
        <f aca="false">IF(Q3169="","",Q3169+N(H3169)*0.000000001)</f>
        <v/>
      </c>
      <c r="S3169" s="25" t="str">
        <f aca="false">IF(R3169="","",SUMPRODUCT((I$5:I$4004=I3169)*ISNUMBER(R$5:R$4004)*(R$5:R$4004&gt;R3169))+1)</f>
        <v/>
      </c>
      <c r="T3169" s="25" t="str">
        <f aca="false">IF(S3169="","",IF(S3169&lt;=Setup!$B$5,"🏆 WINNER",""))</f>
        <v/>
      </c>
      <c r="U3169" s="24" t="str">
        <f aca="false">IF(S3169="","",I3169&amp;"|"&amp;S3169)</f>
        <v/>
      </c>
    </row>
    <row r="3170" customFormat="false" ht="15" hidden="false" customHeight="false" outlineLevel="0" collapsed="false">
      <c r="A3170" s="31" t="n">
        <v>3166</v>
      </c>
      <c r="B3170" s="32" t="str">
        <f aca="false">IF(OR(C3170="",I3170="",G3170=""),"",IFERROR(VLOOKUP(I3170,Setup!$A$9:$B$11,2,0),"???")&amp;"-"&amp;G3170&amp;"-"&amp;TEXT(COUNTIFS(I$5:I3170,I3170,G$5:G3170,G3170),"0000"))</f>
        <v/>
      </c>
      <c r="C3170" s="26"/>
      <c r="D3170" s="26"/>
      <c r="E3170" s="27"/>
      <c r="F3170" s="27"/>
      <c r="G3170" s="31" t="str">
        <f aca="false">IF(F3170="","",IF(F3170&lt;=5,"A",IF(F3170&lt;=8,"B",IF(F3170&lt;=10,"C","D"))))</f>
        <v/>
      </c>
      <c r="H3170" s="28"/>
      <c r="I3170" s="27"/>
      <c r="J3170" s="26"/>
      <c r="K3170" s="27"/>
      <c r="L3170" s="27"/>
      <c r="M3170" s="27"/>
      <c r="N3170" s="27"/>
      <c r="O3170" s="31" t="str">
        <f aca="false">IF(G3170="","",VLOOKUP(G3170,Setup!$A$14:$C$17,3,0))</f>
        <v/>
      </c>
      <c r="P3170" s="27"/>
      <c r="Q3170" s="33" t="str">
        <f aca="false">IF(OR(P3170="",M3170&lt;&gt;"Paid",O3170=""),"",P3170/O3170)</f>
        <v/>
      </c>
      <c r="R3170" s="34" t="str">
        <f aca="false">IF(Q3170="","",Q3170+N(H3170)*0.000000001)</f>
        <v/>
      </c>
      <c r="S3170" s="32" t="str">
        <f aca="false">IF(R3170="","",SUMPRODUCT((I$5:I$4004=I3170)*ISNUMBER(R$5:R$4004)*(R$5:R$4004&gt;R3170))+1)</f>
        <v/>
      </c>
      <c r="T3170" s="32" t="str">
        <f aca="false">IF(S3170="","",IF(S3170&lt;=Setup!$B$5,"🏆 WINNER",""))</f>
        <v/>
      </c>
      <c r="U3170" s="31" t="str">
        <f aca="false">IF(S3170="","",I3170&amp;"|"&amp;S3170)</f>
        <v/>
      </c>
    </row>
    <row r="3171" customFormat="false" ht="15" hidden="false" customHeight="false" outlineLevel="0" collapsed="false">
      <c r="A3171" s="24" t="n">
        <v>3167</v>
      </c>
      <c r="B3171" s="25" t="str">
        <f aca="false">IF(OR(C3171="",I3171="",G3171=""),"",IFERROR(VLOOKUP(I3171,Setup!$A$9:$B$11,2,0),"???")&amp;"-"&amp;G3171&amp;"-"&amp;TEXT(COUNTIFS(I$5:I3171,I3171,G$5:G3171,G3171),"0000"))</f>
        <v/>
      </c>
      <c r="C3171" s="26"/>
      <c r="D3171" s="26"/>
      <c r="E3171" s="27"/>
      <c r="F3171" s="27"/>
      <c r="G3171" s="24" t="str">
        <f aca="false">IF(F3171="","",IF(F3171&lt;=5,"A",IF(F3171&lt;=8,"B",IF(F3171&lt;=10,"C","D"))))</f>
        <v/>
      </c>
      <c r="H3171" s="28"/>
      <c r="I3171" s="27"/>
      <c r="J3171" s="26"/>
      <c r="K3171" s="27"/>
      <c r="L3171" s="27"/>
      <c r="M3171" s="27"/>
      <c r="N3171" s="27"/>
      <c r="O3171" s="24" t="str">
        <f aca="false">IF(G3171="","",VLOOKUP(G3171,Setup!$A$14:$C$17,3,0))</f>
        <v/>
      </c>
      <c r="P3171" s="27"/>
      <c r="Q3171" s="29" t="str">
        <f aca="false">IF(OR(P3171="",M3171&lt;&gt;"Paid",O3171=""),"",P3171/O3171)</f>
        <v/>
      </c>
      <c r="R3171" s="30" t="str">
        <f aca="false">IF(Q3171="","",Q3171+N(H3171)*0.000000001)</f>
        <v/>
      </c>
      <c r="S3171" s="25" t="str">
        <f aca="false">IF(R3171="","",SUMPRODUCT((I$5:I$4004=I3171)*ISNUMBER(R$5:R$4004)*(R$5:R$4004&gt;R3171))+1)</f>
        <v/>
      </c>
      <c r="T3171" s="25" t="str">
        <f aca="false">IF(S3171="","",IF(S3171&lt;=Setup!$B$5,"🏆 WINNER",""))</f>
        <v/>
      </c>
      <c r="U3171" s="24" t="str">
        <f aca="false">IF(S3171="","",I3171&amp;"|"&amp;S3171)</f>
        <v/>
      </c>
    </row>
    <row r="3172" customFormat="false" ht="15" hidden="false" customHeight="false" outlineLevel="0" collapsed="false">
      <c r="A3172" s="31" t="n">
        <v>3168</v>
      </c>
      <c r="B3172" s="32" t="str">
        <f aca="false">IF(OR(C3172="",I3172="",G3172=""),"",IFERROR(VLOOKUP(I3172,Setup!$A$9:$B$11,2,0),"???")&amp;"-"&amp;G3172&amp;"-"&amp;TEXT(COUNTIFS(I$5:I3172,I3172,G$5:G3172,G3172),"0000"))</f>
        <v/>
      </c>
      <c r="C3172" s="26"/>
      <c r="D3172" s="26"/>
      <c r="E3172" s="27"/>
      <c r="F3172" s="27"/>
      <c r="G3172" s="31" t="str">
        <f aca="false">IF(F3172="","",IF(F3172&lt;=5,"A",IF(F3172&lt;=8,"B",IF(F3172&lt;=10,"C","D"))))</f>
        <v/>
      </c>
      <c r="H3172" s="28"/>
      <c r="I3172" s="27"/>
      <c r="J3172" s="26"/>
      <c r="K3172" s="27"/>
      <c r="L3172" s="27"/>
      <c r="M3172" s="27"/>
      <c r="N3172" s="27"/>
      <c r="O3172" s="31" t="str">
        <f aca="false">IF(G3172="","",VLOOKUP(G3172,Setup!$A$14:$C$17,3,0))</f>
        <v/>
      </c>
      <c r="P3172" s="27"/>
      <c r="Q3172" s="33" t="str">
        <f aca="false">IF(OR(P3172="",M3172&lt;&gt;"Paid",O3172=""),"",P3172/O3172)</f>
        <v/>
      </c>
      <c r="R3172" s="34" t="str">
        <f aca="false">IF(Q3172="","",Q3172+N(H3172)*0.000000001)</f>
        <v/>
      </c>
      <c r="S3172" s="32" t="str">
        <f aca="false">IF(R3172="","",SUMPRODUCT((I$5:I$4004=I3172)*ISNUMBER(R$5:R$4004)*(R$5:R$4004&gt;R3172))+1)</f>
        <v/>
      </c>
      <c r="T3172" s="32" t="str">
        <f aca="false">IF(S3172="","",IF(S3172&lt;=Setup!$B$5,"🏆 WINNER",""))</f>
        <v/>
      </c>
      <c r="U3172" s="31" t="str">
        <f aca="false">IF(S3172="","",I3172&amp;"|"&amp;S3172)</f>
        <v/>
      </c>
    </row>
    <row r="3173" customFormat="false" ht="15" hidden="false" customHeight="false" outlineLevel="0" collapsed="false">
      <c r="A3173" s="24" t="n">
        <v>3169</v>
      </c>
      <c r="B3173" s="25" t="str">
        <f aca="false">IF(OR(C3173="",I3173="",G3173=""),"",IFERROR(VLOOKUP(I3173,Setup!$A$9:$B$11,2,0),"???")&amp;"-"&amp;G3173&amp;"-"&amp;TEXT(COUNTIFS(I$5:I3173,I3173,G$5:G3173,G3173),"0000"))</f>
        <v/>
      </c>
      <c r="C3173" s="26"/>
      <c r="D3173" s="26"/>
      <c r="E3173" s="27"/>
      <c r="F3173" s="27"/>
      <c r="G3173" s="24" t="str">
        <f aca="false">IF(F3173="","",IF(F3173&lt;=5,"A",IF(F3173&lt;=8,"B",IF(F3173&lt;=10,"C","D"))))</f>
        <v/>
      </c>
      <c r="H3173" s="28"/>
      <c r="I3173" s="27"/>
      <c r="J3173" s="26"/>
      <c r="K3173" s="27"/>
      <c r="L3173" s="27"/>
      <c r="M3173" s="27"/>
      <c r="N3173" s="27"/>
      <c r="O3173" s="24" t="str">
        <f aca="false">IF(G3173="","",VLOOKUP(G3173,Setup!$A$14:$C$17,3,0))</f>
        <v/>
      </c>
      <c r="P3173" s="27"/>
      <c r="Q3173" s="29" t="str">
        <f aca="false">IF(OR(P3173="",M3173&lt;&gt;"Paid",O3173=""),"",P3173/O3173)</f>
        <v/>
      </c>
      <c r="R3173" s="30" t="str">
        <f aca="false">IF(Q3173="","",Q3173+N(H3173)*0.000000001)</f>
        <v/>
      </c>
      <c r="S3173" s="25" t="str">
        <f aca="false">IF(R3173="","",SUMPRODUCT((I$5:I$4004=I3173)*ISNUMBER(R$5:R$4004)*(R$5:R$4004&gt;R3173))+1)</f>
        <v/>
      </c>
      <c r="T3173" s="25" t="str">
        <f aca="false">IF(S3173="","",IF(S3173&lt;=Setup!$B$5,"🏆 WINNER",""))</f>
        <v/>
      </c>
      <c r="U3173" s="24" t="str">
        <f aca="false">IF(S3173="","",I3173&amp;"|"&amp;S3173)</f>
        <v/>
      </c>
    </row>
    <row r="3174" customFormat="false" ht="15" hidden="false" customHeight="false" outlineLevel="0" collapsed="false">
      <c r="A3174" s="31" t="n">
        <v>3170</v>
      </c>
      <c r="B3174" s="32" t="str">
        <f aca="false">IF(OR(C3174="",I3174="",G3174=""),"",IFERROR(VLOOKUP(I3174,Setup!$A$9:$B$11,2,0),"???")&amp;"-"&amp;G3174&amp;"-"&amp;TEXT(COUNTIFS(I$5:I3174,I3174,G$5:G3174,G3174),"0000"))</f>
        <v/>
      </c>
      <c r="C3174" s="26"/>
      <c r="D3174" s="26"/>
      <c r="E3174" s="27"/>
      <c r="F3174" s="27"/>
      <c r="G3174" s="31" t="str">
        <f aca="false">IF(F3174="","",IF(F3174&lt;=5,"A",IF(F3174&lt;=8,"B",IF(F3174&lt;=10,"C","D"))))</f>
        <v/>
      </c>
      <c r="H3174" s="28"/>
      <c r="I3174" s="27"/>
      <c r="J3174" s="26"/>
      <c r="K3174" s="27"/>
      <c r="L3174" s="27"/>
      <c r="M3174" s="27"/>
      <c r="N3174" s="27"/>
      <c r="O3174" s="31" t="str">
        <f aca="false">IF(G3174="","",VLOOKUP(G3174,Setup!$A$14:$C$17,3,0))</f>
        <v/>
      </c>
      <c r="P3174" s="27"/>
      <c r="Q3174" s="33" t="str">
        <f aca="false">IF(OR(P3174="",M3174&lt;&gt;"Paid",O3174=""),"",P3174/O3174)</f>
        <v/>
      </c>
      <c r="R3174" s="34" t="str">
        <f aca="false">IF(Q3174="","",Q3174+N(H3174)*0.000000001)</f>
        <v/>
      </c>
      <c r="S3174" s="32" t="str">
        <f aca="false">IF(R3174="","",SUMPRODUCT((I$5:I$4004=I3174)*ISNUMBER(R$5:R$4004)*(R$5:R$4004&gt;R3174))+1)</f>
        <v/>
      </c>
      <c r="T3174" s="32" t="str">
        <f aca="false">IF(S3174="","",IF(S3174&lt;=Setup!$B$5,"🏆 WINNER",""))</f>
        <v/>
      </c>
      <c r="U3174" s="31" t="str">
        <f aca="false">IF(S3174="","",I3174&amp;"|"&amp;S3174)</f>
        <v/>
      </c>
    </row>
    <row r="3175" customFormat="false" ht="15" hidden="false" customHeight="false" outlineLevel="0" collapsed="false">
      <c r="A3175" s="24" t="n">
        <v>3171</v>
      </c>
      <c r="B3175" s="25" t="str">
        <f aca="false">IF(OR(C3175="",I3175="",G3175=""),"",IFERROR(VLOOKUP(I3175,Setup!$A$9:$B$11,2,0),"???")&amp;"-"&amp;G3175&amp;"-"&amp;TEXT(COUNTIFS(I$5:I3175,I3175,G$5:G3175,G3175),"0000"))</f>
        <v/>
      </c>
      <c r="C3175" s="26"/>
      <c r="D3175" s="26"/>
      <c r="E3175" s="27"/>
      <c r="F3175" s="27"/>
      <c r="G3175" s="24" t="str">
        <f aca="false">IF(F3175="","",IF(F3175&lt;=5,"A",IF(F3175&lt;=8,"B",IF(F3175&lt;=10,"C","D"))))</f>
        <v/>
      </c>
      <c r="H3175" s="28"/>
      <c r="I3175" s="27"/>
      <c r="J3175" s="26"/>
      <c r="K3175" s="27"/>
      <c r="L3175" s="27"/>
      <c r="M3175" s="27"/>
      <c r="N3175" s="27"/>
      <c r="O3175" s="24" t="str">
        <f aca="false">IF(G3175="","",VLOOKUP(G3175,Setup!$A$14:$C$17,3,0))</f>
        <v/>
      </c>
      <c r="P3175" s="27"/>
      <c r="Q3175" s="29" t="str">
        <f aca="false">IF(OR(P3175="",M3175&lt;&gt;"Paid",O3175=""),"",P3175/O3175)</f>
        <v/>
      </c>
      <c r="R3175" s="30" t="str">
        <f aca="false">IF(Q3175="","",Q3175+N(H3175)*0.000000001)</f>
        <v/>
      </c>
      <c r="S3175" s="25" t="str">
        <f aca="false">IF(R3175="","",SUMPRODUCT((I$5:I$4004=I3175)*ISNUMBER(R$5:R$4004)*(R$5:R$4004&gt;R3175))+1)</f>
        <v/>
      </c>
      <c r="T3175" s="25" t="str">
        <f aca="false">IF(S3175="","",IF(S3175&lt;=Setup!$B$5,"🏆 WINNER",""))</f>
        <v/>
      </c>
      <c r="U3175" s="24" t="str">
        <f aca="false">IF(S3175="","",I3175&amp;"|"&amp;S3175)</f>
        <v/>
      </c>
    </row>
    <row r="3176" customFormat="false" ht="15" hidden="false" customHeight="false" outlineLevel="0" collapsed="false">
      <c r="A3176" s="31" t="n">
        <v>3172</v>
      </c>
      <c r="B3176" s="32" t="str">
        <f aca="false">IF(OR(C3176="",I3176="",G3176=""),"",IFERROR(VLOOKUP(I3176,Setup!$A$9:$B$11,2,0),"???")&amp;"-"&amp;G3176&amp;"-"&amp;TEXT(COUNTIFS(I$5:I3176,I3176,G$5:G3176,G3176),"0000"))</f>
        <v/>
      </c>
      <c r="C3176" s="26"/>
      <c r="D3176" s="26"/>
      <c r="E3176" s="27"/>
      <c r="F3176" s="27"/>
      <c r="G3176" s="31" t="str">
        <f aca="false">IF(F3176="","",IF(F3176&lt;=5,"A",IF(F3176&lt;=8,"B",IF(F3176&lt;=10,"C","D"))))</f>
        <v/>
      </c>
      <c r="H3176" s="28"/>
      <c r="I3176" s="27"/>
      <c r="J3176" s="26"/>
      <c r="K3176" s="27"/>
      <c r="L3176" s="27"/>
      <c r="M3176" s="27"/>
      <c r="N3176" s="27"/>
      <c r="O3176" s="31" t="str">
        <f aca="false">IF(G3176="","",VLOOKUP(G3176,Setup!$A$14:$C$17,3,0))</f>
        <v/>
      </c>
      <c r="P3176" s="27"/>
      <c r="Q3176" s="33" t="str">
        <f aca="false">IF(OR(P3176="",M3176&lt;&gt;"Paid",O3176=""),"",P3176/O3176)</f>
        <v/>
      </c>
      <c r="R3176" s="34" t="str">
        <f aca="false">IF(Q3176="","",Q3176+N(H3176)*0.000000001)</f>
        <v/>
      </c>
      <c r="S3176" s="32" t="str">
        <f aca="false">IF(R3176="","",SUMPRODUCT((I$5:I$4004=I3176)*ISNUMBER(R$5:R$4004)*(R$5:R$4004&gt;R3176))+1)</f>
        <v/>
      </c>
      <c r="T3176" s="32" t="str">
        <f aca="false">IF(S3176="","",IF(S3176&lt;=Setup!$B$5,"🏆 WINNER",""))</f>
        <v/>
      </c>
      <c r="U3176" s="31" t="str">
        <f aca="false">IF(S3176="","",I3176&amp;"|"&amp;S3176)</f>
        <v/>
      </c>
    </row>
    <row r="3177" customFormat="false" ht="15" hidden="false" customHeight="false" outlineLevel="0" collapsed="false">
      <c r="A3177" s="24" t="n">
        <v>3173</v>
      </c>
      <c r="B3177" s="25" t="str">
        <f aca="false">IF(OR(C3177="",I3177="",G3177=""),"",IFERROR(VLOOKUP(I3177,Setup!$A$9:$B$11,2,0),"???")&amp;"-"&amp;G3177&amp;"-"&amp;TEXT(COUNTIFS(I$5:I3177,I3177,G$5:G3177,G3177),"0000"))</f>
        <v/>
      </c>
      <c r="C3177" s="26"/>
      <c r="D3177" s="26"/>
      <c r="E3177" s="27"/>
      <c r="F3177" s="27"/>
      <c r="G3177" s="24" t="str">
        <f aca="false">IF(F3177="","",IF(F3177&lt;=5,"A",IF(F3177&lt;=8,"B",IF(F3177&lt;=10,"C","D"))))</f>
        <v/>
      </c>
      <c r="H3177" s="28"/>
      <c r="I3177" s="27"/>
      <c r="J3177" s="26"/>
      <c r="K3177" s="27"/>
      <c r="L3177" s="27"/>
      <c r="M3177" s="27"/>
      <c r="N3177" s="27"/>
      <c r="O3177" s="24" t="str">
        <f aca="false">IF(G3177="","",VLOOKUP(G3177,Setup!$A$14:$C$17,3,0))</f>
        <v/>
      </c>
      <c r="P3177" s="27"/>
      <c r="Q3177" s="29" t="str">
        <f aca="false">IF(OR(P3177="",M3177&lt;&gt;"Paid",O3177=""),"",P3177/O3177)</f>
        <v/>
      </c>
      <c r="R3177" s="30" t="str">
        <f aca="false">IF(Q3177="","",Q3177+N(H3177)*0.000000001)</f>
        <v/>
      </c>
      <c r="S3177" s="25" t="str">
        <f aca="false">IF(R3177="","",SUMPRODUCT((I$5:I$4004=I3177)*ISNUMBER(R$5:R$4004)*(R$5:R$4004&gt;R3177))+1)</f>
        <v/>
      </c>
      <c r="T3177" s="25" t="str">
        <f aca="false">IF(S3177="","",IF(S3177&lt;=Setup!$B$5,"🏆 WINNER",""))</f>
        <v/>
      </c>
      <c r="U3177" s="24" t="str">
        <f aca="false">IF(S3177="","",I3177&amp;"|"&amp;S3177)</f>
        <v/>
      </c>
    </row>
    <row r="3178" customFormat="false" ht="15" hidden="false" customHeight="false" outlineLevel="0" collapsed="false">
      <c r="A3178" s="31" t="n">
        <v>3174</v>
      </c>
      <c r="B3178" s="32" t="str">
        <f aca="false">IF(OR(C3178="",I3178="",G3178=""),"",IFERROR(VLOOKUP(I3178,Setup!$A$9:$B$11,2,0),"???")&amp;"-"&amp;G3178&amp;"-"&amp;TEXT(COUNTIFS(I$5:I3178,I3178,G$5:G3178,G3178),"0000"))</f>
        <v/>
      </c>
      <c r="C3178" s="26"/>
      <c r="D3178" s="26"/>
      <c r="E3178" s="27"/>
      <c r="F3178" s="27"/>
      <c r="G3178" s="31" t="str">
        <f aca="false">IF(F3178="","",IF(F3178&lt;=5,"A",IF(F3178&lt;=8,"B",IF(F3178&lt;=10,"C","D"))))</f>
        <v/>
      </c>
      <c r="H3178" s="28"/>
      <c r="I3178" s="27"/>
      <c r="J3178" s="26"/>
      <c r="K3178" s="27"/>
      <c r="L3178" s="27"/>
      <c r="M3178" s="27"/>
      <c r="N3178" s="27"/>
      <c r="O3178" s="31" t="str">
        <f aca="false">IF(G3178="","",VLOOKUP(G3178,Setup!$A$14:$C$17,3,0))</f>
        <v/>
      </c>
      <c r="P3178" s="27"/>
      <c r="Q3178" s="33" t="str">
        <f aca="false">IF(OR(P3178="",M3178&lt;&gt;"Paid",O3178=""),"",P3178/O3178)</f>
        <v/>
      </c>
      <c r="R3178" s="34" t="str">
        <f aca="false">IF(Q3178="","",Q3178+N(H3178)*0.000000001)</f>
        <v/>
      </c>
      <c r="S3178" s="32" t="str">
        <f aca="false">IF(R3178="","",SUMPRODUCT((I$5:I$4004=I3178)*ISNUMBER(R$5:R$4004)*(R$5:R$4004&gt;R3178))+1)</f>
        <v/>
      </c>
      <c r="T3178" s="32" t="str">
        <f aca="false">IF(S3178="","",IF(S3178&lt;=Setup!$B$5,"🏆 WINNER",""))</f>
        <v/>
      </c>
      <c r="U3178" s="31" t="str">
        <f aca="false">IF(S3178="","",I3178&amp;"|"&amp;S3178)</f>
        <v/>
      </c>
    </row>
    <row r="3179" customFormat="false" ht="15" hidden="false" customHeight="false" outlineLevel="0" collapsed="false">
      <c r="A3179" s="24" t="n">
        <v>3175</v>
      </c>
      <c r="B3179" s="25" t="str">
        <f aca="false">IF(OR(C3179="",I3179="",G3179=""),"",IFERROR(VLOOKUP(I3179,Setup!$A$9:$B$11,2,0),"???")&amp;"-"&amp;G3179&amp;"-"&amp;TEXT(COUNTIFS(I$5:I3179,I3179,G$5:G3179,G3179),"0000"))</f>
        <v/>
      </c>
      <c r="C3179" s="26"/>
      <c r="D3179" s="26"/>
      <c r="E3179" s="27"/>
      <c r="F3179" s="27"/>
      <c r="G3179" s="24" t="str">
        <f aca="false">IF(F3179="","",IF(F3179&lt;=5,"A",IF(F3179&lt;=8,"B",IF(F3179&lt;=10,"C","D"))))</f>
        <v/>
      </c>
      <c r="H3179" s="28"/>
      <c r="I3179" s="27"/>
      <c r="J3179" s="26"/>
      <c r="K3179" s="27"/>
      <c r="L3179" s="27"/>
      <c r="M3179" s="27"/>
      <c r="N3179" s="27"/>
      <c r="O3179" s="24" t="str">
        <f aca="false">IF(G3179="","",VLOOKUP(G3179,Setup!$A$14:$C$17,3,0))</f>
        <v/>
      </c>
      <c r="P3179" s="27"/>
      <c r="Q3179" s="29" t="str">
        <f aca="false">IF(OR(P3179="",M3179&lt;&gt;"Paid",O3179=""),"",P3179/O3179)</f>
        <v/>
      </c>
      <c r="R3179" s="30" t="str">
        <f aca="false">IF(Q3179="","",Q3179+N(H3179)*0.000000001)</f>
        <v/>
      </c>
      <c r="S3179" s="25" t="str">
        <f aca="false">IF(R3179="","",SUMPRODUCT((I$5:I$4004=I3179)*ISNUMBER(R$5:R$4004)*(R$5:R$4004&gt;R3179))+1)</f>
        <v/>
      </c>
      <c r="T3179" s="25" t="str">
        <f aca="false">IF(S3179="","",IF(S3179&lt;=Setup!$B$5,"🏆 WINNER",""))</f>
        <v/>
      </c>
      <c r="U3179" s="24" t="str">
        <f aca="false">IF(S3179="","",I3179&amp;"|"&amp;S3179)</f>
        <v/>
      </c>
    </row>
    <row r="3180" customFormat="false" ht="15" hidden="false" customHeight="false" outlineLevel="0" collapsed="false">
      <c r="A3180" s="31" t="n">
        <v>3176</v>
      </c>
      <c r="B3180" s="32" t="str">
        <f aca="false">IF(OR(C3180="",I3180="",G3180=""),"",IFERROR(VLOOKUP(I3180,Setup!$A$9:$B$11,2,0),"???")&amp;"-"&amp;G3180&amp;"-"&amp;TEXT(COUNTIFS(I$5:I3180,I3180,G$5:G3180,G3180),"0000"))</f>
        <v/>
      </c>
      <c r="C3180" s="26"/>
      <c r="D3180" s="26"/>
      <c r="E3180" s="27"/>
      <c r="F3180" s="27"/>
      <c r="G3180" s="31" t="str">
        <f aca="false">IF(F3180="","",IF(F3180&lt;=5,"A",IF(F3180&lt;=8,"B",IF(F3180&lt;=10,"C","D"))))</f>
        <v/>
      </c>
      <c r="H3180" s="28"/>
      <c r="I3180" s="27"/>
      <c r="J3180" s="26"/>
      <c r="K3180" s="27"/>
      <c r="L3180" s="27"/>
      <c r="M3180" s="27"/>
      <c r="N3180" s="27"/>
      <c r="O3180" s="31" t="str">
        <f aca="false">IF(G3180="","",VLOOKUP(G3180,Setup!$A$14:$C$17,3,0))</f>
        <v/>
      </c>
      <c r="P3180" s="27"/>
      <c r="Q3180" s="33" t="str">
        <f aca="false">IF(OR(P3180="",M3180&lt;&gt;"Paid",O3180=""),"",P3180/O3180)</f>
        <v/>
      </c>
      <c r="R3180" s="34" t="str">
        <f aca="false">IF(Q3180="","",Q3180+N(H3180)*0.000000001)</f>
        <v/>
      </c>
      <c r="S3180" s="32" t="str">
        <f aca="false">IF(R3180="","",SUMPRODUCT((I$5:I$4004=I3180)*ISNUMBER(R$5:R$4004)*(R$5:R$4004&gt;R3180))+1)</f>
        <v/>
      </c>
      <c r="T3180" s="32" t="str">
        <f aca="false">IF(S3180="","",IF(S3180&lt;=Setup!$B$5,"🏆 WINNER",""))</f>
        <v/>
      </c>
      <c r="U3180" s="31" t="str">
        <f aca="false">IF(S3180="","",I3180&amp;"|"&amp;S3180)</f>
        <v/>
      </c>
    </row>
    <row r="3181" customFormat="false" ht="15" hidden="false" customHeight="false" outlineLevel="0" collapsed="false">
      <c r="A3181" s="24" t="n">
        <v>3177</v>
      </c>
      <c r="B3181" s="25" t="str">
        <f aca="false">IF(OR(C3181="",I3181="",G3181=""),"",IFERROR(VLOOKUP(I3181,Setup!$A$9:$B$11,2,0),"???")&amp;"-"&amp;G3181&amp;"-"&amp;TEXT(COUNTIFS(I$5:I3181,I3181,G$5:G3181,G3181),"0000"))</f>
        <v/>
      </c>
      <c r="C3181" s="26"/>
      <c r="D3181" s="26"/>
      <c r="E3181" s="27"/>
      <c r="F3181" s="27"/>
      <c r="G3181" s="24" t="str">
        <f aca="false">IF(F3181="","",IF(F3181&lt;=5,"A",IF(F3181&lt;=8,"B",IF(F3181&lt;=10,"C","D"))))</f>
        <v/>
      </c>
      <c r="H3181" s="28"/>
      <c r="I3181" s="27"/>
      <c r="J3181" s="26"/>
      <c r="K3181" s="27"/>
      <c r="L3181" s="27"/>
      <c r="M3181" s="27"/>
      <c r="N3181" s="27"/>
      <c r="O3181" s="24" t="str">
        <f aca="false">IF(G3181="","",VLOOKUP(G3181,Setup!$A$14:$C$17,3,0))</f>
        <v/>
      </c>
      <c r="P3181" s="27"/>
      <c r="Q3181" s="29" t="str">
        <f aca="false">IF(OR(P3181="",M3181&lt;&gt;"Paid",O3181=""),"",P3181/O3181)</f>
        <v/>
      </c>
      <c r="R3181" s="30" t="str">
        <f aca="false">IF(Q3181="","",Q3181+N(H3181)*0.000000001)</f>
        <v/>
      </c>
      <c r="S3181" s="25" t="str">
        <f aca="false">IF(R3181="","",SUMPRODUCT((I$5:I$4004=I3181)*ISNUMBER(R$5:R$4004)*(R$5:R$4004&gt;R3181))+1)</f>
        <v/>
      </c>
      <c r="T3181" s="25" t="str">
        <f aca="false">IF(S3181="","",IF(S3181&lt;=Setup!$B$5,"🏆 WINNER",""))</f>
        <v/>
      </c>
      <c r="U3181" s="24" t="str">
        <f aca="false">IF(S3181="","",I3181&amp;"|"&amp;S3181)</f>
        <v/>
      </c>
    </row>
    <row r="3182" customFormat="false" ht="15" hidden="false" customHeight="false" outlineLevel="0" collapsed="false">
      <c r="A3182" s="31" t="n">
        <v>3178</v>
      </c>
      <c r="B3182" s="32" t="str">
        <f aca="false">IF(OR(C3182="",I3182="",G3182=""),"",IFERROR(VLOOKUP(I3182,Setup!$A$9:$B$11,2,0),"???")&amp;"-"&amp;G3182&amp;"-"&amp;TEXT(COUNTIFS(I$5:I3182,I3182,G$5:G3182,G3182),"0000"))</f>
        <v/>
      </c>
      <c r="C3182" s="26"/>
      <c r="D3182" s="26"/>
      <c r="E3182" s="27"/>
      <c r="F3182" s="27"/>
      <c r="G3182" s="31" t="str">
        <f aca="false">IF(F3182="","",IF(F3182&lt;=5,"A",IF(F3182&lt;=8,"B",IF(F3182&lt;=10,"C","D"))))</f>
        <v/>
      </c>
      <c r="H3182" s="28"/>
      <c r="I3182" s="27"/>
      <c r="J3182" s="26"/>
      <c r="K3182" s="27"/>
      <c r="L3182" s="27"/>
      <c r="M3182" s="27"/>
      <c r="N3182" s="27"/>
      <c r="O3182" s="31" t="str">
        <f aca="false">IF(G3182="","",VLOOKUP(G3182,Setup!$A$14:$C$17,3,0))</f>
        <v/>
      </c>
      <c r="P3182" s="27"/>
      <c r="Q3182" s="33" t="str">
        <f aca="false">IF(OR(P3182="",M3182&lt;&gt;"Paid",O3182=""),"",P3182/O3182)</f>
        <v/>
      </c>
      <c r="R3182" s="34" t="str">
        <f aca="false">IF(Q3182="","",Q3182+N(H3182)*0.000000001)</f>
        <v/>
      </c>
      <c r="S3182" s="32" t="str">
        <f aca="false">IF(R3182="","",SUMPRODUCT((I$5:I$4004=I3182)*ISNUMBER(R$5:R$4004)*(R$5:R$4004&gt;R3182))+1)</f>
        <v/>
      </c>
      <c r="T3182" s="32" t="str">
        <f aca="false">IF(S3182="","",IF(S3182&lt;=Setup!$B$5,"🏆 WINNER",""))</f>
        <v/>
      </c>
      <c r="U3182" s="31" t="str">
        <f aca="false">IF(S3182="","",I3182&amp;"|"&amp;S3182)</f>
        <v/>
      </c>
    </row>
    <row r="3183" customFormat="false" ht="15" hidden="false" customHeight="false" outlineLevel="0" collapsed="false">
      <c r="A3183" s="24" t="n">
        <v>3179</v>
      </c>
      <c r="B3183" s="25" t="str">
        <f aca="false">IF(OR(C3183="",I3183="",G3183=""),"",IFERROR(VLOOKUP(I3183,Setup!$A$9:$B$11,2,0),"???")&amp;"-"&amp;G3183&amp;"-"&amp;TEXT(COUNTIFS(I$5:I3183,I3183,G$5:G3183,G3183),"0000"))</f>
        <v/>
      </c>
      <c r="C3183" s="26"/>
      <c r="D3183" s="26"/>
      <c r="E3183" s="27"/>
      <c r="F3183" s="27"/>
      <c r="G3183" s="24" t="str">
        <f aca="false">IF(F3183="","",IF(F3183&lt;=5,"A",IF(F3183&lt;=8,"B",IF(F3183&lt;=10,"C","D"))))</f>
        <v/>
      </c>
      <c r="H3183" s="28"/>
      <c r="I3183" s="27"/>
      <c r="J3183" s="26"/>
      <c r="K3183" s="27"/>
      <c r="L3183" s="27"/>
      <c r="M3183" s="27"/>
      <c r="N3183" s="27"/>
      <c r="O3183" s="24" t="str">
        <f aca="false">IF(G3183="","",VLOOKUP(G3183,Setup!$A$14:$C$17,3,0))</f>
        <v/>
      </c>
      <c r="P3183" s="27"/>
      <c r="Q3183" s="29" t="str">
        <f aca="false">IF(OR(P3183="",M3183&lt;&gt;"Paid",O3183=""),"",P3183/O3183)</f>
        <v/>
      </c>
      <c r="R3183" s="30" t="str">
        <f aca="false">IF(Q3183="","",Q3183+N(H3183)*0.000000001)</f>
        <v/>
      </c>
      <c r="S3183" s="25" t="str">
        <f aca="false">IF(R3183="","",SUMPRODUCT((I$5:I$4004=I3183)*ISNUMBER(R$5:R$4004)*(R$5:R$4004&gt;R3183))+1)</f>
        <v/>
      </c>
      <c r="T3183" s="25" t="str">
        <f aca="false">IF(S3183="","",IF(S3183&lt;=Setup!$B$5,"🏆 WINNER",""))</f>
        <v/>
      </c>
      <c r="U3183" s="24" t="str">
        <f aca="false">IF(S3183="","",I3183&amp;"|"&amp;S3183)</f>
        <v/>
      </c>
    </row>
    <row r="3184" customFormat="false" ht="15" hidden="false" customHeight="false" outlineLevel="0" collapsed="false">
      <c r="A3184" s="31" t="n">
        <v>3180</v>
      </c>
      <c r="B3184" s="32" t="str">
        <f aca="false">IF(OR(C3184="",I3184="",G3184=""),"",IFERROR(VLOOKUP(I3184,Setup!$A$9:$B$11,2,0),"???")&amp;"-"&amp;G3184&amp;"-"&amp;TEXT(COUNTIFS(I$5:I3184,I3184,G$5:G3184,G3184),"0000"))</f>
        <v/>
      </c>
      <c r="C3184" s="26"/>
      <c r="D3184" s="26"/>
      <c r="E3184" s="27"/>
      <c r="F3184" s="27"/>
      <c r="G3184" s="31" t="str">
        <f aca="false">IF(F3184="","",IF(F3184&lt;=5,"A",IF(F3184&lt;=8,"B",IF(F3184&lt;=10,"C","D"))))</f>
        <v/>
      </c>
      <c r="H3184" s="28"/>
      <c r="I3184" s="27"/>
      <c r="J3184" s="26"/>
      <c r="K3184" s="27"/>
      <c r="L3184" s="27"/>
      <c r="M3184" s="27"/>
      <c r="N3184" s="27"/>
      <c r="O3184" s="31" t="str">
        <f aca="false">IF(G3184="","",VLOOKUP(G3184,Setup!$A$14:$C$17,3,0))</f>
        <v/>
      </c>
      <c r="P3184" s="27"/>
      <c r="Q3184" s="33" t="str">
        <f aca="false">IF(OR(P3184="",M3184&lt;&gt;"Paid",O3184=""),"",P3184/O3184)</f>
        <v/>
      </c>
      <c r="R3184" s="34" t="str">
        <f aca="false">IF(Q3184="","",Q3184+N(H3184)*0.000000001)</f>
        <v/>
      </c>
      <c r="S3184" s="32" t="str">
        <f aca="false">IF(R3184="","",SUMPRODUCT((I$5:I$4004=I3184)*ISNUMBER(R$5:R$4004)*(R$5:R$4004&gt;R3184))+1)</f>
        <v/>
      </c>
      <c r="T3184" s="32" t="str">
        <f aca="false">IF(S3184="","",IF(S3184&lt;=Setup!$B$5,"🏆 WINNER",""))</f>
        <v/>
      </c>
      <c r="U3184" s="31" t="str">
        <f aca="false">IF(S3184="","",I3184&amp;"|"&amp;S3184)</f>
        <v/>
      </c>
    </row>
    <row r="3185" customFormat="false" ht="15" hidden="false" customHeight="false" outlineLevel="0" collapsed="false">
      <c r="A3185" s="24" t="n">
        <v>3181</v>
      </c>
      <c r="B3185" s="25" t="str">
        <f aca="false">IF(OR(C3185="",I3185="",G3185=""),"",IFERROR(VLOOKUP(I3185,Setup!$A$9:$B$11,2,0),"???")&amp;"-"&amp;G3185&amp;"-"&amp;TEXT(COUNTIFS(I$5:I3185,I3185,G$5:G3185,G3185),"0000"))</f>
        <v/>
      </c>
      <c r="C3185" s="26"/>
      <c r="D3185" s="26"/>
      <c r="E3185" s="27"/>
      <c r="F3185" s="27"/>
      <c r="G3185" s="24" t="str">
        <f aca="false">IF(F3185="","",IF(F3185&lt;=5,"A",IF(F3185&lt;=8,"B",IF(F3185&lt;=10,"C","D"))))</f>
        <v/>
      </c>
      <c r="H3185" s="28"/>
      <c r="I3185" s="27"/>
      <c r="J3185" s="26"/>
      <c r="K3185" s="27"/>
      <c r="L3185" s="27"/>
      <c r="M3185" s="27"/>
      <c r="N3185" s="27"/>
      <c r="O3185" s="24" t="str">
        <f aca="false">IF(G3185="","",VLOOKUP(G3185,Setup!$A$14:$C$17,3,0))</f>
        <v/>
      </c>
      <c r="P3185" s="27"/>
      <c r="Q3185" s="29" t="str">
        <f aca="false">IF(OR(P3185="",M3185&lt;&gt;"Paid",O3185=""),"",P3185/O3185)</f>
        <v/>
      </c>
      <c r="R3185" s="30" t="str">
        <f aca="false">IF(Q3185="","",Q3185+N(H3185)*0.000000001)</f>
        <v/>
      </c>
      <c r="S3185" s="25" t="str">
        <f aca="false">IF(R3185="","",SUMPRODUCT((I$5:I$4004=I3185)*ISNUMBER(R$5:R$4004)*(R$5:R$4004&gt;R3185))+1)</f>
        <v/>
      </c>
      <c r="T3185" s="25" t="str">
        <f aca="false">IF(S3185="","",IF(S3185&lt;=Setup!$B$5,"🏆 WINNER",""))</f>
        <v/>
      </c>
      <c r="U3185" s="24" t="str">
        <f aca="false">IF(S3185="","",I3185&amp;"|"&amp;S3185)</f>
        <v/>
      </c>
    </row>
    <row r="3186" customFormat="false" ht="15" hidden="false" customHeight="false" outlineLevel="0" collapsed="false">
      <c r="A3186" s="31" t="n">
        <v>3182</v>
      </c>
      <c r="B3186" s="32" t="str">
        <f aca="false">IF(OR(C3186="",I3186="",G3186=""),"",IFERROR(VLOOKUP(I3186,Setup!$A$9:$B$11,2,0),"???")&amp;"-"&amp;G3186&amp;"-"&amp;TEXT(COUNTIFS(I$5:I3186,I3186,G$5:G3186,G3186),"0000"))</f>
        <v/>
      </c>
      <c r="C3186" s="26"/>
      <c r="D3186" s="26"/>
      <c r="E3186" s="27"/>
      <c r="F3186" s="27"/>
      <c r="G3186" s="31" t="str">
        <f aca="false">IF(F3186="","",IF(F3186&lt;=5,"A",IF(F3186&lt;=8,"B",IF(F3186&lt;=10,"C","D"))))</f>
        <v/>
      </c>
      <c r="H3186" s="28"/>
      <c r="I3186" s="27"/>
      <c r="J3186" s="26"/>
      <c r="K3186" s="27"/>
      <c r="L3186" s="27"/>
      <c r="M3186" s="27"/>
      <c r="N3186" s="27"/>
      <c r="O3186" s="31" t="str">
        <f aca="false">IF(G3186="","",VLOOKUP(G3186,Setup!$A$14:$C$17,3,0))</f>
        <v/>
      </c>
      <c r="P3186" s="27"/>
      <c r="Q3186" s="33" t="str">
        <f aca="false">IF(OR(P3186="",M3186&lt;&gt;"Paid",O3186=""),"",P3186/O3186)</f>
        <v/>
      </c>
      <c r="R3186" s="34" t="str">
        <f aca="false">IF(Q3186="","",Q3186+N(H3186)*0.000000001)</f>
        <v/>
      </c>
      <c r="S3186" s="32" t="str">
        <f aca="false">IF(R3186="","",SUMPRODUCT((I$5:I$4004=I3186)*ISNUMBER(R$5:R$4004)*(R$5:R$4004&gt;R3186))+1)</f>
        <v/>
      </c>
      <c r="T3186" s="32" t="str">
        <f aca="false">IF(S3186="","",IF(S3186&lt;=Setup!$B$5,"🏆 WINNER",""))</f>
        <v/>
      </c>
      <c r="U3186" s="31" t="str">
        <f aca="false">IF(S3186="","",I3186&amp;"|"&amp;S3186)</f>
        <v/>
      </c>
    </row>
    <row r="3187" customFormat="false" ht="15" hidden="false" customHeight="false" outlineLevel="0" collapsed="false">
      <c r="A3187" s="24" t="n">
        <v>3183</v>
      </c>
      <c r="B3187" s="25" t="str">
        <f aca="false">IF(OR(C3187="",I3187="",G3187=""),"",IFERROR(VLOOKUP(I3187,Setup!$A$9:$B$11,2,0),"???")&amp;"-"&amp;G3187&amp;"-"&amp;TEXT(COUNTIFS(I$5:I3187,I3187,G$5:G3187,G3187),"0000"))</f>
        <v/>
      </c>
      <c r="C3187" s="26"/>
      <c r="D3187" s="26"/>
      <c r="E3187" s="27"/>
      <c r="F3187" s="27"/>
      <c r="G3187" s="24" t="str">
        <f aca="false">IF(F3187="","",IF(F3187&lt;=5,"A",IF(F3187&lt;=8,"B",IF(F3187&lt;=10,"C","D"))))</f>
        <v/>
      </c>
      <c r="H3187" s="28"/>
      <c r="I3187" s="27"/>
      <c r="J3187" s="26"/>
      <c r="K3187" s="27"/>
      <c r="L3187" s="27"/>
      <c r="M3187" s="27"/>
      <c r="N3187" s="27"/>
      <c r="O3187" s="24" t="str">
        <f aca="false">IF(G3187="","",VLOOKUP(G3187,Setup!$A$14:$C$17,3,0))</f>
        <v/>
      </c>
      <c r="P3187" s="27"/>
      <c r="Q3187" s="29" t="str">
        <f aca="false">IF(OR(P3187="",M3187&lt;&gt;"Paid",O3187=""),"",P3187/O3187)</f>
        <v/>
      </c>
      <c r="R3187" s="30" t="str">
        <f aca="false">IF(Q3187="","",Q3187+N(H3187)*0.000000001)</f>
        <v/>
      </c>
      <c r="S3187" s="25" t="str">
        <f aca="false">IF(R3187="","",SUMPRODUCT((I$5:I$4004=I3187)*ISNUMBER(R$5:R$4004)*(R$5:R$4004&gt;R3187))+1)</f>
        <v/>
      </c>
      <c r="T3187" s="25" t="str">
        <f aca="false">IF(S3187="","",IF(S3187&lt;=Setup!$B$5,"🏆 WINNER",""))</f>
        <v/>
      </c>
      <c r="U3187" s="24" t="str">
        <f aca="false">IF(S3187="","",I3187&amp;"|"&amp;S3187)</f>
        <v/>
      </c>
    </row>
    <row r="3188" customFormat="false" ht="15" hidden="false" customHeight="false" outlineLevel="0" collapsed="false">
      <c r="A3188" s="31" t="n">
        <v>3184</v>
      </c>
      <c r="B3188" s="32" t="str">
        <f aca="false">IF(OR(C3188="",I3188="",G3188=""),"",IFERROR(VLOOKUP(I3188,Setup!$A$9:$B$11,2,0),"???")&amp;"-"&amp;G3188&amp;"-"&amp;TEXT(COUNTIFS(I$5:I3188,I3188,G$5:G3188,G3188),"0000"))</f>
        <v/>
      </c>
      <c r="C3188" s="26"/>
      <c r="D3188" s="26"/>
      <c r="E3188" s="27"/>
      <c r="F3188" s="27"/>
      <c r="G3188" s="31" t="str">
        <f aca="false">IF(F3188="","",IF(F3188&lt;=5,"A",IF(F3188&lt;=8,"B",IF(F3188&lt;=10,"C","D"))))</f>
        <v/>
      </c>
      <c r="H3188" s="28"/>
      <c r="I3188" s="27"/>
      <c r="J3188" s="26"/>
      <c r="K3188" s="27"/>
      <c r="L3188" s="27"/>
      <c r="M3188" s="27"/>
      <c r="N3188" s="27"/>
      <c r="O3188" s="31" t="str">
        <f aca="false">IF(G3188="","",VLOOKUP(G3188,Setup!$A$14:$C$17,3,0))</f>
        <v/>
      </c>
      <c r="P3188" s="27"/>
      <c r="Q3188" s="33" t="str">
        <f aca="false">IF(OR(P3188="",M3188&lt;&gt;"Paid",O3188=""),"",P3188/O3188)</f>
        <v/>
      </c>
      <c r="R3188" s="34" t="str">
        <f aca="false">IF(Q3188="","",Q3188+N(H3188)*0.000000001)</f>
        <v/>
      </c>
      <c r="S3188" s="32" t="str">
        <f aca="false">IF(R3188="","",SUMPRODUCT((I$5:I$4004=I3188)*ISNUMBER(R$5:R$4004)*(R$5:R$4004&gt;R3188))+1)</f>
        <v/>
      </c>
      <c r="T3188" s="32" t="str">
        <f aca="false">IF(S3188="","",IF(S3188&lt;=Setup!$B$5,"🏆 WINNER",""))</f>
        <v/>
      </c>
      <c r="U3188" s="31" t="str">
        <f aca="false">IF(S3188="","",I3188&amp;"|"&amp;S3188)</f>
        <v/>
      </c>
    </row>
    <row r="3189" customFormat="false" ht="15" hidden="false" customHeight="false" outlineLevel="0" collapsed="false">
      <c r="A3189" s="24" t="n">
        <v>3185</v>
      </c>
      <c r="B3189" s="25" t="str">
        <f aca="false">IF(OR(C3189="",I3189="",G3189=""),"",IFERROR(VLOOKUP(I3189,Setup!$A$9:$B$11,2,0),"???")&amp;"-"&amp;G3189&amp;"-"&amp;TEXT(COUNTIFS(I$5:I3189,I3189,G$5:G3189,G3189),"0000"))</f>
        <v/>
      </c>
      <c r="C3189" s="26"/>
      <c r="D3189" s="26"/>
      <c r="E3189" s="27"/>
      <c r="F3189" s="27"/>
      <c r="G3189" s="24" t="str">
        <f aca="false">IF(F3189="","",IF(F3189&lt;=5,"A",IF(F3189&lt;=8,"B",IF(F3189&lt;=10,"C","D"))))</f>
        <v/>
      </c>
      <c r="H3189" s="28"/>
      <c r="I3189" s="27"/>
      <c r="J3189" s="26"/>
      <c r="K3189" s="27"/>
      <c r="L3189" s="27"/>
      <c r="M3189" s="27"/>
      <c r="N3189" s="27"/>
      <c r="O3189" s="24" t="str">
        <f aca="false">IF(G3189="","",VLOOKUP(G3189,Setup!$A$14:$C$17,3,0))</f>
        <v/>
      </c>
      <c r="P3189" s="27"/>
      <c r="Q3189" s="29" t="str">
        <f aca="false">IF(OR(P3189="",M3189&lt;&gt;"Paid",O3189=""),"",P3189/O3189)</f>
        <v/>
      </c>
      <c r="R3189" s="30" t="str">
        <f aca="false">IF(Q3189="","",Q3189+N(H3189)*0.000000001)</f>
        <v/>
      </c>
      <c r="S3189" s="25" t="str">
        <f aca="false">IF(R3189="","",SUMPRODUCT((I$5:I$4004=I3189)*ISNUMBER(R$5:R$4004)*(R$5:R$4004&gt;R3189))+1)</f>
        <v/>
      </c>
      <c r="T3189" s="25" t="str">
        <f aca="false">IF(S3189="","",IF(S3189&lt;=Setup!$B$5,"🏆 WINNER",""))</f>
        <v/>
      </c>
      <c r="U3189" s="24" t="str">
        <f aca="false">IF(S3189="","",I3189&amp;"|"&amp;S3189)</f>
        <v/>
      </c>
    </row>
    <row r="3190" customFormat="false" ht="15" hidden="false" customHeight="false" outlineLevel="0" collapsed="false">
      <c r="A3190" s="31" t="n">
        <v>3186</v>
      </c>
      <c r="B3190" s="32" t="str">
        <f aca="false">IF(OR(C3190="",I3190="",G3190=""),"",IFERROR(VLOOKUP(I3190,Setup!$A$9:$B$11,2,0),"???")&amp;"-"&amp;G3190&amp;"-"&amp;TEXT(COUNTIFS(I$5:I3190,I3190,G$5:G3190,G3190),"0000"))</f>
        <v/>
      </c>
      <c r="C3190" s="26"/>
      <c r="D3190" s="26"/>
      <c r="E3190" s="27"/>
      <c r="F3190" s="27"/>
      <c r="G3190" s="31" t="str">
        <f aca="false">IF(F3190="","",IF(F3190&lt;=5,"A",IF(F3190&lt;=8,"B",IF(F3190&lt;=10,"C","D"))))</f>
        <v/>
      </c>
      <c r="H3190" s="28"/>
      <c r="I3190" s="27"/>
      <c r="J3190" s="26"/>
      <c r="K3190" s="27"/>
      <c r="L3190" s="27"/>
      <c r="M3190" s="27"/>
      <c r="N3190" s="27"/>
      <c r="O3190" s="31" t="str">
        <f aca="false">IF(G3190="","",VLOOKUP(G3190,Setup!$A$14:$C$17,3,0))</f>
        <v/>
      </c>
      <c r="P3190" s="27"/>
      <c r="Q3190" s="33" t="str">
        <f aca="false">IF(OR(P3190="",M3190&lt;&gt;"Paid",O3190=""),"",P3190/O3190)</f>
        <v/>
      </c>
      <c r="R3190" s="34" t="str">
        <f aca="false">IF(Q3190="","",Q3190+N(H3190)*0.000000001)</f>
        <v/>
      </c>
      <c r="S3190" s="32" t="str">
        <f aca="false">IF(R3190="","",SUMPRODUCT((I$5:I$4004=I3190)*ISNUMBER(R$5:R$4004)*(R$5:R$4004&gt;R3190))+1)</f>
        <v/>
      </c>
      <c r="T3190" s="32" t="str">
        <f aca="false">IF(S3190="","",IF(S3190&lt;=Setup!$B$5,"🏆 WINNER",""))</f>
        <v/>
      </c>
      <c r="U3190" s="31" t="str">
        <f aca="false">IF(S3190="","",I3190&amp;"|"&amp;S3190)</f>
        <v/>
      </c>
    </row>
    <row r="3191" customFormat="false" ht="15" hidden="false" customHeight="false" outlineLevel="0" collapsed="false">
      <c r="A3191" s="24" t="n">
        <v>3187</v>
      </c>
      <c r="B3191" s="25" t="str">
        <f aca="false">IF(OR(C3191="",I3191="",G3191=""),"",IFERROR(VLOOKUP(I3191,Setup!$A$9:$B$11,2,0),"???")&amp;"-"&amp;G3191&amp;"-"&amp;TEXT(COUNTIFS(I$5:I3191,I3191,G$5:G3191,G3191),"0000"))</f>
        <v/>
      </c>
      <c r="C3191" s="26"/>
      <c r="D3191" s="26"/>
      <c r="E3191" s="27"/>
      <c r="F3191" s="27"/>
      <c r="G3191" s="24" t="str">
        <f aca="false">IF(F3191="","",IF(F3191&lt;=5,"A",IF(F3191&lt;=8,"B",IF(F3191&lt;=10,"C","D"))))</f>
        <v/>
      </c>
      <c r="H3191" s="28"/>
      <c r="I3191" s="27"/>
      <c r="J3191" s="26"/>
      <c r="K3191" s="27"/>
      <c r="L3191" s="27"/>
      <c r="M3191" s="27"/>
      <c r="N3191" s="27"/>
      <c r="O3191" s="24" t="str">
        <f aca="false">IF(G3191="","",VLOOKUP(G3191,Setup!$A$14:$C$17,3,0))</f>
        <v/>
      </c>
      <c r="P3191" s="27"/>
      <c r="Q3191" s="29" t="str">
        <f aca="false">IF(OR(P3191="",M3191&lt;&gt;"Paid",O3191=""),"",P3191/O3191)</f>
        <v/>
      </c>
      <c r="R3191" s="30" t="str">
        <f aca="false">IF(Q3191="","",Q3191+N(H3191)*0.000000001)</f>
        <v/>
      </c>
      <c r="S3191" s="25" t="str">
        <f aca="false">IF(R3191="","",SUMPRODUCT((I$5:I$4004=I3191)*ISNUMBER(R$5:R$4004)*(R$5:R$4004&gt;R3191))+1)</f>
        <v/>
      </c>
      <c r="T3191" s="25" t="str">
        <f aca="false">IF(S3191="","",IF(S3191&lt;=Setup!$B$5,"🏆 WINNER",""))</f>
        <v/>
      </c>
      <c r="U3191" s="24" t="str">
        <f aca="false">IF(S3191="","",I3191&amp;"|"&amp;S3191)</f>
        <v/>
      </c>
    </row>
    <row r="3192" customFormat="false" ht="15" hidden="false" customHeight="false" outlineLevel="0" collapsed="false">
      <c r="A3192" s="31" t="n">
        <v>3188</v>
      </c>
      <c r="B3192" s="32" t="str">
        <f aca="false">IF(OR(C3192="",I3192="",G3192=""),"",IFERROR(VLOOKUP(I3192,Setup!$A$9:$B$11,2,0),"???")&amp;"-"&amp;G3192&amp;"-"&amp;TEXT(COUNTIFS(I$5:I3192,I3192,G$5:G3192,G3192),"0000"))</f>
        <v/>
      </c>
      <c r="C3192" s="26"/>
      <c r="D3192" s="26"/>
      <c r="E3192" s="27"/>
      <c r="F3192" s="27"/>
      <c r="G3192" s="31" t="str">
        <f aca="false">IF(F3192="","",IF(F3192&lt;=5,"A",IF(F3192&lt;=8,"B",IF(F3192&lt;=10,"C","D"))))</f>
        <v/>
      </c>
      <c r="H3192" s="28"/>
      <c r="I3192" s="27"/>
      <c r="J3192" s="26"/>
      <c r="K3192" s="27"/>
      <c r="L3192" s="27"/>
      <c r="M3192" s="27"/>
      <c r="N3192" s="27"/>
      <c r="O3192" s="31" t="str">
        <f aca="false">IF(G3192="","",VLOOKUP(G3192,Setup!$A$14:$C$17,3,0))</f>
        <v/>
      </c>
      <c r="P3192" s="27"/>
      <c r="Q3192" s="33" t="str">
        <f aca="false">IF(OR(P3192="",M3192&lt;&gt;"Paid",O3192=""),"",P3192/O3192)</f>
        <v/>
      </c>
      <c r="R3192" s="34" t="str">
        <f aca="false">IF(Q3192="","",Q3192+N(H3192)*0.000000001)</f>
        <v/>
      </c>
      <c r="S3192" s="32" t="str">
        <f aca="false">IF(R3192="","",SUMPRODUCT((I$5:I$4004=I3192)*ISNUMBER(R$5:R$4004)*(R$5:R$4004&gt;R3192))+1)</f>
        <v/>
      </c>
      <c r="T3192" s="32" t="str">
        <f aca="false">IF(S3192="","",IF(S3192&lt;=Setup!$B$5,"🏆 WINNER",""))</f>
        <v/>
      </c>
      <c r="U3192" s="31" t="str">
        <f aca="false">IF(S3192="","",I3192&amp;"|"&amp;S3192)</f>
        <v/>
      </c>
    </row>
    <row r="3193" customFormat="false" ht="15" hidden="false" customHeight="false" outlineLevel="0" collapsed="false">
      <c r="A3193" s="24" t="n">
        <v>3189</v>
      </c>
      <c r="B3193" s="25" t="str">
        <f aca="false">IF(OR(C3193="",I3193="",G3193=""),"",IFERROR(VLOOKUP(I3193,Setup!$A$9:$B$11,2,0),"???")&amp;"-"&amp;G3193&amp;"-"&amp;TEXT(COUNTIFS(I$5:I3193,I3193,G$5:G3193,G3193),"0000"))</f>
        <v/>
      </c>
      <c r="C3193" s="26"/>
      <c r="D3193" s="26"/>
      <c r="E3193" s="27"/>
      <c r="F3193" s="27"/>
      <c r="G3193" s="24" t="str">
        <f aca="false">IF(F3193="","",IF(F3193&lt;=5,"A",IF(F3193&lt;=8,"B",IF(F3193&lt;=10,"C","D"))))</f>
        <v/>
      </c>
      <c r="H3193" s="28"/>
      <c r="I3193" s="27"/>
      <c r="J3193" s="26"/>
      <c r="K3193" s="27"/>
      <c r="L3193" s="27"/>
      <c r="M3193" s="27"/>
      <c r="N3193" s="27"/>
      <c r="O3193" s="24" t="str">
        <f aca="false">IF(G3193="","",VLOOKUP(G3193,Setup!$A$14:$C$17,3,0))</f>
        <v/>
      </c>
      <c r="P3193" s="27"/>
      <c r="Q3193" s="29" t="str">
        <f aca="false">IF(OR(P3193="",M3193&lt;&gt;"Paid",O3193=""),"",P3193/O3193)</f>
        <v/>
      </c>
      <c r="R3193" s="30" t="str">
        <f aca="false">IF(Q3193="","",Q3193+N(H3193)*0.000000001)</f>
        <v/>
      </c>
      <c r="S3193" s="25" t="str">
        <f aca="false">IF(R3193="","",SUMPRODUCT((I$5:I$4004=I3193)*ISNUMBER(R$5:R$4004)*(R$5:R$4004&gt;R3193))+1)</f>
        <v/>
      </c>
      <c r="T3193" s="25" t="str">
        <f aca="false">IF(S3193="","",IF(S3193&lt;=Setup!$B$5,"🏆 WINNER",""))</f>
        <v/>
      </c>
      <c r="U3193" s="24" t="str">
        <f aca="false">IF(S3193="","",I3193&amp;"|"&amp;S3193)</f>
        <v/>
      </c>
    </row>
    <row r="3194" customFormat="false" ht="15" hidden="false" customHeight="false" outlineLevel="0" collapsed="false">
      <c r="A3194" s="31" t="n">
        <v>3190</v>
      </c>
      <c r="B3194" s="32" t="str">
        <f aca="false">IF(OR(C3194="",I3194="",G3194=""),"",IFERROR(VLOOKUP(I3194,Setup!$A$9:$B$11,2,0),"???")&amp;"-"&amp;G3194&amp;"-"&amp;TEXT(COUNTIFS(I$5:I3194,I3194,G$5:G3194,G3194),"0000"))</f>
        <v/>
      </c>
      <c r="C3194" s="26"/>
      <c r="D3194" s="26"/>
      <c r="E3194" s="27"/>
      <c r="F3194" s="27"/>
      <c r="G3194" s="31" t="str">
        <f aca="false">IF(F3194="","",IF(F3194&lt;=5,"A",IF(F3194&lt;=8,"B",IF(F3194&lt;=10,"C","D"))))</f>
        <v/>
      </c>
      <c r="H3194" s="28"/>
      <c r="I3194" s="27"/>
      <c r="J3194" s="26"/>
      <c r="K3194" s="27"/>
      <c r="L3194" s="27"/>
      <c r="M3194" s="27"/>
      <c r="N3194" s="27"/>
      <c r="O3194" s="31" t="str">
        <f aca="false">IF(G3194="","",VLOOKUP(G3194,Setup!$A$14:$C$17,3,0))</f>
        <v/>
      </c>
      <c r="P3194" s="27"/>
      <c r="Q3194" s="33" t="str">
        <f aca="false">IF(OR(P3194="",M3194&lt;&gt;"Paid",O3194=""),"",P3194/O3194)</f>
        <v/>
      </c>
      <c r="R3194" s="34" t="str">
        <f aca="false">IF(Q3194="","",Q3194+N(H3194)*0.000000001)</f>
        <v/>
      </c>
      <c r="S3194" s="32" t="str">
        <f aca="false">IF(R3194="","",SUMPRODUCT((I$5:I$4004=I3194)*ISNUMBER(R$5:R$4004)*(R$5:R$4004&gt;R3194))+1)</f>
        <v/>
      </c>
      <c r="T3194" s="32" t="str">
        <f aca="false">IF(S3194="","",IF(S3194&lt;=Setup!$B$5,"🏆 WINNER",""))</f>
        <v/>
      </c>
      <c r="U3194" s="31" t="str">
        <f aca="false">IF(S3194="","",I3194&amp;"|"&amp;S3194)</f>
        <v/>
      </c>
    </row>
    <row r="3195" customFormat="false" ht="15" hidden="false" customHeight="false" outlineLevel="0" collapsed="false">
      <c r="A3195" s="24" t="n">
        <v>3191</v>
      </c>
      <c r="B3195" s="25" t="str">
        <f aca="false">IF(OR(C3195="",I3195="",G3195=""),"",IFERROR(VLOOKUP(I3195,Setup!$A$9:$B$11,2,0),"???")&amp;"-"&amp;G3195&amp;"-"&amp;TEXT(COUNTIFS(I$5:I3195,I3195,G$5:G3195,G3195),"0000"))</f>
        <v/>
      </c>
      <c r="C3195" s="26"/>
      <c r="D3195" s="26"/>
      <c r="E3195" s="27"/>
      <c r="F3195" s="27"/>
      <c r="G3195" s="24" t="str">
        <f aca="false">IF(F3195="","",IF(F3195&lt;=5,"A",IF(F3195&lt;=8,"B",IF(F3195&lt;=10,"C","D"))))</f>
        <v/>
      </c>
      <c r="H3195" s="28"/>
      <c r="I3195" s="27"/>
      <c r="J3195" s="26"/>
      <c r="K3195" s="27"/>
      <c r="L3195" s="27"/>
      <c r="M3195" s="27"/>
      <c r="N3195" s="27"/>
      <c r="O3195" s="24" t="str">
        <f aca="false">IF(G3195="","",VLOOKUP(G3195,Setup!$A$14:$C$17,3,0))</f>
        <v/>
      </c>
      <c r="P3195" s="27"/>
      <c r="Q3195" s="29" t="str">
        <f aca="false">IF(OR(P3195="",M3195&lt;&gt;"Paid",O3195=""),"",P3195/O3195)</f>
        <v/>
      </c>
      <c r="R3195" s="30" t="str">
        <f aca="false">IF(Q3195="","",Q3195+N(H3195)*0.000000001)</f>
        <v/>
      </c>
      <c r="S3195" s="25" t="str">
        <f aca="false">IF(R3195="","",SUMPRODUCT((I$5:I$4004=I3195)*ISNUMBER(R$5:R$4004)*(R$5:R$4004&gt;R3195))+1)</f>
        <v/>
      </c>
      <c r="T3195" s="25" t="str">
        <f aca="false">IF(S3195="","",IF(S3195&lt;=Setup!$B$5,"🏆 WINNER",""))</f>
        <v/>
      </c>
      <c r="U3195" s="24" t="str">
        <f aca="false">IF(S3195="","",I3195&amp;"|"&amp;S3195)</f>
        <v/>
      </c>
    </row>
    <row r="3196" customFormat="false" ht="15" hidden="false" customHeight="false" outlineLevel="0" collapsed="false">
      <c r="A3196" s="31" t="n">
        <v>3192</v>
      </c>
      <c r="B3196" s="32" t="str">
        <f aca="false">IF(OR(C3196="",I3196="",G3196=""),"",IFERROR(VLOOKUP(I3196,Setup!$A$9:$B$11,2,0),"???")&amp;"-"&amp;G3196&amp;"-"&amp;TEXT(COUNTIFS(I$5:I3196,I3196,G$5:G3196,G3196),"0000"))</f>
        <v/>
      </c>
      <c r="C3196" s="26"/>
      <c r="D3196" s="26"/>
      <c r="E3196" s="27"/>
      <c r="F3196" s="27"/>
      <c r="G3196" s="31" t="str">
        <f aca="false">IF(F3196="","",IF(F3196&lt;=5,"A",IF(F3196&lt;=8,"B",IF(F3196&lt;=10,"C","D"))))</f>
        <v/>
      </c>
      <c r="H3196" s="28"/>
      <c r="I3196" s="27"/>
      <c r="J3196" s="26"/>
      <c r="K3196" s="27"/>
      <c r="L3196" s="27"/>
      <c r="M3196" s="27"/>
      <c r="N3196" s="27"/>
      <c r="O3196" s="31" t="str">
        <f aca="false">IF(G3196="","",VLOOKUP(G3196,Setup!$A$14:$C$17,3,0))</f>
        <v/>
      </c>
      <c r="P3196" s="27"/>
      <c r="Q3196" s="33" t="str">
        <f aca="false">IF(OR(P3196="",M3196&lt;&gt;"Paid",O3196=""),"",P3196/O3196)</f>
        <v/>
      </c>
      <c r="R3196" s="34" t="str">
        <f aca="false">IF(Q3196="","",Q3196+N(H3196)*0.000000001)</f>
        <v/>
      </c>
      <c r="S3196" s="32" t="str">
        <f aca="false">IF(R3196="","",SUMPRODUCT((I$5:I$4004=I3196)*ISNUMBER(R$5:R$4004)*(R$5:R$4004&gt;R3196))+1)</f>
        <v/>
      </c>
      <c r="T3196" s="32" t="str">
        <f aca="false">IF(S3196="","",IF(S3196&lt;=Setup!$B$5,"🏆 WINNER",""))</f>
        <v/>
      </c>
      <c r="U3196" s="31" t="str">
        <f aca="false">IF(S3196="","",I3196&amp;"|"&amp;S3196)</f>
        <v/>
      </c>
    </row>
    <row r="3197" customFormat="false" ht="15" hidden="false" customHeight="false" outlineLevel="0" collapsed="false">
      <c r="A3197" s="24" t="n">
        <v>3193</v>
      </c>
      <c r="B3197" s="25" t="str">
        <f aca="false">IF(OR(C3197="",I3197="",G3197=""),"",IFERROR(VLOOKUP(I3197,Setup!$A$9:$B$11,2,0),"???")&amp;"-"&amp;G3197&amp;"-"&amp;TEXT(COUNTIFS(I$5:I3197,I3197,G$5:G3197,G3197),"0000"))</f>
        <v/>
      </c>
      <c r="C3197" s="26"/>
      <c r="D3197" s="26"/>
      <c r="E3197" s="27"/>
      <c r="F3197" s="27"/>
      <c r="G3197" s="24" t="str">
        <f aca="false">IF(F3197="","",IF(F3197&lt;=5,"A",IF(F3197&lt;=8,"B",IF(F3197&lt;=10,"C","D"))))</f>
        <v/>
      </c>
      <c r="H3197" s="28"/>
      <c r="I3197" s="27"/>
      <c r="J3197" s="26"/>
      <c r="K3197" s="27"/>
      <c r="L3197" s="27"/>
      <c r="M3197" s="27"/>
      <c r="N3197" s="27"/>
      <c r="O3197" s="24" t="str">
        <f aca="false">IF(G3197="","",VLOOKUP(G3197,Setup!$A$14:$C$17,3,0))</f>
        <v/>
      </c>
      <c r="P3197" s="27"/>
      <c r="Q3197" s="29" t="str">
        <f aca="false">IF(OR(P3197="",M3197&lt;&gt;"Paid",O3197=""),"",P3197/O3197)</f>
        <v/>
      </c>
      <c r="R3197" s="30" t="str">
        <f aca="false">IF(Q3197="","",Q3197+N(H3197)*0.000000001)</f>
        <v/>
      </c>
      <c r="S3197" s="25" t="str">
        <f aca="false">IF(R3197="","",SUMPRODUCT((I$5:I$4004=I3197)*ISNUMBER(R$5:R$4004)*(R$5:R$4004&gt;R3197))+1)</f>
        <v/>
      </c>
      <c r="T3197" s="25" t="str">
        <f aca="false">IF(S3197="","",IF(S3197&lt;=Setup!$B$5,"🏆 WINNER",""))</f>
        <v/>
      </c>
      <c r="U3197" s="24" t="str">
        <f aca="false">IF(S3197="","",I3197&amp;"|"&amp;S3197)</f>
        <v/>
      </c>
    </row>
    <row r="3198" customFormat="false" ht="15" hidden="false" customHeight="false" outlineLevel="0" collapsed="false">
      <c r="A3198" s="31" t="n">
        <v>3194</v>
      </c>
      <c r="B3198" s="32" t="str">
        <f aca="false">IF(OR(C3198="",I3198="",G3198=""),"",IFERROR(VLOOKUP(I3198,Setup!$A$9:$B$11,2,0),"???")&amp;"-"&amp;G3198&amp;"-"&amp;TEXT(COUNTIFS(I$5:I3198,I3198,G$5:G3198,G3198),"0000"))</f>
        <v/>
      </c>
      <c r="C3198" s="26"/>
      <c r="D3198" s="26"/>
      <c r="E3198" s="27"/>
      <c r="F3198" s="27"/>
      <c r="G3198" s="31" t="str">
        <f aca="false">IF(F3198="","",IF(F3198&lt;=5,"A",IF(F3198&lt;=8,"B",IF(F3198&lt;=10,"C","D"))))</f>
        <v/>
      </c>
      <c r="H3198" s="28"/>
      <c r="I3198" s="27"/>
      <c r="J3198" s="26"/>
      <c r="K3198" s="27"/>
      <c r="L3198" s="27"/>
      <c r="M3198" s="27"/>
      <c r="N3198" s="27"/>
      <c r="O3198" s="31" t="str">
        <f aca="false">IF(G3198="","",VLOOKUP(G3198,Setup!$A$14:$C$17,3,0))</f>
        <v/>
      </c>
      <c r="P3198" s="27"/>
      <c r="Q3198" s="33" t="str">
        <f aca="false">IF(OR(P3198="",M3198&lt;&gt;"Paid",O3198=""),"",P3198/O3198)</f>
        <v/>
      </c>
      <c r="R3198" s="34" t="str">
        <f aca="false">IF(Q3198="","",Q3198+N(H3198)*0.000000001)</f>
        <v/>
      </c>
      <c r="S3198" s="32" t="str">
        <f aca="false">IF(R3198="","",SUMPRODUCT((I$5:I$4004=I3198)*ISNUMBER(R$5:R$4004)*(R$5:R$4004&gt;R3198))+1)</f>
        <v/>
      </c>
      <c r="T3198" s="32" t="str">
        <f aca="false">IF(S3198="","",IF(S3198&lt;=Setup!$B$5,"🏆 WINNER",""))</f>
        <v/>
      </c>
      <c r="U3198" s="31" t="str">
        <f aca="false">IF(S3198="","",I3198&amp;"|"&amp;S3198)</f>
        <v/>
      </c>
    </row>
    <row r="3199" customFormat="false" ht="15" hidden="false" customHeight="false" outlineLevel="0" collapsed="false">
      <c r="A3199" s="24" t="n">
        <v>3195</v>
      </c>
      <c r="B3199" s="25" t="str">
        <f aca="false">IF(OR(C3199="",I3199="",G3199=""),"",IFERROR(VLOOKUP(I3199,Setup!$A$9:$B$11,2,0),"???")&amp;"-"&amp;G3199&amp;"-"&amp;TEXT(COUNTIFS(I$5:I3199,I3199,G$5:G3199,G3199),"0000"))</f>
        <v/>
      </c>
      <c r="C3199" s="26"/>
      <c r="D3199" s="26"/>
      <c r="E3199" s="27"/>
      <c r="F3199" s="27"/>
      <c r="G3199" s="24" t="str">
        <f aca="false">IF(F3199="","",IF(F3199&lt;=5,"A",IF(F3199&lt;=8,"B",IF(F3199&lt;=10,"C","D"))))</f>
        <v/>
      </c>
      <c r="H3199" s="28"/>
      <c r="I3199" s="27"/>
      <c r="J3199" s="26"/>
      <c r="K3199" s="27"/>
      <c r="L3199" s="27"/>
      <c r="M3199" s="27"/>
      <c r="N3199" s="27"/>
      <c r="O3199" s="24" t="str">
        <f aca="false">IF(G3199="","",VLOOKUP(G3199,Setup!$A$14:$C$17,3,0))</f>
        <v/>
      </c>
      <c r="P3199" s="27"/>
      <c r="Q3199" s="29" t="str">
        <f aca="false">IF(OR(P3199="",M3199&lt;&gt;"Paid",O3199=""),"",P3199/O3199)</f>
        <v/>
      </c>
      <c r="R3199" s="30" t="str">
        <f aca="false">IF(Q3199="","",Q3199+N(H3199)*0.000000001)</f>
        <v/>
      </c>
      <c r="S3199" s="25" t="str">
        <f aca="false">IF(R3199="","",SUMPRODUCT((I$5:I$4004=I3199)*ISNUMBER(R$5:R$4004)*(R$5:R$4004&gt;R3199))+1)</f>
        <v/>
      </c>
      <c r="T3199" s="25" t="str">
        <f aca="false">IF(S3199="","",IF(S3199&lt;=Setup!$B$5,"🏆 WINNER",""))</f>
        <v/>
      </c>
      <c r="U3199" s="24" t="str">
        <f aca="false">IF(S3199="","",I3199&amp;"|"&amp;S3199)</f>
        <v/>
      </c>
    </row>
    <row r="3200" customFormat="false" ht="15" hidden="false" customHeight="false" outlineLevel="0" collapsed="false">
      <c r="A3200" s="31" t="n">
        <v>3196</v>
      </c>
      <c r="B3200" s="32" t="str">
        <f aca="false">IF(OR(C3200="",I3200="",G3200=""),"",IFERROR(VLOOKUP(I3200,Setup!$A$9:$B$11,2,0),"???")&amp;"-"&amp;G3200&amp;"-"&amp;TEXT(COUNTIFS(I$5:I3200,I3200,G$5:G3200,G3200),"0000"))</f>
        <v/>
      </c>
      <c r="C3200" s="26"/>
      <c r="D3200" s="26"/>
      <c r="E3200" s="27"/>
      <c r="F3200" s="27"/>
      <c r="G3200" s="31" t="str">
        <f aca="false">IF(F3200="","",IF(F3200&lt;=5,"A",IF(F3200&lt;=8,"B",IF(F3200&lt;=10,"C","D"))))</f>
        <v/>
      </c>
      <c r="H3200" s="28"/>
      <c r="I3200" s="27"/>
      <c r="J3200" s="26"/>
      <c r="K3200" s="27"/>
      <c r="L3200" s="27"/>
      <c r="M3200" s="27"/>
      <c r="N3200" s="27"/>
      <c r="O3200" s="31" t="str">
        <f aca="false">IF(G3200="","",VLOOKUP(G3200,Setup!$A$14:$C$17,3,0))</f>
        <v/>
      </c>
      <c r="P3200" s="27"/>
      <c r="Q3200" s="33" t="str">
        <f aca="false">IF(OR(P3200="",M3200&lt;&gt;"Paid",O3200=""),"",P3200/O3200)</f>
        <v/>
      </c>
      <c r="R3200" s="34" t="str">
        <f aca="false">IF(Q3200="","",Q3200+N(H3200)*0.000000001)</f>
        <v/>
      </c>
      <c r="S3200" s="32" t="str">
        <f aca="false">IF(R3200="","",SUMPRODUCT((I$5:I$4004=I3200)*ISNUMBER(R$5:R$4004)*(R$5:R$4004&gt;R3200))+1)</f>
        <v/>
      </c>
      <c r="T3200" s="32" t="str">
        <f aca="false">IF(S3200="","",IF(S3200&lt;=Setup!$B$5,"🏆 WINNER",""))</f>
        <v/>
      </c>
      <c r="U3200" s="31" t="str">
        <f aca="false">IF(S3200="","",I3200&amp;"|"&amp;S3200)</f>
        <v/>
      </c>
    </row>
    <row r="3201" customFormat="false" ht="15" hidden="false" customHeight="false" outlineLevel="0" collapsed="false">
      <c r="A3201" s="24" t="n">
        <v>3197</v>
      </c>
      <c r="B3201" s="25" t="str">
        <f aca="false">IF(OR(C3201="",I3201="",G3201=""),"",IFERROR(VLOOKUP(I3201,Setup!$A$9:$B$11,2,0),"???")&amp;"-"&amp;G3201&amp;"-"&amp;TEXT(COUNTIFS(I$5:I3201,I3201,G$5:G3201,G3201),"0000"))</f>
        <v/>
      </c>
      <c r="C3201" s="26"/>
      <c r="D3201" s="26"/>
      <c r="E3201" s="27"/>
      <c r="F3201" s="27"/>
      <c r="G3201" s="24" t="str">
        <f aca="false">IF(F3201="","",IF(F3201&lt;=5,"A",IF(F3201&lt;=8,"B",IF(F3201&lt;=10,"C","D"))))</f>
        <v/>
      </c>
      <c r="H3201" s="28"/>
      <c r="I3201" s="27"/>
      <c r="J3201" s="26"/>
      <c r="K3201" s="27"/>
      <c r="L3201" s="27"/>
      <c r="M3201" s="27"/>
      <c r="N3201" s="27"/>
      <c r="O3201" s="24" t="str">
        <f aca="false">IF(G3201="","",VLOOKUP(G3201,Setup!$A$14:$C$17,3,0))</f>
        <v/>
      </c>
      <c r="P3201" s="27"/>
      <c r="Q3201" s="29" t="str">
        <f aca="false">IF(OR(P3201="",M3201&lt;&gt;"Paid",O3201=""),"",P3201/O3201)</f>
        <v/>
      </c>
      <c r="R3201" s="30" t="str">
        <f aca="false">IF(Q3201="","",Q3201+N(H3201)*0.000000001)</f>
        <v/>
      </c>
      <c r="S3201" s="25" t="str">
        <f aca="false">IF(R3201="","",SUMPRODUCT((I$5:I$4004=I3201)*ISNUMBER(R$5:R$4004)*(R$5:R$4004&gt;R3201))+1)</f>
        <v/>
      </c>
      <c r="T3201" s="25" t="str">
        <f aca="false">IF(S3201="","",IF(S3201&lt;=Setup!$B$5,"🏆 WINNER",""))</f>
        <v/>
      </c>
      <c r="U3201" s="24" t="str">
        <f aca="false">IF(S3201="","",I3201&amp;"|"&amp;S3201)</f>
        <v/>
      </c>
    </row>
    <row r="3202" customFormat="false" ht="15" hidden="false" customHeight="false" outlineLevel="0" collapsed="false">
      <c r="A3202" s="31" t="n">
        <v>3198</v>
      </c>
      <c r="B3202" s="32" t="str">
        <f aca="false">IF(OR(C3202="",I3202="",G3202=""),"",IFERROR(VLOOKUP(I3202,Setup!$A$9:$B$11,2,0),"???")&amp;"-"&amp;G3202&amp;"-"&amp;TEXT(COUNTIFS(I$5:I3202,I3202,G$5:G3202,G3202),"0000"))</f>
        <v/>
      </c>
      <c r="C3202" s="26"/>
      <c r="D3202" s="26"/>
      <c r="E3202" s="27"/>
      <c r="F3202" s="27"/>
      <c r="G3202" s="31" t="str">
        <f aca="false">IF(F3202="","",IF(F3202&lt;=5,"A",IF(F3202&lt;=8,"B",IF(F3202&lt;=10,"C","D"))))</f>
        <v/>
      </c>
      <c r="H3202" s="28"/>
      <c r="I3202" s="27"/>
      <c r="J3202" s="26"/>
      <c r="K3202" s="27"/>
      <c r="L3202" s="27"/>
      <c r="M3202" s="27"/>
      <c r="N3202" s="27"/>
      <c r="O3202" s="31" t="str">
        <f aca="false">IF(G3202="","",VLOOKUP(G3202,Setup!$A$14:$C$17,3,0))</f>
        <v/>
      </c>
      <c r="P3202" s="27"/>
      <c r="Q3202" s="33" t="str">
        <f aca="false">IF(OR(P3202="",M3202&lt;&gt;"Paid",O3202=""),"",P3202/O3202)</f>
        <v/>
      </c>
      <c r="R3202" s="34" t="str">
        <f aca="false">IF(Q3202="","",Q3202+N(H3202)*0.000000001)</f>
        <v/>
      </c>
      <c r="S3202" s="32" t="str">
        <f aca="false">IF(R3202="","",SUMPRODUCT((I$5:I$4004=I3202)*ISNUMBER(R$5:R$4004)*(R$5:R$4004&gt;R3202))+1)</f>
        <v/>
      </c>
      <c r="T3202" s="32" t="str">
        <f aca="false">IF(S3202="","",IF(S3202&lt;=Setup!$B$5,"🏆 WINNER",""))</f>
        <v/>
      </c>
      <c r="U3202" s="31" t="str">
        <f aca="false">IF(S3202="","",I3202&amp;"|"&amp;S3202)</f>
        <v/>
      </c>
    </row>
    <row r="3203" customFormat="false" ht="15" hidden="false" customHeight="false" outlineLevel="0" collapsed="false">
      <c r="A3203" s="24" t="n">
        <v>3199</v>
      </c>
      <c r="B3203" s="25" t="str">
        <f aca="false">IF(OR(C3203="",I3203="",G3203=""),"",IFERROR(VLOOKUP(I3203,Setup!$A$9:$B$11,2,0),"???")&amp;"-"&amp;G3203&amp;"-"&amp;TEXT(COUNTIFS(I$5:I3203,I3203,G$5:G3203,G3203),"0000"))</f>
        <v/>
      </c>
      <c r="C3203" s="26"/>
      <c r="D3203" s="26"/>
      <c r="E3203" s="27"/>
      <c r="F3203" s="27"/>
      <c r="G3203" s="24" t="str">
        <f aca="false">IF(F3203="","",IF(F3203&lt;=5,"A",IF(F3203&lt;=8,"B",IF(F3203&lt;=10,"C","D"))))</f>
        <v/>
      </c>
      <c r="H3203" s="28"/>
      <c r="I3203" s="27"/>
      <c r="J3203" s="26"/>
      <c r="K3203" s="27"/>
      <c r="L3203" s="27"/>
      <c r="M3203" s="27"/>
      <c r="N3203" s="27"/>
      <c r="O3203" s="24" t="str">
        <f aca="false">IF(G3203="","",VLOOKUP(G3203,Setup!$A$14:$C$17,3,0))</f>
        <v/>
      </c>
      <c r="P3203" s="27"/>
      <c r="Q3203" s="29" t="str">
        <f aca="false">IF(OR(P3203="",M3203&lt;&gt;"Paid",O3203=""),"",P3203/O3203)</f>
        <v/>
      </c>
      <c r="R3203" s="30" t="str">
        <f aca="false">IF(Q3203="","",Q3203+N(H3203)*0.000000001)</f>
        <v/>
      </c>
      <c r="S3203" s="25" t="str">
        <f aca="false">IF(R3203="","",SUMPRODUCT((I$5:I$4004=I3203)*ISNUMBER(R$5:R$4004)*(R$5:R$4004&gt;R3203))+1)</f>
        <v/>
      </c>
      <c r="T3203" s="25" t="str">
        <f aca="false">IF(S3203="","",IF(S3203&lt;=Setup!$B$5,"🏆 WINNER",""))</f>
        <v/>
      </c>
      <c r="U3203" s="24" t="str">
        <f aca="false">IF(S3203="","",I3203&amp;"|"&amp;S3203)</f>
        <v/>
      </c>
    </row>
    <row r="3204" customFormat="false" ht="15" hidden="false" customHeight="false" outlineLevel="0" collapsed="false">
      <c r="A3204" s="31" t="n">
        <v>3200</v>
      </c>
      <c r="B3204" s="32" t="str">
        <f aca="false">IF(OR(C3204="",I3204="",G3204=""),"",IFERROR(VLOOKUP(I3204,Setup!$A$9:$B$11,2,0),"???")&amp;"-"&amp;G3204&amp;"-"&amp;TEXT(COUNTIFS(I$5:I3204,I3204,G$5:G3204,G3204),"0000"))</f>
        <v/>
      </c>
      <c r="C3204" s="26"/>
      <c r="D3204" s="26"/>
      <c r="E3204" s="27"/>
      <c r="F3204" s="27"/>
      <c r="G3204" s="31" t="str">
        <f aca="false">IF(F3204="","",IF(F3204&lt;=5,"A",IF(F3204&lt;=8,"B",IF(F3204&lt;=10,"C","D"))))</f>
        <v/>
      </c>
      <c r="H3204" s="28"/>
      <c r="I3204" s="27"/>
      <c r="J3204" s="26"/>
      <c r="K3204" s="27"/>
      <c r="L3204" s="27"/>
      <c r="M3204" s="27"/>
      <c r="N3204" s="27"/>
      <c r="O3204" s="31" t="str">
        <f aca="false">IF(G3204="","",VLOOKUP(G3204,Setup!$A$14:$C$17,3,0))</f>
        <v/>
      </c>
      <c r="P3204" s="27"/>
      <c r="Q3204" s="33" t="str">
        <f aca="false">IF(OR(P3204="",M3204&lt;&gt;"Paid",O3204=""),"",P3204/O3204)</f>
        <v/>
      </c>
      <c r="R3204" s="34" t="str">
        <f aca="false">IF(Q3204="","",Q3204+N(H3204)*0.000000001)</f>
        <v/>
      </c>
      <c r="S3204" s="32" t="str">
        <f aca="false">IF(R3204="","",SUMPRODUCT((I$5:I$4004=I3204)*ISNUMBER(R$5:R$4004)*(R$5:R$4004&gt;R3204))+1)</f>
        <v/>
      </c>
      <c r="T3204" s="32" t="str">
        <f aca="false">IF(S3204="","",IF(S3204&lt;=Setup!$B$5,"🏆 WINNER",""))</f>
        <v/>
      </c>
      <c r="U3204" s="31" t="str">
        <f aca="false">IF(S3204="","",I3204&amp;"|"&amp;S3204)</f>
        <v/>
      </c>
    </row>
    <row r="3205" customFormat="false" ht="15" hidden="false" customHeight="false" outlineLevel="0" collapsed="false">
      <c r="A3205" s="24" t="n">
        <v>3201</v>
      </c>
      <c r="B3205" s="25" t="str">
        <f aca="false">IF(OR(C3205="",I3205="",G3205=""),"",IFERROR(VLOOKUP(I3205,Setup!$A$9:$B$11,2,0),"???")&amp;"-"&amp;G3205&amp;"-"&amp;TEXT(COUNTIFS(I$5:I3205,I3205,G$5:G3205,G3205),"0000"))</f>
        <v/>
      </c>
      <c r="C3205" s="26"/>
      <c r="D3205" s="26"/>
      <c r="E3205" s="27"/>
      <c r="F3205" s="27"/>
      <c r="G3205" s="24" t="str">
        <f aca="false">IF(F3205="","",IF(F3205&lt;=5,"A",IF(F3205&lt;=8,"B",IF(F3205&lt;=10,"C","D"))))</f>
        <v/>
      </c>
      <c r="H3205" s="28"/>
      <c r="I3205" s="27"/>
      <c r="J3205" s="26"/>
      <c r="K3205" s="27"/>
      <c r="L3205" s="27"/>
      <c r="M3205" s="27"/>
      <c r="N3205" s="27"/>
      <c r="O3205" s="24" t="str">
        <f aca="false">IF(G3205="","",VLOOKUP(G3205,Setup!$A$14:$C$17,3,0))</f>
        <v/>
      </c>
      <c r="P3205" s="27"/>
      <c r="Q3205" s="29" t="str">
        <f aca="false">IF(OR(P3205="",M3205&lt;&gt;"Paid",O3205=""),"",P3205/O3205)</f>
        <v/>
      </c>
      <c r="R3205" s="30" t="str">
        <f aca="false">IF(Q3205="","",Q3205+N(H3205)*0.000000001)</f>
        <v/>
      </c>
      <c r="S3205" s="25" t="str">
        <f aca="false">IF(R3205="","",SUMPRODUCT((I$5:I$4004=I3205)*ISNUMBER(R$5:R$4004)*(R$5:R$4004&gt;R3205))+1)</f>
        <v/>
      </c>
      <c r="T3205" s="25" t="str">
        <f aca="false">IF(S3205="","",IF(S3205&lt;=Setup!$B$5,"🏆 WINNER",""))</f>
        <v/>
      </c>
      <c r="U3205" s="24" t="str">
        <f aca="false">IF(S3205="","",I3205&amp;"|"&amp;S3205)</f>
        <v/>
      </c>
    </row>
    <row r="3206" customFormat="false" ht="15" hidden="false" customHeight="false" outlineLevel="0" collapsed="false">
      <c r="A3206" s="31" t="n">
        <v>3202</v>
      </c>
      <c r="B3206" s="32" t="str">
        <f aca="false">IF(OR(C3206="",I3206="",G3206=""),"",IFERROR(VLOOKUP(I3206,Setup!$A$9:$B$11,2,0),"???")&amp;"-"&amp;G3206&amp;"-"&amp;TEXT(COUNTIFS(I$5:I3206,I3206,G$5:G3206,G3206),"0000"))</f>
        <v/>
      </c>
      <c r="C3206" s="26"/>
      <c r="D3206" s="26"/>
      <c r="E3206" s="27"/>
      <c r="F3206" s="27"/>
      <c r="G3206" s="31" t="str">
        <f aca="false">IF(F3206="","",IF(F3206&lt;=5,"A",IF(F3206&lt;=8,"B",IF(F3206&lt;=10,"C","D"))))</f>
        <v/>
      </c>
      <c r="H3206" s="28"/>
      <c r="I3206" s="27"/>
      <c r="J3206" s="26"/>
      <c r="K3206" s="27"/>
      <c r="L3206" s="27"/>
      <c r="M3206" s="27"/>
      <c r="N3206" s="27"/>
      <c r="O3206" s="31" t="str">
        <f aca="false">IF(G3206="","",VLOOKUP(G3206,Setup!$A$14:$C$17,3,0))</f>
        <v/>
      </c>
      <c r="P3206" s="27"/>
      <c r="Q3206" s="33" t="str">
        <f aca="false">IF(OR(P3206="",M3206&lt;&gt;"Paid",O3206=""),"",P3206/O3206)</f>
        <v/>
      </c>
      <c r="R3206" s="34" t="str">
        <f aca="false">IF(Q3206="","",Q3206+N(H3206)*0.000000001)</f>
        <v/>
      </c>
      <c r="S3206" s="32" t="str">
        <f aca="false">IF(R3206="","",SUMPRODUCT((I$5:I$4004=I3206)*ISNUMBER(R$5:R$4004)*(R$5:R$4004&gt;R3206))+1)</f>
        <v/>
      </c>
      <c r="T3206" s="32" t="str">
        <f aca="false">IF(S3206="","",IF(S3206&lt;=Setup!$B$5,"🏆 WINNER",""))</f>
        <v/>
      </c>
      <c r="U3206" s="31" t="str">
        <f aca="false">IF(S3206="","",I3206&amp;"|"&amp;S3206)</f>
        <v/>
      </c>
    </row>
    <row r="3207" customFormat="false" ht="15" hidden="false" customHeight="false" outlineLevel="0" collapsed="false">
      <c r="A3207" s="24" t="n">
        <v>3203</v>
      </c>
      <c r="B3207" s="25" t="str">
        <f aca="false">IF(OR(C3207="",I3207="",G3207=""),"",IFERROR(VLOOKUP(I3207,Setup!$A$9:$B$11,2,0),"???")&amp;"-"&amp;G3207&amp;"-"&amp;TEXT(COUNTIFS(I$5:I3207,I3207,G$5:G3207,G3207),"0000"))</f>
        <v/>
      </c>
      <c r="C3207" s="26"/>
      <c r="D3207" s="26"/>
      <c r="E3207" s="27"/>
      <c r="F3207" s="27"/>
      <c r="G3207" s="24" t="str">
        <f aca="false">IF(F3207="","",IF(F3207&lt;=5,"A",IF(F3207&lt;=8,"B",IF(F3207&lt;=10,"C","D"))))</f>
        <v/>
      </c>
      <c r="H3207" s="28"/>
      <c r="I3207" s="27"/>
      <c r="J3207" s="26"/>
      <c r="K3207" s="27"/>
      <c r="L3207" s="27"/>
      <c r="M3207" s="27"/>
      <c r="N3207" s="27"/>
      <c r="O3207" s="24" t="str">
        <f aca="false">IF(G3207="","",VLOOKUP(G3207,Setup!$A$14:$C$17,3,0))</f>
        <v/>
      </c>
      <c r="P3207" s="27"/>
      <c r="Q3207" s="29" t="str">
        <f aca="false">IF(OR(P3207="",M3207&lt;&gt;"Paid",O3207=""),"",P3207/O3207)</f>
        <v/>
      </c>
      <c r="R3207" s="30" t="str">
        <f aca="false">IF(Q3207="","",Q3207+N(H3207)*0.000000001)</f>
        <v/>
      </c>
      <c r="S3207" s="25" t="str">
        <f aca="false">IF(R3207="","",SUMPRODUCT((I$5:I$4004=I3207)*ISNUMBER(R$5:R$4004)*(R$5:R$4004&gt;R3207))+1)</f>
        <v/>
      </c>
      <c r="T3207" s="25" t="str">
        <f aca="false">IF(S3207="","",IF(S3207&lt;=Setup!$B$5,"🏆 WINNER",""))</f>
        <v/>
      </c>
      <c r="U3207" s="24" t="str">
        <f aca="false">IF(S3207="","",I3207&amp;"|"&amp;S3207)</f>
        <v/>
      </c>
    </row>
    <row r="3208" customFormat="false" ht="15" hidden="false" customHeight="false" outlineLevel="0" collapsed="false">
      <c r="A3208" s="31" t="n">
        <v>3204</v>
      </c>
      <c r="B3208" s="32" t="str">
        <f aca="false">IF(OR(C3208="",I3208="",G3208=""),"",IFERROR(VLOOKUP(I3208,Setup!$A$9:$B$11,2,0),"???")&amp;"-"&amp;G3208&amp;"-"&amp;TEXT(COUNTIFS(I$5:I3208,I3208,G$5:G3208,G3208),"0000"))</f>
        <v/>
      </c>
      <c r="C3208" s="26"/>
      <c r="D3208" s="26"/>
      <c r="E3208" s="27"/>
      <c r="F3208" s="27"/>
      <c r="G3208" s="31" t="str">
        <f aca="false">IF(F3208="","",IF(F3208&lt;=5,"A",IF(F3208&lt;=8,"B",IF(F3208&lt;=10,"C","D"))))</f>
        <v/>
      </c>
      <c r="H3208" s="28"/>
      <c r="I3208" s="27"/>
      <c r="J3208" s="26"/>
      <c r="K3208" s="27"/>
      <c r="L3208" s="27"/>
      <c r="M3208" s="27"/>
      <c r="N3208" s="27"/>
      <c r="O3208" s="31" t="str">
        <f aca="false">IF(G3208="","",VLOOKUP(G3208,Setup!$A$14:$C$17,3,0))</f>
        <v/>
      </c>
      <c r="P3208" s="27"/>
      <c r="Q3208" s="33" t="str">
        <f aca="false">IF(OR(P3208="",M3208&lt;&gt;"Paid",O3208=""),"",P3208/O3208)</f>
        <v/>
      </c>
      <c r="R3208" s="34" t="str">
        <f aca="false">IF(Q3208="","",Q3208+N(H3208)*0.000000001)</f>
        <v/>
      </c>
      <c r="S3208" s="32" t="str">
        <f aca="false">IF(R3208="","",SUMPRODUCT((I$5:I$4004=I3208)*ISNUMBER(R$5:R$4004)*(R$5:R$4004&gt;R3208))+1)</f>
        <v/>
      </c>
      <c r="T3208" s="32" t="str">
        <f aca="false">IF(S3208="","",IF(S3208&lt;=Setup!$B$5,"🏆 WINNER",""))</f>
        <v/>
      </c>
      <c r="U3208" s="31" t="str">
        <f aca="false">IF(S3208="","",I3208&amp;"|"&amp;S3208)</f>
        <v/>
      </c>
    </row>
    <row r="3209" customFormat="false" ht="15" hidden="false" customHeight="false" outlineLevel="0" collapsed="false">
      <c r="A3209" s="24" t="n">
        <v>3205</v>
      </c>
      <c r="B3209" s="25" t="str">
        <f aca="false">IF(OR(C3209="",I3209="",G3209=""),"",IFERROR(VLOOKUP(I3209,Setup!$A$9:$B$11,2,0),"???")&amp;"-"&amp;G3209&amp;"-"&amp;TEXT(COUNTIFS(I$5:I3209,I3209,G$5:G3209,G3209),"0000"))</f>
        <v/>
      </c>
      <c r="C3209" s="26"/>
      <c r="D3209" s="26"/>
      <c r="E3209" s="27"/>
      <c r="F3209" s="27"/>
      <c r="G3209" s="24" t="str">
        <f aca="false">IF(F3209="","",IF(F3209&lt;=5,"A",IF(F3209&lt;=8,"B",IF(F3209&lt;=10,"C","D"))))</f>
        <v/>
      </c>
      <c r="H3209" s="28"/>
      <c r="I3209" s="27"/>
      <c r="J3209" s="26"/>
      <c r="K3209" s="27"/>
      <c r="L3209" s="27"/>
      <c r="M3209" s="27"/>
      <c r="N3209" s="27"/>
      <c r="O3209" s="24" t="str">
        <f aca="false">IF(G3209="","",VLOOKUP(G3209,Setup!$A$14:$C$17,3,0))</f>
        <v/>
      </c>
      <c r="P3209" s="27"/>
      <c r="Q3209" s="29" t="str">
        <f aca="false">IF(OR(P3209="",M3209&lt;&gt;"Paid",O3209=""),"",P3209/O3209)</f>
        <v/>
      </c>
      <c r="R3209" s="30" t="str">
        <f aca="false">IF(Q3209="","",Q3209+N(H3209)*0.000000001)</f>
        <v/>
      </c>
      <c r="S3209" s="25" t="str">
        <f aca="false">IF(R3209="","",SUMPRODUCT((I$5:I$4004=I3209)*ISNUMBER(R$5:R$4004)*(R$5:R$4004&gt;R3209))+1)</f>
        <v/>
      </c>
      <c r="T3209" s="25" t="str">
        <f aca="false">IF(S3209="","",IF(S3209&lt;=Setup!$B$5,"🏆 WINNER",""))</f>
        <v/>
      </c>
      <c r="U3209" s="24" t="str">
        <f aca="false">IF(S3209="","",I3209&amp;"|"&amp;S3209)</f>
        <v/>
      </c>
    </row>
    <row r="3210" customFormat="false" ht="15" hidden="false" customHeight="false" outlineLevel="0" collapsed="false">
      <c r="A3210" s="31" t="n">
        <v>3206</v>
      </c>
      <c r="B3210" s="32" t="str">
        <f aca="false">IF(OR(C3210="",I3210="",G3210=""),"",IFERROR(VLOOKUP(I3210,Setup!$A$9:$B$11,2,0),"???")&amp;"-"&amp;G3210&amp;"-"&amp;TEXT(COUNTIFS(I$5:I3210,I3210,G$5:G3210,G3210),"0000"))</f>
        <v/>
      </c>
      <c r="C3210" s="26"/>
      <c r="D3210" s="26"/>
      <c r="E3210" s="27"/>
      <c r="F3210" s="27"/>
      <c r="G3210" s="31" t="str">
        <f aca="false">IF(F3210="","",IF(F3210&lt;=5,"A",IF(F3210&lt;=8,"B",IF(F3210&lt;=10,"C","D"))))</f>
        <v/>
      </c>
      <c r="H3210" s="28"/>
      <c r="I3210" s="27"/>
      <c r="J3210" s="26"/>
      <c r="K3210" s="27"/>
      <c r="L3210" s="27"/>
      <c r="M3210" s="27"/>
      <c r="N3210" s="27"/>
      <c r="O3210" s="31" t="str">
        <f aca="false">IF(G3210="","",VLOOKUP(G3210,Setup!$A$14:$C$17,3,0))</f>
        <v/>
      </c>
      <c r="P3210" s="27"/>
      <c r="Q3210" s="33" t="str">
        <f aca="false">IF(OR(P3210="",M3210&lt;&gt;"Paid",O3210=""),"",P3210/O3210)</f>
        <v/>
      </c>
      <c r="R3210" s="34" t="str">
        <f aca="false">IF(Q3210="","",Q3210+N(H3210)*0.000000001)</f>
        <v/>
      </c>
      <c r="S3210" s="32" t="str">
        <f aca="false">IF(R3210="","",SUMPRODUCT((I$5:I$4004=I3210)*ISNUMBER(R$5:R$4004)*(R$5:R$4004&gt;R3210))+1)</f>
        <v/>
      </c>
      <c r="T3210" s="32" t="str">
        <f aca="false">IF(S3210="","",IF(S3210&lt;=Setup!$B$5,"🏆 WINNER",""))</f>
        <v/>
      </c>
      <c r="U3210" s="31" t="str">
        <f aca="false">IF(S3210="","",I3210&amp;"|"&amp;S3210)</f>
        <v/>
      </c>
    </row>
    <row r="3211" customFormat="false" ht="15" hidden="false" customHeight="false" outlineLevel="0" collapsed="false">
      <c r="A3211" s="24" t="n">
        <v>3207</v>
      </c>
      <c r="B3211" s="25" t="str">
        <f aca="false">IF(OR(C3211="",I3211="",G3211=""),"",IFERROR(VLOOKUP(I3211,Setup!$A$9:$B$11,2,0),"???")&amp;"-"&amp;G3211&amp;"-"&amp;TEXT(COUNTIFS(I$5:I3211,I3211,G$5:G3211,G3211),"0000"))</f>
        <v/>
      </c>
      <c r="C3211" s="26"/>
      <c r="D3211" s="26"/>
      <c r="E3211" s="27"/>
      <c r="F3211" s="27"/>
      <c r="G3211" s="24" t="str">
        <f aca="false">IF(F3211="","",IF(F3211&lt;=5,"A",IF(F3211&lt;=8,"B",IF(F3211&lt;=10,"C","D"))))</f>
        <v/>
      </c>
      <c r="H3211" s="28"/>
      <c r="I3211" s="27"/>
      <c r="J3211" s="26"/>
      <c r="K3211" s="27"/>
      <c r="L3211" s="27"/>
      <c r="M3211" s="27"/>
      <c r="N3211" s="27"/>
      <c r="O3211" s="24" t="str">
        <f aca="false">IF(G3211="","",VLOOKUP(G3211,Setup!$A$14:$C$17,3,0))</f>
        <v/>
      </c>
      <c r="P3211" s="27"/>
      <c r="Q3211" s="29" t="str">
        <f aca="false">IF(OR(P3211="",M3211&lt;&gt;"Paid",O3211=""),"",P3211/O3211)</f>
        <v/>
      </c>
      <c r="R3211" s="30" t="str">
        <f aca="false">IF(Q3211="","",Q3211+N(H3211)*0.000000001)</f>
        <v/>
      </c>
      <c r="S3211" s="25" t="str">
        <f aca="false">IF(R3211="","",SUMPRODUCT((I$5:I$4004=I3211)*ISNUMBER(R$5:R$4004)*(R$5:R$4004&gt;R3211))+1)</f>
        <v/>
      </c>
      <c r="T3211" s="25" t="str">
        <f aca="false">IF(S3211="","",IF(S3211&lt;=Setup!$B$5,"🏆 WINNER",""))</f>
        <v/>
      </c>
      <c r="U3211" s="24" t="str">
        <f aca="false">IF(S3211="","",I3211&amp;"|"&amp;S3211)</f>
        <v/>
      </c>
    </row>
    <row r="3212" customFormat="false" ht="15" hidden="false" customHeight="false" outlineLevel="0" collapsed="false">
      <c r="A3212" s="31" t="n">
        <v>3208</v>
      </c>
      <c r="B3212" s="32" t="str">
        <f aca="false">IF(OR(C3212="",I3212="",G3212=""),"",IFERROR(VLOOKUP(I3212,Setup!$A$9:$B$11,2,0),"???")&amp;"-"&amp;G3212&amp;"-"&amp;TEXT(COUNTIFS(I$5:I3212,I3212,G$5:G3212,G3212),"0000"))</f>
        <v/>
      </c>
      <c r="C3212" s="26"/>
      <c r="D3212" s="26"/>
      <c r="E3212" s="27"/>
      <c r="F3212" s="27"/>
      <c r="G3212" s="31" t="str">
        <f aca="false">IF(F3212="","",IF(F3212&lt;=5,"A",IF(F3212&lt;=8,"B",IF(F3212&lt;=10,"C","D"))))</f>
        <v/>
      </c>
      <c r="H3212" s="28"/>
      <c r="I3212" s="27"/>
      <c r="J3212" s="26"/>
      <c r="K3212" s="27"/>
      <c r="L3212" s="27"/>
      <c r="M3212" s="27"/>
      <c r="N3212" s="27"/>
      <c r="O3212" s="31" t="str">
        <f aca="false">IF(G3212="","",VLOOKUP(G3212,Setup!$A$14:$C$17,3,0))</f>
        <v/>
      </c>
      <c r="P3212" s="27"/>
      <c r="Q3212" s="33" t="str">
        <f aca="false">IF(OR(P3212="",M3212&lt;&gt;"Paid",O3212=""),"",P3212/O3212)</f>
        <v/>
      </c>
      <c r="R3212" s="34" t="str">
        <f aca="false">IF(Q3212="","",Q3212+N(H3212)*0.000000001)</f>
        <v/>
      </c>
      <c r="S3212" s="32" t="str">
        <f aca="false">IF(R3212="","",SUMPRODUCT((I$5:I$4004=I3212)*ISNUMBER(R$5:R$4004)*(R$5:R$4004&gt;R3212))+1)</f>
        <v/>
      </c>
      <c r="T3212" s="32" t="str">
        <f aca="false">IF(S3212="","",IF(S3212&lt;=Setup!$B$5,"🏆 WINNER",""))</f>
        <v/>
      </c>
      <c r="U3212" s="31" t="str">
        <f aca="false">IF(S3212="","",I3212&amp;"|"&amp;S3212)</f>
        <v/>
      </c>
    </row>
    <row r="3213" customFormat="false" ht="15" hidden="false" customHeight="false" outlineLevel="0" collapsed="false">
      <c r="A3213" s="24" t="n">
        <v>3209</v>
      </c>
      <c r="B3213" s="25" t="str">
        <f aca="false">IF(OR(C3213="",I3213="",G3213=""),"",IFERROR(VLOOKUP(I3213,Setup!$A$9:$B$11,2,0),"???")&amp;"-"&amp;G3213&amp;"-"&amp;TEXT(COUNTIFS(I$5:I3213,I3213,G$5:G3213,G3213),"0000"))</f>
        <v/>
      </c>
      <c r="C3213" s="26"/>
      <c r="D3213" s="26"/>
      <c r="E3213" s="27"/>
      <c r="F3213" s="27"/>
      <c r="G3213" s="24" t="str">
        <f aca="false">IF(F3213="","",IF(F3213&lt;=5,"A",IF(F3213&lt;=8,"B",IF(F3213&lt;=10,"C","D"))))</f>
        <v/>
      </c>
      <c r="H3213" s="28"/>
      <c r="I3213" s="27"/>
      <c r="J3213" s="26"/>
      <c r="K3213" s="27"/>
      <c r="L3213" s="27"/>
      <c r="M3213" s="27"/>
      <c r="N3213" s="27"/>
      <c r="O3213" s="24" t="str">
        <f aca="false">IF(G3213="","",VLOOKUP(G3213,Setup!$A$14:$C$17,3,0))</f>
        <v/>
      </c>
      <c r="P3213" s="27"/>
      <c r="Q3213" s="29" t="str">
        <f aca="false">IF(OR(P3213="",M3213&lt;&gt;"Paid",O3213=""),"",P3213/O3213)</f>
        <v/>
      </c>
      <c r="R3213" s="30" t="str">
        <f aca="false">IF(Q3213="","",Q3213+N(H3213)*0.000000001)</f>
        <v/>
      </c>
      <c r="S3213" s="25" t="str">
        <f aca="false">IF(R3213="","",SUMPRODUCT((I$5:I$4004=I3213)*ISNUMBER(R$5:R$4004)*(R$5:R$4004&gt;R3213))+1)</f>
        <v/>
      </c>
      <c r="T3213" s="25" t="str">
        <f aca="false">IF(S3213="","",IF(S3213&lt;=Setup!$B$5,"🏆 WINNER",""))</f>
        <v/>
      </c>
      <c r="U3213" s="24" t="str">
        <f aca="false">IF(S3213="","",I3213&amp;"|"&amp;S3213)</f>
        <v/>
      </c>
    </row>
    <row r="3214" customFormat="false" ht="15" hidden="false" customHeight="false" outlineLevel="0" collapsed="false">
      <c r="A3214" s="31" t="n">
        <v>3210</v>
      </c>
      <c r="B3214" s="32" t="str">
        <f aca="false">IF(OR(C3214="",I3214="",G3214=""),"",IFERROR(VLOOKUP(I3214,Setup!$A$9:$B$11,2,0),"???")&amp;"-"&amp;G3214&amp;"-"&amp;TEXT(COUNTIFS(I$5:I3214,I3214,G$5:G3214,G3214),"0000"))</f>
        <v/>
      </c>
      <c r="C3214" s="26"/>
      <c r="D3214" s="26"/>
      <c r="E3214" s="27"/>
      <c r="F3214" s="27"/>
      <c r="G3214" s="31" t="str">
        <f aca="false">IF(F3214="","",IF(F3214&lt;=5,"A",IF(F3214&lt;=8,"B",IF(F3214&lt;=10,"C","D"))))</f>
        <v/>
      </c>
      <c r="H3214" s="28"/>
      <c r="I3214" s="27"/>
      <c r="J3214" s="26"/>
      <c r="K3214" s="27"/>
      <c r="L3214" s="27"/>
      <c r="M3214" s="27"/>
      <c r="N3214" s="27"/>
      <c r="O3214" s="31" t="str">
        <f aca="false">IF(G3214="","",VLOOKUP(G3214,Setup!$A$14:$C$17,3,0))</f>
        <v/>
      </c>
      <c r="P3214" s="27"/>
      <c r="Q3214" s="33" t="str">
        <f aca="false">IF(OR(P3214="",M3214&lt;&gt;"Paid",O3214=""),"",P3214/O3214)</f>
        <v/>
      </c>
      <c r="R3214" s="34" t="str">
        <f aca="false">IF(Q3214="","",Q3214+N(H3214)*0.000000001)</f>
        <v/>
      </c>
      <c r="S3214" s="32" t="str">
        <f aca="false">IF(R3214="","",SUMPRODUCT((I$5:I$4004=I3214)*ISNUMBER(R$5:R$4004)*(R$5:R$4004&gt;R3214))+1)</f>
        <v/>
      </c>
      <c r="T3214" s="32" t="str">
        <f aca="false">IF(S3214="","",IF(S3214&lt;=Setup!$B$5,"🏆 WINNER",""))</f>
        <v/>
      </c>
      <c r="U3214" s="31" t="str">
        <f aca="false">IF(S3214="","",I3214&amp;"|"&amp;S3214)</f>
        <v/>
      </c>
    </row>
    <row r="3215" customFormat="false" ht="15" hidden="false" customHeight="false" outlineLevel="0" collapsed="false">
      <c r="A3215" s="24" t="n">
        <v>3211</v>
      </c>
      <c r="B3215" s="25" t="str">
        <f aca="false">IF(OR(C3215="",I3215="",G3215=""),"",IFERROR(VLOOKUP(I3215,Setup!$A$9:$B$11,2,0),"???")&amp;"-"&amp;G3215&amp;"-"&amp;TEXT(COUNTIFS(I$5:I3215,I3215,G$5:G3215,G3215),"0000"))</f>
        <v/>
      </c>
      <c r="C3215" s="26"/>
      <c r="D3215" s="26"/>
      <c r="E3215" s="27"/>
      <c r="F3215" s="27"/>
      <c r="G3215" s="24" t="str">
        <f aca="false">IF(F3215="","",IF(F3215&lt;=5,"A",IF(F3215&lt;=8,"B",IF(F3215&lt;=10,"C","D"))))</f>
        <v/>
      </c>
      <c r="H3215" s="28"/>
      <c r="I3215" s="27"/>
      <c r="J3215" s="26"/>
      <c r="K3215" s="27"/>
      <c r="L3215" s="27"/>
      <c r="M3215" s="27"/>
      <c r="N3215" s="27"/>
      <c r="O3215" s="24" t="str">
        <f aca="false">IF(G3215="","",VLOOKUP(G3215,Setup!$A$14:$C$17,3,0))</f>
        <v/>
      </c>
      <c r="P3215" s="27"/>
      <c r="Q3215" s="29" t="str">
        <f aca="false">IF(OR(P3215="",M3215&lt;&gt;"Paid",O3215=""),"",P3215/O3215)</f>
        <v/>
      </c>
      <c r="R3215" s="30" t="str">
        <f aca="false">IF(Q3215="","",Q3215+N(H3215)*0.000000001)</f>
        <v/>
      </c>
      <c r="S3215" s="25" t="str">
        <f aca="false">IF(R3215="","",SUMPRODUCT((I$5:I$4004=I3215)*ISNUMBER(R$5:R$4004)*(R$5:R$4004&gt;R3215))+1)</f>
        <v/>
      </c>
      <c r="T3215" s="25" t="str">
        <f aca="false">IF(S3215="","",IF(S3215&lt;=Setup!$B$5,"🏆 WINNER",""))</f>
        <v/>
      </c>
      <c r="U3215" s="24" t="str">
        <f aca="false">IF(S3215="","",I3215&amp;"|"&amp;S3215)</f>
        <v/>
      </c>
    </row>
    <row r="3216" customFormat="false" ht="15" hidden="false" customHeight="false" outlineLevel="0" collapsed="false">
      <c r="A3216" s="31" t="n">
        <v>3212</v>
      </c>
      <c r="B3216" s="32" t="str">
        <f aca="false">IF(OR(C3216="",I3216="",G3216=""),"",IFERROR(VLOOKUP(I3216,Setup!$A$9:$B$11,2,0),"???")&amp;"-"&amp;G3216&amp;"-"&amp;TEXT(COUNTIFS(I$5:I3216,I3216,G$5:G3216,G3216),"0000"))</f>
        <v/>
      </c>
      <c r="C3216" s="26"/>
      <c r="D3216" s="26"/>
      <c r="E3216" s="27"/>
      <c r="F3216" s="27"/>
      <c r="G3216" s="31" t="str">
        <f aca="false">IF(F3216="","",IF(F3216&lt;=5,"A",IF(F3216&lt;=8,"B",IF(F3216&lt;=10,"C","D"))))</f>
        <v/>
      </c>
      <c r="H3216" s="28"/>
      <c r="I3216" s="27"/>
      <c r="J3216" s="26"/>
      <c r="K3216" s="27"/>
      <c r="L3216" s="27"/>
      <c r="M3216" s="27"/>
      <c r="N3216" s="27"/>
      <c r="O3216" s="31" t="str">
        <f aca="false">IF(G3216="","",VLOOKUP(G3216,Setup!$A$14:$C$17,3,0))</f>
        <v/>
      </c>
      <c r="P3216" s="27"/>
      <c r="Q3216" s="33" t="str">
        <f aca="false">IF(OR(P3216="",M3216&lt;&gt;"Paid",O3216=""),"",P3216/O3216)</f>
        <v/>
      </c>
      <c r="R3216" s="34" t="str">
        <f aca="false">IF(Q3216="","",Q3216+N(H3216)*0.000000001)</f>
        <v/>
      </c>
      <c r="S3216" s="32" t="str">
        <f aca="false">IF(R3216="","",SUMPRODUCT((I$5:I$4004=I3216)*ISNUMBER(R$5:R$4004)*(R$5:R$4004&gt;R3216))+1)</f>
        <v/>
      </c>
      <c r="T3216" s="32" t="str">
        <f aca="false">IF(S3216="","",IF(S3216&lt;=Setup!$B$5,"🏆 WINNER",""))</f>
        <v/>
      </c>
      <c r="U3216" s="31" t="str">
        <f aca="false">IF(S3216="","",I3216&amp;"|"&amp;S3216)</f>
        <v/>
      </c>
    </row>
    <row r="3217" customFormat="false" ht="15" hidden="false" customHeight="false" outlineLevel="0" collapsed="false">
      <c r="A3217" s="24" t="n">
        <v>3213</v>
      </c>
      <c r="B3217" s="25" t="str">
        <f aca="false">IF(OR(C3217="",I3217="",G3217=""),"",IFERROR(VLOOKUP(I3217,Setup!$A$9:$B$11,2,0),"???")&amp;"-"&amp;G3217&amp;"-"&amp;TEXT(COUNTIFS(I$5:I3217,I3217,G$5:G3217,G3217),"0000"))</f>
        <v/>
      </c>
      <c r="C3217" s="26"/>
      <c r="D3217" s="26"/>
      <c r="E3217" s="27"/>
      <c r="F3217" s="27"/>
      <c r="G3217" s="24" t="str">
        <f aca="false">IF(F3217="","",IF(F3217&lt;=5,"A",IF(F3217&lt;=8,"B",IF(F3217&lt;=10,"C","D"))))</f>
        <v/>
      </c>
      <c r="H3217" s="28"/>
      <c r="I3217" s="27"/>
      <c r="J3217" s="26"/>
      <c r="K3217" s="27"/>
      <c r="L3217" s="27"/>
      <c r="M3217" s="27"/>
      <c r="N3217" s="27"/>
      <c r="O3217" s="24" t="str">
        <f aca="false">IF(G3217="","",VLOOKUP(G3217,Setup!$A$14:$C$17,3,0))</f>
        <v/>
      </c>
      <c r="P3217" s="27"/>
      <c r="Q3217" s="29" t="str">
        <f aca="false">IF(OR(P3217="",M3217&lt;&gt;"Paid",O3217=""),"",P3217/O3217)</f>
        <v/>
      </c>
      <c r="R3217" s="30" t="str">
        <f aca="false">IF(Q3217="","",Q3217+N(H3217)*0.000000001)</f>
        <v/>
      </c>
      <c r="S3217" s="25" t="str">
        <f aca="false">IF(R3217="","",SUMPRODUCT((I$5:I$4004=I3217)*ISNUMBER(R$5:R$4004)*(R$5:R$4004&gt;R3217))+1)</f>
        <v/>
      </c>
      <c r="T3217" s="25" t="str">
        <f aca="false">IF(S3217="","",IF(S3217&lt;=Setup!$B$5,"🏆 WINNER",""))</f>
        <v/>
      </c>
      <c r="U3217" s="24" t="str">
        <f aca="false">IF(S3217="","",I3217&amp;"|"&amp;S3217)</f>
        <v/>
      </c>
    </row>
    <row r="3218" customFormat="false" ht="15" hidden="false" customHeight="false" outlineLevel="0" collapsed="false">
      <c r="A3218" s="31" t="n">
        <v>3214</v>
      </c>
      <c r="B3218" s="32" t="str">
        <f aca="false">IF(OR(C3218="",I3218="",G3218=""),"",IFERROR(VLOOKUP(I3218,Setup!$A$9:$B$11,2,0),"???")&amp;"-"&amp;G3218&amp;"-"&amp;TEXT(COUNTIFS(I$5:I3218,I3218,G$5:G3218,G3218),"0000"))</f>
        <v/>
      </c>
      <c r="C3218" s="26"/>
      <c r="D3218" s="26"/>
      <c r="E3218" s="27"/>
      <c r="F3218" s="27"/>
      <c r="G3218" s="31" t="str">
        <f aca="false">IF(F3218="","",IF(F3218&lt;=5,"A",IF(F3218&lt;=8,"B",IF(F3218&lt;=10,"C","D"))))</f>
        <v/>
      </c>
      <c r="H3218" s="28"/>
      <c r="I3218" s="27"/>
      <c r="J3218" s="26"/>
      <c r="K3218" s="27"/>
      <c r="L3218" s="27"/>
      <c r="M3218" s="27"/>
      <c r="N3218" s="27"/>
      <c r="O3218" s="31" t="str">
        <f aca="false">IF(G3218="","",VLOOKUP(G3218,Setup!$A$14:$C$17,3,0))</f>
        <v/>
      </c>
      <c r="P3218" s="27"/>
      <c r="Q3218" s="33" t="str">
        <f aca="false">IF(OR(P3218="",M3218&lt;&gt;"Paid",O3218=""),"",P3218/O3218)</f>
        <v/>
      </c>
      <c r="R3218" s="34" t="str">
        <f aca="false">IF(Q3218="","",Q3218+N(H3218)*0.000000001)</f>
        <v/>
      </c>
      <c r="S3218" s="32" t="str">
        <f aca="false">IF(R3218="","",SUMPRODUCT((I$5:I$4004=I3218)*ISNUMBER(R$5:R$4004)*(R$5:R$4004&gt;R3218))+1)</f>
        <v/>
      </c>
      <c r="T3218" s="32" t="str">
        <f aca="false">IF(S3218="","",IF(S3218&lt;=Setup!$B$5,"🏆 WINNER",""))</f>
        <v/>
      </c>
      <c r="U3218" s="31" t="str">
        <f aca="false">IF(S3218="","",I3218&amp;"|"&amp;S3218)</f>
        <v/>
      </c>
    </row>
    <row r="3219" customFormat="false" ht="15" hidden="false" customHeight="false" outlineLevel="0" collapsed="false">
      <c r="A3219" s="24" t="n">
        <v>3215</v>
      </c>
      <c r="B3219" s="25" t="str">
        <f aca="false">IF(OR(C3219="",I3219="",G3219=""),"",IFERROR(VLOOKUP(I3219,Setup!$A$9:$B$11,2,0),"???")&amp;"-"&amp;G3219&amp;"-"&amp;TEXT(COUNTIFS(I$5:I3219,I3219,G$5:G3219,G3219),"0000"))</f>
        <v/>
      </c>
      <c r="C3219" s="26"/>
      <c r="D3219" s="26"/>
      <c r="E3219" s="27"/>
      <c r="F3219" s="27"/>
      <c r="G3219" s="24" t="str">
        <f aca="false">IF(F3219="","",IF(F3219&lt;=5,"A",IF(F3219&lt;=8,"B",IF(F3219&lt;=10,"C","D"))))</f>
        <v/>
      </c>
      <c r="H3219" s="28"/>
      <c r="I3219" s="27"/>
      <c r="J3219" s="26"/>
      <c r="K3219" s="27"/>
      <c r="L3219" s="27"/>
      <c r="M3219" s="27"/>
      <c r="N3219" s="27"/>
      <c r="O3219" s="24" t="str">
        <f aca="false">IF(G3219="","",VLOOKUP(G3219,Setup!$A$14:$C$17,3,0))</f>
        <v/>
      </c>
      <c r="P3219" s="27"/>
      <c r="Q3219" s="29" t="str">
        <f aca="false">IF(OR(P3219="",M3219&lt;&gt;"Paid",O3219=""),"",P3219/O3219)</f>
        <v/>
      </c>
      <c r="R3219" s="30" t="str">
        <f aca="false">IF(Q3219="","",Q3219+N(H3219)*0.000000001)</f>
        <v/>
      </c>
      <c r="S3219" s="25" t="str">
        <f aca="false">IF(R3219="","",SUMPRODUCT((I$5:I$4004=I3219)*ISNUMBER(R$5:R$4004)*(R$5:R$4004&gt;R3219))+1)</f>
        <v/>
      </c>
      <c r="T3219" s="25" t="str">
        <f aca="false">IF(S3219="","",IF(S3219&lt;=Setup!$B$5,"🏆 WINNER",""))</f>
        <v/>
      </c>
      <c r="U3219" s="24" t="str">
        <f aca="false">IF(S3219="","",I3219&amp;"|"&amp;S3219)</f>
        <v/>
      </c>
    </row>
    <row r="3220" customFormat="false" ht="15" hidden="false" customHeight="false" outlineLevel="0" collapsed="false">
      <c r="A3220" s="31" t="n">
        <v>3216</v>
      </c>
      <c r="B3220" s="32" t="str">
        <f aca="false">IF(OR(C3220="",I3220="",G3220=""),"",IFERROR(VLOOKUP(I3220,Setup!$A$9:$B$11,2,0),"???")&amp;"-"&amp;G3220&amp;"-"&amp;TEXT(COUNTIFS(I$5:I3220,I3220,G$5:G3220,G3220),"0000"))</f>
        <v/>
      </c>
      <c r="C3220" s="26"/>
      <c r="D3220" s="26"/>
      <c r="E3220" s="27"/>
      <c r="F3220" s="27"/>
      <c r="G3220" s="31" t="str">
        <f aca="false">IF(F3220="","",IF(F3220&lt;=5,"A",IF(F3220&lt;=8,"B",IF(F3220&lt;=10,"C","D"))))</f>
        <v/>
      </c>
      <c r="H3220" s="28"/>
      <c r="I3220" s="27"/>
      <c r="J3220" s="26"/>
      <c r="K3220" s="27"/>
      <c r="L3220" s="27"/>
      <c r="M3220" s="27"/>
      <c r="N3220" s="27"/>
      <c r="O3220" s="31" t="str">
        <f aca="false">IF(G3220="","",VLOOKUP(G3220,Setup!$A$14:$C$17,3,0))</f>
        <v/>
      </c>
      <c r="P3220" s="27"/>
      <c r="Q3220" s="33" t="str">
        <f aca="false">IF(OR(P3220="",M3220&lt;&gt;"Paid",O3220=""),"",P3220/O3220)</f>
        <v/>
      </c>
      <c r="R3220" s="34" t="str">
        <f aca="false">IF(Q3220="","",Q3220+N(H3220)*0.000000001)</f>
        <v/>
      </c>
      <c r="S3220" s="32" t="str">
        <f aca="false">IF(R3220="","",SUMPRODUCT((I$5:I$4004=I3220)*ISNUMBER(R$5:R$4004)*(R$5:R$4004&gt;R3220))+1)</f>
        <v/>
      </c>
      <c r="T3220" s="32" t="str">
        <f aca="false">IF(S3220="","",IF(S3220&lt;=Setup!$B$5,"🏆 WINNER",""))</f>
        <v/>
      </c>
      <c r="U3220" s="31" t="str">
        <f aca="false">IF(S3220="","",I3220&amp;"|"&amp;S3220)</f>
        <v/>
      </c>
    </row>
    <row r="3221" customFormat="false" ht="15" hidden="false" customHeight="false" outlineLevel="0" collapsed="false">
      <c r="A3221" s="24" t="n">
        <v>3217</v>
      </c>
      <c r="B3221" s="25" t="str">
        <f aca="false">IF(OR(C3221="",I3221="",G3221=""),"",IFERROR(VLOOKUP(I3221,Setup!$A$9:$B$11,2,0),"???")&amp;"-"&amp;G3221&amp;"-"&amp;TEXT(COUNTIFS(I$5:I3221,I3221,G$5:G3221,G3221),"0000"))</f>
        <v/>
      </c>
      <c r="C3221" s="26"/>
      <c r="D3221" s="26"/>
      <c r="E3221" s="27"/>
      <c r="F3221" s="27"/>
      <c r="G3221" s="24" t="str">
        <f aca="false">IF(F3221="","",IF(F3221&lt;=5,"A",IF(F3221&lt;=8,"B",IF(F3221&lt;=10,"C","D"))))</f>
        <v/>
      </c>
      <c r="H3221" s="28"/>
      <c r="I3221" s="27"/>
      <c r="J3221" s="26"/>
      <c r="K3221" s="27"/>
      <c r="L3221" s="27"/>
      <c r="M3221" s="27"/>
      <c r="N3221" s="27"/>
      <c r="O3221" s="24" t="str">
        <f aca="false">IF(G3221="","",VLOOKUP(G3221,Setup!$A$14:$C$17,3,0))</f>
        <v/>
      </c>
      <c r="P3221" s="27"/>
      <c r="Q3221" s="29" t="str">
        <f aca="false">IF(OR(P3221="",M3221&lt;&gt;"Paid",O3221=""),"",P3221/O3221)</f>
        <v/>
      </c>
      <c r="R3221" s="30" t="str">
        <f aca="false">IF(Q3221="","",Q3221+N(H3221)*0.000000001)</f>
        <v/>
      </c>
      <c r="S3221" s="25" t="str">
        <f aca="false">IF(R3221="","",SUMPRODUCT((I$5:I$4004=I3221)*ISNUMBER(R$5:R$4004)*(R$5:R$4004&gt;R3221))+1)</f>
        <v/>
      </c>
      <c r="T3221" s="25" t="str">
        <f aca="false">IF(S3221="","",IF(S3221&lt;=Setup!$B$5,"🏆 WINNER",""))</f>
        <v/>
      </c>
      <c r="U3221" s="24" t="str">
        <f aca="false">IF(S3221="","",I3221&amp;"|"&amp;S3221)</f>
        <v/>
      </c>
    </row>
    <row r="3222" customFormat="false" ht="15" hidden="false" customHeight="false" outlineLevel="0" collapsed="false">
      <c r="A3222" s="31" t="n">
        <v>3218</v>
      </c>
      <c r="B3222" s="32" t="str">
        <f aca="false">IF(OR(C3222="",I3222="",G3222=""),"",IFERROR(VLOOKUP(I3222,Setup!$A$9:$B$11,2,0),"???")&amp;"-"&amp;G3222&amp;"-"&amp;TEXT(COUNTIFS(I$5:I3222,I3222,G$5:G3222,G3222),"0000"))</f>
        <v/>
      </c>
      <c r="C3222" s="26"/>
      <c r="D3222" s="26"/>
      <c r="E3222" s="27"/>
      <c r="F3222" s="27"/>
      <c r="G3222" s="31" t="str">
        <f aca="false">IF(F3222="","",IF(F3222&lt;=5,"A",IF(F3222&lt;=8,"B",IF(F3222&lt;=10,"C","D"))))</f>
        <v/>
      </c>
      <c r="H3222" s="28"/>
      <c r="I3222" s="27"/>
      <c r="J3222" s="26"/>
      <c r="K3222" s="27"/>
      <c r="L3222" s="27"/>
      <c r="M3222" s="27"/>
      <c r="N3222" s="27"/>
      <c r="O3222" s="31" t="str">
        <f aca="false">IF(G3222="","",VLOOKUP(G3222,Setup!$A$14:$C$17,3,0))</f>
        <v/>
      </c>
      <c r="P3222" s="27"/>
      <c r="Q3222" s="33" t="str">
        <f aca="false">IF(OR(P3222="",M3222&lt;&gt;"Paid",O3222=""),"",P3222/O3222)</f>
        <v/>
      </c>
      <c r="R3222" s="34" t="str">
        <f aca="false">IF(Q3222="","",Q3222+N(H3222)*0.000000001)</f>
        <v/>
      </c>
      <c r="S3222" s="32" t="str">
        <f aca="false">IF(R3222="","",SUMPRODUCT((I$5:I$4004=I3222)*ISNUMBER(R$5:R$4004)*(R$5:R$4004&gt;R3222))+1)</f>
        <v/>
      </c>
      <c r="T3222" s="32" t="str">
        <f aca="false">IF(S3222="","",IF(S3222&lt;=Setup!$B$5,"🏆 WINNER",""))</f>
        <v/>
      </c>
      <c r="U3222" s="31" t="str">
        <f aca="false">IF(S3222="","",I3222&amp;"|"&amp;S3222)</f>
        <v/>
      </c>
    </row>
    <row r="3223" customFormat="false" ht="15" hidden="false" customHeight="false" outlineLevel="0" collapsed="false">
      <c r="A3223" s="24" t="n">
        <v>3219</v>
      </c>
      <c r="B3223" s="25" t="str">
        <f aca="false">IF(OR(C3223="",I3223="",G3223=""),"",IFERROR(VLOOKUP(I3223,Setup!$A$9:$B$11,2,0),"???")&amp;"-"&amp;G3223&amp;"-"&amp;TEXT(COUNTIFS(I$5:I3223,I3223,G$5:G3223,G3223),"0000"))</f>
        <v/>
      </c>
      <c r="C3223" s="26"/>
      <c r="D3223" s="26"/>
      <c r="E3223" s="27"/>
      <c r="F3223" s="27"/>
      <c r="G3223" s="24" t="str">
        <f aca="false">IF(F3223="","",IF(F3223&lt;=5,"A",IF(F3223&lt;=8,"B",IF(F3223&lt;=10,"C","D"))))</f>
        <v/>
      </c>
      <c r="H3223" s="28"/>
      <c r="I3223" s="27"/>
      <c r="J3223" s="26"/>
      <c r="K3223" s="27"/>
      <c r="L3223" s="27"/>
      <c r="M3223" s="27"/>
      <c r="N3223" s="27"/>
      <c r="O3223" s="24" t="str">
        <f aca="false">IF(G3223="","",VLOOKUP(G3223,Setup!$A$14:$C$17,3,0))</f>
        <v/>
      </c>
      <c r="P3223" s="27"/>
      <c r="Q3223" s="29" t="str">
        <f aca="false">IF(OR(P3223="",M3223&lt;&gt;"Paid",O3223=""),"",P3223/O3223)</f>
        <v/>
      </c>
      <c r="R3223" s="30" t="str">
        <f aca="false">IF(Q3223="","",Q3223+N(H3223)*0.000000001)</f>
        <v/>
      </c>
      <c r="S3223" s="25" t="str">
        <f aca="false">IF(R3223="","",SUMPRODUCT((I$5:I$4004=I3223)*ISNUMBER(R$5:R$4004)*(R$5:R$4004&gt;R3223))+1)</f>
        <v/>
      </c>
      <c r="T3223" s="25" t="str">
        <f aca="false">IF(S3223="","",IF(S3223&lt;=Setup!$B$5,"🏆 WINNER",""))</f>
        <v/>
      </c>
      <c r="U3223" s="24" t="str">
        <f aca="false">IF(S3223="","",I3223&amp;"|"&amp;S3223)</f>
        <v/>
      </c>
    </row>
    <row r="3224" customFormat="false" ht="15" hidden="false" customHeight="false" outlineLevel="0" collapsed="false">
      <c r="A3224" s="31" t="n">
        <v>3220</v>
      </c>
      <c r="B3224" s="32" t="str">
        <f aca="false">IF(OR(C3224="",I3224="",G3224=""),"",IFERROR(VLOOKUP(I3224,Setup!$A$9:$B$11,2,0),"???")&amp;"-"&amp;G3224&amp;"-"&amp;TEXT(COUNTIFS(I$5:I3224,I3224,G$5:G3224,G3224),"0000"))</f>
        <v/>
      </c>
      <c r="C3224" s="26"/>
      <c r="D3224" s="26"/>
      <c r="E3224" s="27"/>
      <c r="F3224" s="27"/>
      <c r="G3224" s="31" t="str">
        <f aca="false">IF(F3224="","",IF(F3224&lt;=5,"A",IF(F3224&lt;=8,"B",IF(F3224&lt;=10,"C","D"))))</f>
        <v/>
      </c>
      <c r="H3224" s="28"/>
      <c r="I3224" s="27"/>
      <c r="J3224" s="26"/>
      <c r="K3224" s="27"/>
      <c r="L3224" s="27"/>
      <c r="M3224" s="27"/>
      <c r="N3224" s="27"/>
      <c r="O3224" s="31" t="str">
        <f aca="false">IF(G3224="","",VLOOKUP(G3224,Setup!$A$14:$C$17,3,0))</f>
        <v/>
      </c>
      <c r="P3224" s="27"/>
      <c r="Q3224" s="33" t="str">
        <f aca="false">IF(OR(P3224="",M3224&lt;&gt;"Paid",O3224=""),"",P3224/O3224)</f>
        <v/>
      </c>
      <c r="R3224" s="34" t="str">
        <f aca="false">IF(Q3224="","",Q3224+N(H3224)*0.000000001)</f>
        <v/>
      </c>
      <c r="S3224" s="32" t="str">
        <f aca="false">IF(R3224="","",SUMPRODUCT((I$5:I$4004=I3224)*ISNUMBER(R$5:R$4004)*(R$5:R$4004&gt;R3224))+1)</f>
        <v/>
      </c>
      <c r="T3224" s="32" t="str">
        <f aca="false">IF(S3224="","",IF(S3224&lt;=Setup!$B$5,"🏆 WINNER",""))</f>
        <v/>
      </c>
      <c r="U3224" s="31" t="str">
        <f aca="false">IF(S3224="","",I3224&amp;"|"&amp;S3224)</f>
        <v/>
      </c>
    </row>
    <row r="3225" customFormat="false" ht="15" hidden="false" customHeight="false" outlineLevel="0" collapsed="false">
      <c r="A3225" s="24" t="n">
        <v>3221</v>
      </c>
      <c r="B3225" s="25" t="str">
        <f aca="false">IF(OR(C3225="",I3225="",G3225=""),"",IFERROR(VLOOKUP(I3225,Setup!$A$9:$B$11,2,0),"???")&amp;"-"&amp;G3225&amp;"-"&amp;TEXT(COUNTIFS(I$5:I3225,I3225,G$5:G3225,G3225),"0000"))</f>
        <v/>
      </c>
      <c r="C3225" s="26"/>
      <c r="D3225" s="26"/>
      <c r="E3225" s="27"/>
      <c r="F3225" s="27"/>
      <c r="G3225" s="24" t="str">
        <f aca="false">IF(F3225="","",IF(F3225&lt;=5,"A",IF(F3225&lt;=8,"B",IF(F3225&lt;=10,"C","D"))))</f>
        <v/>
      </c>
      <c r="H3225" s="28"/>
      <c r="I3225" s="27"/>
      <c r="J3225" s="26"/>
      <c r="K3225" s="27"/>
      <c r="L3225" s="27"/>
      <c r="M3225" s="27"/>
      <c r="N3225" s="27"/>
      <c r="O3225" s="24" t="str">
        <f aca="false">IF(G3225="","",VLOOKUP(G3225,Setup!$A$14:$C$17,3,0))</f>
        <v/>
      </c>
      <c r="P3225" s="27"/>
      <c r="Q3225" s="29" t="str">
        <f aca="false">IF(OR(P3225="",M3225&lt;&gt;"Paid",O3225=""),"",P3225/O3225)</f>
        <v/>
      </c>
      <c r="R3225" s="30" t="str">
        <f aca="false">IF(Q3225="","",Q3225+N(H3225)*0.000000001)</f>
        <v/>
      </c>
      <c r="S3225" s="25" t="str">
        <f aca="false">IF(R3225="","",SUMPRODUCT((I$5:I$4004=I3225)*ISNUMBER(R$5:R$4004)*(R$5:R$4004&gt;R3225))+1)</f>
        <v/>
      </c>
      <c r="T3225" s="25" t="str">
        <f aca="false">IF(S3225="","",IF(S3225&lt;=Setup!$B$5,"🏆 WINNER",""))</f>
        <v/>
      </c>
      <c r="U3225" s="24" t="str">
        <f aca="false">IF(S3225="","",I3225&amp;"|"&amp;S3225)</f>
        <v/>
      </c>
    </row>
    <row r="3226" customFormat="false" ht="15" hidden="false" customHeight="false" outlineLevel="0" collapsed="false">
      <c r="A3226" s="31" t="n">
        <v>3222</v>
      </c>
      <c r="B3226" s="32" t="str">
        <f aca="false">IF(OR(C3226="",I3226="",G3226=""),"",IFERROR(VLOOKUP(I3226,Setup!$A$9:$B$11,2,0),"???")&amp;"-"&amp;G3226&amp;"-"&amp;TEXT(COUNTIFS(I$5:I3226,I3226,G$5:G3226,G3226),"0000"))</f>
        <v/>
      </c>
      <c r="C3226" s="26"/>
      <c r="D3226" s="26"/>
      <c r="E3226" s="27"/>
      <c r="F3226" s="27"/>
      <c r="G3226" s="31" t="str">
        <f aca="false">IF(F3226="","",IF(F3226&lt;=5,"A",IF(F3226&lt;=8,"B",IF(F3226&lt;=10,"C","D"))))</f>
        <v/>
      </c>
      <c r="H3226" s="28"/>
      <c r="I3226" s="27"/>
      <c r="J3226" s="26"/>
      <c r="K3226" s="27"/>
      <c r="L3226" s="27"/>
      <c r="M3226" s="27"/>
      <c r="N3226" s="27"/>
      <c r="O3226" s="31" t="str">
        <f aca="false">IF(G3226="","",VLOOKUP(G3226,Setup!$A$14:$C$17,3,0))</f>
        <v/>
      </c>
      <c r="P3226" s="27"/>
      <c r="Q3226" s="33" t="str">
        <f aca="false">IF(OR(P3226="",M3226&lt;&gt;"Paid",O3226=""),"",P3226/O3226)</f>
        <v/>
      </c>
      <c r="R3226" s="34" t="str">
        <f aca="false">IF(Q3226="","",Q3226+N(H3226)*0.000000001)</f>
        <v/>
      </c>
      <c r="S3226" s="32" t="str">
        <f aca="false">IF(R3226="","",SUMPRODUCT((I$5:I$4004=I3226)*ISNUMBER(R$5:R$4004)*(R$5:R$4004&gt;R3226))+1)</f>
        <v/>
      </c>
      <c r="T3226" s="32" t="str">
        <f aca="false">IF(S3226="","",IF(S3226&lt;=Setup!$B$5,"🏆 WINNER",""))</f>
        <v/>
      </c>
      <c r="U3226" s="31" t="str">
        <f aca="false">IF(S3226="","",I3226&amp;"|"&amp;S3226)</f>
        <v/>
      </c>
    </row>
    <row r="3227" customFormat="false" ht="15" hidden="false" customHeight="false" outlineLevel="0" collapsed="false">
      <c r="A3227" s="24" t="n">
        <v>3223</v>
      </c>
      <c r="B3227" s="25" t="str">
        <f aca="false">IF(OR(C3227="",I3227="",G3227=""),"",IFERROR(VLOOKUP(I3227,Setup!$A$9:$B$11,2,0),"???")&amp;"-"&amp;G3227&amp;"-"&amp;TEXT(COUNTIFS(I$5:I3227,I3227,G$5:G3227,G3227),"0000"))</f>
        <v/>
      </c>
      <c r="C3227" s="26"/>
      <c r="D3227" s="26"/>
      <c r="E3227" s="27"/>
      <c r="F3227" s="27"/>
      <c r="G3227" s="24" t="str">
        <f aca="false">IF(F3227="","",IF(F3227&lt;=5,"A",IF(F3227&lt;=8,"B",IF(F3227&lt;=10,"C","D"))))</f>
        <v/>
      </c>
      <c r="H3227" s="28"/>
      <c r="I3227" s="27"/>
      <c r="J3227" s="26"/>
      <c r="K3227" s="27"/>
      <c r="L3227" s="27"/>
      <c r="M3227" s="27"/>
      <c r="N3227" s="27"/>
      <c r="O3227" s="24" t="str">
        <f aca="false">IF(G3227="","",VLOOKUP(G3227,Setup!$A$14:$C$17,3,0))</f>
        <v/>
      </c>
      <c r="P3227" s="27"/>
      <c r="Q3227" s="29" t="str">
        <f aca="false">IF(OR(P3227="",M3227&lt;&gt;"Paid",O3227=""),"",P3227/O3227)</f>
        <v/>
      </c>
      <c r="R3227" s="30" t="str">
        <f aca="false">IF(Q3227="","",Q3227+N(H3227)*0.000000001)</f>
        <v/>
      </c>
      <c r="S3227" s="25" t="str">
        <f aca="false">IF(R3227="","",SUMPRODUCT((I$5:I$4004=I3227)*ISNUMBER(R$5:R$4004)*(R$5:R$4004&gt;R3227))+1)</f>
        <v/>
      </c>
      <c r="T3227" s="25" t="str">
        <f aca="false">IF(S3227="","",IF(S3227&lt;=Setup!$B$5,"🏆 WINNER",""))</f>
        <v/>
      </c>
      <c r="U3227" s="24" t="str">
        <f aca="false">IF(S3227="","",I3227&amp;"|"&amp;S3227)</f>
        <v/>
      </c>
    </row>
    <row r="3228" customFormat="false" ht="15" hidden="false" customHeight="false" outlineLevel="0" collapsed="false">
      <c r="A3228" s="31" t="n">
        <v>3224</v>
      </c>
      <c r="B3228" s="32" t="str">
        <f aca="false">IF(OR(C3228="",I3228="",G3228=""),"",IFERROR(VLOOKUP(I3228,Setup!$A$9:$B$11,2,0),"???")&amp;"-"&amp;G3228&amp;"-"&amp;TEXT(COUNTIFS(I$5:I3228,I3228,G$5:G3228,G3228),"0000"))</f>
        <v/>
      </c>
      <c r="C3228" s="26"/>
      <c r="D3228" s="26"/>
      <c r="E3228" s="27"/>
      <c r="F3228" s="27"/>
      <c r="G3228" s="31" t="str">
        <f aca="false">IF(F3228="","",IF(F3228&lt;=5,"A",IF(F3228&lt;=8,"B",IF(F3228&lt;=10,"C","D"))))</f>
        <v/>
      </c>
      <c r="H3228" s="28"/>
      <c r="I3228" s="27"/>
      <c r="J3228" s="26"/>
      <c r="K3228" s="27"/>
      <c r="L3228" s="27"/>
      <c r="M3228" s="27"/>
      <c r="N3228" s="27"/>
      <c r="O3228" s="31" t="str">
        <f aca="false">IF(G3228="","",VLOOKUP(G3228,Setup!$A$14:$C$17,3,0))</f>
        <v/>
      </c>
      <c r="P3228" s="27"/>
      <c r="Q3228" s="33" t="str">
        <f aca="false">IF(OR(P3228="",M3228&lt;&gt;"Paid",O3228=""),"",P3228/O3228)</f>
        <v/>
      </c>
      <c r="R3228" s="34" t="str">
        <f aca="false">IF(Q3228="","",Q3228+N(H3228)*0.000000001)</f>
        <v/>
      </c>
      <c r="S3228" s="32" t="str">
        <f aca="false">IF(R3228="","",SUMPRODUCT((I$5:I$4004=I3228)*ISNUMBER(R$5:R$4004)*(R$5:R$4004&gt;R3228))+1)</f>
        <v/>
      </c>
      <c r="T3228" s="32" t="str">
        <f aca="false">IF(S3228="","",IF(S3228&lt;=Setup!$B$5,"🏆 WINNER",""))</f>
        <v/>
      </c>
      <c r="U3228" s="31" t="str">
        <f aca="false">IF(S3228="","",I3228&amp;"|"&amp;S3228)</f>
        <v/>
      </c>
    </row>
    <row r="3229" customFormat="false" ht="15" hidden="false" customHeight="false" outlineLevel="0" collapsed="false">
      <c r="A3229" s="24" t="n">
        <v>3225</v>
      </c>
      <c r="B3229" s="25" t="str">
        <f aca="false">IF(OR(C3229="",I3229="",G3229=""),"",IFERROR(VLOOKUP(I3229,Setup!$A$9:$B$11,2,0),"???")&amp;"-"&amp;G3229&amp;"-"&amp;TEXT(COUNTIFS(I$5:I3229,I3229,G$5:G3229,G3229),"0000"))</f>
        <v/>
      </c>
      <c r="C3229" s="26"/>
      <c r="D3229" s="26"/>
      <c r="E3229" s="27"/>
      <c r="F3229" s="27"/>
      <c r="G3229" s="24" t="str">
        <f aca="false">IF(F3229="","",IF(F3229&lt;=5,"A",IF(F3229&lt;=8,"B",IF(F3229&lt;=10,"C","D"))))</f>
        <v/>
      </c>
      <c r="H3229" s="28"/>
      <c r="I3229" s="27"/>
      <c r="J3229" s="26"/>
      <c r="K3229" s="27"/>
      <c r="L3229" s="27"/>
      <c r="M3229" s="27"/>
      <c r="N3229" s="27"/>
      <c r="O3229" s="24" t="str">
        <f aca="false">IF(G3229="","",VLOOKUP(G3229,Setup!$A$14:$C$17,3,0))</f>
        <v/>
      </c>
      <c r="P3229" s="27"/>
      <c r="Q3229" s="29" t="str">
        <f aca="false">IF(OR(P3229="",M3229&lt;&gt;"Paid",O3229=""),"",P3229/O3229)</f>
        <v/>
      </c>
      <c r="R3229" s="30" t="str">
        <f aca="false">IF(Q3229="","",Q3229+N(H3229)*0.000000001)</f>
        <v/>
      </c>
      <c r="S3229" s="25" t="str">
        <f aca="false">IF(R3229="","",SUMPRODUCT((I$5:I$4004=I3229)*ISNUMBER(R$5:R$4004)*(R$5:R$4004&gt;R3229))+1)</f>
        <v/>
      </c>
      <c r="T3229" s="25" t="str">
        <f aca="false">IF(S3229="","",IF(S3229&lt;=Setup!$B$5,"🏆 WINNER",""))</f>
        <v/>
      </c>
      <c r="U3229" s="24" t="str">
        <f aca="false">IF(S3229="","",I3229&amp;"|"&amp;S3229)</f>
        <v/>
      </c>
    </row>
    <row r="3230" customFormat="false" ht="15" hidden="false" customHeight="false" outlineLevel="0" collapsed="false">
      <c r="A3230" s="31" t="n">
        <v>3226</v>
      </c>
      <c r="B3230" s="32" t="str">
        <f aca="false">IF(OR(C3230="",I3230="",G3230=""),"",IFERROR(VLOOKUP(I3230,Setup!$A$9:$B$11,2,0),"???")&amp;"-"&amp;G3230&amp;"-"&amp;TEXT(COUNTIFS(I$5:I3230,I3230,G$5:G3230,G3230),"0000"))</f>
        <v/>
      </c>
      <c r="C3230" s="26"/>
      <c r="D3230" s="26"/>
      <c r="E3230" s="27"/>
      <c r="F3230" s="27"/>
      <c r="G3230" s="31" t="str">
        <f aca="false">IF(F3230="","",IF(F3230&lt;=5,"A",IF(F3230&lt;=8,"B",IF(F3230&lt;=10,"C","D"))))</f>
        <v/>
      </c>
      <c r="H3230" s="28"/>
      <c r="I3230" s="27"/>
      <c r="J3230" s="26"/>
      <c r="K3230" s="27"/>
      <c r="L3230" s="27"/>
      <c r="M3230" s="27"/>
      <c r="N3230" s="27"/>
      <c r="O3230" s="31" t="str">
        <f aca="false">IF(G3230="","",VLOOKUP(G3230,Setup!$A$14:$C$17,3,0))</f>
        <v/>
      </c>
      <c r="P3230" s="27"/>
      <c r="Q3230" s="33" t="str">
        <f aca="false">IF(OR(P3230="",M3230&lt;&gt;"Paid",O3230=""),"",P3230/O3230)</f>
        <v/>
      </c>
      <c r="R3230" s="34" t="str">
        <f aca="false">IF(Q3230="","",Q3230+N(H3230)*0.000000001)</f>
        <v/>
      </c>
      <c r="S3230" s="32" t="str">
        <f aca="false">IF(R3230="","",SUMPRODUCT((I$5:I$4004=I3230)*ISNUMBER(R$5:R$4004)*(R$5:R$4004&gt;R3230))+1)</f>
        <v/>
      </c>
      <c r="T3230" s="32" t="str">
        <f aca="false">IF(S3230="","",IF(S3230&lt;=Setup!$B$5,"🏆 WINNER",""))</f>
        <v/>
      </c>
      <c r="U3230" s="31" t="str">
        <f aca="false">IF(S3230="","",I3230&amp;"|"&amp;S3230)</f>
        <v/>
      </c>
    </row>
    <row r="3231" customFormat="false" ht="15" hidden="false" customHeight="false" outlineLevel="0" collapsed="false">
      <c r="A3231" s="24" t="n">
        <v>3227</v>
      </c>
      <c r="B3231" s="25" t="str">
        <f aca="false">IF(OR(C3231="",I3231="",G3231=""),"",IFERROR(VLOOKUP(I3231,Setup!$A$9:$B$11,2,0),"???")&amp;"-"&amp;G3231&amp;"-"&amp;TEXT(COUNTIFS(I$5:I3231,I3231,G$5:G3231,G3231),"0000"))</f>
        <v/>
      </c>
      <c r="C3231" s="26"/>
      <c r="D3231" s="26"/>
      <c r="E3231" s="27"/>
      <c r="F3231" s="27"/>
      <c r="G3231" s="24" t="str">
        <f aca="false">IF(F3231="","",IF(F3231&lt;=5,"A",IF(F3231&lt;=8,"B",IF(F3231&lt;=10,"C","D"))))</f>
        <v/>
      </c>
      <c r="H3231" s="28"/>
      <c r="I3231" s="27"/>
      <c r="J3231" s="26"/>
      <c r="K3231" s="27"/>
      <c r="L3231" s="27"/>
      <c r="M3231" s="27"/>
      <c r="N3231" s="27"/>
      <c r="O3231" s="24" t="str">
        <f aca="false">IF(G3231="","",VLOOKUP(G3231,Setup!$A$14:$C$17,3,0))</f>
        <v/>
      </c>
      <c r="P3231" s="27"/>
      <c r="Q3231" s="29" t="str">
        <f aca="false">IF(OR(P3231="",M3231&lt;&gt;"Paid",O3231=""),"",P3231/O3231)</f>
        <v/>
      </c>
      <c r="R3231" s="30" t="str">
        <f aca="false">IF(Q3231="","",Q3231+N(H3231)*0.000000001)</f>
        <v/>
      </c>
      <c r="S3231" s="25" t="str">
        <f aca="false">IF(R3231="","",SUMPRODUCT((I$5:I$4004=I3231)*ISNUMBER(R$5:R$4004)*(R$5:R$4004&gt;R3231))+1)</f>
        <v/>
      </c>
      <c r="T3231" s="25" t="str">
        <f aca="false">IF(S3231="","",IF(S3231&lt;=Setup!$B$5,"🏆 WINNER",""))</f>
        <v/>
      </c>
      <c r="U3231" s="24" t="str">
        <f aca="false">IF(S3231="","",I3231&amp;"|"&amp;S3231)</f>
        <v/>
      </c>
    </row>
    <row r="3232" customFormat="false" ht="15" hidden="false" customHeight="false" outlineLevel="0" collapsed="false">
      <c r="A3232" s="31" t="n">
        <v>3228</v>
      </c>
      <c r="B3232" s="32" t="str">
        <f aca="false">IF(OR(C3232="",I3232="",G3232=""),"",IFERROR(VLOOKUP(I3232,Setup!$A$9:$B$11,2,0),"???")&amp;"-"&amp;G3232&amp;"-"&amp;TEXT(COUNTIFS(I$5:I3232,I3232,G$5:G3232,G3232),"0000"))</f>
        <v/>
      </c>
      <c r="C3232" s="26"/>
      <c r="D3232" s="26"/>
      <c r="E3232" s="27"/>
      <c r="F3232" s="27"/>
      <c r="G3232" s="31" t="str">
        <f aca="false">IF(F3232="","",IF(F3232&lt;=5,"A",IF(F3232&lt;=8,"B",IF(F3232&lt;=10,"C","D"))))</f>
        <v/>
      </c>
      <c r="H3232" s="28"/>
      <c r="I3232" s="27"/>
      <c r="J3232" s="26"/>
      <c r="K3232" s="27"/>
      <c r="L3232" s="27"/>
      <c r="M3232" s="27"/>
      <c r="N3232" s="27"/>
      <c r="O3232" s="31" t="str">
        <f aca="false">IF(G3232="","",VLOOKUP(G3232,Setup!$A$14:$C$17,3,0))</f>
        <v/>
      </c>
      <c r="P3232" s="27"/>
      <c r="Q3232" s="33" t="str">
        <f aca="false">IF(OR(P3232="",M3232&lt;&gt;"Paid",O3232=""),"",P3232/O3232)</f>
        <v/>
      </c>
      <c r="R3232" s="34" t="str">
        <f aca="false">IF(Q3232="","",Q3232+N(H3232)*0.000000001)</f>
        <v/>
      </c>
      <c r="S3232" s="32" t="str">
        <f aca="false">IF(R3232="","",SUMPRODUCT((I$5:I$4004=I3232)*ISNUMBER(R$5:R$4004)*(R$5:R$4004&gt;R3232))+1)</f>
        <v/>
      </c>
      <c r="T3232" s="32" t="str">
        <f aca="false">IF(S3232="","",IF(S3232&lt;=Setup!$B$5,"🏆 WINNER",""))</f>
        <v/>
      </c>
      <c r="U3232" s="31" t="str">
        <f aca="false">IF(S3232="","",I3232&amp;"|"&amp;S3232)</f>
        <v/>
      </c>
    </row>
    <row r="3233" customFormat="false" ht="15" hidden="false" customHeight="false" outlineLevel="0" collapsed="false">
      <c r="A3233" s="24" t="n">
        <v>3229</v>
      </c>
      <c r="B3233" s="25" t="str">
        <f aca="false">IF(OR(C3233="",I3233="",G3233=""),"",IFERROR(VLOOKUP(I3233,Setup!$A$9:$B$11,2,0),"???")&amp;"-"&amp;G3233&amp;"-"&amp;TEXT(COUNTIFS(I$5:I3233,I3233,G$5:G3233,G3233),"0000"))</f>
        <v/>
      </c>
      <c r="C3233" s="26"/>
      <c r="D3233" s="26"/>
      <c r="E3233" s="27"/>
      <c r="F3233" s="27"/>
      <c r="G3233" s="24" t="str">
        <f aca="false">IF(F3233="","",IF(F3233&lt;=5,"A",IF(F3233&lt;=8,"B",IF(F3233&lt;=10,"C","D"))))</f>
        <v/>
      </c>
      <c r="H3233" s="28"/>
      <c r="I3233" s="27"/>
      <c r="J3233" s="26"/>
      <c r="K3233" s="27"/>
      <c r="L3233" s="27"/>
      <c r="M3233" s="27"/>
      <c r="N3233" s="27"/>
      <c r="O3233" s="24" t="str">
        <f aca="false">IF(G3233="","",VLOOKUP(G3233,Setup!$A$14:$C$17,3,0))</f>
        <v/>
      </c>
      <c r="P3233" s="27"/>
      <c r="Q3233" s="29" t="str">
        <f aca="false">IF(OR(P3233="",M3233&lt;&gt;"Paid",O3233=""),"",P3233/O3233)</f>
        <v/>
      </c>
      <c r="R3233" s="30" t="str">
        <f aca="false">IF(Q3233="","",Q3233+N(H3233)*0.000000001)</f>
        <v/>
      </c>
      <c r="S3233" s="25" t="str">
        <f aca="false">IF(R3233="","",SUMPRODUCT((I$5:I$4004=I3233)*ISNUMBER(R$5:R$4004)*(R$5:R$4004&gt;R3233))+1)</f>
        <v/>
      </c>
      <c r="T3233" s="25" t="str">
        <f aca="false">IF(S3233="","",IF(S3233&lt;=Setup!$B$5,"🏆 WINNER",""))</f>
        <v/>
      </c>
      <c r="U3233" s="24" t="str">
        <f aca="false">IF(S3233="","",I3233&amp;"|"&amp;S3233)</f>
        <v/>
      </c>
    </row>
    <row r="3234" customFormat="false" ht="15" hidden="false" customHeight="false" outlineLevel="0" collapsed="false">
      <c r="A3234" s="31" t="n">
        <v>3230</v>
      </c>
      <c r="B3234" s="32" t="str">
        <f aca="false">IF(OR(C3234="",I3234="",G3234=""),"",IFERROR(VLOOKUP(I3234,Setup!$A$9:$B$11,2,0),"???")&amp;"-"&amp;G3234&amp;"-"&amp;TEXT(COUNTIFS(I$5:I3234,I3234,G$5:G3234,G3234),"0000"))</f>
        <v/>
      </c>
      <c r="C3234" s="26"/>
      <c r="D3234" s="26"/>
      <c r="E3234" s="27"/>
      <c r="F3234" s="27"/>
      <c r="G3234" s="31" t="str">
        <f aca="false">IF(F3234="","",IF(F3234&lt;=5,"A",IF(F3234&lt;=8,"B",IF(F3234&lt;=10,"C","D"))))</f>
        <v/>
      </c>
      <c r="H3234" s="28"/>
      <c r="I3234" s="27"/>
      <c r="J3234" s="26"/>
      <c r="K3234" s="27"/>
      <c r="L3234" s="27"/>
      <c r="M3234" s="27"/>
      <c r="N3234" s="27"/>
      <c r="O3234" s="31" t="str">
        <f aca="false">IF(G3234="","",VLOOKUP(G3234,Setup!$A$14:$C$17,3,0))</f>
        <v/>
      </c>
      <c r="P3234" s="27"/>
      <c r="Q3234" s="33" t="str">
        <f aca="false">IF(OR(P3234="",M3234&lt;&gt;"Paid",O3234=""),"",P3234/O3234)</f>
        <v/>
      </c>
      <c r="R3234" s="34" t="str">
        <f aca="false">IF(Q3234="","",Q3234+N(H3234)*0.000000001)</f>
        <v/>
      </c>
      <c r="S3234" s="32" t="str">
        <f aca="false">IF(R3234="","",SUMPRODUCT((I$5:I$4004=I3234)*ISNUMBER(R$5:R$4004)*(R$5:R$4004&gt;R3234))+1)</f>
        <v/>
      </c>
      <c r="T3234" s="32" t="str">
        <f aca="false">IF(S3234="","",IF(S3234&lt;=Setup!$B$5,"🏆 WINNER",""))</f>
        <v/>
      </c>
      <c r="U3234" s="31" t="str">
        <f aca="false">IF(S3234="","",I3234&amp;"|"&amp;S3234)</f>
        <v/>
      </c>
    </row>
    <row r="3235" customFormat="false" ht="15" hidden="false" customHeight="false" outlineLevel="0" collapsed="false">
      <c r="A3235" s="24" t="n">
        <v>3231</v>
      </c>
      <c r="B3235" s="25" t="str">
        <f aca="false">IF(OR(C3235="",I3235="",G3235=""),"",IFERROR(VLOOKUP(I3235,Setup!$A$9:$B$11,2,0),"???")&amp;"-"&amp;G3235&amp;"-"&amp;TEXT(COUNTIFS(I$5:I3235,I3235,G$5:G3235,G3235),"0000"))</f>
        <v/>
      </c>
      <c r="C3235" s="26"/>
      <c r="D3235" s="26"/>
      <c r="E3235" s="27"/>
      <c r="F3235" s="27"/>
      <c r="G3235" s="24" t="str">
        <f aca="false">IF(F3235="","",IF(F3235&lt;=5,"A",IF(F3235&lt;=8,"B",IF(F3235&lt;=10,"C","D"))))</f>
        <v/>
      </c>
      <c r="H3235" s="28"/>
      <c r="I3235" s="27"/>
      <c r="J3235" s="26"/>
      <c r="K3235" s="27"/>
      <c r="L3235" s="27"/>
      <c r="M3235" s="27"/>
      <c r="N3235" s="27"/>
      <c r="O3235" s="24" t="str">
        <f aca="false">IF(G3235="","",VLOOKUP(G3235,Setup!$A$14:$C$17,3,0))</f>
        <v/>
      </c>
      <c r="P3235" s="27"/>
      <c r="Q3235" s="29" t="str">
        <f aca="false">IF(OR(P3235="",M3235&lt;&gt;"Paid",O3235=""),"",P3235/O3235)</f>
        <v/>
      </c>
      <c r="R3235" s="30" t="str">
        <f aca="false">IF(Q3235="","",Q3235+N(H3235)*0.000000001)</f>
        <v/>
      </c>
      <c r="S3235" s="25" t="str">
        <f aca="false">IF(R3235="","",SUMPRODUCT((I$5:I$4004=I3235)*ISNUMBER(R$5:R$4004)*(R$5:R$4004&gt;R3235))+1)</f>
        <v/>
      </c>
      <c r="T3235" s="25" t="str">
        <f aca="false">IF(S3235="","",IF(S3235&lt;=Setup!$B$5,"🏆 WINNER",""))</f>
        <v/>
      </c>
      <c r="U3235" s="24" t="str">
        <f aca="false">IF(S3235="","",I3235&amp;"|"&amp;S3235)</f>
        <v/>
      </c>
    </row>
    <row r="3236" customFormat="false" ht="15" hidden="false" customHeight="false" outlineLevel="0" collapsed="false">
      <c r="A3236" s="31" t="n">
        <v>3232</v>
      </c>
      <c r="B3236" s="32" t="str">
        <f aca="false">IF(OR(C3236="",I3236="",G3236=""),"",IFERROR(VLOOKUP(I3236,Setup!$A$9:$B$11,2,0),"???")&amp;"-"&amp;G3236&amp;"-"&amp;TEXT(COUNTIFS(I$5:I3236,I3236,G$5:G3236,G3236),"0000"))</f>
        <v/>
      </c>
      <c r="C3236" s="26"/>
      <c r="D3236" s="26"/>
      <c r="E3236" s="27"/>
      <c r="F3236" s="27"/>
      <c r="G3236" s="31" t="str">
        <f aca="false">IF(F3236="","",IF(F3236&lt;=5,"A",IF(F3236&lt;=8,"B",IF(F3236&lt;=10,"C","D"))))</f>
        <v/>
      </c>
      <c r="H3236" s="28"/>
      <c r="I3236" s="27"/>
      <c r="J3236" s="26"/>
      <c r="K3236" s="27"/>
      <c r="L3236" s="27"/>
      <c r="M3236" s="27"/>
      <c r="N3236" s="27"/>
      <c r="O3236" s="31" t="str">
        <f aca="false">IF(G3236="","",VLOOKUP(G3236,Setup!$A$14:$C$17,3,0))</f>
        <v/>
      </c>
      <c r="P3236" s="27"/>
      <c r="Q3236" s="33" t="str">
        <f aca="false">IF(OR(P3236="",M3236&lt;&gt;"Paid",O3236=""),"",P3236/O3236)</f>
        <v/>
      </c>
      <c r="R3236" s="34" t="str">
        <f aca="false">IF(Q3236="","",Q3236+N(H3236)*0.000000001)</f>
        <v/>
      </c>
      <c r="S3236" s="32" t="str">
        <f aca="false">IF(R3236="","",SUMPRODUCT((I$5:I$4004=I3236)*ISNUMBER(R$5:R$4004)*(R$5:R$4004&gt;R3236))+1)</f>
        <v/>
      </c>
      <c r="T3236" s="32" t="str">
        <f aca="false">IF(S3236="","",IF(S3236&lt;=Setup!$B$5,"🏆 WINNER",""))</f>
        <v/>
      </c>
      <c r="U3236" s="31" t="str">
        <f aca="false">IF(S3236="","",I3236&amp;"|"&amp;S3236)</f>
        <v/>
      </c>
    </row>
    <row r="3237" customFormat="false" ht="15" hidden="false" customHeight="false" outlineLevel="0" collapsed="false">
      <c r="A3237" s="24" t="n">
        <v>3233</v>
      </c>
      <c r="B3237" s="25" t="str">
        <f aca="false">IF(OR(C3237="",I3237="",G3237=""),"",IFERROR(VLOOKUP(I3237,Setup!$A$9:$B$11,2,0),"???")&amp;"-"&amp;G3237&amp;"-"&amp;TEXT(COUNTIFS(I$5:I3237,I3237,G$5:G3237,G3237),"0000"))</f>
        <v/>
      </c>
      <c r="C3237" s="26"/>
      <c r="D3237" s="26"/>
      <c r="E3237" s="27"/>
      <c r="F3237" s="27"/>
      <c r="G3237" s="24" t="str">
        <f aca="false">IF(F3237="","",IF(F3237&lt;=5,"A",IF(F3237&lt;=8,"B",IF(F3237&lt;=10,"C","D"))))</f>
        <v/>
      </c>
      <c r="H3237" s="28"/>
      <c r="I3237" s="27"/>
      <c r="J3237" s="26"/>
      <c r="K3237" s="27"/>
      <c r="L3237" s="27"/>
      <c r="M3237" s="27"/>
      <c r="N3237" s="27"/>
      <c r="O3237" s="24" t="str">
        <f aca="false">IF(G3237="","",VLOOKUP(G3237,Setup!$A$14:$C$17,3,0))</f>
        <v/>
      </c>
      <c r="P3237" s="27"/>
      <c r="Q3237" s="29" t="str">
        <f aca="false">IF(OR(P3237="",M3237&lt;&gt;"Paid",O3237=""),"",P3237/O3237)</f>
        <v/>
      </c>
      <c r="R3237" s="30" t="str">
        <f aca="false">IF(Q3237="","",Q3237+N(H3237)*0.000000001)</f>
        <v/>
      </c>
      <c r="S3237" s="25" t="str">
        <f aca="false">IF(R3237="","",SUMPRODUCT((I$5:I$4004=I3237)*ISNUMBER(R$5:R$4004)*(R$5:R$4004&gt;R3237))+1)</f>
        <v/>
      </c>
      <c r="T3237" s="25" t="str">
        <f aca="false">IF(S3237="","",IF(S3237&lt;=Setup!$B$5,"🏆 WINNER",""))</f>
        <v/>
      </c>
      <c r="U3237" s="24" t="str">
        <f aca="false">IF(S3237="","",I3237&amp;"|"&amp;S3237)</f>
        <v/>
      </c>
    </row>
    <row r="3238" customFormat="false" ht="15" hidden="false" customHeight="false" outlineLevel="0" collapsed="false">
      <c r="A3238" s="31" t="n">
        <v>3234</v>
      </c>
      <c r="B3238" s="32" t="str">
        <f aca="false">IF(OR(C3238="",I3238="",G3238=""),"",IFERROR(VLOOKUP(I3238,Setup!$A$9:$B$11,2,0),"???")&amp;"-"&amp;G3238&amp;"-"&amp;TEXT(COUNTIFS(I$5:I3238,I3238,G$5:G3238,G3238),"0000"))</f>
        <v/>
      </c>
      <c r="C3238" s="26"/>
      <c r="D3238" s="26"/>
      <c r="E3238" s="27"/>
      <c r="F3238" s="27"/>
      <c r="G3238" s="31" t="str">
        <f aca="false">IF(F3238="","",IF(F3238&lt;=5,"A",IF(F3238&lt;=8,"B",IF(F3238&lt;=10,"C","D"))))</f>
        <v/>
      </c>
      <c r="H3238" s="28"/>
      <c r="I3238" s="27"/>
      <c r="J3238" s="26"/>
      <c r="K3238" s="27"/>
      <c r="L3238" s="27"/>
      <c r="M3238" s="27"/>
      <c r="N3238" s="27"/>
      <c r="O3238" s="31" t="str">
        <f aca="false">IF(G3238="","",VLOOKUP(G3238,Setup!$A$14:$C$17,3,0))</f>
        <v/>
      </c>
      <c r="P3238" s="27"/>
      <c r="Q3238" s="33" t="str">
        <f aca="false">IF(OR(P3238="",M3238&lt;&gt;"Paid",O3238=""),"",P3238/O3238)</f>
        <v/>
      </c>
      <c r="R3238" s="34" t="str">
        <f aca="false">IF(Q3238="","",Q3238+N(H3238)*0.000000001)</f>
        <v/>
      </c>
      <c r="S3238" s="32" t="str">
        <f aca="false">IF(R3238="","",SUMPRODUCT((I$5:I$4004=I3238)*ISNUMBER(R$5:R$4004)*(R$5:R$4004&gt;R3238))+1)</f>
        <v/>
      </c>
      <c r="T3238" s="32" t="str">
        <f aca="false">IF(S3238="","",IF(S3238&lt;=Setup!$B$5,"🏆 WINNER",""))</f>
        <v/>
      </c>
      <c r="U3238" s="31" t="str">
        <f aca="false">IF(S3238="","",I3238&amp;"|"&amp;S3238)</f>
        <v/>
      </c>
    </row>
    <row r="3239" customFormat="false" ht="15" hidden="false" customHeight="false" outlineLevel="0" collapsed="false">
      <c r="A3239" s="24" t="n">
        <v>3235</v>
      </c>
      <c r="B3239" s="25" t="str">
        <f aca="false">IF(OR(C3239="",I3239="",G3239=""),"",IFERROR(VLOOKUP(I3239,Setup!$A$9:$B$11,2,0),"???")&amp;"-"&amp;G3239&amp;"-"&amp;TEXT(COUNTIFS(I$5:I3239,I3239,G$5:G3239,G3239),"0000"))</f>
        <v/>
      </c>
      <c r="C3239" s="26"/>
      <c r="D3239" s="26"/>
      <c r="E3239" s="27"/>
      <c r="F3239" s="27"/>
      <c r="G3239" s="24" t="str">
        <f aca="false">IF(F3239="","",IF(F3239&lt;=5,"A",IF(F3239&lt;=8,"B",IF(F3239&lt;=10,"C","D"))))</f>
        <v/>
      </c>
      <c r="H3239" s="28"/>
      <c r="I3239" s="27"/>
      <c r="J3239" s="26"/>
      <c r="K3239" s="27"/>
      <c r="L3239" s="27"/>
      <c r="M3239" s="27"/>
      <c r="N3239" s="27"/>
      <c r="O3239" s="24" t="str">
        <f aca="false">IF(G3239="","",VLOOKUP(G3239,Setup!$A$14:$C$17,3,0))</f>
        <v/>
      </c>
      <c r="P3239" s="27"/>
      <c r="Q3239" s="29" t="str">
        <f aca="false">IF(OR(P3239="",M3239&lt;&gt;"Paid",O3239=""),"",P3239/O3239)</f>
        <v/>
      </c>
      <c r="R3239" s="30" t="str">
        <f aca="false">IF(Q3239="","",Q3239+N(H3239)*0.000000001)</f>
        <v/>
      </c>
      <c r="S3239" s="25" t="str">
        <f aca="false">IF(R3239="","",SUMPRODUCT((I$5:I$4004=I3239)*ISNUMBER(R$5:R$4004)*(R$5:R$4004&gt;R3239))+1)</f>
        <v/>
      </c>
      <c r="T3239" s="25" t="str">
        <f aca="false">IF(S3239="","",IF(S3239&lt;=Setup!$B$5,"🏆 WINNER",""))</f>
        <v/>
      </c>
      <c r="U3239" s="24" t="str">
        <f aca="false">IF(S3239="","",I3239&amp;"|"&amp;S3239)</f>
        <v/>
      </c>
    </row>
    <row r="3240" customFormat="false" ht="15" hidden="false" customHeight="false" outlineLevel="0" collapsed="false">
      <c r="A3240" s="31" t="n">
        <v>3236</v>
      </c>
      <c r="B3240" s="32" t="str">
        <f aca="false">IF(OR(C3240="",I3240="",G3240=""),"",IFERROR(VLOOKUP(I3240,Setup!$A$9:$B$11,2,0),"???")&amp;"-"&amp;G3240&amp;"-"&amp;TEXT(COUNTIFS(I$5:I3240,I3240,G$5:G3240,G3240),"0000"))</f>
        <v/>
      </c>
      <c r="C3240" s="26"/>
      <c r="D3240" s="26"/>
      <c r="E3240" s="27"/>
      <c r="F3240" s="27"/>
      <c r="G3240" s="31" t="str">
        <f aca="false">IF(F3240="","",IF(F3240&lt;=5,"A",IF(F3240&lt;=8,"B",IF(F3240&lt;=10,"C","D"))))</f>
        <v/>
      </c>
      <c r="H3240" s="28"/>
      <c r="I3240" s="27"/>
      <c r="J3240" s="26"/>
      <c r="K3240" s="27"/>
      <c r="L3240" s="27"/>
      <c r="M3240" s="27"/>
      <c r="N3240" s="27"/>
      <c r="O3240" s="31" t="str">
        <f aca="false">IF(G3240="","",VLOOKUP(G3240,Setup!$A$14:$C$17,3,0))</f>
        <v/>
      </c>
      <c r="P3240" s="27"/>
      <c r="Q3240" s="33" t="str">
        <f aca="false">IF(OR(P3240="",M3240&lt;&gt;"Paid",O3240=""),"",P3240/O3240)</f>
        <v/>
      </c>
      <c r="R3240" s="34" t="str">
        <f aca="false">IF(Q3240="","",Q3240+N(H3240)*0.000000001)</f>
        <v/>
      </c>
      <c r="S3240" s="32" t="str">
        <f aca="false">IF(R3240="","",SUMPRODUCT((I$5:I$4004=I3240)*ISNUMBER(R$5:R$4004)*(R$5:R$4004&gt;R3240))+1)</f>
        <v/>
      </c>
      <c r="T3240" s="32" t="str">
        <f aca="false">IF(S3240="","",IF(S3240&lt;=Setup!$B$5,"🏆 WINNER",""))</f>
        <v/>
      </c>
      <c r="U3240" s="31" t="str">
        <f aca="false">IF(S3240="","",I3240&amp;"|"&amp;S3240)</f>
        <v/>
      </c>
    </row>
    <row r="3241" customFormat="false" ht="15" hidden="false" customHeight="false" outlineLevel="0" collapsed="false">
      <c r="A3241" s="24" t="n">
        <v>3237</v>
      </c>
      <c r="B3241" s="25" t="str">
        <f aca="false">IF(OR(C3241="",I3241="",G3241=""),"",IFERROR(VLOOKUP(I3241,Setup!$A$9:$B$11,2,0),"???")&amp;"-"&amp;G3241&amp;"-"&amp;TEXT(COUNTIFS(I$5:I3241,I3241,G$5:G3241,G3241),"0000"))</f>
        <v/>
      </c>
      <c r="C3241" s="26"/>
      <c r="D3241" s="26"/>
      <c r="E3241" s="27"/>
      <c r="F3241" s="27"/>
      <c r="G3241" s="24" t="str">
        <f aca="false">IF(F3241="","",IF(F3241&lt;=5,"A",IF(F3241&lt;=8,"B",IF(F3241&lt;=10,"C","D"))))</f>
        <v/>
      </c>
      <c r="H3241" s="28"/>
      <c r="I3241" s="27"/>
      <c r="J3241" s="26"/>
      <c r="K3241" s="27"/>
      <c r="L3241" s="27"/>
      <c r="M3241" s="27"/>
      <c r="N3241" s="27"/>
      <c r="O3241" s="24" t="str">
        <f aca="false">IF(G3241="","",VLOOKUP(G3241,Setup!$A$14:$C$17,3,0))</f>
        <v/>
      </c>
      <c r="P3241" s="27"/>
      <c r="Q3241" s="29" t="str">
        <f aca="false">IF(OR(P3241="",M3241&lt;&gt;"Paid",O3241=""),"",P3241/O3241)</f>
        <v/>
      </c>
      <c r="R3241" s="30" t="str">
        <f aca="false">IF(Q3241="","",Q3241+N(H3241)*0.000000001)</f>
        <v/>
      </c>
      <c r="S3241" s="25" t="str">
        <f aca="false">IF(R3241="","",SUMPRODUCT((I$5:I$4004=I3241)*ISNUMBER(R$5:R$4004)*(R$5:R$4004&gt;R3241))+1)</f>
        <v/>
      </c>
      <c r="T3241" s="25" t="str">
        <f aca="false">IF(S3241="","",IF(S3241&lt;=Setup!$B$5,"🏆 WINNER",""))</f>
        <v/>
      </c>
      <c r="U3241" s="24" t="str">
        <f aca="false">IF(S3241="","",I3241&amp;"|"&amp;S3241)</f>
        <v/>
      </c>
    </row>
    <row r="3242" customFormat="false" ht="15" hidden="false" customHeight="false" outlineLevel="0" collapsed="false">
      <c r="A3242" s="31" t="n">
        <v>3238</v>
      </c>
      <c r="B3242" s="32" t="str">
        <f aca="false">IF(OR(C3242="",I3242="",G3242=""),"",IFERROR(VLOOKUP(I3242,Setup!$A$9:$B$11,2,0),"???")&amp;"-"&amp;G3242&amp;"-"&amp;TEXT(COUNTIFS(I$5:I3242,I3242,G$5:G3242,G3242),"0000"))</f>
        <v/>
      </c>
      <c r="C3242" s="26"/>
      <c r="D3242" s="26"/>
      <c r="E3242" s="27"/>
      <c r="F3242" s="27"/>
      <c r="G3242" s="31" t="str">
        <f aca="false">IF(F3242="","",IF(F3242&lt;=5,"A",IF(F3242&lt;=8,"B",IF(F3242&lt;=10,"C","D"))))</f>
        <v/>
      </c>
      <c r="H3242" s="28"/>
      <c r="I3242" s="27"/>
      <c r="J3242" s="26"/>
      <c r="K3242" s="27"/>
      <c r="L3242" s="27"/>
      <c r="M3242" s="27"/>
      <c r="N3242" s="27"/>
      <c r="O3242" s="31" t="str">
        <f aca="false">IF(G3242="","",VLOOKUP(G3242,Setup!$A$14:$C$17,3,0))</f>
        <v/>
      </c>
      <c r="P3242" s="27"/>
      <c r="Q3242" s="33" t="str">
        <f aca="false">IF(OR(P3242="",M3242&lt;&gt;"Paid",O3242=""),"",P3242/O3242)</f>
        <v/>
      </c>
      <c r="R3242" s="34" t="str">
        <f aca="false">IF(Q3242="","",Q3242+N(H3242)*0.000000001)</f>
        <v/>
      </c>
      <c r="S3242" s="32" t="str">
        <f aca="false">IF(R3242="","",SUMPRODUCT((I$5:I$4004=I3242)*ISNUMBER(R$5:R$4004)*(R$5:R$4004&gt;R3242))+1)</f>
        <v/>
      </c>
      <c r="T3242" s="32" t="str">
        <f aca="false">IF(S3242="","",IF(S3242&lt;=Setup!$B$5,"🏆 WINNER",""))</f>
        <v/>
      </c>
      <c r="U3242" s="31" t="str">
        <f aca="false">IF(S3242="","",I3242&amp;"|"&amp;S3242)</f>
        <v/>
      </c>
    </row>
    <row r="3243" customFormat="false" ht="15" hidden="false" customHeight="false" outlineLevel="0" collapsed="false">
      <c r="A3243" s="24" t="n">
        <v>3239</v>
      </c>
      <c r="B3243" s="25" t="str">
        <f aca="false">IF(OR(C3243="",I3243="",G3243=""),"",IFERROR(VLOOKUP(I3243,Setup!$A$9:$B$11,2,0),"???")&amp;"-"&amp;G3243&amp;"-"&amp;TEXT(COUNTIFS(I$5:I3243,I3243,G$5:G3243,G3243),"0000"))</f>
        <v/>
      </c>
      <c r="C3243" s="26"/>
      <c r="D3243" s="26"/>
      <c r="E3243" s="27"/>
      <c r="F3243" s="27"/>
      <c r="G3243" s="24" t="str">
        <f aca="false">IF(F3243="","",IF(F3243&lt;=5,"A",IF(F3243&lt;=8,"B",IF(F3243&lt;=10,"C","D"))))</f>
        <v/>
      </c>
      <c r="H3243" s="28"/>
      <c r="I3243" s="27"/>
      <c r="J3243" s="26"/>
      <c r="K3243" s="27"/>
      <c r="L3243" s="27"/>
      <c r="M3243" s="27"/>
      <c r="N3243" s="27"/>
      <c r="O3243" s="24" t="str">
        <f aca="false">IF(G3243="","",VLOOKUP(G3243,Setup!$A$14:$C$17,3,0))</f>
        <v/>
      </c>
      <c r="P3243" s="27"/>
      <c r="Q3243" s="29" t="str">
        <f aca="false">IF(OR(P3243="",M3243&lt;&gt;"Paid",O3243=""),"",P3243/O3243)</f>
        <v/>
      </c>
      <c r="R3243" s="30" t="str">
        <f aca="false">IF(Q3243="","",Q3243+N(H3243)*0.000000001)</f>
        <v/>
      </c>
      <c r="S3243" s="25" t="str">
        <f aca="false">IF(R3243="","",SUMPRODUCT((I$5:I$4004=I3243)*ISNUMBER(R$5:R$4004)*(R$5:R$4004&gt;R3243))+1)</f>
        <v/>
      </c>
      <c r="T3243" s="25" t="str">
        <f aca="false">IF(S3243="","",IF(S3243&lt;=Setup!$B$5,"🏆 WINNER",""))</f>
        <v/>
      </c>
      <c r="U3243" s="24" t="str">
        <f aca="false">IF(S3243="","",I3243&amp;"|"&amp;S3243)</f>
        <v/>
      </c>
    </row>
    <row r="3244" customFormat="false" ht="15" hidden="false" customHeight="false" outlineLevel="0" collapsed="false">
      <c r="A3244" s="31" t="n">
        <v>3240</v>
      </c>
      <c r="B3244" s="32" t="str">
        <f aca="false">IF(OR(C3244="",I3244="",G3244=""),"",IFERROR(VLOOKUP(I3244,Setup!$A$9:$B$11,2,0),"???")&amp;"-"&amp;G3244&amp;"-"&amp;TEXT(COUNTIFS(I$5:I3244,I3244,G$5:G3244,G3244),"0000"))</f>
        <v/>
      </c>
      <c r="C3244" s="26"/>
      <c r="D3244" s="26"/>
      <c r="E3244" s="27"/>
      <c r="F3244" s="27"/>
      <c r="G3244" s="31" t="str">
        <f aca="false">IF(F3244="","",IF(F3244&lt;=5,"A",IF(F3244&lt;=8,"B",IF(F3244&lt;=10,"C","D"))))</f>
        <v/>
      </c>
      <c r="H3244" s="28"/>
      <c r="I3244" s="27"/>
      <c r="J3244" s="26"/>
      <c r="K3244" s="27"/>
      <c r="L3244" s="27"/>
      <c r="M3244" s="27"/>
      <c r="N3244" s="27"/>
      <c r="O3244" s="31" t="str">
        <f aca="false">IF(G3244="","",VLOOKUP(G3244,Setup!$A$14:$C$17,3,0))</f>
        <v/>
      </c>
      <c r="P3244" s="27"/>
      <c r="Q3244" s="33" t="str">
        <f aca="false">IF(OR(P3244="",M3244&lt;&gt;"Paid",O3244=""),"",P3244/O3244)</f>
        <v/>
      </c>
      <c r="R3244" s="34" t="str">
        <f aca="false">IF(Q3244="","",Q3244+N(H3244)*0.000000001)</f>
        <v/>
      </c>
      <c r="S3244" s="32" t="str">
        <f aca="false">IF(R3244="","",SUMPRODUCT((I$5:I$4004=I3244)*ISNUMBER(R$5:R$4004)*(R$5:R$4004&gt;R3244))+1)</f>
        <v/>
      </c>
      <c r="T3244" s="32" t="str">
        <f aca="false">IF(S3244="","",IF(S3244&lt;=Setup!$B$5,"🏆 WINNER",""))</f>
        <v/>
      </c>
      <c r="U3244" s="31" t="str">
        <f aca="false">IF(S3244="","",I3244&amp;"|"&amp;S3244)</f>
        <v/>
      </c>
    </row>
    <row r="3245" customFormat="false" ht="15" hidden="false" customHeight="false" outlineLevel="0" collapsed="false">
      <c r="A3245" s="24" t="n">
        <v>3241</v>
      </c>
      <c r="B3245" s="25" t="str">
        <f aca="false">IF(OR(C3245="",I3245="",G3245=""),"",IFERROR(VLOOKUP(I3245,Setup!$A$9:$B$11,2,0),"???")&amp;"-"&amp;G3245&amp;"-"&amp;TEXT(COUNTIFS(I$5:I3245,I3245,G$5:G3245,G3245),"0000"))</f>
        <v/>
      </c>
      <c r="C3245" s="26"/>
      <c r="D3245" s="26"/>
      <c r="E3245" s="27"/>
      <c r="F3245" s="27"/>
      <c r="G3245" s="24" t="str">
        <f aca="false">IF(F3245="","",IF(F3245&lt;=5,"A",IF(F3245&lt;=8,"B",IF(F3245&lt;=10,"C","D"))))</f>
        <v/>
      </c>
      <c r="H3245" s="28"/>
      <c r="I3245" s="27"/>
      <c r="J3245" s="26"/>
      <c r="K3245" s="27"/>
      <c r="L3245" s="27"/>
      <c r="M3245" s="27"/>
      <c r="N3245" s="27"/>
      <c r="O3245" s="24" t="str">
        <f aca="false">IF(G3245="","",VLOOKUP(G3245,Setup!$A$14:$C$17,3,0))</f>
        <v/>
      </c>
      <c r="P3245" s="27"/>
      <c r="Q3245" s="29" t="str">
        <f aca="false">IF(OR(P3245="",M3245&lt;&gt;"Paid",O3245=""),"",P3245/O3245)</f>
        <v/>
      </c>
      <c r="R3245" s="30" t="str">
        <f aca="false">IF(Q3245="","",Q3245+N(H3245)*0.000000001)</f>
        <v/>
      </c>
      <c r="S3245" s="25" t="str">
        <f aca="false">IF(R3245="","",SUMPRODUCT((I$5:I$4004=I3245)*ISNUMBER(R$5:R$4004)*(R$5:R$4004&gt;R3245))+1)</f>
        <v/>
      </c>
      <c r="T3245" s="25" t="str">
        <f aca="false">IF(S3245="","",IF(S3245&lt;=Setup!$B$5,"🏆 WINNER",""))</f>
        <v/>
      </c>
      <c r="U3245" s="24" t="str">
        <f aca="false">IF(S3245="","",I3245&amp;"|"&amp;S3245)</f>
        <v/>
      </c>
    </row>
    <row r="3246" customFormat="false" ht="15" hidden="false" customHeight="false" outlineLevel="0" collapsed="false">
      <c r="A3246" s="31" t="n">
        <v>3242</v>
      </c>
      <c r="B3246" s="32" t="str">
        <f aca="false">IF(OR(C3246="",I3246="",G3246=""),"",IFERROR(VLOOKUP(I3246,Setup!$A$9:$B$11,2,0),"???")&amp;"-"&amp;G3246&amp;"-"&amp;TEXT(COUNTIFS(I$5:I3246,I3246,G$5:G3246,G3246),"0000"))</f>
        <v/>
      </c>
      <c r="C3246" s="26"/>
      <c r="D3246" s="26"/>
      <c r="E3246" s="27"/>
      <c r="F3246" s="27"/>
      <c r="G3246" s="31" t="str">
        <f aca="false">IF(F3246="","",IF(F3246&lt;=5,"A",IF(F3246&lt;=8,"B",IF(F3246&lt;=10,"C","D"))))</f>
        <v/>
      </c>
      <c r="H3246" s="28"/>
      <c r="I3246" s="27"/>
      <c r="J3246" s="26"/>
      <c r="K3246" s="27"/>
      <c r="L3246" s="27"/>
      <c r="M3246" s="27"/>
      <c r="N3246" s="27"/>
      <c r="O3246" s="31" t="str">
        <f aca="false">IF(G3246="","",VLOOKUP(G3246,Setup!$A$14:$C$17,3,0))</f>
        <v/>
      </c>
      <c r="P3246" s="27"/>
      <c r="Q3246" s="33" t="str">
        <f aca="false">IF(OR(P3246="",M3246&lt;&gt;"Paid",O3246=""),"",P3246/O3246)</f>
        <v/>
      </c>
      <c r="R3246" s="34" t="str">
        <f aca="false">IF(Q3246="","",Q3246+N(H3246)*0.000000001)</f>
        <v/>
      </c>
      <c r="S3246" s="32" t="str">
        <f aca="false">IF(R3246="","",SUMPRODUCT((I$5:I$4004=I3246)*ISNUMBER(R$5:R$4004)*(R$5:R$4004&gt;R3246))+1)</f>
        <v/>
      </c>
      <c r="T3246" s="32" t="str">
        <f aca="false">IF(S3246="","",IF(S3246&lt;=Setup!$B$5,"🏆 WINNER",""))</f>
        <v/>
      </c>
      <c r="U3246" s="31" t="str">
        <f aca="false">IF(S3246="","",I3246&amp;"|"&amp;S3246)</f>
        <v/>
      </c>
    </row>
    <row r="3247" customFormat="false" ht="15" hidden="false" customHeight="false" outlineLevel="0" collapsed="false">
      <c r="A3247" s="24" t="n">
        <v>3243</v>
      </c>
      <c r="B3247" s="25" t="str">
        <f aca="false">IF(OR(C3247="",I3247="",G3247=""),"",IFERROR(VLOOKUP(I3247,Setup!$A$9:$B$11,2,0),"???")&amp;"-"&amp;G3247&amp;"-"&amp;TEXT(COUNTIFS(I$5:I3247,I3247,G$5:G3247,G3247),"0000"))</f>
        <v/>
      </c>
      <c r="C3247" s="26"/>
      <c r="D3247" s="26"/>
      <c r="E3247" s="27"/>
      <c r="F3247" s="27"/>
      <c r="G3247" s="24" t="str">
        <f aca="false">IF(F3247="","",IF(F3247&lt;=5,"A",IF(F3247&lt;=8,"B",IF(F3247&lt;=10,"C","D"))))</f>
        <v/>
      </c>
      <c r="H3247" s="28"/>
      <c r="I3247" s="27"/>
      <c r="J3247" s="26"/>
      <c r="K3247" s="27"/>
      <c r="L3247" s="27"/>
      <c r="M3247" s="27"/>
      <c r="N3247" s="27"/>
      <c r="O3247" s="24" t="str">
        <f aca="false">IF(G3247="","",VLOOKUP(G3247,Setup!$A$14:$C$17,3,0))</f>
        <v/>
      </c>
      <c r="P3247" s="27"/>
      <c r="Q3247" s="29" t="str">
        <f aca="false">IF(OR(P3247="",M3247&lt;&gt;"Paid",O3247=""),"",P3247/O3247)</f>
        <v/>
      </c>
      <c r="R3247" s="30" t="str">
        <f aca="false">IF(Q3247="","",Q3247+N(H3247)*0.000000001)</f>
        <v/>
      </c>
      <c r="S3247" s="25" t="str">
        <f aca="false">IF(R3247="","",SUMPRODUCT((I$5:I$4004=I3247)*ISNUMBER(R$5:R$4004)*(R$5:R$4004&gt;R3247))+1)</f>
        <v/>
      </c>
      <c r="T3247" s="25" t="str">
        <f aca="false">IF(S3247="","",IF(S3247&lt;=Setup!$B$5,"🏆 WINNER",""))</f>
        <v/>
      </c>
      <c r="U3247" s="24" t="str">
        <f aca="false">IF(S3247="","",I3247&amp;"|"&amp;S3247)</f>
        <v/>
      </c>
    </row>
    <row r="3248" customFormat="false" ht="15" hidden="false" customHeight="false" outlineLevel="0" collapsed="false">
      <c r="A3248" s="31" t="n">
        <v>3244</v>
      </c>
      <c r="B3248" s="32" t="str">
        <f aca="false">IF(OR(C3248="",I3248="",G3248=""),"",IFERROR(VLOOKUP(I3248,Setup!$A$9:$B$11,2,0),"???")&amp;"-"&amp;G3248&amp;"-"&amp;TEXT(COUNTIFS(I$5:I3248,I3248,G$5:G3248,G3248),"0000"))</f>
        <v/>
      </c>
      <c r="C3248" s="26"/>
      <c r="D3248" s="26"/>
      <c r="E3248" s="27"/>
      <c r="F3248" s="27"/>
      <c r="G3248" s="31" t="str">
        <f aca="false">IF(F3248="","",IF(F3248&lt;=5,"A",IF(F3248&lt;=8,"B",IF(F3248&lt;=10,"C","D"))))</f>
        <v/>
      </c>
      <c r="H3248" s="28"/>
      <c r="I3248" s="27"/>
      <c r="J3248" s="26"/>
      <c r="K3248" s="27"/>
      <c r="L3248" s="27"/>
      <c r="M3248" s="27"/>
      <c r="N3248" s="27"/>
      <c r="O3248" s="31" t="str">
        <f aca="false">IF(G3248="","",VLOOKUP(G3248,Setup!$A$14:$C$17,3,0))</f>
        <v/>
      </c>
      <c r="P3248" s="27"/>
      <c r="Q3248" s="33" t="str">
        <f aca="false">IF(OR(P3248="",M3248&lt;&gt;"Paid",O3248=""),"",P3248/O3248)</f>
        <v/>
      </c>
      <c r="R3248" s="34" t="str">
        <f aca="false">IF(Q3248="","",Q3248+N(H3248)*0.000000001)</f>
        <v/>
      </c>
      <c r="S3248" s="32" t="str">
        <f aca="false">IF(R3248="","",SUMPRODUCT((I$5:I$4004=I3248)*ISNUMBER(R$5:R$4004)*(R$5:R$4004&gt;R3248))+1)</f>
        <v/>
      </c>
      <c r="T3248" s="32" t="str">
        <f aca="false">IF(S3248="","",IF(S3248&lt;=Setup!$B$5,"🏆 WINNER",""))</f>
        <v/>
      </c>
      <c r="U3248" s="31" t="str">
        <f aca="false">IF(S3248="","",I3248&amp;"|"&amp;S3248)</f>
        <v/>
      </c>
    </row>
    <row r="3249" customFormat="false" ht="15" hidden="false" customHeight="false" outlineLevel="0" collapsed="false">
      <c r="A3249" s="24" t="n">
        <v>3245</v>
      </c>
      <c r="B3249" s="25" t="str">
        <f aca="false">IF(OR(C3249="",I3249="",G3249=""),"",IFERROR(VLOOKUP(I3249,Setup!$A$9:$B$11,2,0),"???")&amp;"-"&amp;G3249&amp;"-"&amp;TEXT(COUNTIFS(I$5:I3249,I3249,G$5:G3249,G3249),"0000"))</f>
        <v/>
      </c>
      <c r="C3249" s="26"/>
      <c r="D3249" s="26"/>
      <c r="E3249" s="27"/>
      <c r="F3249" s="27"/>
      <c r="G3249" s="24" t="str">
        <f aca="false">IF(F3249="","",IF(F3249&lt;=5,"A",IF(F3249&lt;=8,"B",IF(F3249&lt;=10,"C","D"))))</f>
        <v/>
      </c>
      <c r="H3249" s="28"/>
      <c r="I3249" s="27"/>
      <c r="J3249" s="26"/>
      <c r="K3249" s="27"/>
      <c r="L3249" s="27"/>
      <c r="M3249" s="27"/>
      <c r="N3249" s="27"/>
      <c r="O3249" s="24" t="str">
        <f aca="false">IF(G3249="","",VLOOKUP(G3249,Setup!$A$14:$C$17,3,0))</f>
        <v/>
      </c>
      <c r="P3249" s="27"/>
      <c r="Q3249" s="29" t="str">
        <f aca="false">IF(OR(P3249="",M3249&lt;&gt;"Paid",O3249=""),"",P3249/O3249)</f>
        <v/>
      </c>
      <c r="R3249" s="30" t="str">
        <f aca="false">IF(Q3249="","",Q3249+N(H3249)*0.000000001)</f>
        <v/>
      </c>
      <c r="S3249" s="25" t="str">
        <f aca="false">IF(R3249="","",SUMPRODUCT((I$5:I$4004=I3249)*ISNUMBER(R$5:R$4004)*(R$5:R$4004&gt;R3249))+1)</f>
        <v/>
      </c>
      <c r="T3249" s="25" t="str">
        <f aca="false">IF(S3249="","",IF(S3249&lt;=Setup!$B$5,"🏆 WINNER",""))</f>
        <v/>
      </c>
      <c r="U3249" s="24" t="str">
        <f aca="false">IF(S3249="","",I3249&amp;"|"&amp;S3249)</f>
        <v/>
      </c>
    </row>
    <row r="3250" customFormat="false" ht="15" hidden="false" customHeight="false" outlineLevel="0" collapsed="false">
      <c r="A3250" s="31" t="n">
        <v>3246</v>
      </c>
      <c r="B3250" s="32" t="str">
        <f aca="false">IF(OR(C3250="",I3250="",G3250=""),"",IFERROR(VLOOKUP(I3250,Setup!$A$9:$B$11,2,0),"???")&amp;"-"&amp;G3250&amp;"-"&amp;TEXT(COUNTIFS(I$5:I3250,I3250,G$5:G3250,G3250),"0000"))</f>
        <v/>
      </c>
      <c r="C3250" s="26"/>
      <c r="D3250" s="26"/>
      <c r="E3250" s="27"/>
      <c r="F3250" s="27"/>
      <c r="G3250" s="31" t="str">
        <f aca="false">IF(F3250="","",IF(F3250&lt;=5,"A",IF(F3250&lt;=8,"B",IF(F3250&lt;=10,"C","D"))))</f>
        <v/>
      </c>
      <c r="H3250" s="28"/>
      <c r="I3250" s="27"/>
      <c r="J3250" s="26"/>
      <c r="K3250" s="27"/>
      <c r="L3250" s="27"/>
      <c r="M3250" s="27"/>
      <c r="N3250" s="27"/>
      <c r="O3250" s="31" t="str">
        <f aca="false">IF(G3250="","",VLOOKUP(G3250,Setup!$A$14:$C$17,3,0))</f>
        <v/>
      </c>
      <c r="P3250" s="27"/>
      <c r="Q3250" s="33" t="str">
        <f aca="false">IF(OR(P3250="",M3250&lt;&gt;"Paid",O3250=""),"",P3250/O3250)</f>
        <v/>
      </c>
      <c r="R3250" s="34" t="str">
        <f aca="false">IF(Q3250="","",Q3250+N(H3250)*0.000000001)</f>
        <v/>
      </c>
      <c r="S3250" s="32" t="str">
        <f aca="false">IF(R3250="","",SUMPRODUCT((I$5:I$4004=I3250)*ISNUMBER(R$5:R$4004)*(R$5:R$4004&gt;R3250))+1)</f>
        <v/>
      </c>
      <c r="T3250" s="32" t="str">
        <f aca="false">IF(S3250="","",IF(S3250&lt;=Setup!$B$5,"🏆 WINNER",""))</f>
        <v/>
      </c>
      <c r="U3250" s="31" t="str">
        <f aca="false">IF(S3250="","",I3250&amp;"|"&amp;S3250)</f>
        <v/>
      </c>
    </row>
    <row r="3251" customFormat="false" ht="15" hidden="false" customHeight="false" outlineLevel="0" collapsed="false">
      <c r="A3251" s="24" t="n">
        <v>3247</v>
      </c>
      <c r="B3251" s="25" t="str">
        <f aca="false">IF(OR(C3251="",I3251="",G3251=""),"",IFERROR(VLOOKUP(I3251,Setup!$A$9:$B$11,2,0),"???")&amp;"-"&amp;G3251&amp;"-"&amp;TEXT(COUNTIFS(I$5:I3251,I3251,G$5:G3251,G3251),"0000"))</f>
        <v/>
      </c>
      <c r="C3251" s="26"/>
      <c r="D3251" s="26"/>
      <c r="E3251" s="27"/>
      <c r="F3251" s="27"/>
      <c r="G3251" s="24" t="str">
        <f aca="false">IF(F3251="","",IF(F3251&lt;=5,"A",IF(F3251&lt;=8,"B",IF(F3251&lt;=10,"C","D"))))</f>
        <v/>
      </c>
      <c r="H3251" s="28"/>
      <c r="I3251" s="27"/>
      <c r="J3251" s="26"/>
      <c r="K3251" s="27"/>
      <c r="L3251" s="27"/>
      <c r="M3251" s="27"/>
      <c r="N3251" s="27"/>
      <c r="O3251" s="24" t="str">
        <f aca="false">IF(G3251="","",VLOOKUP(G3251,Setup!$A$14:$C$17,3,0))</f>
        <v/>
      </c>
      <c r="P3251" s="27"/>
      <c r="Q3251" s="29" t="str">
        <f aca="false">IF(OR(P3251="",M3251&lt;&gt;"Paid",O3251=""),"",P3251/O3251)</f>
        <v/>
      </c>
      <c r="R3251" s="30" t="str">
        <f aca="false">IF(Q3251="","",Q3251+N(H3251)*0.000000001)</f>
        <v/>
      </c>
      <c r="S3251" s="25" t="str">
        <f aca="false">IF(R3251="","",SUMPRODUCT((I$5:I$4004=I3251)*ISNUMBER(R$5:R$4004)*(R$5:R$4004&gt;R3251))+1)</f>
        <v/>
      </c>
      <c r="T3251" s="25" t="str">
        <f aca="false">IF(S3251="","",IF(S3251&lt;=Setup!$B$5,"🏆 WINNER",""))</f>
        <v/>
      </c>
      <c r="U3251" s="24" t="str">
        <f aca="false">IF(S3251="","",I3251&amp;"|"&amp;S3251)</f>
        <v/>
      </c>
    </row>
    <row r="3252" customFormat="false" ht="15" hidden="false" customHeight="false" outlineLevel="0" collapsed="false">
      <c r="A3252" s="31" t="n">
        <v>3248</v>
      </c>
      <c r="B3252" s="32" t="str">
        <f aca="false">IF(OR(C3252="",I3252="",G3252=""),"",IFERROR(VLOOKUP(I3252,Setup!$A$9:$B$11,2,0),"???")&amp;"-"&amp;G3252&amp;"-"&amp;TEXT(COUNTIFS(I$5:I3252,I3252,G$5:G3252,G3252),"0000"))</f>
        <v/>
      </c>
      <c r="C3252" s="26"/>
      <c r="D3252" s="26"/>
      <c r="E3252" s="27"/>
      <c r="F3252" s="27"/>
      <c r="G3252" s="31" t="str">
        <f aca="false">IF(F3252="","",IF(F3252&lt;=5,"A",IF(F3252&lt;=8,"B",IF(F3252&lt;=10,"C","D"))))</f>
        <v/>
      </c>
      <c r="H3252" s="28"/>
      <c r="I3252" s="27"/>
      <c r="J3252" s="26"/>
      <c r="K3252" s="27"/>
      <c r="L3252" s="27"/>
      <c r="M3252" s="27"/>
      <c r="N3252" s="27"/>
      <c r="O3252" s="31" t="str">
        <f aca="false">IF(G3252="","",VLOOKUP(G3252,Setup!$A$14:$C$17,3,0))</f>
        <v/>
      </c>
      <c r="P3252" s="27"/>
      <c r="Q3252" s="33" t="str">
        <f aca="false">IF(OR(P3252="",M3252&lt;&gt;"Paid",O3252=""),"",P3252/O3252)</f>
        <v/>
      </c>
      <c r="R3252" s="34" t="str">
        <f aca="false">IF(Q3252="","",Q3252+N(H3252)*0.000000001)</f>
        <v/>
      </c>
      <c r="S3252" s="32" t="str">
        <f aca="false">IF(R3252="","",SUMPRODUCT((I$5:I$4004=I3252)*ISNUMBER(R$5:R$4004)*(R$5:R$4004&gt;R3252))+1)</f>
        <v/>
      </c>
      <c r="T3252" s="32" t="str">
        <f aca="false">IF(S3252="","",IF(S3252&lt;=Setup!$B$5,"🏆 WINNER",""))</f>
        <v/>
      </c>
      <c r="U3252" s="31" t="str">
        <f aca="false">IF(S3252="","",I3252&amp;"|"&amp;S3252)</f>
        <v/>
      </c>
    </row>
    <row r="3253" customFormat="false" ht="15" hidden="false" customHeight="false" outlineLevel="0" collapsed="false">
      <c r="A3253" s="24" t="n">
        <v>3249</v>
      </c>
      <c r="B3253" s="25" t="str">
        <f aca="false">IF(OR(C3253="",I3253="",G3253=""),"",IFERROR(VLOOKUP(I3253,Setup!$A$9:$B$11,2,0),"???")&amp;"-"&amp;G3253&amp;"-"&amp;TEXT(COUNTIFS(I$5:I3253,I3253,G$5:G3253,G3253),"0000"))</f>
        <v/>
      </c>
      <c r="C3253" s="26"/>
      <c r="D3253" s="26"/>
      <c r="E3253" s="27"/>
      <c r="F3253" s="27"/>
      <c r="G3253" s="24" t="str">
        <f aca="false">IF(F3253="","",IF(F3253&lt;=5,"A",IF(F3253&lt;=8,"B",IF(F3253&lt;=10,"C","D"))))</f>
        <v/>
      </c>
      <c r="H3253" s="28"/>
      <c r="I3253" s="27"/>
      <c r="J3253" s="26"/>
      <c r="K3253" s="27"/>
      <c r="L3253" s="27"/>
      <c r="M3253" s="27"/>
      <c r="N3253" s="27"/>
      <c r="O3253" s="24" t="str">
        <f aca="false">IF(G3253="","",VLOOKUP(G3253,Setup!$A$14:$C$17,3,0))</f>
        <v/>
      </c>
      <c r="P3253" s="27"/>
      <c r="Q3253" s="29" t="str">
        <f aca="false">IF(OR(P3253="",M3253&lt;&gt;"Paid",O3253=""),"",P3253/O3253)</f>
        <v/>
      </c>
      <c r="R3253" s="30" t="str">
        <f aca="false">IF(Q3253="","",Q3253+N(H3253)*0.000000001)</f>
        <v/>
      </c>
      <c r="S3253" s="25" t="str">
        <f aca="false">IF(R3253="","",SUMPRODUCT((I$5:I$4004=I3253)*ISNUMBER(R$5:R$4004)*(R$5:R$4004&gt;R3253))+1)</f>
        <v/>
      </c>
      <c r="T3253" s="25" t="str">
        <f aca="false">IF(S3253="","",IF(S3253&lt;=Setup!$B$5,"🏆 WINNER",""))</f>
        <v/>
      </c>
      <c r="U3253" s="24" t="str">
        <f aca="false">IF(S3253="","",I3253&amp;"|"&amp;S3253)</f>
        <v/>
      </c>
    </row>
    <row r="3254" customFormat="false" ht="15" hidden="false" customHeight="false" outlineLevel="0" collapsed="false">
      <c r="A3254" s="31" t="n">
        <v>3250</v>
      </c>
      <c r="B3254" s="32" t="str">
        <f aca="false">IF(OR(C3254="",I3254="",G3254=""),"",IFERROR(VLOOKUP(I3254,Setup!$A$9:$B$11,2,0),"???")&amp;"-"&amp;G3254&amp;"-"&amp;TEXT(COUNTIFS(I$5:I3254,I3254,G$5:G3254,G3254),"0000"))</f>
        <v/>
      </c>
      <c r="C3254" s="26"/>
      <c r="D3254" s="26"/>
      <c r="E3254" s="27"/>
      <c r="F3254" s="27"/>
      <c r="G3254" s="31" t="str">
        <f aca="false">IF(F3254="","",IF(F3254&lt;=5,"A",IF(F3254&lt;=8,"B",IF(F3254&lt;=10,"C","D"))))</f>
        <v/>
      </c>
      <c r="H3254" s="28"/>
      <c r="I3254" s="27"/>
      <c r="J3254" s="26"/>
      <c r="K3254" s="27"/>
      <c r="L3254" s="27"/>
      <c r="M3254" s="27"/>
      <c r="N3254" s="27"/>
      <c r="O3254" s="31" t="str">
        <f aca="false">IF(G3254="","",VLOOKUP(G3254,Setup!$A$14:$C$17,3,0))</f>
        <v/>
      </c>
      <c r="P3254" s="27"/>
      <c r="Q3254" s="33" t="str">
        <f aca="false">IF(OR(P3254="",M3254&lt;&gt;"Paid",O3254=""),"",P3254/O3254)</f>
        <v/>
      </c>
      <c r="R3254" s="34" t="str">
        <f aca="false">IF(Q3254="","",Q3254+N(H3254)*0.000000001)</f>
        <v/>
      </c>
      <c r="S3254" s="32" t="str">
        <f aca="false">IF(R3254="","",SUMPRODUCT((I$5:I$4004=I3254)*ISNUMBER(R$5:R$4004)*(R$5:R$4004&gt;R3254))+1)</f>
        <v/>
      </c>
      <c r="T3254" s="32" t="str">
        <f aca="false">IF(S3254="","",IF(S3254&lt;=Setup!$B$5,"🏆 WINNER",""))</f>
        <v/>
      </c>
      <c r="U3254" s="31" t="str">
        <f aca="false">IF(S3254="","",I3254&amp;"|"&amp;S3254)</f>
        <v/>
      </c>
    </row>
    <row r="3255" customFormat="false" ht="15" hidden="false" customHeight="false" outlineLevel="0" collapsed="false">
      <c r="A3255" s="24" t="n">
        <v>3251</v>
      </c>
      <c r="B3255" s="25" t="str">
        <f aca="false">IF(OR(C3255="",I3255="",G3255=""),"",IFERROR(VLOOKUP(I3255,Setup!$A$9:$B$11,2,0),"???")&amp;"-"&amp;G3255&amp;"-"&amp;TEXT(COUNTIFS(I$5:I3255,I3255,G$5:G3255,G3255),"0000"))</f>
        <v/>
      </c>
      <c r="C3255" s="26"/>
      <c r="D3255" s="26"/>
      <c r="E3255" s="27"/>
      <c r="F3255" s="27"/>
      <c r="G3255" s="24" t="str">
        <f aca="false">IF(F3255="","",IF(F3255&lt;=5,"A",IF(F3255&lt;=8,"B",IF(F3255&lt;=10,"C","D"))))</f>
        <v/>
      </c>
      <c r="H3255" s="28"/>
      <c r="I3255" s="27"/>
      <c r="J3255" s="26"/>
      <c r="K3255" s="27"/>
      <c r="L3255" s="27"/>
      <c r="M3255" s="27"/>
      <c r="N3255" s="27"/>
      <c r="O3255" s="24" t="str">
        <f aca="false">IF(G3255="","",VLOOKUP(G3255,Setup!$A$14:$C$17,3,0))</f>
        <v/>
      </c>
      <c r="P3255" s="27"/>
      <c r="Q3255" s="29" t="str">
        <f aca="false">IF(OR(P3255="",M3255&lt;&gt;"Paid",O3255=""),"",P3255/O3255)</f>
        <v/>
      </c>
      <c r="R3255" s="30" t="str">
        <f aca="false">IF(Q3255="","",Q3255+N(H3255)*0.000000001)</f>
        <v/>
      </c>
      <c r="S3255" s="25" t="str">
        <f aca="false">IF(R3255="","",SUMPRODUCT((I$5:I$4004=I3255)*ISNUMBER(R$5:R$4004)*(R$5:R$4004&gt;R3255))+1)</f>
        <v/>
      </c>
      <c r="T3255" s="25" t="str">
        <f aca="false">IF(S3255="","",IF(S3255&lt;=Setup!$B$5,"🏆 WINNER",""))</f>
        <v/>
      </c>
      <c r="U3255" s="24" t="str">
        <f aca="false">IF(S3255="","",I3255&amp;"|"&amp;S3255)</f>
        <v/>
      </c>
    </row>
    <row r="3256" customFormat="false" ht="15" hidden="false" customHeight="false" outlineLevel="0" collapsed="false">
      <c r="A3256" s="31" t="n">
        <v>3252</v>
      </c>
      <c r="B3256" s="32" t="str">
        <f aca="false">IF(OR(C3256="",I3256="",G3256=""),"",IFERROR(VLOOKUP(I3256,Setup!$A$9:$B$11,2,0),"???")&amp;"-"&amp;G3256&amp;"-"&amp;TEXT(COUNTIFS(I$5:I3256,I3256,G$5:G3256,G3256),"0000"))</f>
        <v/>
      </c>
      <c r="C3256" s="26"/>
      <c r="D3256" s="26"/>
      <c r="E3256" s="27"/>
      <c r="F3256" s="27"/>
      <c r="G3256" s="31" t="str">
        <f aca="false">IF(F3256="","",IF(F3256&lt;=5,"A",IF(F3256&lt;=8,"B",IF(F3256&lt;=10,"C","D"))))</f>
        <v/>
      </c>
      <c r="H3256" s="28"/>
      <c r="I3256" s="27"/>
      <c r="J3256" s="26"/>
      <c r="K3256" s="27"/>
      <c r="L3256" s="27"/>
      <c r="M3256" s="27"/>
      <c r="N3256" s="27"/>
      <c r="O3256" s="31" t="str">
        <f aca="false">IF(G3256="","",VLOOKUP(G3256,Setup!$A$14:$C$17,3,0))</f>
        <v/>
      </c>
      <c r="P3256" s="27"/>
      <c r="Q3256" s="33" t="str">
        <f aca="false">IF(OR(P3256="",M3256&lt;&gt;"Paid",O3256=""),"",P3256/O3256)</f>
        <v/>
      </c>
      <c r="R3256" s="34" t="str">
        <f aca="false">IF(Q3256="","",Q3256+N(H3256)*0.000000001)</f>
        <v/>
      </c>
      <c r="S3256" s="32" t="str">
        <f aca="false">IF(R3256="","",SUMPRODUCT((I$5:I$4004=I3256)*ISNUMBER(R$5:R$4004)*(R$5:R$4004&gt;R3256))+1)</f>
        <v/>
      </c>
      <c r="T3256" s="32" t="str">
        <f aca="false">IF(S3256="","",IF(S3256&lt;=Setup!$B$5,"🏆 WINNER",""))</f>
        <v/>
      </c>
      <c r="U3256" s="31" t="str">
        <f aca="false">IF(S3256="","",I3256&amp;"|"&amp;S3256)</f>
        <v/>
      </c>
    </row>
    <row r="3257" customFormat="false" ht="15" hidden="false" customHeight="false" outlineLevel="0" collapsed="false">
      <c r="A3257" s="24" t="n">
        <v>3253</v>
      </c>
      <c r="B3257" s="25" t="str">
        <f aca="false">IF(OR(C3257="",I3257="",G3257=""),"",IFERROR(VLOOKUP(I3257,Setup!$A$9:$B$11,2,0),"???")&amp;"-"&amp;G3257&amp;"-"&amp;TEXT(COUNTIFS(I$5:I3257,I3257,G$5:G3257,G3257),"0000"))</f>
        <v/>
      </c>
      <c r="C3257" s="26"/>
      <c r="D3257" s="26"/>
      <c r="E3257" s="27"/>
      <c r="F3257" s="27"/>
      <c r="G3257" s="24" t="str">
        <f aca="false">IF(F3257="","",IF(F3257&lt;=5,"A",IF(F3257&lt;=8,"B",IF(F3257&lt;=10,"C","D"))))</f>
        <v/>
      </c>
      <c r="H3257" s="28"/>
      <c r="I3257" s="27"/>
      <c r="J3257" s="26"/>
      <c r="K3257" s="27"/>
      <c r="L3257" s="27"/>
      <c r="M3257" s="27"/>
      <c r="N3257" s="27"/>
      <c r="O3257" s="24" t="str">
        <f aca="false">IF(G3257="","",VLOOKUP(G3257,Setup!$A$14:$C$17,3,0))</f>
        <v/>
      </c>
      <c r="P3257" s="27"/>
      <c r="Q3257" s="29" t="str">
        <f aca="false">IF(OR(P3257="",M3257&lt;&gt;"Paid",O3257=""),"",P3257/O3257)</f>
        <v/>
      </c>
      <c r="R3257" s="30" t="str">
        <f aca="false">IF(Q3257="","",Q3257+N(H3257)*0.000000001)</f>
        <v/>
      </c>
      <c r="S3257" s="25" t="str">
        <f aca="false">IF(R3257="","",SUMPRODUCT((I$5:I$4004=I3257)*ISNUMBER(R$5:R$4004)*(R$5:R$4004&gt;R3257))+1)</f>
        <v/>
      </c>
      <c r="T3257" s="25" t="str">
        <f aca="false">IF(S3257="","",IF(S3257&lt;=Setup!$B$5,"🏆 WINNER",""))</f>
        <v/>
      </c>
      <c r="U3257" s="24" t="str">
        <f aca="false">IF(S3257="","",I3257&amp;"|"&amp;S3257)</f>
        <v/>
      </c>
    </row>
    <row r="3258" customFormat="false" ht="15" hidden="false" customHeight="false" outlineLevel="0" collapsed="false">
      <c r="A3258" s="31" t="n">
        <v>3254</v>
      </c>
      <c r="B3258" s="32" t="str">
        <f aca="false">IF(OR(C3258="",I3258="",G3258=""),"",IFERROR(VLOOKUP(I3258,Setup!$A$9:$B$11,2,0),"???")&amp;"-"&amp;G3258&amp;"-"&amp;TEXT(COUNTIFS(I$5:I3258,I3258,G$5:G3258,G3258),"0000"))</f>
        <v/>
      </c>
      <c r="C3258" s="26"/>
      <c r="D3258" s="26"/>
      <c r="E3258" s="27"/>
      <c r="F3258" s="27"/>
      <c r="G3258" s="31" t="str">
        <f aca="false">IF(F3258="","",IF(F3258&lt;=5,"A",IF(F3258&lt;=8,"B",IF(F3258&lt;=10,"C","D"))))</f>
        <v/>
      </c>
      <c r="H3258" s="28"/>
      <c r="I3258" s="27"/>
      <c r="J3258" s="26"/>
      <c r="K3258" s="27"/>
      <c r="L3258" s="27"/>
      <c r="M3258" s="27"/>
      <c r="N3258" s="27"/>
      <c r="O3258" s="31" t="str">
        <f aca="false">IF(G3258="","",VLOOKUP(G3258,Setup!$A$14:$C$17,3,0))</f>
        <v/>
      </c>
      <c r="P3258" s="27"/>
      <c r="Q3258" s="33" t="str">
        <f aca="false">IF(OR(P3258="",M3258&lt;&gt;"Paid",O3258=""),"",P3258/O3258)</f>
        <v/>
      </c>
      <c r="R3258" s="34" t="str">
        <f aca="false">IF(Q3258="","",Q3258+N(H3258)*0.000000001)</f>
        <v/>
      </c>
      <c r="S3258" s="32" t="str">
        <f aca="false">IF(R3258="","",SUMPRODUCT((I$5:I$4004=I3258)*ISNUMBER(R$5:R$4004)*(R$5:R$4004&gt;R3258))+1)</f>
        <v/>
      </c>
      <c r="T3258" s="32" t="str">
        <f aca="false">IF(S3258="","",IF(S3258&lt;=Setup!$B$5,"🏆 WINNER",""))</f>
        <v/>
      </c>
      <c r="U3258" s="31" t="str">
        <f aca="false">IF(S3258="","",I3258&amp;"|"&amp;S3258)</f>
        <v/>
      </c>
    </row>
    <row r="3259" customFormat="false" ht="15" hidden="false" customHeight="false" outlineLevel="0" collapsed="false">
      <c r="A3259" s="24" t="n">
        <v>3255</v>
      </c>
      <c r="B3259" s="25" t="str">
        <f aca="false">IF(OR(C3259="",I3259="",G3259=""),"",IFERROR(VLOOKUP(I3259,Setup!$A$9:$B$11,2,0),"???")&amp;"-"&amp;G3259&amp;"-"&amp;TEXT(COUNTIFS(I$5:I3259,I3259,G$5:G3259,G3259),"0000"))</f>
        <v/>
      </c>
      <c r="C3259" s="26"/>
      <c r="D3259" s="26"/>
      <c r="E3259" s="27"/>
      <c r="F3259" s="27"/>
      <c r="G3259" s="24" t="str">
        <f aca="false">IF(F3259="","",IF(F3259&lt;=5,"A",IF(F3259&lt;=8,"B",IF(F3259&lt;=10,"C","D"))))</f>
        <v/>
      </c>
      <c r="H3259" s="28"/>
      <c r="I3259" s="27"/>
      <c r="J3259" s="26"/>
      <c r="K3259" s="27"/>
      <c r="L3259" s="27"/>
      <c r="M3259" s="27"/>
      <c r="N3259" s="27"/>
      <c r="O3259" s="24" t="str">
        <f aca="false">IF(G3259="","",VLOOKUP(G3259,Setup!$A$14:$C$17,3,0))</f>
        <v/>
      </c>
      <c r="P3259" s="27"/>
      <c r="Q3259" s="29" t="str">
        <f aca="false">IF(OR(P3259="",M3259&lt;&gt;"Paid",O3259=""),"",P3259/O3259)</f>
        <v/>
      </c>
      <c r="R3259" s="30" t="str">
        <f aca="false">IF(Q3259="","",Q3259+N(H3259)*0.000000001)</f>
        <v/>
      </c>
      <c r="S3259" s="25" t="str">
        <f aca="false">IF(R3259="","",SUMPRODUCT((I$5:I$4004=I3259)*ISNUMBER(R$5:R$4004)*(R$5:R$4004&gt;R3259))+1)</f>
        <v/>
      </c>
      <c r="T3259" s="25" t="str">
        <f aca="false">IF(S3259="","",IF(S3259&lt;=Setup!$B$5,"🏆 WINNER",""))</f>
        <v/>
      </c>
      <c r="U3259" s="24" t="str">
        <f aca="false">IF(S3259="","",I3259&amp;"|"&amp;S3259)</f>
        <v/>
      </c>
    </row>
    <row r="3260" customFormat="false" ht="15" hidden="false" customHeight="false" outlineLevel="0" collapsed="false">
      <c r="A3260" s="31" t="n">
        <v>3256</v>
      </c>
      <c r="B3260" s="32" t="str">
        <f aca="false">IF(OR(C3260="",I3260="",G3260=""),"",IFERROR(VLOOKUP(I3260,Setup!$A$9:$B$11,2,0),"???")&amp;"-"&amp;G3260&amp;"-"&amp;TEXT(COUNTIFS(I$5:I3260,I3260,G$5:G3260,G3260),"0000"))</f>
        <v/>
      </c>
      <c r="C3260" s="26"/>
      <c r="D3260" s="26"/>
      <c r="E3260" s="27"/>
      <c r="F3260" s="27"/>
      <c r="G3260" s="31" t="str">
        <f aca="false">IF(F3260="","",IF(F3260&lt;=5,"A",IF(F3260&lt;=8,"B",IF(F3260&lt;=10,"C","D"))))</f>
        <v/>
      </c>
      <c r="H3260" s="28"/>
      <c r="I3260" s="27"/>
      <c r="J3260" s="26"/>
      <c r="K3260" s="27"/>
      <c r="L3260" s="27"/>
      <c r="M3260" s="27"/>
      <c r="N3260" s="27"/>
      <c r="O3260" s="31" t="str">
        <f aca="false">IF(G3260="","",VLOOKUP(G3260,Setup!$A$14:$C$17,3,0))</f>
        <v/>
      </c>
      <c r="P3260" s="27"/>
      <c r="Q3260" s="33" t="str">
        <f aca="false">IF(OR(P3260="",M3260&lt;&gt;"Paid",O3260=""),"",P3260/O3260)</f>
        <v/>
      </c>
      <c r="R3260" s="34" t="str">
        <f aca="false">IF(Q3260="","",Q3260+N(H3260)*0.000000001)</f>
        <v/>
      </c>
      <c r="S3260" s="32" t="str">
        <f aca="false">IF(R3260="","",SUMPRODUCT((I$5:I$4004=I3260)*ISNUMBER(R$5:R$4004)*(R$5:R$4004&gt;R3260))+1)</f>
        <v/>
      </c>
      <c r="T3260" s="32" t="str">
        <f aca="false">IF(S3260="","",IF(S3260&lt;=Setup!$B$5,"🏆 WINNER",""))</f>
        <v/>
      </c>
      <c r="U3260" s="31" t="str">
        <f aca="false">IF(S3260="","",I3260&amp;"|"&amp;S3260)</f>
        <v/>
      </c>
    </row>
    <row r="3261" customFormat="false" ht="15" hidden="false" customHeight="false" outlineLevel="0" collapsed="false">
      <c r="A3261" s="24" t="n">
        <v>3257</v>
      </c>
      <c r="B3261" s="25" t="str">
        <f aca="false">IF(OR(C3261="",I3261="",G3261=""),"",IFERROR(VLOOKUP(I3261,Setup!$A$9:$B$11,2,0),"???")&amp;"-"&amp;G3261&amp;"-"&amp;TEXT(COUNTIFS(I$5:I3261,I3261,G$5:G3261,G3261),"0000"))</f>
        <v/>
      </c>
      <c r="C3261" s="26"/>
      <c r="D3261" s="26"/>
      <c r="E3261" s="27"/>
      <c r="F3261" s="27"/>
      <c r="G3261" s="24" t="str">
        <f aca="false">IF(F3261="","",IF(F3261&lt;=5,"A",IF(F3261&lt;=8,"B",IF(F3261&lt;=10,"C","D"))))</f>
        <v/>
      </c>
      <c r="H3261" s="28"/>
      <c r="I3261" s="27"/>
      <c r="J3261" s="26"/>
      <c r="K3261" s="27"/>
      <c r="L3261" s="27"/>
      <c r="M3261" s="27"/>
      <c r="N3261" s="27"/>
      <c r="O3261" s="24" t="str">
        <f aca="false">IF(G3261="","",VLOOKUP(G3261,Setup!$A$14:$C$17,3,0))</f>
        <v/>
      </c>
      <c r="P3261" s="27"/>
      <c r="Q3261" s="29" t="str">
        <f aca="false">IF(OR(P3261="",M3261&lt;&gt;"Paid",O3261=""),"",P3261/O3261)</f>
        <v/>
      </c>
      <c r="R3261" s="30" t="str">
        <f aca="false">IF(Q3261="","",Q3261+N(H3261)*0.000000001)</f>
        <v/>
      </c>
      <c r="S3261" s="25" t="str">
        <f aca="false">IF(R3261="","",SUMPRODUCT((I$5:I$4004=I3261)*ISNUMBER(R$5:R$4004)*(R$5:R$4004&gt;R3261))+1)</f>
        <v/>
      </c>
      <c r="T3261" s="25" t="str">
        <f aca="false">IF(S3261="","",IF(S3261&lt;=Setup!$B$5,"🏆 WINNER",""))</f>
        <v/>
      </c>
      <c r="U3261" s="24" t="str">
        <f aca="false">IF(S3261="","",I3261&amp;"|"&amp;S3261)</f>
        <v/>
      </c>
    </row>
    <row r="3262" customFormat="false" ht="15" hidden="false" customHeight="false" outlineLevel="0" collapsed="false">
      <c r="A3262" s="31" t="n">
        <v>3258</v>
      </c>
      <c r="B3262" s="32" t="str">
        <f aca="false">IF(OR(C3262="",I3262="",G3262=""),"",IFERROR(VLOOKUP(I3262,Setup!$A$9:$B$11,2,0),"???")&amp;"-"&amp;G3262&amp;"-"&amp;TEXT(COUNTIFS(I$5:I3262,I3262,G$5:G3262,G3262),"0000"))</f>
        <v/>
      </c>
      <c r="C3262" s="26"/>
      <c r="D3262" s="26"/>
      <c r="E3262" s="27"/>
      <c r="F3262" s="27"/>
      <c r="G3262" s="31" t="str">
        <f aca="false">IF(F3262="","",IF(F3262&lt;=5,"A",IF(F3262&lt;=8,"B",IF(F3262&lt;=10,"C","D"))))</f>
        <v/>
      </c>
      <c r="H3262" s="28"/>
      <c r="I3262" s="27"/>
      <c r="J3262" s="26"/>
      <c r="K3262" s="27"/>
      <c r="L3262" s="27"/>
      <c r="M3262" s="27"/>
      <c r="N3262" s="27"/>
      <c r="O3262" s="31" t="str">
        <f aca="false">IF(G3262="","",VLOOKUP(G3262,Setup!$A$14:$C$17,3,0))</f>
        <v/>
      </c>
      <c r="P3262" s="27"/>
      <c r="Q3262" s="33" t="str">
        <f aca="false">IF(OR(P3262="",M3262&lt;&gt;"Paid",O3262=""),"",P3262/O3262)</f>
        <v/>
      </c>
      <c r="R3262" s="34" t="str">
        <f aca="false">IF(Q3262="","",Q3262+N(H3262)*0.000000001)</f>
        <v/>
      </c>
      <c r="S3262" s="32" t="str">
        <f aca="false">IF(R3262="","",SUMPRODUCT((I$5:I$4004=I3262)*ISNUMBER(R$5:R$4004)*(R$5:R$4004&gt;R3262))+1)</f>
        <v/>
      </c>
      <c r="T3262" s="32" t="str">
        <f aca="false">IF(S3262="","",IF(S3262&lt;=Setup!$B$5,"🏆 WINNER",""))</f>
        <v/>
      </c>
      <c r="U3262" s="31" t="str">
        <f aca="false">IF(S3262="","",I3262&amp;"|"&amp;S3262)</f>
        <v/>
      </c>
    </row>
    <row r="3263" customFormat="false" ht="15" hidden="false" customHeight="false" outlineLevel="0" collapsed="false">
      <c r="A3263" s="24" t="n">
        <v>3259</v>
      </c>
      <c r="B3263" s="25" t="str">
        <f aca="false">IF(OR(C3263="",I3263="",G3263=""),"",IFERROR(VLOOKUP(I3263,Setup!$A$9:$B$11,2,0),"???")&amp;"-"&amp;G3263&amp;"-"&amp;TEXT(COUNTIFS(I$5:I3263,I3263,G$5:G3263,G3263),"0000"))</f>
        <v/>
      </c>
      <c r="C3263" s="26"/>
      <c r="D3263" s="26"/>
      <c r="E3263" s="27"/>
      <c r="F3263" s="27"/>
      <c r="G3263" s="24" t="str">
        <f aca="false">IF(F3263="","",IF(F3263&lt;=5,"A",IF(F3263&lt;=8,"B",IF(F3263&lt;=10,"C","D"))))</f>
        <v/>
      </c>
      <c r="H3263" s="28"/>
      <c r="I3263" s="27"/>
      <c r="J3263" s="26"/>
      <c r="K3263" s="27"/>
      <c r="L3263" s="27"/>
      <c r="M3263" s="27"/>
      <c r="N3263" s="27"/>
      <c r="O3263" s="24" t="str">
        <f aca="false">IF(G3263="","",VLOOKUP(G3263,Setup!$A$14:$C$17,3,0))</f>
        <v/>
      </c>
      <c r="P3263" s="27"/>
      <c r="Q3263" s="29" t="str">
        <f aca="false">IF(OR(P3263="",M3263&lt;&gt;"Paid",O3263=""),"",P3263/O3263)</f>
        <v/>
      </c>
      <c r="R3263" s="30" t="str">
        <f aca="false">IF(Q3263="","",Q3263+N(H3263)*0.000000001)</f>
        <v/>
      </c>
      <c r="S3263" s="25" t="str">
        <f aca="false">IF(R3263="","",SUMPRODUCT((I$5:I$4004=I3263)*ISNUMBER(R$5:R$4004)*(R$5:R$4004&gt;R3263))+1)</f>
        <v/>
      </c>
      <c r="T3263" s="25" t="str">
        <f aca="false">IF(S3263="","",IF(S3263&lt;=Setup!$B$5,"🏆 WINNER",""))</f>
        <v/>
      </c>
      <c r="U3263" s="24" t="str">
        <f aca="false">IF(S3263="","",I3263&amp;"|"&amp;S3263)</f>
        <v/>
      </c>
    </row>
    <row r="3264" customFormat="false" ht="15" hidden="false" customHeight="false" outlineLevel="0" collapsed="false">
      <c r="A3264" s="31" t="n">
        <v>3260</v>
      </c>
      <c r="B3264" s="32" t="str">
        <f aca="false">IF(OR(C3264="",I3264="",G3264=""),"",IFERROR(VLOOKUP(I3264,Setup!$A$9:$B$11,2,0),"???")&amp;"-"&amp;G3264&amp;"-"&amp;TEXT(COUNTIFS(I$5:I3264,I3264,G$5:G3264,G3264),"0000"))</f>
        <v/>
      </c>
      <c r="C3264" s="26"/>
      <c r="D3264" s="26"/>
      <c r="E3264" s="27"/>
      <c r="F3264" s="27"/>
      <c r="G3264" s="31" t="str">
        <f aca="false">IF(F3264="","",IF(F3264&lt;=5,"A",IF(F3264&lt;=8,"B",IF(F3264&lt;=10,"C","D"))))</f>
        <v/>
      </c>
      <c r="H3264" s="28"/>
      <c r="I3264" s="27"/>
      <c r="J3264" s="26"/>
      <c r="K3264" s="27"/>
      <c r="L3264" s="27"/>
      <c r="M3264" s="27"/>
      <c r="N3264" s="27"/>
      <c r="O3264" s="31" t="str">
        <f aca="false">IF(G3264="","",VLOOKUP(G3264,Setup!$A$14:$C$17,3,0))</f>
        <v/>
      </c>
      <c r="P3264" s="27"/>
      <c r="Q3264" s="33" t="str">
        <f aca="false">IF(OR(P3264="",M3264&lt;&gt;"Paid",O3264=""),"",P3264/O3264)</f>
        <v/>
      </c>
      <c r="R3264" s="34" t="str">
        <f aca="false">IF(Q3264="","",Q3264+N(H3264)*0.000000001)</f>
        <v/>
      </c>
      <c r="S3264" s="32" t="str">
        <f aca="false">IF(R3264="","",SUMPRODUCT((I$5:I$4004=I3264)*ISNUMBER(R$5:R$4004)*(R$5:R$4004&gt;R3264))+1)</f>
        <v/>
      </c>
      <c r="T3264" s="32" t="str">
        <f aca="false">IF(S3264="","",IF(S3264&lt;=Setup!$B$5,"🏆 WINNER",""))</f>
        <v/>
      </c>
      <c r="U3264" s="31" t="str">
        <f aca="false">IF(S3264="","",I3264&amp;"|"&amp;S3264)</f>
        <v/>
      </c>
    </row>
    <row r="3265" customFormat="false" ht="15" hidden="false" customHeight="false" outlineLevel="0" collapsed="false">
      <c r="A3265" s="24" t="n">
        <v>3261</v>
      </c>
      <c r="B3265" s="25" t="str">
        <f aca="false">IF(OR(C3265="",I3265="",G3265=""),"",IFERROR(VLOOKUP(I3265,Setup!$A$9:$B$11,2,0),"???")&amp;"-"&amp;G3265&amp;"-"&amp;TEXT(COUNTIFS(I$5:I3265,I3265,G$5:G3265,G3265),"0000"))</f>
        <v/>
      </c>
      <c r="C3265" s="26"/>
      <c r="D3265" s="26"/>
      <c r="E3265" s="27"/>
      <c r="F3265" s="27"/>
      <c r="G3265" s="24" t="str">
        <f aca="false">IF(F3265="","",IF(F3265&lt;=5,"A",IF(F3265&lt;=8,"B",IF(F3265&lt;=10,"C","D"))))</f>
        <v/>
      </c>
      <c r="H3265" s="28"/>
      <c r="I3265" s="27"/>
      <c r="J3265" s="26"/>
      <c r="K3265" s="27"/>
      <c r="L3265" s="27"/>
      <c r="M3265" s="27"/>
      <c r="N3265" s="27"/>
      <c r="O3265" s="24" t="str">
        <f aca="false">IF(G3265="","",VLOOKUP(G3265,Setup!$A$14:$C$17,3,0))</f>
        <v/>
      </c>
      <c r="P3265" s="27"/>
      <c r="Q3265" s="29" t="str">
        <f aca="false">IF(OR(P3265="",M3265&lt;&gt;"Paid",O3265=""),"",P3265/O3265)</f>
        <v/>
      </c>
      <c r="R3265" s="30" t="str">
        <f aca="false">IF(Q3265="","",Q3265+N(H3265)*0.000000001)</f>
        <v/>
      </c>
      <c r="S3265" s="25" t="str">
        <f aca="false">IF(R3265="","",SUMPRODUCT((I$5:I$4004=I3265)*ISNUMBER(R$5:R$4004)*(R$5:R$4004&gt;R3265))+1)</f>
        <v/>
      </c>
      <c r="T3265" s="25" t="str">
        <f aca="false">IF(S3265="","",IF(S3265&lt;=Setup!$B$5,"🏆 WINNER",""))</f>
        <v/>
      </c>
      <c r="U3265" s="24" t="str">
        <f aca="false">IF(S3265="","",I3265&amp;"|"&amp;S3265)</f>
        <v/>
      </c>
    </row>
    <row r="3266" customFormat="false" ht="15" hidden="false" customHeight="false" outlineLevel="0" collapsed="false">
      <c r="A3266" s="31" t="n">
        <v>3262</v>
      </c>
      <c r="B3266" s="32" t="str">
        <f aca="false">IF(OR(C3266="",I3266="",G3266=""),"",IFERROR(VLOOKUP(I3266,Setup!$A$9:$B$11,2,0),"???")&amp;"-"&amp;G3266&amp;"-"&amp;TEXT(COUNTIFS(I$5:I3266,I3266,G$5:G3266,G3266),"0000"))</f>
        <v/>
      </c>
      <c r="C3266" s="26"/>
      <c r="D3266" s="26"/>
      <c r="E3266" s="27"/>
      <c r="F3266" s="27"/>
      <c r="G3266" s="31" t="str">
        <f aca="false">IF(F3266="","",IF(F3266&lt;=5,"A",IF(F3266&lt;=8,"B",IF(F3266&lt;=10,"C","D"))))</f>
        <v/>
      </c>
      <c r="H3266" s="28"/>
      <c r="I3266" s="27"/>
      <c r="J3266" s="26"/>
      <c r="K3266" s="27"/>
      <c r="L3266" s="27"/>
      <c r="M3266" s="27"/>
      <c r="N3266" s="27"/>
      <c r="O3266" s="31" t="str">
        <f aca="false">IF(G3266="","",VLOOKUP(G3266,Setup!$A$14:$C$17,3,0))</f>
        <v/>
      </c>
      <c r="P3266" s="27"/>
      <c r="Q3266" s="33" t="str">
        <f aca="false">IF(OR(P3266="",M3266&lt;&gt;"Paid",O3266=""),"",P3266/O3266)</f>
        <v/>
      </c>
      <c r="R3266" s="34" t="str">
        <f aca="false">IF(Q3266="","",Q3266+N(H3266)*0.000000001)</f>
        <v/>
      </c>
      <c r="S3266" s="32" t="str">
        <f aca="false">IF(R3266="","",SUMPRODUCT((I$5:I$4004=I3266)*ISNUMBER(R$5:R$4004)*(R$5:R$4004&gt;R3266))+1)</f>
        <v/>
      </c>
      <c r="T3266" s="32" t="str">
        <f aca="false">IF(S3266="","",IF(S3266&lt;=Setup!$B$5,"🏆 WINNER",""))</f>
        <v/>
      </c>
      <c r="U3266" s="31" t="str">
        <f aca="false">IF(S3266="","",I3266&amp;"|"&amp;S3266)</f>
        <v/>
      </c>
    </row>
    <row r="3267" customFormat="false" ht="15" hidden="false" customHeight="false" outlineLevel="0" collapsed="false">
      <c r="A3267" s="24" t="n">
        <v>3263</v>
      </c>
      <c r="B3267" s="25" t="str">
        <f aca="false">IF(OR(C3267="",I3267="",G3267=""),"",IFERROR(VLOOKUP(I3267,Setup!$A$9:$B$11,2,0),"???")&amp;"-"&amp;G3267&amp;"-"&amp;TEXT(COUNTIFS(I$5:I3267,I3267,G$5:G3267,G3267),"0000"))</f>
        <v/>
      </c>
      <c r="C3267" s="26"/>
      <c r="D3267" s="26"/>
      <c r="E3267" s="27"/>
      <c r="F3267" s="27"/>
      <c r="G3267" s="24" t="str">
        <f aca="false">IF(F3267="","",IF(F3267&lt;=5,"A",IF(F3267&lt;=8,"B",IF(F3267&lt;=10,"C","D"))))</f>
        <v/>
      </c>
      <c r="H3267" s="28"/>
      <c r="I3267" s="27"/>
      <c r="J3267" s="26"/>
      <c r="K3267" s="27"/>
      <c r="L3267" s="27"/>
      <c r="M3267" s="27"/>
      <c r="N3267" s="27"/>
      <c r="O3267" s="24" t="str">
        <f aca="false">IF(G3267="","",VLOOKUP(G3267,Setup!$A$14:$C$17,3,0))</f>
        <v/>
      </c>
      <c r="P3267" s="27"/>
      <c r="Q3267" s="29" t="str">
        <f aca="false">IF(OR(P3267="",M3267&lt;&gt;"Paid",O3267=""),"",P3267/O3267)</f>
        <v/>
      </c>
      <c r="R3267" s="30" t="str">
        <f aca="false">IF(Q3267="","",Q3267+N(H3267)*0.000000001)</f>
        <v/>
      </c>
      <c r="S3267" s="25" t="str">
        <f aca="false">IF(R3267="","",SUMPRODUCT((I$5:I$4004=I3267)*ISNUMBER(R$5:R$4004)*(R$5:R$4004&gt;R3267))+1)</f>
        <v/>
      </c>
      <c r="T3267" s="25" t="str">
        <f aca="false">IF(S3267="","",IF(S3267&lt;=Setup!$B$5,"🏆 WINNER",""))</f>
        <v/>
      </c>
      <c r="U3267" s="24" t="str">
        <f aca="false">IF(S3267="","",I3267&amp;"|"&amp;S3267)</f>
        <v/>
      </c>
    </row>
    <row r="3268" customFormat="false" ht="15" hidden="false" customHeight="false" outlineLevel="0" collapsed="false">
      <c r="A3268" s="31" t="n">
        <v>3264</v>
      </c>
      <c r="B3268" s="32" t="str">
        <f aca="false">IF(OR(C3268="",I3268="",G3268=""),"",IFERROR(VLOOKUP(I3268,Setup!$A$9:$B$11,2,0),"???")&amp;"-"&amp;G3268&amp;"-"&amp;TEXT(COUNTIFS(I$5:I3268,I3268,G$5:G3268,G3268),"0000"))</f>
        <v/>
      </c>
      <c r="C3268" s="26"/>
      <c r="D3268" s="26"/>
      <c r="E3268" s="27"/>
      <c r="F3268" s="27"/>
      <c r="G3268" s="31" t="str">
        <f aca="false">IF(F3268="","",IF(F3268&lt;=5,"A",IF(F3268&lt;=8,"B",IF(F3268&lt;=10,"C","D"))))</f>
        <v/>
      </c>
      <c r="H3268" s="28"/>
      <c r="I3268" s="27"/>
      <c r="J3268" s="26"/>
      <c r="K3268" s="27"/>
      <c r="L3268" s="27"/>
      <c r="M3268" s="27"/>
      <c r="N3268" s="27"/>
      <c r="O3268" s="31" t="str">
        <f aca="false">IF(G3268="","",VLOOKUP(G3268,Setup!$A$14:$C$17,3,0))</f>
        <v/>
      </c>
      <c r="P3268" s="27"/>
      <c r="Q3268" s="33" t="str">
        <f aca="false">IF(OR(P3268="",M3268&lt;&gt;"Paid",O3268=""),"",P3268/O3268)</f>
        <v/>
      </c>
      <c r="R3268" s="34" t="str">
        <f aca="false">IF(Q3268="","",Q3268+N(H3268)*0.000000001)</f>
        <v/>
      </c>
      <c r="S3268" s="32" t="str">
        <f aca="false">IF(R3268="","",SUMPRODUCT((I$5:I$4004=I3268)*ISNUMBER(R$5:R$4004)*(R$5:R$4004&gt;R3268))+1)</f>
        <v/>
      </c>
      <c r="T3268" s="32" t="str">
        <f aca="false">IF(S3268="","",IF(S3268&lt;=Setup!$B$5,"🏆 WINNER",""))</f>
        <v/>
      </c>
      <c r="U3268" s="31" t="str">
        <f aca="false">IF(S3268="","",I3268&amp;"|"&amp;S3268)</f>
        <v/>
      </c>
    </row>
    <row r="3269" customFormat="false" ht="15" hidden="false" customHeight="false" outlineLevel="0" collapsed="false">
      <c r="A3269" s="24" t="n">
        <v>3265</v>
      </c>
      <c r="B3269" s="25" t="str">
        <f aca="false">IF(OR(C3269="",I3269="",G3269=""),"",IFERROR(VLOOKUP(I3269,Setup!$A$9:$B$11,2,0),"???")&amp;"-"&amp;G3269&amp;"-"&amp;TEXT(COUNTIFS(I$5:I3269,I3269,G$5:G3269,G3269),"0000"))</f>
        <v/>
      </c>
      <c r="C3269" s="26"/>
      <c r="D3269" s="26"/>
      <c r="E3269" s="27"/>
      <c r="F3269" s="27"/>
      <c r="G3269" s="24" t="str">
        <f aca="false">IF(F3269="","",IF(F3269&lt;=5,"A",IF(F3269&lt;=8,"B",IF(F3269&lt;=10,"C","D"))))</f>
        <v/>
      </c>
      <c r="H3269" s="28"/>
      <c r="I3269" s="27"/>
      <c r="J3269" s="26"/>
      <c r="K3269" s="27"/>
      <c r="L3269" s="27"/>
      <c r="M3269" s="27"/>
      <c r="N3269" s="27"/>
      <c r="O3269" s="24" t="str">
        <f aca="false">IF(G3269="","",VLOOKUP(G3269,Setup!$A$14:$C$17,3,0))</f>
        <v/>
      </c>
      <c r="P3269" s="27"/>
      <c r="Q3269" s="29" t="str">
        <f aca="false">IF(OR(P3269="",M3269&lt;&gt;"Paid",O3269=""),"",P3269/O3269)</f>
        <v/>
      </c>
      <c r="R3269" s="30" t="str">
        <f aca="false">IF(Q3269="","",Q3269+N(H3269)*0.000000001)</f>
        <v/>
      </c>
      <c r="S3269" s="25" t="str">
        <f aca="false">IF(R3269="","",SUMPRODUCT((I$5:I$4004=I3269)*ISNUMBER(R$5:R$4004)*(R$5:R$4004&gt;R3269))+1)</f>
        <v/>
      </c>
      <c r="T3269" s="25" t="str">
        <f aca="false">IF(S3269="","",IF(S3269&lt;=Setup!$B$5,"🏆 WINNER",""))</f>
        <v/>
      </c>
      <c r="U3269" s="24" t="str">
        <f aca="false">IF(S3269="","",I3269&amp;"|"&amp;S3269)</f>
        <v/>
      </c>
    </row>
    <row r="3270" customFormat="false" ht="15" hidden="false" customHeight="false" outlineLevel="0" collapsed="false">
      <c r="A3270" s="31" t="n">
        <v>3266</v>
      </c>
      <c r="B3270" s="32" t="str">
        <f aca="false">IF(OR(C3270="",I3270="",G3270=""),"",IFERROR(VLOOKUP(I3270,Setup!$A$9:$B$11,2,0),"???")&amp;"-"&amp;G3270&amp;"-"&amp;TEXT(COUNTIFS(I$5:I3270,I3270,G$5:G3270,G3270),"0000"))</f>
        <v/>
      </c>
      <c r="C3270" s="26"/>
      <c r="D3270" s="26"/>
      <c r="E3270" s="27"/>
      <c r="F3270" s="27"/>
      <c r="G3270" s="31" t="str">
        <f aca="false">IF(F3270="","",IF(F3270&lt;=5,"A",IF(F3270&lt;=8,"B",IF(F3270&lt;=10,"C","D"))))</f>
        <v/>
      </c>
      <c r="H3270" s="28"/>
      <c r="I3270" s="27"/>
      <c r="J3270" s="26"/>
      <c r="K3270" s="27"/>
      <c r="L3270" s="27"/>
      <c r="M3270" s="27"/>
      <c r="N3270" s="27"/>
      <c r="O3270" s="31" t="str">
        <f aca="false">IF(G3270="","",VLOOKUP(G3270,Setup!$A$14:$C$17,3,0))</f>
        <v/>
      </c>
      <c r="P3270" s="27"/>
      <c r="Q3270" s="33" t="str">
        <f aca="false">IF(OR(P3270="",M3270&lt;&gt;"Paid",O3270=""),"",P3270/O3270)</f>
        <v/>
      </c>
      <c r="R3270" s="34" t="str">
        <f aca="false">IF(Q3270="","",Q3270+N(H3270)*0.000000001)</f>
        <v/>
      </c>
      <c r="S3270" s="32" t="str">
        <f aca="false">IF(R3270="","",SUMPRODUCT((I$5:I$4004=I3270)*ISNUMBER(R$5:R$4004)*(R$5:R$4004&gt;R3270))+1)</f>
        <v/>
      </c>
      <c r="T3270" s="32" t="str">
        <f aca="false">IF(S3270="","",IF(S3270&lt;=Setup!$B$5,"🏆 WINNER",""))</f>
        <v/>
      </c>
      <c r="U3270" s="31" t="str">
        <f aca="false">IF(S3270="","",I3270&amp;"|"&amp;S3270)</f>
        <v/>
      </c>
    </row>
    <row r="3271" customFormat="false" ht="15" hidden="false" customHeight="false" outlineLevel="0" collapsed="false">
      <c r="A3271" s="24" t="n">
        <v>3267</v>
      </c>
      <c r="B3271" s="25" t="str">
        <f aca="false">IF(OR(C3271="",I3271="",G3271=""),"",IFERROR(VLOOKUP(I3271,Setup!$A$9:$B$11,2,0),"???")&amp;"-"&amp;G3271&amp;"-"&amp;TEXT(COUNTIFS(I$5:I3271,I3271,G$5:G3271,G3271),"0000"))</f>
        <v/>
      </c>
      <c r="C3271" s="26"/>
      <c r="D3271" s="26"/>
      <c r="E3271" s="27"/>
      <c r="F3271" s="27"/>
      <c r="G3271" s="24" t="str">
        <f aca="false">IF(F3271="","",IF(F3271&lt;=5,"A",IF(F3271&lt;=8,"B",IF(F3271&lt;=10,"C","D"))))</f>
        <v/>
      </c>
      <c r="H3271" s="28"/>
      <c r="I3271" s="27"/>
      <c r="J3271" s="26"/>
      <c r="K3271" s="27"/>
      <c r="L3271" s="27"/>
      <c r="M3271" s="27"/>
      <c r="N3271" s="27"/>
      <c r="O3271" s="24" t="str">
        <f aca="false">IF(G3271="","",VLOOKUP(G3271,Setup!$A$14:$C$17,3,0))</f>
        <v/>
      </c>
      <c r="P3271" s="27"/>
      <c r="Q3271" s="29" t="str">
        <f aca="false">IF(OR(P3271="",M3271&lt;&gt;"Paid",O3271=""),"",P3271/O3271)</f>
        <v/>
      </c>
      <c r="R3271" s="30" t="str">
        <f aca="false">IF(Q3271="","",Q3271+N(H3271)*0.000000001)</f>
        <v/>
      </c>
      <c r="S3271" s="25" t="str">
        <f aca="false">IF(R3271="","",SUMPRODUCT((I$5:I$4004=I3271)*ISNUMBER(R$5:R$4004)*(R$5:R$4004&gt;R3271))+1)</f>
        <v/>
      </c>
      <c r="T3271" s="25" t="str">
        <f aca="false">IF(S3271="","",IF(S3271&lt;=Setup!$B$5,"🏆 WINNER",""))</f>
        <v/>
      </c>
      <c r="U3271" s="24" t="str">
        <f aca="false">IF(S3271="","",I3271&amp;"|"&amp;S3271)</f>
        <v/>
      </c>
    </row>
    <row r="3272" customFormat="false" ht="15" hidden="false" customHeight="false" outlineLevel="0" collapsed="false">
      <c r="A3272" s="31" t="n">
        <v>3268</v>
      </c>
      <c r="B3272" s="32" t="str">
        <f aca="false">IF(OR(C3272="",I3272="",G3272=""),"",IFERROR(VLOOKUP(I3272,Setup!$A$9:$B$11,2,0),"???")&amp;"-"&amp;G3272&amp;"-"&amp;TEXT(COUNTIFS(I$5:I3272,I3272,G$5:G3272,G3272),"0000"))</f>
        <v/>
      </c>
      <c r="C3272" s="26"/>
      <c r="D3272" s="26"/>
      <c r="E3272" s="27"/>
      <c r="F3272" s="27"/>
      <c r="G3272" s="31" t="str">
        <f aca="false">IF(F3272="","",IF(F3272&lt;=5,"A",IF(F3272&lt;=8,"B",IF(F3272&lt;=10,"C","D"))))</f>
        <v/>
      </c>
      <c r="H3272" s="28"/>
      <c r="I3272" s="27"/>
      <c r="J3272" s="26"/>
      <c r="K3272" s="27"/>
      <c r="L3272" s="27"/>
      <c r="M3272" s="27"/>
      <c r="N3272" s="27"/>
      <c r="O3272" s="31" t="str">
        <f aca="false">IF(G3272="","",VLOOKUP(G3272,Setup!$A$14:$C$17,3,0))</f>
        <v/>
      </c>
      <c r="P3272" s="27"/>
      <c r="Q3272" s="33" t="str">
        <f aca="false">IF(OR(P3272="",M3272&lt;&gt;"Paid",O3272=""),"",P3272/O3272)</f>
        <v/>
      </c>
      <c r="R3272" s="34" t="str">
        <f aca="false">IF(Q3272="","",Q3272+N(H3272)*0.000000001)</f>
        <v/>
      </c>
      <c r="S3272" s="32" t="str">
        <f aca="false">IF(R3272="","",SUMPRODUCT((I$5:I$4004=I3272)*ISNUMBER(R$5:R$4004)*(R$5:R$4004&gt;R3272))+1)</f>
        <v/>
      </c>
      <c r="T3272" s="32" t="str">
        <f aca="false">IF(S3272="","",IF(S3272&lt;=Setup!$B$5,"🏆 WINNER",""))</f>
        <v/>
      </c>
      <c r="U3272" s="31" t="str">
        <f aca="false">IF(S3272="","",I3272&amp;"|"&amp;S3272)</f>
        <v/>
      </c>
    </row>
    <row r="3273" customFormat="false" ht="15" hidden="false" customHeight="false" outlineLevel="0" collapsed="false">
      <c r="A3273" s="24" t="n">
        <v>3269</v>
      </c>
      <c r="B3273" s="25" t="str">
        <f aca="false">IF(OR(C3273="",I3273="",G3273=""),"",IFERROR(VLOOKUP(I3273,Setup!$A$9:$B$11,2,0),"???")&amp;"-"&amp;G3273&amp;"-"&amp;TEXT(COUNTIFS(I$5:I3273,I3273,G$5:G3273,G3273),"0000"))</f>
        <v/>
      </c>
      <c r="C3273" s="26"/>
      <c r="D3273" s="26"/>
      <c r="E3273" s="27"/>
      <c r="F3273" s="27"/>
      <c r="G3273" s="24" t="str">
        <f aca="false">IF(F3273="","",IF(F3273&lt;=5,"A",IF(F3273&lt;=8,"B",IF(F3273&lt;=10,"C","D"))))</f>
        <v/>
      </c>
      <c r="H3273" s="28"/>
      <c r="I3273" s="27"/>
      <c r="J3273" s="26"/>
      <c r="K3273" s="27"/>
      <c r="L3273" s="27"/>
      <c r="M3273" s="27"/>
      <c r="N3273" s="27"/>
      <c r="O3273" s="24" t="str">
        <f aca="false">IF(G3273="","",VLOOKUP(G3273,Setup!$A$14:$C$17,3,0))</f>
        <v/>
      </c>
      <c r="P3273" s="27"/>
      <c r="Q3273" s="29" t="str">
        <f aca="false">IF(OR(P3273="",M3273&lt;&gt;"Paid",O3273=""),"",P3273/O3273)</f>
        <v/>
      </c>
      <c r="R3273" s="30" t="str">
        <f aca="false">IF(Q3273="","",Q3273+N(H3273)*0.000000001)</f>
        <v/>
      </c>
      <c r="S3273" s="25" t="str">
        <f aca="false">IF(R3273="","",SUMPRODUCT((I$5:I$4004=I3273)*ISNUMBER(R$5:R$4004)*(R$5:R$4004&gt;R3273))+1)</f>
        <v/>
      </c>
      <c r="T3273" s="25" t="str">
        <f aca="false">IF(S3273="","",IF(S3273&lt;=Setup!$B$5,"🏆 WINNER",""))</f>
        <v/>
      </c>
      <c r="U3273" s="24" t="str">
        <f aca="false">IF(S3273="","",I3273&amp;"|"&amp;S3273)</f>
        <v/>
      </c>
    </row>
    <row r="3274" customFormat="false" ht="15" hidden="false" customHeight="false" outlineLevel="0" collapsed="false">
      <c r="A3274" s="31" t="n">
        <v>3270</v>
      </c>
      <c r="B3274" s="32" t="str">
        <f aca="false">IF(OR(C3274="",I3274="",G3274=""),"",IFERROR(VLOOKUP(I3274,Setup!$A$9:$B$11,2,0),"???")&amp;"-"&amp;G3274&amp;"-"&amp;TEXT(COUNTIFS(I$5:I3274,I3274,G$5:G3274,G3274),"0000"))</f>
        <v/>
      </c>
      <c r="C3274" s="26"/>
      <c r="D3274" s="26"/>
      <c r="E3274" s="27"/>
      <c r="F3274" s="27"/>
      <c r="G3274" s="31" t="str">
        <f aca="false">IF(F3274="","",IF(F3274&lt;=5,"A",IF(F3274&lt;=8,"B",IF(F3274&lt;=10,"C","D"))))</f>
        <v/>
      </c>
      <c r="H3274" s="28"/>
      <c r="I3274" s="27"/>
      <c r="J3274" s="26"/>
      <c r="K3274" s="27"/>
      <c r="L3274" s="27"/>
      <c r="M3274" s="27"/>
      <c r="N3274" s="27"/>
      <c r="O3274" s="31" t="str">
        <f aca="false">IF(G3274="","",VLOOKUP(G3274,Setup!$A$14:$C$17,3,0))</f>
        <v/>
      </c>
      <c r="P3274" s="27"/>
      <c r="Q3274" s="33" t="str">
        <f aca="false">IF(OR(P3274="",M3274&lt;&gt;"Paid",O3274=""),"",P3274/O3274)</f>
        <v/>
      </c>
      <c r="R3274" s="34" t="str">
        <f aca="false">IF(Q3274="","",Q3274+N(H3274)*0.000000001)</f>
        <v/>
      </c>
      <c r="S3274" s="32" t="str">
        <f aca="false">IF(R3274="","",SUMPRODUCT((I$5:I$4004=I3274)*ISNUMBER(R$5:R$4004)*(R$5:R$4004&gt;R3274))+1)</f>
        <v/>
      </c>
      <c r="T3274" s="32" t="str">
        <f aca="false">IF(S3274="","",IF(S3274&lt;=Setup!$B$5,"🏆 WINNER",""))</f>
        <v/>
      </c>
      <c r="U3274" s="31" t="str">
        <f aca="false">IF(S3274="","",I3274&amp;"|"&amp;S3274)</f>
        <v/>
      </c>
    </row>
    <row r="3275" customFormat="false" ht="15" hidden="false" customHeight="false" outlineLevel="0" collapsed="false">
      <c r="A3275" s="24" t="n">
        <v>3271</v>
      </c>
      <c r="B3275" s="25" t="str">
        <f aca="false">IF(OR(C3275="",I3275="",G3275=""),"",IFERROR(VLOOKUP(I3275,Setup!$A$9:$B$11,2,0),"???")&amp;"-"&amp;G3275&amp;"-"&amp;TEXT(COUNTIFS(I$5:I3275,I3275,G$5:G3275,G3275),"0000"))</f>
        <v/>
      </c>
      <c r="C3275" s="26"/>
      <c r="D3275" s="26"/>
      <c r="E3275" s="27"/>
      <c r="F3275" s="27"/>
      <c r="G3275" s="24" t="str">
        <f aca="false">IF(F3275="","",IF(F3275&lt;=5,"A",IF(F3275&lt;=8,"B",IF(F3275&lt;=10,"C","D"))))</f>
        <v/>
      </c>
      <c r="H3275" s="28"/>
      <c r="I3275" s="27"/>
      <c r="J3275" s="26"/>
      <c r="K3275" s="27"/>
      <c r="L3275" s="27"/>
      <c r="M3275" s="27"/>
      <c r="N3275" s="27"/>
      <c r="O3275" s="24" t="str">
        <f aca="false">IF(G3275="","",VLOOKUP(G3275,Setup!$A$14:$C$17,3,0))</f>
        <v/>
      </c>
      <c r="P3275" s="27"/>
      <c r="Q3275" s="29" t="str">
        <f aca="false">IF(OR(P3275="",M3275&lt;&gt;"Paid",O3275=""),"",P3275/O3275)</f>
        <v/>
      </c>
      <c r="R3275" s="30" t="str">
        <f aca="false">IF(Q3275="","",Q3275+N(H3275)*0.000000001)</f>
        <v/>
      </c>
      <c r="S3275" s="25" t="str">
        <f aca="false">IF(R3275="","",SUMPRODUCT((I$5:I$4004=I3275)*ISNUMBER(R$5:R$4004)*(R$5:R$4004&gt;R3275))+1)</f>
        <v/>
      </c>
      <c r="T3275" s="25" t="str">
        <f aca="false">IF(S3275="","",IF(S3275&lt;=Setup!$B$5,"🏆 WINNER",""))</f>
        <v/>
      </c>
      <c r="U3275" s="24" t="str">
        <f aca="false">IF(S3275="","",I3275&amp;"|"&amp;S3275)</f>
        <v/>
      </c>
    </row>
    <row r="3276" customFormat="false" ht="15" hidden="false" customHeight="false" outlineLevel="0" collapsed="false">
      <c r="A3276" s="31" t="n">
        <v>3272</v>
      </c>
      <c r="B3276" s="32" t="str">
        <f aca="false">IF(OR(C3276="",I3276="",G3276=""),"",IFERROR(VLOOKUP(I3276,Setup!$A$9:$B$11,2,0),"???")&amp;"-"&amp;G3276&amp;"-"&amp;TEXT(COUNTIFS(I$5:I3276,I3276,G$5:G3276,G3276),"0000"))</f>
        <v/>
      </c>
      <c r="C3276" s="26"/>
      <c r="D3276" s="26"/>
      <c r="E3276" s="27"/>
      <c r="F3276" s="27"/>
      <c r="G3276" s="31" t="str">
        <f aca="false">IF(F3276="","",IF(F3276&lt;=5,"A",IF(F3276&lt;=8,"B",IF(F3276&lt;=10,"C","D"))))</f>
        <v/>
      </c>
      <c r="H3276" s="28"/>
      <c r="I3276" s="27"/>
      <c r="J3276" s="26"/>
      <c r="K3276" s="27"/>
      <c r="L3276" s="27"/>
      <c r="M3276" s="27"/>
      <c r="N3276" s="27"/>
      <c r="O3276" s="31" t="str">
        <f aca="false">IF(G3276="","",VLOOKUP(G3276,Setup!$A$14:$C$17,3,0))</f>
        <v/>
      </c>
      <c r="P3276" s="27"/>
      <c r="Q3276" s="33" t="str">
        <f aca="false">IF(OR(P3276="",M3276&lt;&gt;"Paid",O3276=""),"",P3276/O3276)</f>
        <v/>
      </c>
      <c r="R3276" s="34" t="str">
        <f aca="false">IF(Q3276="","",Q3276+N(H3276)*0.000000001)</f>
        <v/>
      </c>
      <c r="S3276" s="32" t="str">
        <f aca="false">IF(R3276="","",SUMPRODUCT((I$5:I$4004=I3276)*ISNUMBER(R$5:R$4004)*(R$5:R$4004&gt;R3276))+1)</f>
        <v/>
      </c>
      <c r="T3276" s="32" t="str">
        <f aca="false">IF(S3276="","",IF(S3276&lt;=Setup!$B$5,"🏆 WINNER",""))</f>
        <v/>
      </c>
      <c r="U3276" s="31" t="str">
        <f aca="false">IF(S3276="","",I3276&amp;"|"&amp;S3276)</f>
        <v/>
      </c>
    </row>
    <row r="3277" customFormat="false" ht="15" hidden="false" customHeight="false" outlineLevel="0" collapsed="false">
      <c r="A3277" s="24" t="n">
        <v>3273</v>
      </c>
      <c r="B3277" s="25" t="str">
        <f aca="false">IF(OR(C3277="",I3277="",G3277=""),"",IFERROR(VLOOKUP(I3277,Setup!$A$9:$B$11,2,0),"???")&amp;"-"&amp;G3277&amp;"-"&amp;TEXT(COUNTIFS(I$5:I3277,I3277,G$5:G3277,G3277),"0000"))</f>
        <v/>
      </c>
      <c r="C3277" s="26"/>
      <c r="D3277" s="26"/>
      <c r="E3277" s="27"/>
      <c r="F3277" s="27"/>
      <c r="G3277" s="24" t="str">
        <f aca="false">IF(F3277="","",IF(F3277&lt;=5,"A",IF(F3277&lt;=8,"B",IF(F3277&lt;=10,"C","D"))))</f>
        <v/>
      </c>
      <c r="H3277" s="28"/>
      <c r="I3277" s="27"/>
      <c r="J3277" s="26"/>
      <c r="K3277" s="27"/>
      <c r="L3277" s="27"/>
      <c r="M3277" s="27"/>
      <c r="N3277" s="27"/>
      <c r="O3277" s="24" t="str">
        <f aca="false">IF(G3277="","",VLOOKUP(G3277,Setup!$A$14:$C$17,3,0))</f>
        <v/>
      </c>
      <c r="P3277" s="27"/>
      <c r="Q3277" s="29" t="str">
        <f aca="false">IF(OR(P3277="",M3277&lt;&gt;"Paid",O3277=""),"",P3277/O3277)</f>
        <v/>
      </c>
      <c r="R3277" s="30" t="str">
        <f aca="false">IF(Q3277="","",Q3277+N(H3277)*0.000000001)</f>
        <v/>
      </c>
      <c r="S3277" s="25" t="str">
        <f aca="false">IF(R3277="","",SUMPRODUCT((I$5:I$4004=I3277)*ISNUMBER(R$5:R$4004)*(R$5:R$4004&gt;R3277))+1)</f>
        <v/>
      </c>
      <c r="T3277" s="25" t="str">
        <f aca="false">IF(S3277="","",IF(S3277&lt;=Setup!$B$5,"🏆 WINNER",""))</f>
        <v/>
      </c>
      <c r="U3277" s="24" t="str">
        <f aca="false">IF(S3277="","",I3277&amp;"|"&amp;S3277)</f>
        <v/>
      </c>
    </row>
    <row r="3278" customFormat="false" ht="15" hidden="false" customHeight="false" outlineLevel="0" collapsed="false">
      <c r="A3278" s="31" t="n">
        <v>3274</v>
      </c>
      <c r="B3278" s="32" t="str">
        <f aca="false">IF(OR(C3278="",I3278="",G3278=""),"",IFERROR(VLOOKUP(I3278,Setup!$A$9:$B$11,2,0),"???")&amp;"-"&amp;G3278&amp;"-"&amp;TEXT(COUNTIFS(I$5:I3278,I3278,G$5:G3278,G3278),"0000"))</f>
        <v/>
      </c>
      <c r="C3278" s="26"/>
      <c r="D3278" s="26"/>
      <c r="E3278" s="27"/>
      <c r="F3278" s="27"/>
      <c r="G3278" s="31" t="str">
        <f aca="false">IF(F3278="","",IF(F3278&lt;=5,"A",IF(F3278&lt;=8,"B",IF(F3278&lt;=10,"C","D"))))</f>
        <v/>
      </c>
      <c r="H3278" s="28"/>
      <c r="I3278" s="27"/>
      <c r="J3278" s="26"/>
      <c r="K3278" s="27"/>
      <c r="L3278" s="27"/>
      <c r="M3278" s="27"/>
      <c r="N3278" s="27"/>
      <c r="O3278" s="31" t="str">
        <f aca="false">IF(G3278="","",VLOOKUP(G3278,Setup!$A$14:$C$17,3,0))</f>
        <v/>
      </c>
      <c r="P3278" s="27"/>
      <c r="Q3278" s="33" t="str">
        <f aca="false">IF(OR(P3278="",M3278&lt;&gt;"Paid",O3278=""),"",P3278/O3278)</f>
        <v/>
      </c>
      <c r="R3278" s="34" t="str">
        <f aca="false">IF(Q3278="","",Q3278+N(H3278)*0.000000001)</f>
        <v/>
      </c>
      <c r="S3278" s="32" t="str">
        <f aca="false">IF(R3278="","",SUMPRODUCT((I$5:I$4004=I3278)*ISNUMBER(R$5:R$4004)*(R$5:R$4004&gt;R3278))+1)</f>
        <v/>
      </c>
      <c r="T3278" s="32" t="str">
        <f aca="false">IF(S3278="","",IF(S3278&lt;=Setup!$B$5,"🏆 WINNER",""))</f>
        <v/>
      </c>
      <c r="U3278" s="31" t="str">
        <f aca="false">IF(S3278="","",I3278&amp;"|"&amp;S3278)</f>
        <v/>
      </c>
    </row>
    <row r="3279" customFormat="false" ht="15" hidden="false" customHeight="false" outlineLevel="0" collapsed="false">
      <c r="A3279" s="24" t="n">
        <v>3275</v>
      </c>
      <c r="B3279" s="25" t="str">
        <f aca="false">IF(OR(C3279="",I3279="",G3279=""),"",IFERROR(VLOOKUP(I3279,Setup!$A$9:$B$11,2,0),"???")&amp;"-"&amp;G3279&amp;"-"&amp;TEXT(COUNTIFS(I$5:I3279,I3279,G$5:G3279,G3279),"0000"))</f>
        <v/>
      </c>
      <c r="C3279" s="26"/>
      <c r="D3279" s="26"/>
      <c r="E3279" s="27"/>
      <c r="F3279" s="27"/>
      <c r="G3279" s="24" t="str">
        <f aca="false">IF(F3279="","",IF(F3279&lt;=5,"A",IF(F3279&lt;=8,"B",IF(F3279&lt;=10,"C","D"))))</f>
        <v/>
      </c>
      <c r="H3279" s="28"/>
      <c r="I3279" s="27"/>
      <c r="J3279" s="26"/>
      <c r="K3279" s="27"/>
      <c r="L3279" s="27"/>
      <c r="M3279" s="27"/>
      <c r="N3279" s="27"/>
      <c r="O3279" s="24" t="str">
        <f aca="false">IF(G3279="","",VLOOKUP(G3279,Setup!$A$14:$C$17,3,0))</f>
        <v/>
      </c>
      <c r="P3279" s="27"/>
      <c r="Q3279" s="29" t="str">
        <f aca="false">IF(OR(P3279="",M3279&lt;&gt;"Paid",O3279=""),"",P3279/O3279)</f>
        <v/>
      </c>
      <c r="R3279" s="30" t="str">
        <f aca="false">IF(Q3279="","",Q3279+N(H3279)*0.000000001)</f>
        <v/>
      </c>
      <c r="S3279" s="25" t="str">
        <f aca="false">IF(R3279="","",SUMPRODUCT((I$5:I$4004=I3279)*ISNUMBER(R$5:R$4004)*(R$5:R$4004&gt;R3279))+1)</f>
        <v/>
      </c>
      <c r="T3279" s="25" t="str">
        <f aca="false">IF(S3279="","",IF(S3279&lt;=Setup!$B$5,"🏆 WINNER",""))</f>
        <v/>
      </c>
      <c r="U3279" s="24" t="str">
        <f aca="false">IF(S3279="","",I3279&amp;"|"&amp;S3279)</f>
        <v/>
      </c>
    </row>
    <row r="3280" customFormat="false" ht="15" hidden="false" customHeight="false" outlineLevel="0" collapsed="false">
      <c r="A3280" s="31" t="n">
        <v>3276</v>
      </c>
      <c r="B3280" s="32" t="str">
        <f aca="false">IF(OR(C3280="",I3280="",G3280=""),"",IFERROR(VLOOKUP(I3280,Setup!$A$9:$B$11,2,0),"???")&amp;"-"&amp;G3280&amp;"-"&amp;TEXT(COUNTIFS(I$5:I3280,I3280,G$5:G3280,G3280),"0000"))</f>
        <v/>
      </c>
      <c r="C3280" s="26"/>
      <c r="D3280" s="26"/>
      <c r="E3280" s="27"/>
      <c r="F3280" s="27"/>
      <c r="G3280" s="31" t="str">
        <f aca="false">IF(F3280="","",IF(F3280&lt;=5,"A",IF(F3280&lt;=8,"B",IF(F3280&lt;=10,"C","D"))))</f>
        <v/>
      </c>
      <c r="H3280" s="28"/>
      <c r="I3280" s="27"/>
      <c r="J3280" s="26"/>
      <c r="K3280" s="27"/>
      <c r="L3280" s="27"/>
      <c r="M3280" s="27"/>
      <c r="N3280" s="27"/>
      <c r="O3280" s="31" t="str">
        <f aca="false">IF(G3280="","",VLOOKUP(G3280,Setup!$A$14:$C$17,3,0))</f>
        <v/>
      </c>
      <c r="P3280" s="27"/>
      <c r="Q3280" s="33" t="str">
        <f aca="false">IF(OR(P3280="",M3280&lt;&gt;"Paid",O3280=""),"",P3280/O3280)</f>
        <v/>
      </c>
      <c r="R3280" s="34" t="str">
        <f aca="false">IF(Q3280="","",Q3280+N(H3280)*0.000000001)</f>
        <v/>
      </c>
      <c r="S3280" s="32" t="str">
        <f aca="false">IF(R3280="","",SUMPRODUCT((I$5:I$4004=I3280)*ISNUMBER(R$5:R$4004)*(R$5:R$4004&gt;R3280))+1)</f>
        <v/>
      </c>
      <c r="T3280" s="32" t="str">
        <f aca="false">IF(S3280="","",IF(S3280&lt;=Setup!$B$5,"🏆 WINNER",""))</f>
        <v/>
      </c>
      <c r="U3280" s="31" t="str">
        <f aca="false">IF(S3280="","",I3280&amp;"|"&amp;S3280)</f>
        <v/>
      </c>
    </row>
    <row r="3281" customFormat="false" ht="15" hidden="false" customHeight="false" outlineLevel="0" collapsed="false">
      <c r="A3281" s="24" t="n">
        <v>3277</v>
      </c>
      <c r="B3281" s="25" t="str">
        <f aca="false">IF(OR(C3281="",I3281="",G3281=""),"",IFERROR(VLOOKUP(I3281,Setup!$A$9:$B$11,2,0),"???")&amp;"-"&amp;G3281&amp;"-"&amp;TEXT(COUNTIFS(I$5:I3281,I3281,G$5:G3281,G3281),"0000"))</f>
        <v/>
      </c>
      <c r="C3281" s="26"/>
      <c r="D3281" s="26"/>
      <c r="E3281" s="27"/>
      <c r="F3281" s="27"/>
      <c r="G3281" s="24" t="str">
        <f aca="false">IF(F3281="","",IF(F3281&lt;=5,"A",IF(F3281&lt;=8,"B",IF(F3281&lt;=10,"C","D"))))</f>
        <v/>
      </c>
      <c r="H3281" s="28"/>
      <c r="I3281" s="27"/>
      <c r="J3281" s="26"/>
      <c r="K3281" s="27"/>
      <c r="L3281" s="27"/>
      <c r="M3281" s="27"/>
      <c r="N3281" s="27"/>
      <c r="O3281" s="24" t="str">
        <f aca="false">IF(G3281="","",VLOOKUP(G3281,Setup!$A$14:$C$17,3,0))</f>
        <v/>
      </c>
      <c r="P3281" s="27"/>
      <c r="Q3281" s="29" t="str">
        <f aca="false">IF(OR(P3281="",M3281&lt;&gt;"Paid",O3281=""),"",P3281/O3281)</f>
        <v/>
      </c>
      <c r="R3281" s="30" t="str">
        <f aca="false">IF(Q3281="","",Q3281+N(H3281)*0.000000001)</f>
        <v/>
      </c>
      <c r="S3281" s="25" t="str">
        <f aca="false">IF(R3281="","",SUMPRODUCT((I$5:I$4004=I3281)*ISNUMBER(R$5:R$4004)*(R$5:R$4004&gt;R3281))+1)</f>
        <v/>
      </c>
      <c r="T3281" s="25" t="str">
        <f aca="false">IF(S3281="","",IF(S3281&lt;=Setup!$B$5,"🏆 WINNER",""))</f>
        <v/>
      </c>
      <c r="U3281" s="24" t="str">
        <f aca="false">IF(S3281="","",I3281&amp;"|"&amp;S3281)</f>
        <v/>
      </c>
    </row>
    <row r="3282" customFormat="false" ht="15" hidden="false" customHeight="false" outlineLevel="0" collapsed="false">
      <c r="A3282" s="31" t="n">
        <v>3278</v>
      </c>
      <c r="B3282" s="32" t="str">
        <f aca="false">IF(OR(C3282="",I3282="",G3282=""),"",IFERROR(VLOOKUP(I3282,Setup!$A$9:$B$11,2,0),"???")&amp;"-"&amp;G3282&amp;"-"&amp;TEXT(COUNTIFS(I$5:I3282,I3282,G$5:G3282,G3282),"0000"))</f>
        <v/>
      </c>
      <c r="C3282" s="26"/>
      <c r="D3282" s="26"/>
      <c r="E3282" s="27"/>
      <c r="F3282" s="27"/>
      <c r="G3282" s="31" t="str">
        <f aca="false">IF(F3282="","",IF(F3282&lt;=5,"A",IF(F3282&lt;=8,"B",IF(F3282&lt;=10,"C","D"))))</f>
        <v/>
      </c>
      <c r="H3282" s="28"/>
      <c r="I3282" s="27"/>
      <c r="J3282" s="26"/>
      <c r="K3282" s="27"/>
      <c r="L3282" s="27"/>
      <c r="M3282" s="27"/>
      <c r="N3282" s="27"/>
      <c r="O3282" s="31" t="str">
        <f aca="false">IF(G3282="","",VLOOKUP(G3282,Setup!$A$14:$C$17,3,0))</f>
        <v/>
      </c>
      <c r="P3282" s="27"/>
      <c r="Q3282" s="33" t="str">
        <f aca="false">IF(OR(P3282="",M3282&lt;&gt;"Paid",O3282=""),"",P3282/O3282)</f>
        <v/>
      </c>
      <c r="R3282" s="34" t="str">
        <f aca="false">IF(Q3282="","",Q3282+N(H3282)*0.000000001)</f>
        <v/>
      </c>
      <c r="S3282" s="32" t="str">
        <f aca="false">IF(R3282="","",SUMPRODUCT((I$5:I$4004=I3282)*ISNUMBER(R$5:R$4004)*(R$5:R$4004&gt;R3282))+1)</f>
        <v/>
      </c>
      <c r="T3282" s="32" t="str">
        <f aca="false">IF(S3282="","",IF(S3282&lt;=Setup!$B$5,"🏆 WINNER",""))</f>
        <v/>
      </c>
      <c r="U3282" s="31" t="str">
        <f aca="false">IF(S3282="","",I3282&amp;"|"&amp;S3282)</f>
        <v/>
      </c>
    </row>
    <row r="3283" customFormat="false" ht="15" hidden="false" customHeight="false" outlineLevel="0" collapsed="false">
      <c r="A3283" s="24" t="n">
        <v>3279</v>
      </c>
      <c r="B3283" s="25" t="str">
        <f aca="false">IF(OR(C3283="",I3283="",G3283=""),"",IFERROR(VLOOKUP(I3283,Setup!$A$9:$B$11,2,0),"???")&amp;"-"&amp;G3283&amp;"-"&amp;TEXT(COUNTIFS(I$5:I3283,I3283,G$5:G3283,G3283),"0000"))</f>
        <v/>
      </c>
      <c r="C3283" s="26"/>
      <c r="D3283" s="26"/>
      <c r="E3283" s="27"/>
      <c r="F3283" s="27"/>
      <c r="G3283" s="24" t="str">
        <f aca="false">IF(F3283="","",IF(F3283&lt;=5,"A",IF(F3283&lt;=8,"B",IF(F3283&lt;=10,"C","D"))))</f>
        <v/>
      </c>
      <c r="H3283" s="28"/>
      <c r="I3283" s="27"/>
      <c r="J3283" s="26"/>
      <c r="K3283" s="27"/>
      <c r="L3283" s="27"/>
      <c r="M3283" s="27"/>
      <c r="N3283" s="27"/>
      <c r="O3283" s="24" t="str">
        <f aca="false">IF(G3283="","",VLOOKUP(G3283,Setup!$A$14:$C$17,3,0))</f>
        <v/>
      </c>
      <c r="P3283" s="27"/>
      <c r="Q3283" s="29" t="str">
        <f aca="false">IF(OR(P3283="",M3283&lt;&gt;"Paid",O3283=""),"",P3283/O3283)</f>
        <v/>
      </c>
      <c r="R3283" s="30" t="str">
        <f aca="false">IF(Q3283="","",Q3283+N(H3283)*0.000000001)</f>
        <v/>
      </c>
      <c r="S3283" s="25" t="str">
        <f aca="false">IF(R3283="","",SUMPRODUCT((I$5:I$4004=I3283)*ISNUMBER(R$5:R$4004)*(R$5:R$4004&gt;R3283))+1)</f>
        <v/>
      </c>
      <c r="T3283" s="25" t="str">
        <f aca="false">IF(S3283="","",IF(S3283&lt;=Setup!$B$5,"🏆 WINNER",""))</f>
        <v/>
      </c>
      <c r="U3283" s="24" t="str">
        <f aca="false">IF(S3283="","",I3283&amp;"|"&amp;S3283)</f>
        <v/>
      </c>
    </row>
    <row r="3284" customFormat="false" ht="15" hidden="false" customHeight="false" outlineLevel="0" collapsed="false">
      <c r="A3284" s="31" t="n">
        <v>3280</v>
      </c>
      <c r="B3284" s="32" t="str">
        <f aca="false">IF(OR(C3284="",I3284="",G3284=""),"",IFERROR(VLOOKUP(I3284,Setup!$A$9:$B$11,2,0),"???")&amp;"-"&amp;G3284&amp;"-"&amp;TEXT(COUNTIFS(I$5:I3284,I3284,G$5:G3284,G3284),"0000"))</f>
        <v/>
      </c>
      <c r="C3284" s="26"/>
      <c r="D3284" s="26"/>
      <c r="E3284" s="27"/>
      <c r="F3284" s="27"/>
      <c r="G3284" s="31" t="str">
        <f aca="false">IF(F3284="","",IF(F3284&lt;=5,"A",IF(F3284&lt;=8,"B",IF(F3284&lt;=10,"C","D"))))</f>
        <v/>
      </c>
      <c r="H3284" s="28"/>
      <c r="I3284" s="27"/>
      <c r="J3284" s="26"/>
      <c r="K3284" s="27"/>
      <c r="L3284" s="27"/>
      <c r="M3284" s="27"/>
      <c r="N3284" s="27"/>
      <c r="O3284" s="31" t="str">
        <f aca="false">IF(G3284="","",VLOOKUP(G3284,Setup!$A$14:$C$17,3,0))</f>
        <v/>
      </c>
      <c r="P3284" s="27"/>
      <c r="Q3284" s="33" t="str">
        <f aca="false">IF(OR(P3284="",M3284&lt;&gt;"Paid",O3284=""),"",P3284/O3284)</f>
        <v/>
      </c>
      <c r="R3284" s="34" t="str">
        <f aca="false">IF(Q3284="","",Q3284+N(H3284)*0.000000001)</f>
        <v/>
      </c>
      <c r="S3284" s="32" t="str">
        <f aca="false">IF(R3284="","",SUMPRODUCT((I$5:I$4004=I3284)*ISNUMBER(R$5:R$4004)*(R$5:R$4004&gt;R3284))+1)</f>
        <v/>
      </c>
      <c r="T3284" s="32" t="str">
        <f aca="false">IF(S3284="","",IF(S3284&lt;=Setup!$B$5,"🏆 WINNER",""))</f>
        <v/>
      </c>
      <c r="U3284" s="31" t="str">
        <f aca="false">IF(S3284="","",I3284&amp;"|"&amp;S3284)</f>
        <v/>
      </c>
    </row>
    <row r="3285" customFormat="false" ht="15" hidden="false" customHeight="false" outlineLevel="0" collapsed="false">
      <c r="A3285" s="24" t="n">
        <v>3281</v>
      </c>
      <c r="B3285" s="25" t="str">
        <f aca="false">IF(OR(C3285="",I3285="",G3285=""),"",IFERROR(VLOOKUP(I3285,Setup!$A$9:$B$11,2,0),"???")&amp;"-"&amp;G3285&amp;"-"&amp;TEXT(COUNTIFS(I$5:I3285,I3285,G$5:G3285,G3285),"0000"))</f>
        <v/>
      </c>
      <c r="C3285" s="26"/>
      <c r="D3285" s="26"/>
      <c r="E3285" s="27"/>
      <c r="F3285" s="27"/>
      <c r="G3285" s="24" t="str">
        <f aca="false">IF(F3285="","",IF(F3285&lt;=5,"A",IF(F3285&lt;=8,"B",IF(F3285&lt;=10,"C","D"))))</f>
        <v/>
      </c>
      <c r="H3285" s="28"/>
      <c r="I3285" s="27"/>
      <c r="J3285" s="26"/>
      <c r="K3285" s="27"/>
      <c r="L3285" s="27"/>
      <c r="M3285" s="27"/>
      <c r="N3285" s="27"/>
      <c r="O3285" s="24" t="str">
        <f aca="false">IF(G3285="","",VLOOKUP(G3285,Setup!$A$14:$C$17,3,0))</f>
        <v/>
      </c>
      <c r="P3285" s="27"/>
      <c r="Q3285" s="29" t="str">
        <f aca="false">IF(OR(P3285="",M3285&lt;&gt;"Paid",O3285=""),"",P3285/O3285)</f>
        <v/>
      </c>
      <c r="R3285" s="30" t="str">
        <f aca="false">IF(Q3285="","",Q3285+N(H3285)*0.000000001)</f>
        <v/>
      </c>
      <c r="S3285" s="25" t="str">
        <f aca="false">IF(R3285="","",SUMPRODUCT((I$5:I$4004=I3285)*ISNUMBER(R$5:R$4004)*(R$5:R$4004&gt;R3285))+1)</f>
        <v/>
      </c>
      <c r="T3285" s="25" t="str">
        <f aca="false">IF(S3285="","",IF(S3285&lt;=Setup!$B$5,"🏆 WINNER",""))</f>
        <v/>
      </c>
      <c r="U3285" s="24" t="str">
        <f aca="false">IF(S3285="","",I3285&amp;"|"&amp;S3285)</f>
        <v/>
      </c>
    </row>
    <row r="3286" customFormat="false" ht="15" hidden="false" customHeight="false" outlineLevel="0" collapsed="false">
      <c r="A3286" s="31" t="n">
        <v>3282</v>
      </c>
      <c r="B3286" s="32" t="str">
        <f aca="false">IF(OR(C3286="",I3286="",G3286=""),"",IFERROR(VLOOKUP(I3286,Setup!$A$9:$B$11,2,0),"???")&amp;"-"&amp;G3286&amp;"-"&amp;TEXT(COUNTIFS(I$5:I3286,I3286,G$5:G3286,G3286),"0000"))</f>
        <v/>
      </c>
      <c r="C3286" s="26"/>
      <c r="D3286" s="26"/>
      <c r="E3286" s="27"/>
      <c r="F3286" s="27"/>
      <c r="G3286" s="31" t="str">
        <f aca="false">IF(F3286="","",IF(F3286&lt;=5,"A",IF(F3286&lt;=8,"B",IF(F3286&lt;=10,"C","D"))))</f>
        <v/>
      </c>
      <c r="H3286" s="28"/>
      <c r="I3286" s="27"/>
      <c r="J3286" s="26"/>
      <c r="K3286" s="27"/>
      <c r="L3286" s="27"/>
      <c r="M3286" s="27"/>
      <c r="N3286" s="27"/>
      <c r="O3286" s="31" t="str">
        <f aca="false">IF(G3286="","",VLOOKUP(G3286,Setup!$A$14:$C$17,3,0))</f>
        <v/>
      </c>
      <c r="P3286" s="27"/>
      <c r="Q3286" s="33" t="str">
        <f aca="false">IF(OR(P3286="",M3286&lt;&gt;"Paid",O3286=""),"",P3286/O3286)</f>
        <v/>
      </c>
      <c r="R3286" s="34" t="str">
        <f aca="false">IF(Q3286="","",Q3286+N(H3286)*0.000000001)</f>
        <v/>
      </c>
      <c r="S3286" s="32" t="str">
        <f aca="false">IF(R3286="","",SUMPRODUCT((I$5:I$4004=I3286)*ISNUMBER(R$5:R$4004)*(R$5:R$4004&gt;R3286))+1)</f>
        <v/>
      </c>
      <c r="T3286" s="32" t="str">
        <f aca="false">IF(S3286="","",IF(S3286&lt;=Setup!$B$5,"🏆 WINNER",""))</f>
        <v/>
      </c>
      <c r="U3286" s="31" t="str">
        <f aca="false">IF(S3286="","",I3286&amp;"|"&amp;S3286)</f>
        <v/>
      </c>
    </row>
    <row r="3287" customFormat="false" ht="15" hidden="false" customHeight="false" outlineLevel="0" collapsed="false">
      <c r="A3287" s="24" t="n">
        <v>3283</v>
      </c>
      <c r="B3287" s="25" t="str">
        <f aca="false">IF(OR(C3287="",I3287="",G3287=""),"",IFERROR(VLOOKUP(I3287,Setup!$A$9:$B$11,2,0),"???")&amp;"-"&amp;G3287&amp;"-"&amp;TEXT(COUNTIFS(I$5:I3287,I3287,G$5:G3287,G3287),"0000"))</f>
        <v/>
      </c>
      <c r="C3287" s="26"/>
      <c r="D3287" s="26"/>
      <c r="E3287" s="27"/>
      <c r="F3287" s="27"/>
      <c r="G3287" s="24" t="str">
        <f aca="false">IF(F3287="","",IF(F3287&lt;=5,"A",IF(F3287&lt;=8,"B",IF(F3287&lt;=10,"C","D"))))</f>
        <v/>
      </c>
      <c r="H3287" s="28"/>
      <c r="I3287" s="27"/>
      <c r="J3287" s="26"/>
      <c r="K3287" s="27"/>
      <c r="L3287" s="27"/>
      <c r="M3287" s="27"/>
      <c r="N3287" s="27"/>
      <c r="O3287" s="24" t="str">
        <f aca="false">IF(G3287="","",VLOOKUP(G3287,Setup!$A$14:$C$17,3,0))</f>
        <v/>
      </c>
      <c r="P3287" s="27"/>
      <c r="Q3287" s="29" t="str">
        <f aca="false">IF(OR(P3287="",M3287&lt;&gt;"Paid",O3287=""),"",P3287/O3287)</f>
        <v/>
      </c>
      <c r="R3287" s="30" t="str">
        <f aca="false">IF(Q3287="","",Q3287+N(H3287)*0.000000001)</f>
        <v/>
      </c>
      <c r="S3287" s="25" t="str">
        <f aca="false">IF(R3287="","",SUMPRODUCT((I$5:I$4004=I3287)*ISNUMBER(R$5:R$4004)*(R$5:R$4004&gt;R3287))+1)</f>
        <v/>
      </c>
      <c r="T3287" s="25" t="str">
        <f aca="false">IF(S3287="","",IF(S3287&lt;=Setup!$B$5,"🏆 WINNER",""))</f>
        <v/>
      </c>
      <c r="U3287" s="24" t="str">
        <f aca="false">IF(S3287="","",I3287&amp;"|"&amp;S3287)</f>
        <v/>
      </c>
    </row>
    <row r="3288" customFormat="false" ht="15" hidden="false" customHeight="false" outlineLevel="0" collapsed="false">
      <c r="A3288" s="31" t="n">
        <v>3284</v>
      </c>
      <c r="B3288" s="32" t="str">
        <f aca="false">IF(OR(C3288="",I3288="",G3288=""),"",IFERROR(VLOOKUP(I3288,Setup!$A$9:$B$11,2,0),"???")&amp;"-"&amp;G3288&amp;"-"&amp;TEXT(COUNTIFS(I$5:I3288,I3288,G$5:G3288,G3288),"0000"))</f>
        <v/>
      </c>
      <c r="C3288" s="26"/>
      <c r="D3288" s="26"/>
      <c r="E3288" s="27"/>
      <c r="F3288" s="27"/>
      <c r="G3288" s="31" t="str">
        <f aca="false">IF(F3288="","",IF(F3288&lt;=5,"A",IF(F3288&lt;=8,"B",IF(F3288&lt;=10,"C","D"))))</f>
        <v/>
      </c>
      <c r="H3288" s="28"/>
      <c r="I3288" s="27"/>
      <c r="J3288" s="26"/>
      <c r="K3288" s="27"/>
      <c r="L3288" s="27"/>
      <c r="M3288" s="27"/>
      <c r="N3288" s="27"/>
      <c r="O3288" s="31" t="str">
        <f aca="false">IF(G3288="","",VLOOKUP(G3288,Setup!$A$14:$C$17,3,0))</f>
        <v/>
      </c>
      <c r="P3288" s="27"/>
      <c r="Q3288" s="33" t="str">
        <f aca="false">IF(OR(P3288="",M3288&lt;&gt;"Paid",O3288=""),"",P3288/O3288)</f>
        <v/>
      </c>
      <c r="R3288" s="34" t="str">
        <f aca="false">IF(Q3288="","",Q3288+N(H3288)*0.000000001)</f>
        <v/>
      </c>
      <c r="S3288" s="32" t="str">
        <f aca="false">IF(R3288="","",SUMPRODUCT((I$5:I$4004=I3288)*ISNUMBER(R$5:R$4004)*(R$5:R$4004&gt;R3288))+1)</f>
        <v/>
      </c>
      <c r="T3288" s="32" t="str">
        <f aca="false">IF(S3288="","",IF(S3288&lt;=Setup!$B$5,"🏆 WINNER",""))</f>
        <v/>
      </c>
      <c r="U3288" s="31" t="str">
        <f aca="false">IF(S3288="","",I3288&amp;"|"&amp;S3288)</f>
        <v/>
      </c>
    </row>
    <row r="3289" customFormat="false" ht="15" hidden="false" customHeight="false" outlineLevel="0" collapsed="false">
      <c r="A3289" s="24" t="n">
        <v>3285</v>
      </c>
      <c r="B3289" s="25" t="str">
        <f aca="false">IF(OR(C3289="",I3289="",G3289=""),"",IFERROR(VLOOKUP(I3289,Setup!$A$9:$B$11,2,0),"???")&amp;"-"&amp;G3289&amp;"-"&amp;TEXT(COUNTIFS(I$5:I3289,I3289,G$5:G3289,G3289),"0000"))</f>
        <v/>
      </c>
      <c r="C3289" s="26"/>
      <c r="D3289" s="26"/>
      <c r="E3289" s="27"/>
      <c r="F3289" s="27"/>
      <c r="G3289" s="24" t="str">
        <f aca="false">IF(F3289="","",IF(F3289&lt;=5,"A",IF(F3289&lt;=8,"B",IF(F3289&lt;=10,"C","D"))))</f>
        <v/>
      </c>
      <c r="H3289" s="28"/>
      <c r="I3289" s="27"/>
      <c r="J3289" s="26"/>
      <c r="K3289" s="27"/>
      <c r="L3289" s="27"/>
      <c r="M3289" s="27"/>
      <c r="N3289" s="27"/>
      <c r="O3289" s="24" t="str">
        <f aca="false">IF(G3289="","",VLOOKUP(G3289,Setup!$A$14:$C$17,3,0))</f>
        <v/>
      </c>
      <c r="P3289" s="27"/>
      <c r="Q3289" s="29" t="str">
        <f aca="false">IF(OR(P3289="",M3289&lt;&gt;"Paid",O3289=""),"",P3289/O3289)</f>
        <v/>
      </c>
      <c r="R3289" s="30" t="str">
        <f aca="false">IF(Q3289="","",Q3289+N(H3289)*0.000000001)</f>
        <v/>
      </c>
      <c r="S3289" s="25" t="str">
        <f aca="false">IF(R3289="","",SUMPRODUCT((I$5:I$4004=I3289)*ISNUMBER(R$5:R$4004)*(R$5:R$4004&gt;R3289))+1)</f>
        <v/>
      </c>
      <c r="T3289" s="25" t="str">
        <f aca="false">IF(S3289="","",IF(S3289&lt;=Setup!$B$5,"🏆 WINNER",""))</f>
        <v/>
      </c>
      <c r="U3289" s="24" t="str">
        <f aca="false">IF(S3289="","",I3289&amp;"|"&amp;S3289)</f>
        <v/>
      </c>
    </row>
    <row r="3290" customFormat="false" ht="15" hidden="false" customHeight="false" outlineLevel="0" collapsed="false">
      <c r="A3290" s="31" t="n">
        <v>3286</v>
      </c>
      <c r="B3290" s="32" t="str">
        <f aca="false">IF(OR(C3290="",I3290="",G3290=""),"",IFERROR(VLOOKUP(I3290,Setup!$A$9:$B$11,2,0),"???")&amp;"-"&amp;G3290&amp;"-"&amp;TEXT(COUNTIFS(I$5:I3290,I3290,G$5:G3290,G3290),"0000"))</f>
        <v/>
      </c>
      <c r="C3290" s="26"/>
      <c r="D3290" s="26"/>
      <c r="E3290" s="27"/>
      <c r="F3290" s="27"/>
      <c r="G3290" s="31" t="str">
        <f aca="false">IF(F3290="","",IF(F3290&lt;=5,"A",IF(F3290&lt;=8,"B",IF(F3290&lt;=10,"C","D"))))</f>
        <v/>
      </c>
      <c r="H3290" s="28"/>
      <c r="I3290" s="27"/>
      <c r="J3290" s="26"/>
      <c r="K3290" s="27"/>
      <c r="L3290" s="27"/>
      <c r="M3290" s="27"/>
      <c r="N3290" s="27"/>
      <c r="O3290" s="31" t="str">
        <f aca="false">IF(G3290="","",VLOOKUP(G3290,Setup!$A$14:$C$17,3,0))</f>
        <v/>
      </c>
      <c r="P3290" s="27"/>
      <c r="Q3290" s="33" t="str">
        <f aca="false">IF(OR(P3290="",M3290&lt;&gt;"Paid",O3290=""),"",P3290/O3290)</f>
        <v/>
      </c>
      <c r="R3290" s="34" t="str">
        <f aca="false">IF(Q3290="","",Q3290+N(H3290)*0.000000001)</f>
        <v/>
      </c>
      <c r="S3290" s="32" t="str">
        <f aca="false">IF(R3290="","",SUMPRODUCT((I$5:I$4004=I3290)*ISNUMBER(R$5:R$4004)*(R$5:R$4004&gt;R3290))+1)</f>
        <v/>
      </c>
      <c r="T3290" s="32" t="str">
        <f aca="false">IF(S3290="","",IF(S3290&lt;=Setup!$B$5,"🏆 WINNER",""))</f>
        <v/>
      </c>
      <c r="U3290" s="31" t="str">
        <f aca="false">IF(S3290="","",I3290&amp;"|"&amp;S3290)</f>
        <v/>
      </c>
    </row>
    <row r="3291" customFormat="false" ht="15" hidden="false" customHeight="false" outlineLevel="0" collapsed="false">
      <c r="A3291" s="24" t="n">
        <v>3287</v>
      </c>
      <c r="B3291" s="25" t="str">
        <f aca="false">IF(OR(C3291="",I3291="",G3291=""),"",IFERROR(VLOOKUP(I3291,Setup!$A$9:$B$11,2,0),"???")&amp;"-"&amp;G3291&amp;"-"&amp;TEXT(COUNTIFS(I$5:I3291,I3291,G$5:G3291,G3291),"0000"))</f>
        <v/>
      </c>
      <c r="C3291" s="26"/>
      <c r="D3291" s="26"/>
      <c r="E3291" s="27"/>
      <c r="F3291" s="27"/>
      <c r="G3291" s="24" t="str">
        <f aca="false">IF(F3291="","",IF(F3291&lt;=5,"A",IF(F3291&lt;=8,"B",IF(F3291&lt;=10,"C","D"))))</f>
        <v/>
      </c>
      <c r="H3291" s="28"/>
      <c r="I3291" s="27"/>
      <c r="J3291" s="26"/>
      <c r="K3291" s="27"/>
      <c r="L3291" s="27"/>
      <c r="M3291" s="27"/>
      <c r="N3291" s="27"/>
      <c r="O3291" s="24" t="str">
        <f aca="false">IF(G3291="","",VLOOKUP(G3291,Setup!$A$14:$C$17,3,0))</f>
        <v/>
      </c>
      <c r="P3291" s="27"/>
      <c r="Q3291" s="29" t="str">
        <f aca="false">IF(OR(P3291="",M3291&lt;&gt;"Paid",O3291=""),"",P3291/O3291)</f>
        <v/>
      </c>
      <c r="R3291" s="30" t="str">
        <f aca="false">IF(Q3291="","",Q3291+N(H3291)*0.000000001)</f>
        <v/>
      </c>
      <c r="S3291" s="25" t="str">
        <f aca="false">IF(R3291="","",SUMPRODUCT((I$5:I$4004=I3291)*ISNUMBER(R$5:R$4004)*(R$5:R$4004&gt;R3291))+1)</f>
        <v/>
      </c>
      <c r="T3291" s="25" t="str">
        <f aca="false">IF(S3291="","",IF(S3291&lt;=Setup!$B$5,"🏆 WINNER",""))</f>
        <v/>
      </c>
      <c r="U3291" s="24" t="str">
        <f aca="false">IF(S3291="","",I3291&amp;"|"&amp;S3291)</f>
        <v/>
      </c>
    </row>
    <row r="3292" customFormat="false" ht="15" hidden="false" customHeight="false" outlineLevel="0" collapsed="false">
      <c r="A3292" s="31" t="n">
        <v>3288</v>
      </c>
      <c r="B3292" s="32" t="str">
        <f aca="false">IF(OR(C3292="",I3292="",G3292=""),"",IFERROR(VLOOKUP(I3292,Setup!$A$9:$B$11,2,0),"???")&amp;"-"&amp;G3292&amp;"-"&amp;TEXT(COUNTIFS(I$5:I3292,I3292,G$5:G3292,G3292),"0000"))</f>
        <v/>
      </c>
      <c r="C3292" s="26"/>
      <c r="D3292" s="26"/>
      <c r="E3292" s="27"/>
      <c r="F3292" s="27"/>
      <c r="G3292" s="31" t="str">
        <f aca="false">IF(F3292="","",IF(F3292&lt;=5,"A",IF(F3292&lt;=8,"B",IF(F3292&lt;=10,"C","D"))))</f>
        <v/>
      </c>
      <c r="H3292" s="28"/>
      <c r="I3292" s="27"/>
      <c r="J3292" s="26"/>
      <c r="K3292" s="27"/>
      <c r="L3292" s="27"/>
      <c r="M3292" s="27"/>
      <c r="N3292" s="27"/>
      <c r="O3292" s="31" t="str">
        <f aca="false">IF(G3292="","",VLOOKUP(G3292,Setup!$A$14:$C$17,3,0))</f>
        <v/>
      </c>
      <c r="P3292" s="27"/>
      <c r="Q3292" s="33" t="str">
        <f aca="false">IF(OR(P3292="",M3292&lt;&gt;"Paid",O3292=""),"",P3292/O3292)</f>
        <v/>
      </c>
      <c r="R3292" s="34" t="str">
        <f aca="false">IF(Q3292="","",Q3292+N(H3292)*0.000000001)</f>
        <v/>
      </c>
      <c r="S3292" s="32" t="str">
        <f aca="false">IF(R3292="","",SUMPRODUCT((I$5:I$4004=I3292)*ISNUMBER(R$5:R$4004)*(R$5:R$4004&gt;R3292))+1)</f>
        <v/>
      </c>
      <c r="T3292" s="32" t="str">
        <f aca="false">IF(S3292="","",IF(S3292&lt;=Setup!$B$5,"🏆 WINNER",""))</f>
        <v/>
      </c>
      <c r="U3292" s="31" t="str">
        <f aca="false">IF(S3292="","",I3292&amp;"|"&amp;S3292)</f>
        <v/>
      </c>
    </row>
    <row r="3293" customFormat="false" ht="15" hidden="false" customHeight="false" outlineLevel="0" collapsed="false">
      <c r="A3293" s="24" t="n">
        <v>3289</v>
      </c>
      <c r="B3293" s="25" t="str">
        <f aca="false">IF(OR(C3293="",I3293="",G3293=""),"",IFERROR(VLOOKUP(I3293,Setup!$A$9:$B$11,2,0),"???")&amp;"-"&amp;G3293&amp;"-"&amp;TEXT(COUNTIFS(I$5:I3293,I3293,G$5:G3293,G3293),"0000"))</f>
        <v/>
      </c>
      <c r="C3293" s="26"/>
      <c r="D3293" s="26"/>
      <c r="E3293" s="27"/>
      <c r="F3293" s="27"/>
      <c r="G3293" s="24" t="str">
        <f aca="false">IF(F3293="","",IF(F3293&lt;=5,"A",IF(F3293&lt;=8,"B",IF(F3293&lt;=10,"C","D"))))</f>
        <v/>
      </c>
      <c r="H3293" s="28"/>
      <c r="I3293" s="27"/>
      <c r="J3293" s="26"/>
      <c r="K3293" s="27"/>
      <c r="L3293" s="27"/>
      <c r="M3293" s="27"/>
      <c r="N3293" s="27"/>
      <c r="O3293" s="24" t="str">
        <f aca="false">IF(G3293="","",VLOOKUP(G3293,Setup!$A$14:$C$17,3,0))</f>
        <v/>
      </c>
      <c r="P3293" s="27"/>
      <c r="Q3293" s="29" t="str">
        <f aca="false">IF(OR(P3293="",M3293&lt;&gt;"Paid",O3293=""),"",P3293/O3293)</f>
        <v/>
      </c>
      <c r="R3293" s="30" t="str">
        <f aca="false">IF(Q3293="","",Q3293+N(H3293)*0.000000001)</f>
        <v/>
      </c>
      <c r="S3293" s="25" t="str">
        <f aca="false">IF(R3293="","",SUMPRODUCT((I$5:I$4004=I3293)*ISNUMBER(R$5:R$4004)*(R$5:R$4004&gt;R3293))+1)</f>
        <v/>
      </c>
      <c r="T3293" s="25" t="str">
        <f aca="false">IF(S3293="","",IF(S3293&lt;=Setup!$B$5,"🏆 WINNER",""))</f>
        <v/>
      </c>
      <c r="U3293" s="24" t="str">
        <f aca="false">IF(S3293="","",I3293&amp;"|"&amp;S3293)</f>
        <v/>
      </c>
    </row>
    <row r="3294" customFormat="false" ht="15" hidden="false" customHeight="false" outlineLevel="0" collapsed="false">
      <c r="A3294" s="31" t="n">
        <v>3290</v>
      </c>
      <c r="B3294" s="32" t="str">
        <f aca="false">IF(OR(C3294="",I3294="",G3294=""),"",IFERROR(VLOOKUP(I3294,Setup!$A$9:$B$11,2,0),"???")&amp;"-"&amp;G3294&amp;"-"&amp;TEXT(COUNTIFS(I$5:I3294,I3294,G$5:G3294,G3294),"0000"))</f>
        <v/>
      </c>
      <c r="C3294" s="26"/>
      <c r="D3294" s="26"/>
      <c r="E3294" s="27"/>
      <c r="F3294" s="27"/>
      <c r="G3294" s="31" t="str">
        <f aca="false">IF(F3294="","",IF(F3294&lt;=5,"A",IF(F3294&lt;=8,"B",IF(F3294&lt;=10,"C","D"))))</f>
        <v/>
      </c>
      <c r="H3294" s="28"/>
      <c r="I3294" s="27"/>
      <c r="J3294" s="26"/>
      <c r="K3294" s="27"/>
      <c r="L3294" s="27"/>
      <c r="M3294" s="27"/>
      <c r="N3294" s="27"/>
      <c r="O3294" s="31" t="str">
        <f aca="false">IF(G3294="","",VLOOKUP(G3294,Setup!$A$14:$C$17,3,0))</f>
        <v/>
      </c>
      <c r="P3294" s="27"/>
      <c r="Q3294" s="33" t="str">
        <f aca="false">IF(OR(P3294="",M3294&lt;&gt;"Paid",O3294=""),"",P3294/O3294)</f>
        <v/>
      </c>
      <c r="R3294" s="34" t="str">
        <f aca="false">IF(Q3294="","",Q3294+N(H3294)*0.000000001)</f>
        <v/>
      </c>
      <c r="S3294" s="32" t="str">
        <f aca="false">IF(R3294="","",SUMPRODUCT((I$5:I$4004=I3294)*ISNUMBER(R$5:R$4004)*(R$5:R$4004&gt;R3294))+1)</f>
        <v/>
      </c>
      <c r="T3294" s="32" t="str">
        <f aca="false">IF(S3294="","",IF(S3294&lt;=Setup!$B$5,"🏆 WINNER",""))</f>
        <v/>
      </c>
      <c r="U3294" s="31" t="str">
        <f aca="false">IF(S3294="","",I3294&amp;"|"&amp;S3294)</f>
        <v/>
      </c>
    </row>
    <row r="3295" customFormat="false" ht="15" hidden="false" customHeight="false" outlineLevel="0" collapsed="false">
      <c r="A3295" s="24" t="n">
        <v>3291</v>
      </c>
      <c r="B3295" s="25" t="str">
        <f aca="false">IF(OR(C3295="",I3295="",G3295=""),"",IFERROR(VLOOKUP(I3295,Setup!$A$9:$B$11,2,0),"???")&amp;"-"&amp;G3295&amp;"-"&amp;TEXT(COUNTIFS(I$5:I3295,I3295,G$5:G3295,G3295),"0000"))</f>
        <v/>
      </c>
      <c r="C3295" s="26"/>
      <c r="D3295" s="26"/>
      <c r="E3295" s="27"/>
      <c r="F3295" s="27"/>
      <c r="G3295" s="24" t="str">
        <f aca="false">IF(F3295="","",IF(F3295&lt;=5,"A",IF(F3295&lt;=8,"B",IF(F3295&lt;=10,"C","D"))))</f>
        <v/>
      </c>
      <c r="H3295" s="28"/>
      <c r="I3295" s="27"/>
      <c r="J3295" s="26"/>
      <c r="K3295" s="27"/>
      <c r="L3295" s="27"/>
      <c r="M3295" s="27"/>
      <c r="N3295" s="27"/>
      <c r="O3295" s="24" t="str">
        <f aca="false">IF(G3295="","",VLOOKUP(G3295,Setup!$A$14:$C$17,3,0))</f>
        <v/>
      </c>
      <c r="P3295" s="27"/>
      <c r="Q3295" s="29" t="str">
        <f aca="false">IF(OR(P3295="",M3295&lt;&gt;"Paid",O3295=""),"",P3295/O3295)</f>
        <v/>
      </c>
      <c r="R3295" s="30" t="str">
        <f aca="false">IF(Q3295="","",Q3295+N(H3295)*0.000000001)</f>
        <v/>
      </c>
      <c r="S3295" s="25" t="str">
        <f aca="false">IF(R3295="","",SUMPRODUCT((I$5:I$4004=I3295)*ISNUMBER(R$5:R$4004)*(R$5:R$4004&gt;R3295))+1)</f>
        <v/>
      </c>
      <c r="T3295" s="25" t="str">
        <f aca="false">IF(S3295="","",IF(S3295&lt;=Setup!$B$5,"🏆 WINNER",""))</f>
        <v/>
      </c>
      <c r="U3295" s="24" t="str">
        <f aca="false">IF(S3295="","",I3295&amp;"|"&amp;S3295)</f>
        <v/>
      </c>
    </row>
    <row r="3296" customFormat="false" ht="15" hidden="false" customHeight="false" outlineLevel="0" collapsed="false">
      <c r="A3296" s="31" t="n">
        <v>3292</v>
      </c>
      <c r="B3296" s="32" t="str">
        <f aca="false">IF(OR(C3296="",I3296="",G3296=""),"",IFERROR(VLOOKUP(I3296,Setup!$A$9:$B$11,2,0),"???")&amp;"-"&amp;G3296&amp;"-"&amp;TEXT(COUNTIFS(I$5:I3296,I3296,G$5:G3296,G3296),"0000"))</f>
        <v/>
      </c>
      <c r="C3296" s="26"/>
      <c r="D3296" s="26"/>
      <c r="E3296" s="27"/>
      <c r="F3296" s="27"/>
      <c r="G3296" s="31" t="str">
        <f aca="false">IF(F3296="","",IF(F3296&lt;=5,"A",IF(F3296&lt;=8,"B",IF(F3296&lt;=10,"C","D"))))</f>
        <v/>
      </c>
      <c r="H3296" s="28"/>
      <c r="I3296" s="27"/>
      <c r="J3296" s="26"/>
      <c r="K3296" s="27"/>
      <c r="L3296" s="27"/>
      <c r="M3296" s="27"/>
      <c r="N3296" s="27"/>
      <c r="O3296" s="31" t="str">
        <f aca="false">IF(G3296="","",VLOOKUP(G3296,Setup!$A$14:$C$17,3,0))</f>
        <v/>
      </c>
      <c r="P3296" s="27"/>
      <c r="Q3296" s="33" t="str">
        <f aca="false">IF(OR(P3296="",M3296&lt;&gt;"Paid",O3296=""),"",P3296/O3296)</f>
        <v/>
      </c>
      <c r="R3296" s="34" t="str">
        <f aca="false">IF(Q3296="","",Q3296+N(H3296)*0.000000001)</f>
        <v/>
      </c>
      <c r="S3296" s="32" t="str">
        <f aca="false">IF(R3296="","",SUMPRODUCT((I$5:I$4004=I3296)*ISNUMBER(R$5:R$4004)*(R$5:R$4004&gt;R3296))+1)</f>
        <v/>
      </c>
      <c r="T3296" s="32" t="str">
        <f aca="false">IF(S3296="","",IF(S3296&lt;=Setup!$B$5,"🏆 WINNER",""))</f>
        <v/>
      </c>
      <c r="U3296" s="31" t="str">
        <f aca="false">IF(S3296="","",I3296&amp;"|"&amp;S3296)</f>
        <v/>
      </c>
    </row>
    <row r="3297" customFormat="false" ht="15" hidden="false" customHeight="false" outlineLevel="0" collapsed="false">
      <c r="A3297" s="24" t="n">
        <v>3293</v>
      </c>
      <c r="B3297" s="25" t="str">
        <f aca="false">IF(OR(C3297="",I3297="",G3297=""),"",IFERROR(VLOOKUP(I3297,Setup!$A$9:$B$11,2,0),"???")&amp;"-"&amp;G3297&amp;"-"&amp;TEXT(COUNTIFS(I$5:I3297,I3297,G$5:G3297,G3297),"0000"))</f>
        <v/>
      </c>
      <c r="C3297" s="26"/>
      <c r="D3297" s="26"/>
      <c r="E3297" s="27"/>
      <c r="F3297" s="27"/>
      <c r="G3297" s="24" t="str">
        <f aca="false">IF(F3297="","",IF(F3297&lt;=5,"A",IF(F3297&lt;=8,"B",IF(F3297&lt;=10,"C","D"))))</f>
        <v/>
      </c>
      <c r="H3297" s="28"/>
      <c r="I3297" s="27"/>
      <c r="J3297" s="26"/>
      <c r="K3297" s="27"/>
      <c r="L3297" s="27"/>
      <c r="M3297" s="27"/>
      <c r="N3297" s="27"/>
      <c r="O3297" s="24" t="str">
        <f aca="false">IF(G3297="","",VLOOKUP(G3297,Setup!$A$14:$C$17,3,0))</f>
        <v/>
      </c>
      <c r="P3297" s="27"/>
      <c r="Q3297" s="29" t="str">
        <f aca="false">IF(OR(P3297="",M3297&lt;&gt;"Paid",O3297=""),"",P3297/O3297)</f>
        <v/>
      </c>
      <c r="R3297" s="30" t="str">
        <f aca="false">IF(Q3297="","",Q3297+N(H3297)*0.000000001)</f>
        <v/>
      </c>
      <c r="S3297" s="25" t="str">
        <f aca="false">IF(R3297="","",SUMPRODUCT((I$5:I$4004=I3297)*ISNUMBER(R$5:R$4004)*(R$5:R$4004&gt;R3297))+1)</f>
        <v/>
      </c>
      <c r="T3297" s="25" t="str">
        <f aca="false">IF(S3297="","",IF(S3297&lt;=Setup!$B$5,"🏆 WINNER",""))</f>
        <v/>
      </c>
      <c r="U3297" s="24" t="str">
        <f aca="false">IF(S3297="","",I3297&amp;"|"&amp;S3297)</f>
        <v/>
      </c>
    </row>
    <row r="3298" customFormat="false" ht="15" hidden="false" customHeight="false" outlineLevel="0" collapsed="false">
      <c r="A3298" s="31" t="n">
        <v>3294</v>
      </c>
      <c r="B3298" s="32" t="str">
        <f aca="false">IF(OR(C3298="",I3298="",G3298=""),"",IFERROR(VLOOKUP(I3298,Setup!$A$9:$B$11,2,0),"???")&amp;"-"&amp;G3298&amp;"-"&amp;TEXT(COUNTIFS(I$5:I3298,I3298,G$5:G3298,G3298),"0000"))</f>
        <v/>
      </c>
      <c r="C3298" s="26"/>
      <c r="D3298" s="26"/>
      <c r="E3298" s="27"/>
      <c r="F3298" s="27"/>
      <c r="G3298" s="31" t="str">
        <f aca="false">IF(F3298="","",IF(F3298&lt;=5,"A",IF(F3298&lt;=8,"B",IF(F3298&lt;=10,"C","D"))))</f>
        <v/>
      </c>
      <c r="H3298" s="28"/>
      <c r="I3298" s="27"/>
      <c r="J3298" s="26"/>
      <c r="K3298" s="27"/>
      <c r="L3298" s="27"/>
      <c r="M3298" s="27"/>
      <c r="N3298" s="27"/>
      <c r="O3298" s="31" t="str">
        <f aca="false">IF(G3298="","",VLOOKUP(G3298,Setup!$A$14:$C$17,3,0))</f>
        <v/>
      </c>
      <c r="P3298" s="27"/>
      <c r="Q3298" s="33" t="str">
        <f aca="false">IF(OR(P3298="",M3298&lt;&gt;"Paid",O3298=""),"",P3298/O3298)</f>
        <v/>
      </c>
      <c r="R3298" s="34" t="str">
        <f aca="false">IF(Q3298="","",Q3298+N(H3298)*0.000000001)</f>
        <v/>
      </c>
      <c r="S3298" s="32" t="str">
        <f aca="false">IF(R3298="","",SUMPRODUCT((I$5:I$4004=I3298)*ISNUMBER(R$5:R$4004)*(R$5:R$4004&gt;R3298))+1)</f>
        <v/>
      </c>
      <c r="T3298" s="32" t="str">
        <f aca="false">IF(S3298="","",IF(S3298&lt;=Setup!$B$5,"🏆 WINNER",""))</f>
        <v/>
      </c>
      <c r="U3298" s="31" t="str">
        <f aca="false">IF(S3298="","",I3298&amp;"|"&amp;S3298)</f>
        <v/>
      </c>
    </row>
    <row r="3299" customFormat="false" ht="15" hidden="false" customHeight="false" outlineLevel="0" collapsed="false">
      <c r="A3299" s="24" t="n">
        <v>3295</v>
      </c>
      <c r="B3299" s="25" t="str">
        <f aca="false">IF(OR(C3299="",I3299="",G3299=""),"",IFERROR(VLOOKUP(I3299,Setup!$A$9:$B$11,2,0),"???")&amp;"-"&amp;G3299&amp;"-"&amp;TEXT(COUNTIFS(I$5:I3299,I3299,G$5:G3299,G3299),"0000"))</f>
        <v/>
      </c>
      <c r="C3299" s="26"/>
      <c r="D3299" s="26"/>
      <c r="E3299" s="27"/>
      <c r="F3299" s="27"/>
      <c r="G3299" s="24" t="str">
        <f aca="false">IF(F3299="","",IF(F3299&lt;=5,"A",IF(F3299&lt;=8,"B",IF(F3299&lt;=10,"C","D"))))</f>
        <v/>
      </c>
      <c r="H3299" s="28"/>
      <c r="I3299" s="27"/>
      <c r="J3299" s="26"/>
      <c r="K3299" s="27"/>
      <c r="L3299" s="27"/>
      <c r="M3299" s="27"/>
      <c r="N3299" s="27"/>
      <c r="O3299" s="24" t="str">
        <f aca="false">IF(G3299="","",VLOOKUP(G3299,Setup!$A$14:$C$17,3,0))</f>
        <v/>
      </c>
      <c r="P3299" s="27"/>
      <c r="Q3299" s="29" t="str">
        <f aca="false">IF(OR(P3299="",M3299&lt;&gt;"Paid",O3299=""),"",P3299/O3299)</f>
        <v/>
      </c>
      <c r="R3299" s="30" t="str">
        <f aca="false">IF(Q3299="","",Q3299+N(H3299)*0.000000001)</f>
        <v/>
      </c>
      <c r="S3299" s="25" t="str">
        <f aca="false">IF(R3299="","",SUMPRODUCT((I$5:I$4004=I3299)*ISNUMBER(R$5:R$4004)*(R$5:R$4004&gt;R3299))+1)</f>
        <v/>
      </c>
      <c r="T3299" s="25" t="str">
        <f aca="false">IF(S3299="","",IF(S3299&lt;=Setup!$B$5,"🏆 WINNER",""))</f>
        <v/>
      </c>
      <c r="U3299" s="24" t="str">
        <f aca="false">IF(S3299="","",I3299&amp;"|"&amp;S3299)</f>
        <v/>
      </c>
    </row>
    <row r="3300" customFormat="false" ht="15" hidden="false" customHeight="false" outlineLevel="0" collapsed="false">
      <c r="A3300" s="31" t="n">
        <v>3296</v>
      </c>
      <c r="B3300" s="32" t="str">
        <f aca="false">IF(OR(C3300="",I3300="",G3300=""),"",IFERROR(VLOOKUP(I3300,Setup!$A$9:$B$11,2,0),"???")&amp;"-"&amp;G3300&amp;"-"&amp;TEXT(COUNTIFS(I$5:I3300,I3300,G$5:G3300,G3300),"0000"))</f>
        <v/>
      </c>
      <c r="C3300" s="26"/>
      <c r="D3300" s="26"/>
      <c r="E3300" s="27"/>
      <c r="F3300" s="27"/>
      <c r="G3300" s="31" t="str">
        <f aca="false">IF(F3300="","",IF(F3300&lt;=5,"A",IF(F3300&lt;=8,"B",IF(F3300&lt;=10,"C","D"))))</f>
        <v/>
      </c>
      <c r="H3300" s="28"/>
      <c r="I3300" s="27"/>
      <c r="J3300" s="26"/>
      <c r="K3300" s="27"/>
      <c r="L3300" s="27"/>
      <c r="M3300" s="27"/>
      <c r="N3300" s="27"/>
      <c r="O3300" s="31" t="str">
        <f aca="false">IF(G3300="","",VLOOKUP(G3300,Setup!$A$14:$C$17,3,0))</f>
        <v/>
      </c>
      <c r="P3300" s="27"/>
      <c r="Q3300" s="33" t="str">
        <f aca="false">IF(OR(P3300="",M3300&lt;&gt;"Paid",O3300=""),"",P3300/O3300)</f>
        <v/>
      </c>
      <c r="R3300" s="34" t="str">
        <f aca="false">IF(Q3300="","",Q3300+N(H3300)*0.000000001)</f>
        <v/>
      </c>
      <c r="S3300" s="32" t="str">
        <f aca="false">IF(R3300="","",SUMPRODUCT((I$5:I$4004=I3300)*ISNUMBER(R$5:R$4004)*(R$5:R$4004&gt;R3300))+1)</f>
        <v/>
      </c>
      <c r="T3300" s="32" t="str">
        <f aca="false">IF(S3300="","",IF(S3300&lt;=Setup!$B$5,"🏆 WINNER",""))</f>
        <v/>
      </c>
      <c r="U3300" s="31" t="str">
        <f aca="false">IF(S3300="","",I3300&amp;"|"&amp;S3300)</f>
        <v/>
      </c>
    </row>
    <row r="3301" customFormat="false" ht="15" hidden="false" customHeight="false" outlineLevel="0" collapsed="false">
      <c r="A3301" s="24" t="n">
        <v>3297</v>
      </c>
      <c r="B3301" s="25" t="str">
        <f aca="false">IF(OR(C3301="",I3301="",G3301=""),"",IFERROR(VLOOKUP(I3301,Setup!$A$9:$B$11,2,0),"???")&amp;"-"&amp;G3301&amp;"-"&amp;TEXT(COUNTIFS(I$5:I3301,I3301,G$5:G3301,G3301),"0000"))</f>
        <v/>
      </c>
      <c r="C3301" s="26"/>
      <c r="D3301" s="26"/>
      <c r="E3301" s="27"/>
      <c r="F3301" s="27"/>
      <c r="G3301" s="24" t="str">
        <f aca="false">IF(F3301="","",IF(F3301&lt;=5,"A",IF(F3301&lt;=8,"B",IF(F3301&lt;=10,"C","D"))))</f>
        <v/>
      </c>
      <c r="H3301" s="28"/>
      <c r="I3301" s="27"/>
      <c r="J3301" s="26"/>
      <c r="K3301" s="27"/>
      <c r="L3301" s="27"/>
      <c r="M3301" s="27"/>
      <c r="N3301" s="27"/>
      <c r="O3301" s="24" t="str">
        <f aca="false">IF(G3301="","",VLOOKUP(G3301,Setup!$A$14:$C$17,3,0))</f>
        <v/>
      </c>
      <c r="P3301" s="27"/>
      <c r="Q3301" s="29" t="str">
        <f aca="false">IF(OR(P3301="",M3301&lt;&gt;"Paid",O3301=""),"",P3301/O3301)</f>
        <v/>
      </c>
      <c r="R3301" s="30" t="str">
        <f aca="false">IF(Q3301="","",Q3301+N(H3301)*0.000000001)</f>
        <v/>
      </c>
      <c r="S3301" s="25" t="str">
        <f aca="false">IF(R3301="","",SUMPRODUCT((I$5:I$4004=I3301)*ISNUMBER(R$5:R$4004)*(R$5:R$4004&gt;R3301))+1)</f>
        <v/>
      </c>
      <c r="T3301" s="25" t="str">
        <f aca="false">IF(S3301="","",IF(S3301&lt;=Setup!$B$5,"🏆 WINNER",""))</f>
        <v/>
      </c>
      <c r="U3301" s="24" t="str">
        <f aca="false">IF(S3301="","",I3301&amp;"|"&amp;S3301)</f>
        <v/>
      </c>
    </row>
    <row r="3302" customFormat="false" ht="15" hidden="false" customHeight="false" outlineLevel="0" collapsed="false">
      <c r="A3302" s="31" t="n">
        <v>3298</v>
      </c>
      <c r="B3302" s="32" t="str">
        <f aca="false">IF(OR(C3302="",I3302="",G3302=""),"",IFERROR(VLOOKUP(I3302,Setup!$A$9:$B$11,2,0),"???")&amp;"-"&amp;G3302&amp;"-"&amp;TEXT(COUNTIFS(I$5:I3302,I3302,G$5:G3302,G3302),"0000"))</f>
        <v/>
      </c>
      <c r="C3302" s="26"/>
      <c r="D3302" s="26"/>
      <c r="E3302" s="27"/>
      <c r="F3302" s="27"/>
      <c r="G3302" s="31" t="str">
        <f aca="false">IF(F3302="","",IF(F3302&lt;=5,"A",IF(F3302&lt;=8,"B",IF(F3302&lt;=10,"C","D"))))</f>
        <v/>
      </c>
      <c r="H3302" s="28"/>
      <c r="I3302" s="27"/>
      <c r="J3302" s="26"/>
      <c r="K3302" s="27"/>
      <c r="L3302" s="27"/>
      <c r="M3302" s="27"/>
      <c r="N3302" s="27"/>
      <c r="O3302" s="31" t="str">
        <f aca="false">IF(G3302="","",VLOOKUP(G3302,Setup!$A$14:$C$17,3,0))</f>
        <v/>
      </c>
      <c r="P3302" s="27"/>
      <c r="Q3302" s="33" t="str">
        <f aca="false">IF(OR(P3302="",M3302&lt;&gt;"Paid",O3302=""),"",P3302/O3302)</f>
        <v/>
      </c>
      <c r="R3302" s="34" t="str">
        <f aca="false">IF(Q3302="","",Q3302+N(H3302)*0.000000001)</f>
        <v/>
      </c>
      <c r="S3302" s="32" t="str">
        <f aca="false">IF(R3302="","",SUMPRODUCT((I$5:I$4004=I3302)*ISNUMBER(R$5:R$4004)*(R$5:R$4004&gt;R3302))+1)</f>
        <v/>
      </c>
      <c r="T3302" s="32" t="str">
        <f aca="false">IF(S3302="","",IF(S3302&lt;=Setup!$B$5,"🏆 WINNER",""))</f>
        <v/>
      </c>
      <c r="U3302" s="31" t="str">
        <f aca="false">IF(S3302="","",I3302&amp;"|"&amp;S3302)</f>
        <v/>
      </c>
    </row>
    <row r="3303" customFormat="false" ht="15" hidden="false" customHeight="false" outlineLevel="0" collapsed="false">
      <c r="A3303" s="24" t="n">
        <v>3299</v>
      </c>
      <c r="B3303" s="25" t="str">
        <f aca="false">IF(OR(C3303="",I3303="",G3303=""),"",IFERROR(VLOOKUP(I3303,Setup!$A$9:$B$11,2,0),"???")&amp;"-"&amp;G3303&amp;"-"&amp;TEXT(COUNTIFS(I$5:I3303,I3303,G$5:G3303,G3303),"0000"))</f>
        <v/>
      </c>
      <c r="C3303" s="26"/>
      <c r="D3303" s="26"/>
      <c r="E3303" s="27"/>
      <c r="F3303" s="27"/>
      <c r="G3303" s="24" t="str">
        <f aca="false">IF(F3303="","",IF(F3303&lt;=5,"A",IF(F3303&lt;=8,"B",IF(F3303&lt;=10,"C","D"))))</f>
        <v/>
      </c>
      <c r="H3303" s="28"/>
      <c r="I3303" s="27"/>
      <c r="J3303" s="26"/>
      <c r="K3303" s="27"/>
      <c r="L3303" s="27"/>
      <c r="M3303" s="27"/>
      <c r="N3303" s="27"/>
      <c r="O3303" s="24" t="str">
        <f aca="false">IF(G3303="","",VLOOKUP(G3303,Setup!$A$14:$C$17,3,0))</f>
        <v/>
      </c>
      <c r="P3303" s="27"/>
      <c r="Q3303" s="29" t="str">
        <f aca="false">IF(OR(P3303="",M3303&lt;&gt;"Paid",O3303=""),"",P3303/O3303)</f>
        <v/>
      </c>
      <c r="R3303" s="30" t="str">
        <f aca="false">IF(Q3303="","",Q3303+N(H3303)*0.000000001)</f>
        <v/>
      </c>
      <c r="S3303" s="25" t="str">
        <f aca="false">IF(R3303="","",SUMPRODUCT((I$5:I$4004=I3303)*ISNUMBER(R$5:R$4004)*(R$5:R$4004&gt;R3303))+1)</f>
        <v/>
      </c>
      <c r="T3303" s="25" t="str">
        <f aca="false">IF(S3303="","",IF(S3303&lt;=Setup!$B$5,"🏆 WINNER",""))</f>
        <v/>
      </c>
      <c r="U3303" s="24" t="str">
        <f aca="false">IF(S3303="","",I3303&amp;"|"&amp;S3303)</f>
        <v/>
      </c>
    </row>
    <row r="3304" customFormat="false" ht="15" hidden="false" customHeight="false" outlineLevel="0" collapsed="false">
      <c r="A3304" s="31" t="n">
        <v>3300</v>
      </c>
      <c r="B3304" s="32" t="str">
        <f aca="false">IF(OR(C3304="",I3304="",G3304=""),"",IFERROR(VLOOKUP(I3304,Setup!$A$9:$B$11,2,0),"???")&amp;"-"&amp;G3304&amp;"-"&amp;TEXT(COUNTIFS(I$5:I3304,I3304,G$5:G3304,G3304),"0000"))</f>
        <v/>
      </c>
      <c r="C3304" s="26"/>
      <c r="D3304" s="26"/>
      <c r="E3304" s="27"/>
      <c r="F3304" s="27"/>
      <c r="G3304" s="31" t="str">
        <f aca="false">IF(F3304="","",IF(F3304&lt;=5,"A",IF(F3304&lt;=8,"B",IF(F3304&lt;=10,"C","D"))))</f>
        <v/>
      </c>
      <c r="H3304" s="28"/>
      <c r="I3304" s="27"/>
      <c r="J3304" s="26"/>
      <c r="K3304" s="27"/>
      <c r="L3304" s="27"/>
      <c r="M3304" s="27"/>
      <c r="N3304" s="27"/>
      <c r="O3304" s="31" t="str">
        <f aca="false">IF(G3304="","",VLOOKUP(G3304,Setup!$A$14:$C$17,3,0))</f>
        <v/>
      </c>
      <c r="P3304" s="27"/>
      <c r="Q3304" s="33" t="str">
        <f aca="false">IF(OR(P3304="",M3304&lt;&gt;"Paid",O3304=""),"",P3304/O3304)</f>
        <v/>
      </c>
      <c r="R3304" s="34" t="str">
        <f aca="false">IF(Q3304="","",Q3304+N(H3304)*0.000000001)</f>
        <v/>
      </c>
      <c r="S3304" s="32" t="str">
        <f aca="false">IF(R3304="","",SUMPRODUCT((I$5:I$4004=I3304)*ISNUMBER(R$5:R$4004)*(R$5:R$4004&gt;R3304))+1)</f>
        <v/>
      </c>
      <c r="T3304" s="32" t="str">
        <f aca="false">IF(S3304="","",IF(S3304&lt;=Setup!$B$5,"🏆 WINNER",""))</f>
        <v/>
      </c>
      <c r="U3304" s="31" t="str">
        <f aca="false">IF(S3304="","",I3304&amp;"|"&amp;S3304)</f>
        <v/>
      </c>
    </row>
    <row r="3305" customFormat="false" ht="15" hidden="false" customHeight="false" outlineLevel="0" collapsed="false">
      <c r="A3305" s="24" t="n">
        <v>3301</v>
      </c>
      <c r="B3305" s="25" t="str">
        <f aca="false">IF(OR(C3305="",I3305="",G3305=""),"",IFERROR(VLOOKUP(I3305,Setup!$A$9:$B$11,2,0),"???")&amp;"-"&amp;G3305&amp;"-"&amp;TEXT(COUNTIFS(I$5:I3305,I3305,G$5:G3305,G3305),"0000"))</f>
        <v/>
      </c>
      <c r="C3305" s="26"/>
      <c r="D3305" s="26"/>
      <c r="E3305" s="27"/>
      <c r="F3305" s="27"/>
      <c r="G3305" s="24" t="str">
        <f aca="false">IF(F3305="","",IF(F3305&lt;=5,"A",IF(F3305&lt;=8,"B",IF(F3305&lt;=10,"C","D"))))</f>
        <v/>
      </c>
      <c r="H3305" s="28"/>
      <c r="I3305" s="27"/>
      <c r="J3305" s="26"/>
      <c r="K3305" s="27"/>
      <c r="L3305" s="27"/>
      <c r="M3305" s="27"/>
      <c r="N3305" s="27"/>
      <c r="O3305" s="24" t="str">
        <f aca="false">IF(G3305="","",VLOOKUP(G3305,Setup!$A$14:$C$17,3,0))</f>
        <v/>
      </c>
      <c r="P3305" s="27"/>
      <c r="Q3305" s="29" t="str">
        <f aca="false">IF(OR(P3305="",M3305&lt;&gt;"Paid",O3305=""),"",P3305/O3305)</f>
        <v/>
      </c>
      <c r="R3305" s="30" t="str">
        <f aca="false">IF(Q3305="","",Q3305+N(H3305)*0.000000001)</f>
        <v/>
      </c>
      <c r="S3305" s="25" t="str">
        <f aca="false">IF(R3305="","",SUMPRODUCT((I$5:I$4004=I3305)*ISNUMBER(R$5:R$4004)*(R$5:R$4004&gt;R3305))+1)</f>
        <v/>
      </c>
      <c r="T3305" s="25" t="str">
        <f aca="false">IF(S3305="","",IF(S3305&lt;=Setup!$B$5,"🏆 WINNER",""))</f>
        <v/>
      </c>
      <c r="U3305" s="24" t="str">
        <f aca="false">IF(S3305="","",I3305&amp;"|"&amp;S3305)</f>
        <v/>
      </c>
    </row>
    <row r="3306" customFormat="false" ht="15" hidden="false" customHeight="false" outlineLevel="0" collapsed="false">
      <c r="A3306" s="31" t="n">
        <v>3302</v>
      </c>
      <c r="B3306" s="32" t="str">
        <f aca="false">IF(OR(C3306="",I3306="",G3306=""),"",IFERROR(VLOOKUP(I3306,Setup!$A$9:$B$11,2,0),"???")&amp;"-"&amp;G3306&amp;"-"&amp;TEXT(COUNTIFS(I$5:I3306,I3306,G$5:G3306,G3306),"0000"))</f>
        <v/>
      </c>
      <c r="C3306" s="26"/>
      <c r="D3306" s="26"/>
      <c r="E3306" s="27"/>
      <c r="F3306" s="27"/>
      <c r="G3306" s="31" t="str">
        <f aca="false">IF(F3306="","",IF(F3306&lt;=5,"A",IF(F3306&lt;=8,"B",IF(F3306&lt;=10,"C","D"))))</f>
        <v/>
      </c>
      <c r="H3306" s="28"/>
      <c r="I3306" s="27"/>
      <c r="J3306" s="26"/>
      <c r="K3306" s="27"/>
      <c r="L3306" s="27"/>
      <c r="M3306" s="27"/>
      <c r="N3306" s="27"/>
      <c r="O3306" s="31" t="str">
        <f aca="false">IF(G3306="","",VLOOKUP(G3306,Setup!$A$14:$C$17,3,0))</f>
        <v/>
      </c>
      <c r="P3306" s="27"/>
      <c r="Q3306" s="33" t="str">
        <f aca="false">IF(OR(P3306="",M3306&lt;&gt;"Paid",O3306=""),"",P3306/O3306)</f>
        <v/>
      </c>
      <c r="R3306" s="34" t="str">
        <f aca="false">IF(Q3306="","",Q3306+N(H3306)*0.000000001)</f>
        <v/>
      </c>
      <c r="S3306" s="32" t="str">
        <f aca="false">IF(R3306="","",SUMPRODUCT((I$5:I$4004=I3306)*ISNUMBER(R$5:R$4004)*(R$5:R$4004&gt;R3306))+1)</f>
        <v/>
      </c>
      <c r="T3306" s="32" t="str">
        <f aca="false">IF(S3306="","",IF(S3306&lt;=Setup!$B$5,"🏆 WINNER",""))</f>
        <v/>
      </c>
      <c r="U3306" s="31" t="str">
        <f aca="false">IF(S3306="","",I3306&amp;"|"&amp;S3306)</f>
        <v/>
      </c>
    </row>
    <row r="3307" customFormat="false" ht="15" hidden="false" customHeight="false" outlineLevel="0" collapsed="false">
      <c r="A3307" s="24" t="n">
        <v>3303</v>
      </c>
      <c r="B3307" s="25" t="str">
        <f aca="false">IF(OR(C3307="",I3307="",G3307=""),"",IFERROR(VLOOKUP(I3307,Setup!$A$9:$B$11,2,0),"???")&amp;"-"&amp;G3307&amp;"-"&amp;TEXT(COUNTIFS(I$5:I3307,I3307,G$5:G3307,G3307),"0000"))</f>
        <v/>
      </c>
      <c r="C3307" s="26"/>
      <c r="D3307" s="26"/>
      <c r="E3307" s="27"/>
      <c r="F3307" s="27"/>
      <c r="G3307" s="24" t="str">
        <f aca="false">IF(F3307="","",IF(F3307&lt;=5,"A",IF(F3307&lt;=8,"B",IF(F3307&lt;=10,"C","D"))))</f>
        <v/>
      </c>
      <c r="H3307" s="28"/>
      <c r="I3307" s="27"/>
      <c r="J3307" s="26"/>
      <c r="K3307" s="27"/>
      <c r="L3307" s="27"/>
      <c r="M3307" s="27"/>
      <c r="N3307" s="27"/>
      <c r="O3307" s="24" t="str">
        <f aca="false">IF(G3307="","",VLOOKUP(G3307,Setup!$A$14:$C$17,3,0))</f>
        <v/>
      </c>
      <c r="P3307" s="27"/>
      <c r="Q3307" s="29" t="str">
        <f aca="false">IF(OR(P3307="",M3307&lt;&gt;"Paid",O3307=""),"",P3307/O3307)</f>
        <v/>
      </c>
      <c r="R3307" s="30" t="str">
        <f aca="false">IF(Q3307="","",Q3307+N(H3307)*0.000000001)</f>
        <v/>
      </c>
      <c r="S3307" s="25" t="str">
        <f aca="false">IF(R3307="","",SUMPRODUCT((I$5:I$4004=I3307)*ISNUMBER(R$5:R$4004)*(R$5:R$4004&gt;R3307))+1)</f>
        <v/>
      </c>
      <c r="T3307" s="25" t="str">
        <f aca="false">IF(S3307="","",IF(S3307&lt;=Setup!$B$5,"🏆 WINNER",""))</f>
        <v/>
      </c>
      <c r="U3307" s="24" t="str">
        <f aca="false">IF(S3307="","",I3307&amp;"|"&amp;S3307)</f>
        <v/>
      </c>
    </row>
    <row r="3308" customFormat="false" ht="15" hidden="false" customHeight="false" outlineLevel="0" collapsed="false">
      <c r="A3308" s="31" t="n">
        <v>3304</v>
      </c>
      <c r="B3308" s="32" t="str">
        <f aca="false">IF(OR(C3308="",I3308="",G3308=""),"",IFERROR(VLOOKUP(I3308,Setup!$A$9:$B$11,2,0),"???")&amp;"-"&amp;G3308&amp;"-"&amp;TEXT(COUNTIFS(I$5:I3308,I3308,G$5:G3308,G3308),"0000"))</f>
        <v/>
      </c>
      <c r="C3308" s="26"/>
      <c r="D3308" s="26"/>
      <c r="E3308" s="27"/>
      <c r="F3308" s="27"/>
      <c r="G3308" s="31" t="str">
        <f aca="false">IF(F3308="","",IF(F3308&lt;=5,"A",IF(F3308&lt;=8,"B",IF(F3308&lt;=10,"C","D"))))</f>
        <v/>
      </c>
      <c r="H3308" s="28"/>
      <c r="I3308" s="27"/>
      <c r="J3308" s="26"/>
      <c r="K3308" s="27"/>
      <c r="L3308" s="27"/>
      <c r="M3308" s="27"/>
      <c r="N3308" s="27"/>
      <c r="O3308" s="31" t="str">
        <f aca="false">IF(G3308="","",VLOOKUP(G3308,Setup!$A$14:$C$17,3,0))</f>
        <v/>
      </c>
      <c r="P3308" s="27"/>
      <c r="Q3308" s="33" t="str">
        <f aca="false">IF(OR(P3308="",M3308&lt;&gt;"Paid",O3308=""),"",P3308/O3308)</f>
        <v/>
      </c>
      <c r="R3308" s="34" t="str">
        <f aca="false">IF(Q3308="","",Q3308+N(H3308)*0.000000001)</f>
        <v/>
      </c>
      <c r="S3308" s="32" t="str">
        <f aca="false">IF(R3308="","",SUMPRODUCT((I$5:I$4004=I3308)*ISNUMBER(R$5:R$4004)*(R$5:R$4004&gt;R3308))+1)</f>
        <v/>
      </c>
      <c r="T3308" s="32" t="str">
        <f aca="false">IF(S3308="","",IF(S3308&lt;=Setup!$B$5,"🏆 WINNER",""))</f>
        <v/>
      </c>
      <c r="U3308" s="31" t="str">
        <f aca="false">IF(S3308="","",I3308&amp;"|"&amp;S3308)</f>
        <v/>
      </c>
    </row>
    <row r="3309" customFormat="false" ht="15" hidden="false" customHeight="false" outlineLevel="0" collapsed="false">
      <c r="A3309" s="24" t="n">
        <v>3305</v>
      </c>
      <c r="B3309" s="25" t="str">
        <f aca="false">IF(OR(C3309="",I3309="",G3309=""),"",IFERROR(VLOOKUP(I3309,Setup!$A$9:$B$11,2,0),"???")&amp;"-"&amp;G3309&amp;"-"&amp;TEXT(COUNTIFS(I$5:I3309,I3309,G$5:G3309,G3309),"0000"))</f>
        <v/>
      </c>
      <c r="C3309" s="26"/>
      <c r="D3309" s="26"/>
      <c r="E3309" s="27"/>
      <c r="F3309" s="27"/>
      <c r="G3309" s="24" t="str">
        <f aca="false">IF(F3309="","",IF(F3309&lt;=5,"A",IF(F3309&lt;=8,"B",IF(F3309&lt;=10,"C","D"))))</f>
        <v/>
      </c>
      <c r="H3309" s="28"/>
      <c r="I3309" s="27"/>
      <c r="J3309" s="26"/>
      <c r="K3309" s="27"/>
      <c r="L3309" s="27"/>
      <c r="M3309" s="27"/>
      <c r="N3309" s="27"/>
      <c r="O3309" s="24" t="str">
        <f aca="false">IF(G3309="","",VLOOKUP(G3309,Setup!$A$14:$C$17,3,0))</f>
        <v/>
      </c>
      <c r="P3309" s="27"/>
      <c r="Q3309" s="29" t="str">
        <f aca="false">IF(OR(P3309="",M3309&lt;&gt;"Paid",O3309=""),"",P3309/O3309)</f>
        <v/>
      </c>
      <c r="R3309" s="30" t="str">
        <f aca="false">IF(Q3309="","",Q3309+N(H3309)*0.000000001)</f>
        <v/>
      </c>
      <c r="S3309" s="25" t="str">
        <f aca="false">IF(R3309="","",SUMPRODUCT((I$5:I$4004=I3309)*ISNUMBER(R$5:R$4004)*(R$5:R$4004&gt;R3309))+1)</f>
        <v/>
      </c>
      <c r="T3309" s="25" t="str">
        <f aca="false">IF(S3309="","",IF(S3309&lt;=Setup!$B$5,"🏆 WINNER",""))</f>
        <v/>
      </c>
      <c r="U3309" s="24" t="str">
        <f aca="false">IF(S3309="","",I3309&amp;"|"&amp;S3309)</f>
        <v/>
      </c>
    </row>
    <row r="3310" customFormat="false" ht="15" hidden="false" customHeight="false" outlineLevel="0" collapsed="false">
      <c r="A3310" s="31" t="n">
        <v>3306</v>
      </c>
      <c r="B3310" s="32" t="str">
        <f aca="false">IF(OR(C3310="",I3310="",G3310=""),"",IFERROR(VLOOKUP(I3310,Setup!$A$9:$B$11,2,0),"???")&amp;"-"&amp;G3310&amp;"-"&amp;TEXT(COUNTIFS(I$5:I3310,I3310,G$5:G3310,G3310),"0000"))</f>
        <v/>
      </c>
      <c r="C3310" s="26"/>
      <c r="D3310" s="26"/>
      <c r="E3310" s="27"/>
      <c r="F3310" s="27"/>
      <c r="G3310" s="31" t="str">
        <f aca="false">IF(F3310="","",IF(F3310&lt;=5,"A",IF(F3310&lt;=8,"B",IF(F3310&lt;=10,"C","D"))))</f>
        <v/>
      </c>
      <c r="H3310" s="28"/>
      <c r="I3310" s="27"/>
      <c r="J3310" s="26"/>
      <c r="K3310" s="27"/>
      <c r="L3310" s="27"/>
      <c r="M3310" s="27"/>
      <c r="N3310" s="27"/>
      <c r="O3310" s="31" t="str">
        <f aca="false">IF(G3310="","",VLOOKUP(G3310,Setup!$A$14:$C$17,3,0))</f>
        <v/>
      </c>
      <c r="P3310" s="27"/>
      <c r="Q3310" s="33" t="str">
        <f aca="false">IF(OR(P3310="",M3310&lt;&gt;"Paid",O3310=""),"",P3310/O3310)</f>
        <v/>
      </c>
      <c r="R3310" s="34" t="str">
        <f aca="false">IF(Q3310="","",Q3310+N(H3310)*0.000000001)</f>
        <v/>
      </c>
      <c r="S3310" s="32" t="str">
        <f aca="false">IF(R3310="","",SUMPRODUCT((I$5:I$4004=I3310)*ISNUMBER(R$5:R$4004)*(R$5:R$4004&gt;R3310))+1)</f>
        <v/>
      </c>
      <c r="T3310" s="32" t="str">
        <f aca="false">IF(S3310="","",IF(S3310&lt;=Setup!$B$5,"🏆 WINNER",""))</f>
        <v/>
      </c>
      <c r="U3310" s="31" t="str">
        <f aca="false">IF(S3310="","",I3310&amp;"|"&amp;S3310)</f>
        <v/>
      </c>
    </row>
    <row r="3311" customFormat="false" ht="15" hidden="false" customHeight="false" outlineLevel="0" collapsed="false">
      <c r="A3311" s="24" t="n">
        <v>3307</v>
      </c>
      <c r="B3311" s="25" t="str">
        <f aca="false">IF(OR(C3311="",I3311="",G3311=""),"",IFERROR(VLOOKUP(I3311,Setup!$A$9:$B$11,2,0),"???")&amp;"-"&amp;G3311&amp;"-"&amp;TEXT(COUNTIFS(I$5:I3311,I3311,G$5:G3311,G3311),"0000"))</f>
        <v/>
      </c>
      <c r="C3311" s="26"/>
      <c r="D3311" s="26"/>
      <c r="E3311" s="27"/>
      <c r="F3311" s="27"/>
      <c r="G3311" s="24" t="str">
        <f aca="false">IF(F3311="","",IF(F3311&lt;=5,"A",IF(F3311&lt;=8,"B",IF(F3311&lt;=10,"C","D"))))</f>
        <v/>
      </c>
      <c r="H3311" s="28"/>
      <c r="I3311" s="27"/>
      <c r="J3311" s="26"/>
      <c r="K3311" s="27"/>
      <c r="L3311" s="27"/>
      <c r="M3311" s="27"/>
      <c r="N3311" s="27"/>
      <c r="O3311" s="24" t="str">
        <f aca="false">IF(G3311="","",VLOOKUP(G3311,Setup!$A$14:$C$17,3,0))</f>
        <v/>
      </c>
      <c r="P3311" s="27"/>
      <c r="Q3311" s="29" t="str">
        <f aca="false">IF(OR(P3311="",M3311&lt;&gt;"Paid",O3311=""),"",P3311/O3311)</f>
        <v/>
      </c>
      <c r="R3311" s="30" t="str">
        <f aca="false">IF(Q3311="","",Q3311+N(H3311)*0.000000001)</f>
        <v/>
      </c>
      <c r="S3311" s="25" t="str">
        <f aca="false">IF(R3311="","",SUMPRODUCT((I$5:I$4004=I3311)*ISNUMBER(R$5:R$4004)*(R$5:R$4004&gt;R3311))+1)</f>
        <v/>
      </c>
      <c r="T3311" s="25" t="str">
        <f aca="false">IF(S3311="","",IF(S3311&lt;=Setup!$B$5,"🏆 WINNER",""))</f>
        <v/>
      </c>
      <c r="U3311" s="24" t="str">
        <f aca="false">IF(S3311="","",I3311&amp;"|"&amp;S3311)</f>
        <v/>
      </c>
    </row>
    <row r="3312" customFormat="false" ht="15" hidden="false" customHeight="false" outlineLevel="0" collapsed="false">
      <c r="A3312" s="31" t="n">
        <v>3308</v>
      </c>
      <c r="B3312" s="32" t="str">
        <f aca="false">IF(OR(C3312="",I3312="",G3312=""),"",IFERROR(VLOOKUP(I3312,Setup!$A$9:$B$11,2,0),"???")&amp;"-"&amp;G3312&amp;"-"&amp;TEXT(COUNTIFS(I$5:I3312,I3312,G$5:G3312,G3312),"0000"))</f>
        <v/>
      </c>
      <c r="C3312" s="26"/>
      <c r="D3312" s="26"/>
      <c r="E3312" s="27"/>
      <c r="F3312" s="27"/>
      <c r="G3312" s="31" t="str">
        <f aca="false">IF(F3312="","",IF(F3312&lt;=5,"A",IF(F3312&lt;=8,"B",IF(F3312&lt;=10,"C","D"))))</f>
        <v/>
      </c>
      <c r="H3312" s="28"/>
      <c r="I3312" s="27"/>
      <c r="J3312" s="26"/>
      <c r="K3312" s="27"/>
      <c r="L3312" s="27"/>
      <c r="M3312" s="27"/>
      <c r="N3312" s="27"/>
      <c r="O3312" s="31" t="str">
        <f aca="false">IF(G3312="","",VLOOKUP(G3312,Setup!$A$14:$C$17,3,0))</f>
        <v/>
      </c>
      <c r="P3312" s="27"/>
      <c r="Q3312" s="33" t="str">
        <f aca="false">IF(OR(P3312="",M3312&lt;&gt;"Paid",O3312=""),"",P3312/O3312)</f>
        <v/>
      </c>
      <c r="R3312" s="34" t="str">
        <f aca="false">IF(Q3312="","",Q3312+N(H3312)*0.000000001)</f>
        <v/>
      </c>
      <c r="S3312" s="32" t="str">
        <f aca="false">IF(R3312="","",SUMPRODUCT((I$5:I$4004=I3312)*ISNUMBER(R$5:R$4004)*(R$5:R$4004&gt;R3312))+1)</f>
        <v/>
      </c>
      <c r="T3312" s="32" t="str">
        <f aca="false">IF(S3312="","",IF(S3312&lt;=Setup!$B$5,"🏆 WINNER",""))</f>
        <v/>
      </c>
      <c r="U3312" s="31" t="str">
        <f aca="false">IF(S3312="","",I3312&amp;"|"&amp;S3312)</f>
        <v/>
      </c>
    </row>
    <row r="3313" customFormat="false" ht="15" hidden="false" customHeight="false" outlineLevel="0" collapsed="false">
      <c r="A3313" s="24" t="n">
        <v>3309</v>
      </c>
      <c r="B3313" s="25" t="str">
        <f aca="false">IF(OR(C3313="",I3313="",G3313=""),"",IFERROR(VLOOKUP(I3313,Setup!$A$9:$B$11,2,0),"???")&amp;"-"&amp;G3313&amp;"-"&amp;TEXT(COUNTIFS(I$5:I3313,I3313,G$5:G3313,G3313),"0000"))</f>
        <v/>
      </c>
      <c r="C3313" s="26"/>
      <c r="D3313" s="26"/>
      <c r="E3313" s="27"/>
      <c r="F3313" s="27"/>
      <c r="G3313" s="24" t="str">
        <f aca="false">IF(F3313="","",IF(F3313&lt;=5,"A",IF(F3313&lt;=8,"B",IF(F3313&lt;=10,"C","D"))))</f>
        <v/>
      </c>
      <c r="H3313" s="28"/>
      <c r="I3313" s="27"/>
      <c r="J3313" s="26"/>
      <c r="K3313" s="27"/>
      <c r="L3313" s="27"/>
      <c r="M3313" s="27"/>
      <c r="N3313" s="27"/>
      <c r="O3313" s="24" t="str">
        <f aca="false">IF(G3313="","",VLOOKUP(G3313,Setup!$A$14:$C$17,3,0))</f>
        <v/>
      </c>
      <c r="P3313" s="27"/>
      <c r="Q3313" s="29" t="str">
        <f aca="false">IF(OR(P3313="",M3313&lt;&gt;"Paid",O3313=""),"",P3313/O3313)</f>
        <v/>
      </c>
      <c r="R3313" s="30" t="str">
        <f aca="false">IF(Q3313="","",Q3313+N(H3313)*0.000000001)</f>
        <v/>
      </c>
      <c r="S3313" s="25" t="str">
        <f aca="false">IF(R3313="","",SUMPRODUCT((I$5:I$4004=I3313)*ISNUMBER(R$5:R$4004)*(R$5:R$4004&gt;R3313))+1)</f>
        <v/>
      </c>
      <c r="T3313" s="25" t="str">
        <f aca="false">IF(S3313="","",IF(S3313&lt;=Setup!$B$5,"🏆 WINNER",""))</f>
        <v/>
      </c>
      <c r="U3313" s="24" t="str">
        <f aca="false">IF(S3313="","",I3313&amp;"|"&amp;S3313)</f>
        <v/>
      </c>
    </row>
    <row r="3314" customFormat="false" ht="15" hidden="false" customHeight="false" outlineLevel="0" collapsed="false">
      <c r="A3314" s="31" t="n">
        <v>3310</v>
      </c>
      <c r="B3314" s="32" t="str">
        <f aca="false">IF(OR(C3314="",I3314="",G3314=""),"",IFERROR(VLOOKUP(I3314,Setup!$A$9:$B$11,2,0),"???")&amp;"-"&amp;G3314&amp;"-"&amp;TEXT(COUNTIFS(I$5:I3314,I3314,G$5:G3314,G3314),"0000"))</f>
        <v/>
      </c>
      <c r="C3314" s="26"/>
      <c r="D3314" s="26"/>
      <c r="E3314" s="27"/>
      <c r="F3314" s="27"/>
      <c r="G3314" s="31" t="str">
        <f aca="false">IF(F3314="","",IF(F3314&lt;=5,"A",IF(F3314&lt;=8,"B",IF(F3314&lt;=10,"C","D"))))</f>
        <v/>
      </c>
      <c r="H3314" s="28"/>
      <c r="I3314" s="27"/>
      <c r="J3314" s="26"/>
      <c r="K3314" s="27"/>
      <c r="L3314" s="27"/>
      <c r="M3314" s="27"/>
      <c r="N3314" s="27"/>
      <c r="O3314" s="31" t="str">
        <f aca="false">IF(G3314="","",VLOOKUP(G3314,Setup!$A$14:$C$17,3,0))</f>
        <v/>
      </c>
      <c r="P3314" s="27"/>
      <c r="Q3314" s="33" t="str">
        <f aca="false">IF(OR(P3314="",M3314&lt;&gt;"Paid",O3314=""),"",P3314/O3314)</f>
        <v/>
      </c>
      <c r="R3314" s="34" t="str">
        <f aca="false">IF(Q3314="","",Q3314+N(H3314)*0.000000001)</f>
        <v/>
      </c>
      <c r="S3314" s="32" t="str">
        <f aca="false">IF(R3314="","",SUMPRODUCT((I$5:I$4004=I3314)*ISNUMBER(R$5:R$4004)*(R$5:R$4004&gt;R3314))+1)</f>
        <v/>
      </c>
      <c r="T3314" s="32" t="str">
        <f aca="false">IF(S3314="","",IF(S3314&lt;=Setup!$B$5,"🏆 WINNER",""))</f>
        <v/>
      </c>
      <c r="U3314" s="31" t="str">
        <f aca="false">IF(S3314="","",I3314&amp;"|"&amp;S3314)</f>
        <v/>
      </c>
    </row>
    <row r="3315" customFormat="false" ht="15" hidden="false" customHeight="false" outlineLevel="0" collapsed="false">
      <c r="A3315" s="24" t="n">
        <v>3311</v>
      </c>
      <c r="B3315" s="25" t="str">
        <f aca="false">IF(OR(C3315="",I3315="",G3315=""),"",IFERROR(VLOOKUP(I3315,Setup!$A$9:$B$11,2,0),"???")&amp;"-"&amp;G3315&amp;"-"&amp;TEXT(COUNTIFS(I$5:I3315,I3315,G$5:G3315,G3315),"0000"))</f>
        <v/>
      </c>
      <c r="C3315" s="26"/>
      <c r="D3315" s="26"/>
      <c r="E3315" s="27"/>
      <c r="F3315" s="27"/>
      <c r="G3315" s="24" t="str">
        <f aca="false">IF(F3315="","",IF(F3315&lt;=5,"A",IF(F3315&lt;=8,"B",IF(F3315&lt;=10,"C","D"))))</f>
        <v/>
      </c>
      <c r="H3315" s="28"/>
      <c r="I3315" s="27"/>
      <c r="J3315" s="26"/>
      <c r="K3315" s="27"/>
      <c r="L3315" s="27"/>
      <c r="M3315" s="27"/>
      <c r="N3315" s="27"/>
      <c r="O3315" s="24" t="str">
        <f aca="false">IF(G3315="","",VLOOKUP(G3315,Setup!$A$14:$C$17,3,0))</f>
        <v/>
      </c>
      <c r="P3315" s="27"/>
      <c r="Q3315" s="29" t="str">
        <f aca="false">IF(OR(P3315="",M3315&lt;&gt;"Paid",O3315=""),"",P3315/O3315)</f>
        <v/>
      </c>
      <c r="R3315" s="30" t="str">
        <f aca="false">IF(Q3315="","",Q3315+N(H3315)*0.000000001)</f>
        <v/>
      </c>
      <c r="S3315" s="25" t="str">
        <f aca="false">IF(R3315="","",SUMPRODUCT((I$5:I$4004=I3315)*ISNUMBER(R$5:R$4004)*(R$5:R$4004&gt;R3315))+1)</f>
        <v/>
      </c>
      <c r="T3315" s="25" t="str">
        <f aca="false">IF(S3315="","",IF(S3315&lt;=Setup!$B$5,"🏆 WINNER",""))</f>
        <v/>
      </c>
      <c r="U3315" s="24" t="str">
        <f aca="false">IF(S3315="","",I3315&amp;"|"&amp;S3315)</f>
        <v/>
      </c>
    </row>
    <row r="3316" customFormat="false" ht="15" hidden="false" customHeight="false" outlineLevel="0" collapsed="false">
      <c r="A3316" s="31" t="n">
        <v>3312</v>
      </c>
      <c r="B3316" s="32" t="str">
        <f aca="false">IF(OR(C3316="",I3316="",G3316=""),"",IFERROR(VLOOKUP(I3316,Setup!$A$9:$B$11,2,0),"???")&amp;"-"&amp;G3316&amp;"-"&amp;TEXT(COUNTIFS(I$5:I3316,I3316,G$5:G3316,G3316),"0000"))</f>
        <v/>
      </c>
      <c r="C3316" s="26"/>
      <c r="D3316" s="26"/>
      <c r="E3316" s="27"/>
      <c r="F3316" s="27"/>
      <c r="G3316" s="31" t="str">
        <f aca="false">IF(F3316="","",IF(F3316&lt;=5,"A",IF(F3316&lt;=8,"B",IF(F3316&lt;=10,"C","D"))))</f>
        <v/>
      </c>
      <c r="H3316" s="28"/>
      <c r="I3316" s="27"/>
      <c r="J3316" s="26"/>
      <c r="K3316" s="27"/>
      <c r="L3316" s="27"/>
      <c r="M3316" s="27"/>
      <c r="N3316" s="27"/>
      <c r="O3316" s="31" t="str">
        <f aca="false">IF(G3316="","",VLOOKUP(G3316,Setup!$A$14:$C$17,3,0))</f>
        <v/>
      </c>
      <c r="P3316" s="27"/>
      <c r="Q3316" s="33" t="str">
        <f aca="false">IF(OR(P3316="",M3316&lt;&gt;"Paid",O3316=""),"",P3316/O3316)</f>
        <v/>
      </c>
      <c r="R3316" s="34" t="str">
        <f aca="false">IF(Q3316="","",Q3316+N(H3316)*0.000000001)</f>
        <v/>
      </c>
      <c r="S3316" s="32" t="str">
        <f aca="false">IF(R3316="","",SUMPRODUCT((I$5:I$4004=I3316)*ISNUMBER(R$5:R$4004)*(R$5:R$4004&gt;R3316))+1)</f>
        <v/>
      </c>
      <c r="T3316" s="32" t="str">
        <f aca="false">IF(S3316="","",IF(S3316&lt;=Setup!$B$5,"🏆 WINNER",""))</f>
        <v/>
      </c>
      <c r="U3316" s="31" t="str">
        <f aca="false">IF(S3316="","",I3316&amp;"|"&amp;S3316)</f>
        <v/>
      </c>
    </row>
    <row r="3317" customFormat="false" ht="15" hidden="false" customHeight="false" outlineLevel="0" collapsed="false">
      <c r="A3317" s="24" t="n">
        <v>3313</v>
      </c>
      <c r="B3317" s="25" t="str">
        <f aca="false">IF(OR(C3317="",I3317="",G3317=""),"",IFERROR(VLOOKUP(I3317,Setup!$A$9:$B$11,2,0),"???")&amp;"-"&amp;G3317&amp;"-"&amp;TEXT(COUNTIFS(I$5:I3317,I3317,G$5:G3317,G3317),"0000"))</f>
        <v/>
      </c>
      <c r="C3317" s="26"/>
      <c r="D3317" s="26"/>
      <c r="E3317" s="27"/>
      <c r="F3317" s="27"/>
      <c r="G3317" s="24" t="str">
        <f aca="false">IF(F3317="","",IF(F3317&lt;=5,"A",IF(F3317&lt;=8,"B",IF(F3317&lt;=10,"C","D"))))</f>
        <v/>
      </c>
      <c r="H3317" s="28"/>
      <c r="I3317" s="27"/>
      <c r="J3317" s="26"/>
      <c r="K3317" s="27"/>
      <c r="L3317" s="27"/>
      <c r="M3317" s="27"/>
      <c r="N3317" s="27"/>
      <c r="O3317" s="24" t="str">
        <f aca="false">IF(G3317="","",VLOOKUP(G3317,Setup!$A$14:$C$17,3,0))</f>
        <v/>
      </c>
      <c r="P3317" s="27"/>
      <c r="Q3317" s="29" t="str">
        <f aca="false">IF(OR(P3317="",M3317&lt;&gt;"Paid",O3317=""),"",P3317/O3317)</f>
        <v/>
      </c>
      <c r="R3317" s="30" t="str">
        <f aca="false">IF(Q3317="","",Q3317+N(H3317)*0.000000001)</f>
        <v/>
      </c>
      <c r="S3317" s="25" t="str">
        <f aca="false">IF(R3317="","",SUMPRODUCT((I$5:I$4004=I3317)*ISNUMBER(R$5:R$4004)*(R$5:R$4004&gt;R3317))+1)</f>
        <v/>
      </c>
      <c r="T3317" s="25" t="str">
        <f aca="false">IF(S3317="","",IF(S3317&lt;=Setup!$B$5,"🏆 WINNER",""))</f>
        <v/>
      </c>
      <c r="U3317" s="24" t="str">
        <f aca="false">IF(S3317="","",I3317&amp;"|"&amp;S3317)</f>
        <v/>
      </c>
    </row>
    <row r="3318" customFormat="false" ht="15" hidden="false" customHeight="false" outlineLevel="0" collapsed="false">
      <c r="A3318" s="31" t="n">
        <v>3314</v>
      </c>
      <c r="B3318" s="32" t="str">
        <f aca="false">IF(OR(C3318="",I3318="",G3318=""),"",IFERROR(VLOOKUP(I3318,Setup!$A$9:$B$11,2,0),"???")&amp;"-"&amp;G3318&amp;"-"&amp;TEXT(COUNTIFS(I$5:I3318,I3318,G$5:G3318,G3318),"0000"))</f>
        <v/>
      </c>
      <c r="C3318" s="26"/>
      <c r="D3318" s="26"/>
      <c r="E3318" s="27"/>
      <c r="F3318" s="27"/>
      <c r="G3318" s="31" t="str">
        <f aca="false">IF(F3318="","",IF(F3318&lt;=5,"A",IF(F3318&lt;=8,"B",IF(F3318&lt;=10,"C","D"))))</f>
        <v/>
      </c>
      <c r="H3318" s="28"/>
      <c r="I3318" s="27"/>
      <c r="J3318" s="26"/>
      <c r="K3318" s="27"/>
      <c r="L3318" s="27"/>
      <c r="M3318" s="27"/>
      <c r="N3318" s="27"/>
      <c r="O3318" s="31" t="str">
        <f aca="false">IF(G3318="","",VLOOKUP(G3318,Setup!$A$14:$C$17,3,0))</f>
        <v/>
      </c>
      <c r="P3318" s="27"/>
      <c r="Q3318" s="33" t="str">
        <f aca="false">IF(OR(P3318="",M3318&lt;&gt;"Paid",O3318=""),"",P3318/O3318)</f>
        <v/>
      </c>
      <c r="R3318" s="34" t="str">
        <f aca="false">IF(Q3318="","",Q3318+N(H3318)*0.000000001)</f>
        <v/>
      </c>
      <c r="S3318" s="32" t="str">
        <f aca="false">IF(R3318="","",SUMPRODUCT((I$5:I$4004=I3318)*ISNUMBER(R$5:R$4004)*(R$5:R$4004&gt;R3318))+1)</f>
        <v/>
      </c>
      <c r="T3318" s="32" t="str">
        <f aca="false">IF(S3318="","",IF(S3318&lt;=Setup!$B$5,"🏆 WINNER",""))</f>
        <v/>
      </c>
      <c r="U3318" s="31" t="str">
        <f aca="false">IF(S3318="","",I3318&amp;"|"&amp;S3318)</f>
        <v/>
      </c>
    </row>
    <row r="3319" customFormat="false" ht="15" hidden="false" customHeight="false" outlineLevel="0" collapsed="false">
      <c r="A3319" s="24" t="n">
        <v>3315</v>
      </c>
      <c r="B3319" s="25" t="str">
        <f aca="false">IF(OR(C3319="",I3319="",G3319=""),"",IFERROR(VLOOKUP(I3319,Setup!$A$9:$B$11,2,0),"???")&amp;"-"&amp;G3319&amp;"-"&amp;TEXT(COUNTIFS(I$5:I3319,I3319,G$5:G3319,G3319),"0000"))</f>
        <v/>
      </c>
      <c r="C3319" s="26"/>
      <c r="D3319" s="26"/>
      <c r="E3319" s="27"/>
      <c r="F3319" s="27"/>
      <c r="G3319" s="24" t="str">
        <f aca="false">IF(F3319="","",IF(F3319&lt;=5,"A",IF(F3319&lt;=8,"B",IF(F3319&lt;=10,"C","D"))))</f>
        <v/>
      </c>
      <c r="H3319" s="28"/>
      <c r="I3319" s="27"/>
      <c r="J3319" s="26"/>
      <c r="K3319" s="27"/>
      <c r="L3319" s="27"/>
      <c r="M3319" s="27"/>
      <c r="N3319" s="27"/>
      <c r="O3319" s="24" t="str">
        <f aca="false">IF(G3319="","",VLOOKUP(G3319,Setup!$A$14:$C$17,3,0))</f>
        <v/>
      </c>
      <c r="P3319" s="27"/>
      <c r="Q3319" s="29" t="str">
        <f aca="false">IF(OR(P3319="",M3319&lt;&gt;"Paid",O3319=""),"",P3319/O3319)</f>
        <v/>
      </c>
      <c r="R3319" s="30" t="str">
        <f aca="false">IF(Q3319="","",Q3319+N(H3319)*0.000000001)</f>
        <v/>
      </c>
      <c r="S3319" s="25" t="str">
        <f aca="false">IF(R3319="","",SUMPRODUCT((I$5:I$4004=I3319)*ISNUMBER(R$5:R$4004)*(R$5:R$4004&gt;R3319))+1)</f>
        <v/>
      </c>
      <c r="T3319" s="25" t="str">
        <f aca="false">IF(S3319="","",IF(S3319&lt;=Setup!$B$5,"🏆 WINNER",""))</f>
        <v/>
      </c>
      <c r="U3319" s="24" t="str">
        <f aca="false">IF(S3319="","",I3319&amp;"|"&amp;S3319)</f>
        <v/>
      </c>
    </row>
    <row r="3320" customFormat="false" ht="15" hidden="false" customHeight="false" outlineLevel="0" collapsed="false">
      <c r="A3320" s="31" t="n">
        <v>3316</v>
      </c>
      <c r="B3320" s="32" t="str">
        <f aca="false">IF(OR(C3320="",I3320="",G3320=""),"",IFERROR(VLOOKUP(I3320,Setup!$A$9:$B$11,2,0),"???")&amp;"-"&amp;G3320&amp;"-"&amp;TEXT(COUNTIFS(I$5:I3320,I3320,G$5:G3320,G3320),"0000"))</f>
        <v/>
      </c>
      <c r="C3320" s="26"/>
      <c r="D3320" s="26"/>
      <c r="E3320" s="27"/>
      <c r="F3320" s="27"/>
      <c r="G3320" s="31" t="str">
        <f aca="false">IF(F3320="","",IF(F3320&lt;=5,"A",IF(F3320&lt;=8,"B",IF(F3320&lt;=10,"C","D"))))</f>
        <v/>
      </c>
      <c r="H3320" s="28"/>
      <c r="I3320" s="27"/>
      <c r="J3320" s="26"/>
      <c r="K3320" s="27"/>
      <c r="L3320" s="27"/>
      <c r="M3320" s="27"/>
      <c r="N3320" s="27"/>
      <c r="O3320" s="31" t="str">
        <f aca="false">IF(G3320="","",VLOOKUP(G3320,Setup!$A$14:$C$17,3,0))</f>
        <v/>
      </c>
      <c r="P3320" s="27"/>
      <c r="Q3320" s="33" t="str">
        <f aca="false">IF(OR(P3320="",M3320&lt;&gt;"Paid",O3320=""),"",P3320/O3320)</f>
        <v/>
      </c>
      <c r="R3320" s="34" t="str">
        <f aca="false">IF(Q3320="","",Q3320+N(H3320)*0.000000001)</f>
        <v/>
      </c>
      <c r="S3320" s="32" t="str">
        <f aca="false">IF(R3320="","",SUMPRODUCT((I$5:I$4004=I3320)*ISNUMBER(R$5:R$4004)*(R$5:R$4004&gt;R3320))+1)</f>
        <v/>
      </c>
      <c r="T3320" s="32" t="str">
        <f aca="false">IF(S3320="","",IF(S3320&lt;=Setup!$B$5,"🏆 WINNER",""))</f>
        <v/>
      </c>
      <c r="U3320" s="31" t="str">
        <f aca="false">IF(S3320="","",I3320&amp;"|"&amp;S3320)</f>
        <v/>
      </c>
    </row>
    <row r="3321" customFormat="false" ht="15" hidden="false" customHeight="false" outlineLevel="0" collapsed="false">
      <c r="A3321" s="24" t="n">
        <v>3317</v>
      </c>
      <c r="B3321" s="25" t="str">
        <f aca="false">IF(OR(C3321="",I3321="",G3321=""),"",IFERROR(VLOOKUP(I3321,Setup!$A$9:$B$11,2,0),"???")&amp;"-"&amp;G3321&amp;"-"&amp;TEXT(COUNTIFS(I$5:I3321,I3321,G$5:G3321,G3321),"0000"))</f>
        <v/>
      </c>
      <c r="C3321" s="26"/>
      <c r="D3321" s="26"/>
      <c r="E3321" s="27"/>
      <c r="F3321" s="27"/>
      <c r="G3321" s="24" t="str">
        <f aca="false">IF(F3321="","",IF(F3321&lt;=5,"A",IF(F3321&lt;=8,"B",IF(F3321&lt;=10,"C","D"))))</f>
        <v/>
      </c>
      <c r="H3321" s="28"/>
      <c r="I3321" s="27"/>
      <c r="J3321" s="26"/>
      <c r="K3321" s="27"/>
      <c r="L3321" s="27"/>
      <c r="M3321" s="27"/>
      <c r="N3321" s="27"/>
      <c r="O3321" s="24" t="str">
        <f aca="false">IF(G3321="","",VLOOKUP(G3321,Setup!$A$14:$C$17,3,0))</f>
        <v/>
      </c>
      <c r="P3321" s="27"/>
      <c r="Q3321" s="29" t="str">
        <f aca="false">IF(OR(P3321="",M3321&lt;&gt;"Paid",O3321=""),"",P3321/O3321)</f>
        <v/>
      </c>
      <c r="R3321" s="30" t="str">
        <f aca="false">IF(Q3321="","",Q3321+N(H3321)*0.000000001)</f>
        <v/>
      </c>
      <c r="S3321" s="25" t="str">
        <f aca="false">IF(R3321="","",SUMPRODUCT((I$5:I$4004=I3321)*ISNUMBER(R$5:R$4004)*(R$5:R$4004&gt;R3321))+1)</f>
        <v/>
      </c>
      <c r="T3321" s="25" t="str">
        <f aca="false">IF(S3321="","",IF(S3321&lt;=Setup!$B$5,"🏆 WINNER",""))</f>
        <v/>
      </c>
      <c r="U3321" s="24" t="str">
        <f aca="false">IF(S3321="","",I3321&amp;"|"&amp;S3321)</f>
        <v/>
      </c>
    </row>
    <row r="3322" customFormat="false" ht="15" hidden="false" customHeight="false" outlineLevel="0" collapsed="false">
      <c r="A3322" s="31" t="n">
        <v>3318</v>
      </c>
      <c r="B3322" s="32" t="str">
        <f aca="false">IF(OR(C3322="",I3322="",G3322=""),"",IFERROR(VLOOKUP(I3322,Setup!$A$9:$B$11,2,0),"???")&amp;"-"&amp;G3322&amp;"-"&amp;TEXT(COUNTIFS(I$5:I3322,I3322,G$5:G3322,G3322),"0000"))</f>
        <v/>
      </c>
      <c r="C3322" s="26"/>
      <c r="D3322" s="26"/>
      <c r="E3322" s="27"/>
      <c r="F3322" s="27"/>
      <c r="G3322" s="31" t="str">
        <f aca="false">IF(F3322="","",IF(F3322&lt;=5,"A",IF(F3322&lt;=8,"B",IF(F3322&lt;=10,"C","D"))))</f>
        <v/>
      </c>
      <c r="H3322" s="28"/>
      <c r="I3322" s="27"/>
      <c r="J3322" s="26"/>
      <c r="K3322" s="27"/>
      <c r="L3322" s="27"/>
      <c r="M3322" s="27"/>
      <c r="N3322" s="27"/>
      <c r="O3322" s="31" t="str">
        <f aca="false">IF(G3322="","",VLOOKUP(G3322,Setup!$A$14:$C$17,3,0))</f>
        <v/>
      </c>
      <c r="P3322" s="27"/>
      <c r="Q3322" s="33" t="str">
        <f aca="false">IF(OR(P3322="",M3322&lt;&gt;"Paid",O3322=""),"",P3322/O3322)</f>
        <v/>
      </c>
      <c r="R3322" s="34" t="str">
        <f aca="false">IF(Q3322="","",Q3322+N(H3322)*0.000000001)</f>
        <v/>
      </c>
      <c r="S3322" s="32" t="str">
        <f aca="false">IF(R3322="","",SUMPRODUCT((I$5:I$4004=I3322)*ISNUMBER(R$5:R$4004)*(R$5:R$4004&gt;R3322))+1)</f>
        <v/>
      </c>
      <c r="T3322" s="32" t="str">
        <f aca="false">IF(S3322="","",IF(S3322&lt;=Setup!$B$5,"🏆 WINNER",""))</f>
        <v/>
      </c>
      <c r="U3322" s="31" t="str">
        <f aca="false">IF(S3322="","",I3322&amp;"|"&amp;S3322)</f>
        <v/>
      </c>
    </row>
    <row r="3323" customFormat="false" ht="15" hidden="false" customHeight="false" outlineLevel="0" collapsed="false">
      <c r="A3323" s="24" t="n">
        <v>3319</v>
      </c>
      <c r="B3323" s="25" t="str">
        <f aca="false">IF(OR(C3323="",I3323="",G3323=""),"",IFERROR(VLOOKUP(I3323,Setup!$A$9:$B$11,2,0),"???")&amp;"-"&amp;G3323&amp;"-"&amp;TEXT(COUNTIFS(I$5:I3323,I3323,G$5:G3323,G3323),"0000"))</f>
        <v/>
      </c>
      <c r="C3323" s="26"/>
      <c r="D3323" s="26"/>
      <c r="E3323" s="27"/>
      <c r="F3323" s="27"/>
      <c r="G3323" s="24" t="str">
        <f aca="false">IF(F3323="","",IF(F3323&lt;=5,"A",IF(F3323&lt;=8,"B",IF(F3323&lt;=10,"C","D"))))</f>
        <v/>
      </c>
      <c r="H3323" s="28"/>
      <c r="I3323" s="27"/>
      <c r="J3323" s="26"/>
      <c r="K3323" s="27"/>
      <c r="L3323" s="27"/>
      <c r="M3323" s="27"/>
      <c r="N3323" s="27"/>
      <c r="O3323" s="24" t="str">
        <f aca="false">IF(G3323="","",VLOOKUP(G3323,Setup!$A$14:$C$17,3,0))</f>
        <v/>
      </c>
      <c r="P3323" s="27"/>
      <c r="Q3323" s="29" t="str">
        <f aca="false">IF(OR(P3323="",M3323&lt;&gt;"Paid",O3323=""),"",P3323/O3323)</f>
        <v/>
      </c>
      <c r="R3323" s="30" t="str">
        <f aca="false">IF(Q3323="","",Q3323+N(H3323)*0.000000001)</f>
        <v/>
      </c>
      <c r="S3323" s="25" t="str">
        <f aca="false">IF(R3323="","",SUMPRODUCT((I$5:I$4004=I3323)*ISNUMBER(R$5:R$4004)*(R$5:R$4004&gt;R3323))+1)</f>
        <v/>
      </c>
      <c r="T3323" s="25" t="str">
        <f aca="false">IF(S3323="","",IF(S3323&lt;=Setup!$B$5,"🏆 WINNER",""))</f>
        <v/>
      </c>
      <c r="U3323" s="24" t="str">
        <f aca="false">IF(S3323="","",I3323&amp;"|"&amp;S3323)</f>
        <v/>
      </c>
    </row>
    <row r="3324" customFormat="false" ht="15" hidden="false" customHeight="false" outlineLevel="0" collapsed="false">
      <c r="A3324" s="31" t="n">
        <v>3320</v>
      </c>
      <c r="B3324" s="32" t="str">
        <f aca="false">IF(OR(C3324="",I3324="",G3324=""),"",IFERROR(VLOOKUP(I3324,Setup!$A$9:$B$11,2,0),"???")&amp;"-"&amp;G3324&amp;"-"&amp;TEXT(COUNTIFS(I$5:I3324,I3324,G$5:G3324,G3324),"0000"))</f>
        <v/>
      </c>
      <c r="C3324" s="26"/>
      <c r="D3324" s="26"/>
      <c r="E3324" s="27"/>
      <c r="F3324" s="27"/>
      <c r="G3324" s="31" t="str">
        <f aca="false">IF(F3324="","",IF(F3324&lt;=5,"A",IF(F3324&lt;=8,"B",IF(F3324&lt;=10,"C","D"))))</f>
        <v/>
      </c>
      <c r="H3324" s="28"/>
      <c r="I3324" s="27"/>
      <c r="J3324" s="26"/>
      <c r="K3324" s="27"/>
      <c r="L3324" s="27"/>
      <c r="M3324" s="27"/>
      <c r="N3324" s="27"/>
      <c r="O3324" s="31" t="str">
        <f aca="false">IF(G3324="","",VLOOKUP(G3324,Setup!$A$14:$C$17,3,0))</f>
        <v/>
      </c>
      <c r="P3324" s="27"/>
      <c r="Q3324" s="33" t="str">
        <f aca="false">IF(OR(P3324="",M3324&lt;&gt;"Paid",O3324=""),"",P3324/O3324)</f>
        <v/>
      </c>
      <c r="R3324" s="34" t="str">
        <f aca="false">IF(Q3324="","",Q3324+N(H3324)*0.000000001)</f>
        <v/>
      </c>
      <c r="S3324" s="32" t="str">
        <f aca="false">IF(R3324="","",SUMPRODUCT((I$5:I$4004=I3324)*ISNUMBER(R$5:R$4004)*(R$5:R$4004&gt;R3324))+1)</f>
        <v/>
      </c>
      <c r="T3324" s="32" t="str">
        <f aca="false">IF(S3324="","",IF(S3324&lt;=Setup!$B$5,"🏆 WINNER",""))</f>
        <v/>
      </c>
      <c r="U3324" s="31" t="str">
        <f aca="false">IF(S3324="","",I3324&amp;"|"&amp;S3324)</f>
        <v/>
      </c>
    </row>
    <row r="3325" customFormat="false" ht="15" hidden="false" customHeight="false" outlineLevel="0" collapsed="false">
      <c r="A3325" s="24" t="n">
        <v>3321</v>
      </c>
      <c r="B3325" s="25" t="str">
        <f aca="false">IF(OR(C3325="",I3325="",G3325=""),"",IFERROR(VLOOKUP(I3325,Setup!$A$9:$B$11,2,0),"???")&amp;"-"&amp;G3325&amp;"-"&amp;TEXT(COUNTIFS(I$5:I3325,I3325,G$5:G3325,G3325),"0000"))</f>
        <v/>
      </c>
      <c r="C3325" s="26"/>
      <c r="D3325" s="26"/>
      <c r="E3325" s="27"/>
      <c r="F3325" s="27"/>
      <c r="G3325" s="24" t="str">
        <f aca="false">IF(F3325="","",IF(F3325&lt;=5,"A",IF(F3325&lt;=8,"B",IF(F3325&lt;=10,"C","D"))))</f>
        <v/>
      </c>
      <c r="H3325" s="28"/>
      <c r="I3325" s="27"/>
      <c r="J3325" s="26"/>
      <c r="K3325" s="27"/>
      <c r="L3325" s="27"/>
      <c r="M3325" s="27"/>
      <c r="N3325" s="27"/>
      <c r="O3325" s="24" t="str">
        <f aca="false">IF(G3325="","",VLOOKUP(G3325,Setup!$A$14:$C$17,3,0))</f>
        <v/>
      </c>
      <c r="P3325" s="27"/>
      <c r="Q3325" s="29" t="str">
        <f aca="false">IF(OR(P3325="",M3325&lt;&gt;"Paid",O3325=""),"",P3325/O3325)</f>
        <v/>
      </c>
      <c r="R3325" s="30" t="str">
        <f aca="false">IF(Q3325="","",Q3325+N(H3325)*0.000000001)</f>
        <v/>
      </c>
      <c r="S3325" s="25" t="str">
        <f aca="false">IF(R3325="","",SUMPRODUCT((I$5:I$4004=I3325)*ISNUMBER(R$5:R$4004)*(R$5:R$4004&gt;R3325))+1)</f>
        <v/>
      </c>
      <c r="T3325" s="25" t="str">
        <f aca="false">IF(S3325="","",IF(S3325&lt;=Setup!$B$5,"🏆 WINNER",""))</f>
        <v/>
      </c>
      <c r="U3325" s="24" t="str">
        <f aca="false">IF(S3325="","",I3325&amp;"|"&amp;S3325)</f>
        <v/>
      </c>
    </row>
    <row r="3326" customFormat="false" ht="15" hidden="false" customHeight="false" outlineLevel="0" collapsed="false">
      <c r="A3326" s="31" t="n">
        <v>3322</v>
      </c>
      <c r="B3326" s="32" t="str">
        <f aca="false">IF(OR(C3326="",I3326="",G3326=""),"",IFERROR(VLOOKUP(I3326,Setup!$A$9:$B$11,2,0),"???")&amp;"-"&amp;G3326&amp;"-"&amp;TEXT(COUNTIFS(I$5:I3326,I3326,G$5:G3326,G3326),"0000"))</f>
        <v/>
      </c>
      <c r="C3326" s="26"/>
      <c r="D3326" s="26"/>
      <c r="E3326" s="27"/>
      <c r="F3326" s="27"/>
      <c r="G3326" s="31" t="str">
        <f aca="false">IF(F3326="","",IF(F3326&lt;=5,"A",IF(F3326&lt;=8,"B",IF(F3326&lt;=10,"C","D"))))</f>
        <v/>
      </c>
      <c r="H3326" s="28"/>
      <c r="I3326" s="27"/>
      <c r="J3326" s="26"/>
      <c r="K3326" s="27"/>
      <c r="L3326" s="27"/>
      <c r="M3326" s="27"/>
      <c r="N3326" s="27"/>
      <c r="O3326" s="31" t="str">
        <f aca="false">IF(G3326="","",VLOOKUP(G3326,Setup!$A$14:$C$17,3,0))</f>
        <v/>
      </c>
      <c r="P3326" s="27"/>
      <c r="Q3326" s="33" t="str">
        <f aca="false">IF(OR(P3326="",M3326&lt;&gt;"Paid",O3326=""),"",P3326/O3326)</f>
        <v/>
      </c>
      <c r="R3326" s="34" t="str">
        <f aca="false">IF(Q3326="","",Q3326+N(H3326)*0.000000001)</f>
        <v/>
      </c>
      <c r="S3326" s="32" t="str">
        <f aca="false">IF(R3326="","",SUMPRODUCT((I$5:I$4004=I3326)*ISNUMBER(R$5:R$4004)*(R$5:R$4004&gt;R3326))+1)</f>
        <v/>
      </c>
      <c r="T3326" s="32" t="str">
        <f aca="false">IF(S3326="","",IF(S3326&lt;=Setup!$B$5,"🏆 WINNER",""))</f>
        <v/>
      </c>
      <c r="U3326" s="31" t="str">
        <f aca="false">IF(S3326="","",I3326&amp;"|"&amp;S3326)</f>
        <v/>
      </c>
    </row>
    <row r="3327" customFormat="false" ht="15" hidden="false" customHeight="false" outlineLevel="0" collapsed="false">
      <c r="A3327" s="24" t="n">
        <v>3323</v>
      </c>
      <c r="B3327" s="25" t="str">
        <f aca="false">IF(OR(C3327="",I3327="",G3327=""),"",IFERROR(VLOOKUP(I3327,Setup!$A$9:$B$11,2,0),"???")&amp;"-"&amp;G3327&amp;"-"&amp;TEXT(COUNTIFS(I$5:I3327,I3327,G$5:G3327,G3327),"0000"))</f>
        <v/>
      </c>
      <c r="C3327" s="26"/>
      <c r="D3327" s="26"/>
      <c r="E3327" s="27"/>
      <c r="F3327" s="27"/>
      <c r="G3327" s="24" t="str">
        <f aca="false">IF(F3327="","",IF(F3327&lt;=5,"A",IF(F3327&lt;=8,"B",IF(F3327&lt;=10,"C","D"))))</f>
        <v/>
      </c>
      <c r="H3327" s="28"/>
      <c r="I3327" s="27"/>
      <c r="J3327" s="26"/>
      <c r="K3327" s="27"/>
      <c r="L3327" s="27"/>
      <c r="M3327" s="27"/>
      <c r="N3327" s="27"/>
      <c r="O3327" s="24" t="str">
        <f aca="false">IF(G3327="","",VLOOKUP(G3327,Setup!$A$14:$C$17,3,0))</f>
        <v/>
      </c>
      <c r="P3327" s="27"/>
      <c r="Q3327" s="29" t="str">
        <f aca="false">IF(OR(P3327="",M3327&lt;&gt;"Paid",O3327=""),"",P3327/O3327)</f>
        <v/>
      </c>
      <c r="R3327" s="30" t="str">
        <f aca="false">IF(Q3327="","",Q3327+N(H3327)*0.000000001)</f>
        <v/>
      </c>
      <c r="S3327" s="25" t="str">
        <f aca="false">IF(R3327="","",SUMPRODUCT((I$5:I$4004=I3327)*ISNUMBER(R$5:R$4004)*(R$5:R$4004&gt;R3327))+1)</f>
        <v/>
      </c>
      <c r="T3327" s="25" t="str">
        <f aca="false">IF(S3327="","",IF(S3327&lt;=Setup!$B$5,"🏆 WINNER",""))</f>
        <v/>
      </c>
      <c r="U3327" s="24" t="str">
        <f aca="false">IF(S3327="","",I3327&amp;"|"&amp;S3327)</f>
        <v/>
      </c>
    </row>
    <row r="3328" customFormat="false" ht="15" hidden="false" customHeight="false" outlineLevel="0" collapsed="false">
      <c r="A3328" s="31" t="n">
        <v>3324</v>
      </c>
      <c r="B3328" s="32" t="str">
        <f aca="false">IF(OR(C3328="",I3328="",G3328=""),"",IFERROR(VLOOKUP(I3328,Setup!$A$9:$B$11,2,0),"???")&amp;"-"&amp;G3328&amp;"-"&amp;TEXT(COUNTIFS(I$5:I3328,I3328,G$5:G3328,G3328),"0000"))</f>
        <v/>
      </c>
      <c r="C3328" s="26"/>
      <c r="D3328" s="26"/>
      <c r="E3328" s="27"/>
      <c r="F3328" s="27"/>
      <c r="G3328" s="31" t="str">
        <f aca="false">IF(F3328="","",IF(F3328&lt;=5,"A",IF(F3328&lt;=8,"B",IF(F3328&lt;=10,"C","D"))))</f>
        <v/>
      </c>
      <c r="H3328" s="28"/>
      <c r="I3328" s="27"/>
      <c r="J3328" s="26"/>
      <c r="K3328" s="27"/>
      <c r="L3328" s="27"/>
      <c r="M3328" s="27"/>
      <c r="N3328" s="27"/>
      <c r="O3328" s="31" t="str">
        <f aca="false">IF(G3328="","",VLOOKUP(G3328,Setup!$A$14:$C$17,3,0))</f>
        <v/>
      </c>
      <c r="P3328" s="27"/>
      <c r="Q3328" s="33" t="str">
        <f aca="false">IF(OR(P3328="",M3328&lt;&gt;"Paid",O3328=""),"",P3328/O3328)</f>
        <v/>
      </c>
      <c r="R3328" s="34" t="str">
        <f aca="false">IF(Q3328="","",Q3328+N(H3328)*0.000000001)</f>
        <v/>
      </c>
      <c r="S3328" s="32" t="str">
        <f aca="false">IF(R3328="","",SUMPRODUCT((I$5:I$4004=I3328)*ISNUMBER(R$5:R$4004)*(R$5:R$4004&gt;R3328))+1)</f>
        <v/>
      </c>
      <c r="T3328" s="32" t="str">
        <f aca="false">IF(S3328="","",IF(S3328&lt;=Setup!$B$5,"🏆 WINNER",""))</f>
        <v/>
      </c>
      <c r="U3328" s="31" t="str">
        <f aca="false">IF(S3328="","",I3328&amp;"|"&amp;S3328)</f>
        <v/>
      </c>
    </row>
    <row r="3329" customFormat="false" ht="15" hidden="false" customHeight="false" outlineLevel="0" collapsed="false">
      <c r="A3329" s="24" t="n">
        <v>3325</v>
      </c>
      <c r="B3329" s="25" t="str">
        <f aca="false">IF(OR(C3329="",I3329="",G3329=""),"",IFERROR(VLOOKUP(I3329,Setup!$A$9:$B$11,2,0),"???")&amp;"-"&amp;G3329&amp;"-"&amp;TEXT(COUNTIFS(I$5:I3329,I3329,G$5:G3329,G3329),"0000"))</f>
        <v/>
      </c>
      <c r="C3329" s="26"/>
      <c r="D3329" s="26"/>
      <c r="E3329" s="27"/>
      <c r="F3329" s="27"/>
      <c r="G3329" s="24" t="str">
        <f aca="false">IF(F3329="","",IF(F3329&lt;=5,"A",IF(F3329&lt;=8,"B",IF(F3329&lt;=10,"C","D"))))</f>
        <v/>
      </c>
      <c r="H3329" s="28"/>
      <c r="I3329" s="27"/>
      <c r="J3329" s="26"/>
      <c r="K3329" s="27"/>
      <c r="L3329" s="27"/>
      <c r="M3329" s="27"/>
      <c r="N3329" s="27"/>
      <c r="O3329" s="24" t="str">
        <f aca="false">IF(G3329="","",VLOOKUP(G3329,Setup!$A$14:$C$17,3,0))</f>
        <v/>
      </c>
      <c r="P3329" s="27"/>
      <c r="Q3329" s="29" t="str">
        <f aca="false">IF(OR(P3329="",M3329&lt;&gt;"Paid",O3329=""),"",P3329/O3329)</f>
        <v/>
      </c>
      <c r="R3329" s="30" t="str">
        <f aca="false">IF(Q3329="","",Q3329+N(H3329)*0.000000001)</f>
        <v/>
      </c>
      <c r="S3329" s="25" t="str">
        <f aca="false">IF(R3329="","",SUMPRODUCT((I$5:I$4004=I3329)*ISNUMBER(R$5:R$4004)*(R$5:R$4004&gt;R3329))+1)</f>
        <v/>
      </c>
      <c r="T3329" s="25" t="str">
        <f aca="false">IF(S3329="","",IF(S3329&lt;=Setup!$B$5,"🏆 WINNER",""))</f>
        <v/>
      </c>
      <c r="U3329" s="24" t="str">
        <f aca="false">IF(S3329="","",I3329&amp;"|"&amp;S3329)</f>
        <v/>
      </c>
    </row>
    <row r="3330" customFormat="false" ht="15" hidden="false" customHeight="false" outlineLevel="0" collapsed="false">
      <c r="A3330" s="31" t="n">
        <v>3326</v>
      </c>
      <c r="B3330" s="32" t="str">
        <f aca="false">IF(OR(C3330="",I3330="",G3330=""),"",IFERROR(VLOOKUP(I3330,Setup!$A$9:$B$11,2,0),"???")&amp;"-"&amp;G3330&amp;"-"&amp;TEXT(COUNTIFS(I$5:I3330,I3330,G$5:G3330,G3330),"0000"))</f>
        <v/>
      </c>
      <c r="C3330" s="26"/>
      <c r="D3330" s="26"/>
      <c r="E3330" s="27"/>
      <c r="F3330" s="27"/>
      <c r="G3330" s="31" t="str">
        <f aca="false">IF(F3330="","",IF(F3330&lt;=5,"A",IF(F3330&lt;=8,"B",IF(F3330&lt;=10,"C","D"))))</f>
        <v/>
      </c>
      <c r="H3330" s="28"/>
      <c r="I3330" s="27"/>
      <c r="J3330" s="26"/>
      <c r="K3330" s="27"/>
      <c r="L3330" s="27"/>
      <c r="M3330" s="27"/>
      <c r="N3330" s="27"/>
      <c r="O3330" s="31" t="str">
        <f aca="false">IF(G3330="","",VLOOKUP(G3330,Setup!$A$14:$C$17,3,0))</f>
        <v/>
      </c>
      <c r="P3330" s="27"/>
      <c r="Q3330" s="33" t="str">
        <f aca="false">IF(OR(P3330="",M3330&lt;&gt;"Paid",O3330=""),"",P3330/O3330)</f>
        <v/>
      </c>
      <c r="R3330" s="34" t="str">
        <f aca="false">IF(Q3330="","",Q3330+N(H3330)*0.000000001)</f>
        <v/>
      </c>
      <c r="S3330" s="32" t="str">
        <f aca="false">IF(R3330="","",SUMPRODUCT((I$5:I$4004=I3330)*ISNUMBER(R$5:R$4004)*(R$5:R$4004&gt;R3330))+1)</f>
        <v/>
      </c>
      <c r="T3330" s="32" t="str">
        <f aca="false">IF(S3330="","",IF(S3330&lt;=Setup!$B$5,"🏆 WINNER",""))</f>
        <v/>
      </c>
      <c r="U3330" s="31" t="str">
        <f aca="false">IF(S3330="","",I3330&amp;"|"&amp;S3330)</f>
        <v/>
      </c>
    </row>
    <row r="3331" customFormat="false" ht="15" hidden="false" customHeight="false" outlineLevel="0" collapsed="false">
      <c r="A3331" s="24" t="n">
        <v>3327</v>
      </c>
      <c r="B3331" s="25" t="str">
        <f aca="false">IF(OR(C3331="",I3331="",G3331=""),"",IFERROR(VLOOKUP(I3331,Setup!$A$9:$B$11,2,0),"???")&amp;"-"&amp;G3331&amp;"-"&amp;TEXT(COUNTIFS(I$5:I3331,I3331,G$5:G3331,G3331),"0000"))</f>
        <v/>
      </c>
      <c r="C3331" s="26"/>
      <c r="D3331" s="26"/>
      <c r="E3331" s="27"/>
      <c r="F3331" s="27"/>
      <c r="G3331" s="24" t="str">
        <f aca="false">IF(F3331="","",IF(F3331&lt;=5,"A",IF(F3331&lt;=8,"B",IF(F3331&lt;=10,"C","D"))))</f>
        <v/>
      </c>
      <c r="H3331" s="28"/>
      <c r="I3331" s="27"/>
      <c r="J3331" s="26"/>
      <c r="K3331" s="27"/>
      <c r="L3331" s="27"/>
      <c r="M3331" s="27"/>
      <c r="N3331" s="27"/>
      <c r="O3331" s="24" t="str">
        <f aca="false">IF(G3331="","",VLOOKUP(G3331,Setup!$A$14:$C$17,3,0))</f>
        <v/>
      </c>
      <c r="P3331" s="27"/>
      <c r="Q3331" s="29" t="str">
        <f aca="false">IF(OR(P3331="",M3331&lt;&gt;"Paid",O3331=""),"",P3331/O3331)</f>
        <v/>
      </c>
      <c r="R3331" s="30" t="str">
        <f aca="false">IF(Q3331="","",Q3331+N(H3331)*0.000000001)</f>
        <v/>
      </c>
      <c r="S3331" s="25" t="str">
        <f aca="false">IF(R3331="","",SUMPRODUCT((I$5:I$4004=I3331)*ISNUMBER(R$5:R$4004)*(R$5:R$4004&gt;R3331))+1)</f>
        <v/>
      </c>
      <c r="T3331" s="25" t="str">
        <f aca="false">IF(S3331="","",IF(S3331&lt;=Setup!$B$5,"🏆 WINNER",""))</f>
        <v/>
      </c>
      <c r="U3331" s="24" t="str">
        <f aca="false">IF(S3331="","",I3331&amp;"|"&amp;S3331)</f>
        <v/>
      </c>
    </row>
    <row r="3332" customFormat="false" ht="15" hidden="false" customHeight="false" outlineLevel="0" collapsed="false">
      <c r="A3332" s="31" t="n">
        <v>3328</v>
      </c>
      <c r="B3332" s="32" t="str">
        <f aca="false">IF(OR(C3332="",I3332="",G3332=""),"",IFERROR(VLOOKUP(I3332,Setup!$A$9:$B$11,2,0),"???")&amp;"-"&amp;G3332&amp;"-"&amp;TEXT(COUNTIFS(I$5:I3332,I3332,G$5:G3332,G3332),"0000"))</f>
        <v/>
      </c>
      <c r="C3332" s="26"/>
      <c r="D3332" s="26"/>
      <c r="E3332" s="27"/>
      <c r="F3332" s="27"/>
      <c r="G3332" s="31" t="str">
        <f aca="false">IF(F3332="","",IF(F3332&lt;=5,"A",IF(F3332&lt;=8,"B",IF(F3332&lt;=10,"C","D"))))</f>
        <v/>
      </c>
      <c r="H3332" s="28"/>
      <c r="I3332" s="27"/>
      <c r="J3332" s="26"/>
      <c r="K3332" s="27"/>
      <c r="L3332" s="27"/>
      <c r="M3332" s="27"/>
      <c r="N3332" s="27"/>
      <c r="O3332" s="31" t="str">
        <f aca="false">IF(G3332="","",VLOOKUP(G3332,Setup!$A$14:$C$17,3,0))</f>
        <v/>
      </c>
      <c r="P3332" s="27"/>
      <c r="Q3332" s="33" t="str">
        <f aca="false">IF(OR(P3332="",M3332&lt;&gt;"Paid",O3332=""),"",P3332/O3332)</f>
        <v/>
      </c>
      <c r="R3332" s="34" t="str">
        <f aca="false">IF(Q3332="","",Q3332+N(H3332)*0.000000001)</f>
        <v/>
      </c>
      <c r="S3332" s="32" t="str">
        <f aca="false">IF(R3332="","",SUMPRODUCT((I$5:I$4004=I3332)*ISNUMBER(R$5:R$4004)*(R$5:R$4004&gt;R3332))+1)</f>
        <v/>
      </c>
      <c r="T3332" s="32" t="str">
        <f aca="false">IF(S3332="","",IF(S3332&lt;=Setup!$B$5,"🏆 WINNER",""))</f>
        <v/>
      </c>
      <c r="U3332" s="31" t="str">
        <f aca="false">IF(S3332="","",I3332&amp;"|"&amp;S3332)</f>
        <v/>
      </c>
    </row>
    <row r="3333" customFormat="false" ht="15" hidden="false" customHeight="false" outlineLevel="0" collapsed="false">
      <c r="A3333" s="24" t="n">
        <v>3329</v>
      </c>
      <c r="B3333" s="25" t="str">
        <f aca="false">IF(OR(C3333="",I3333="",G3333=""),"",IFERROR(VLOOKUP(I3333,Setup!$A$9:$B$11,2,0),"???")&amp;"-"&amp;G3333&amp;"-"&amp;TEXT(COUNTIFS(I$5:I3333,I3333,G$5:G3333,G3333),"0000"))</f>
        <v/>
      </c>
      <c r="C3333" s="26"/>
      <c r="D3333" s="26"/>
      <c r="E3333" s="27"/>
      <c r="F3333" s="27"/>
      <c r="G3333" s="24" t="str">
        <f aca="false">IF(F3333="","",IF(F3333&lt;=5,"A",IF(F3333&lt;=8,"B",IF(F3333&lt;=10,"C","D"))))</f>
        <v/>
      </c>
      <c r="H3333" s="28"/>
      <c r="I3333" s="27"/>
      <c r="J3333" s="26"/>
      <c r="K3333" s="27"/>
      <c r="L3333" s="27"/>
      <c r="M3333" s="27"/>
      <c r="N3333" s="27"/>
      <c r="O3333" s="24" t="str">
        <f aca="false">IF(G3333="","",VLOOKUP(G3333,Setup!$A$14:$C$17,3,0))</f>
        <v/>
      </c>
      <c r="P3333" s="27"/>
      <c r="Q3333" s="29" t="str">
        <f aca="false">IF(OR(P3333="",M3333&lt;&gt;"Paid",O3333=""),"",P3333/O3333)</f>
        <v/>
      </c>
      <c r="R3333" s="30" t="str">
        <f aca="false">IF(Q3333="","",Q3333+N(H3333)*0.000000001)</f>
        <v/>
      </c>
      <c r="S3333" s="25" t="str">
        <f aca="false">IF(R3333="","",SUMPRODUCT((I$5:I$4004=I3333)*ISNUMBER(R$5:R$4004)*(R$5:R$4004&gt;R3333))+1)</f>
        <v/>
      </c>
      <c r="T3333" s="25" t="str">
        <f aca="false">IF(S3333="","",IF(S3333&lt;=Setup!$B$5,"🏆 WINNER",""))</f>
        <v/>
      </c>
      <c r="U3333" s="24" t="str">
        <f aca="false">IF(S3333="","",I3333&amp;"|"&amp;S3333)</f>
        <v/>
      </c>
    </row>
    <row r="3334" customFormat="false" ht="15" hidden="false" customHeight="false" outlineLevel="0" collapsed="false">
      <c r="A3334" s="31" t="n">
        <v>3330</v>
      </c>
      <c r="B3334" s="32" t="str">
        <f aca="false">IF(OR(C3334="",I3334="",G3334=""),"",IFERROR(VLOOKUP(I3334,Setup!$A$9:$B$11,2,0),"???")&amp;"-"&amp;G3334&amp;"-"&amp;TEXT(COUNTIFS(I$5:I3334,I3334,G$5:G3334,G3334),"0000"))</f>
        <v/>
      </c>
      <c r="C3334" s="26"/>
      <c r="D3334" s="26"/>
      <c r="E3334" s="27"/>
      <c r="F3334" s="27"/>
      <c r="G3334" s="31" t="str">
        <f aca="false">IF(F3334="","",IF(F3334&lt;=5,"A",IF(F3334&lt;=8,"B",IF(F3334&lt;=10,"C","D"))))</f>
        <v/>
      </c>
      <c r="H3334" s="28"/>
      <c r="I3334" s="27"/>
      <c r="J3334" s="26"/>
      <c r="K3334" s="27"/>
      <c r="L3334" s="27"/>
      <c r="M3334" s="27"/>
      <c r="N3334" s="27"/>
      <c r="O3334" s="31" t="str">
        <f aca="false">IF(G3334="","",VLOOKUP(G3334,Setup!$A$14:$C$17,3,0))</f>
        <v/>
      </c>
      <c r="P3334" s="27"/>
      <c r="Q3334" s="33" t="str">
        <f aca="false">IF(OR(P3334="",M3334&lt;&gt;"Paid",O3334=""),"",P3334/O3334)</f>
        <v/>
      </c>
      <c r="R3334" s="34" t="str">
        <f aca="false">IF(Q3334="","",Q3334+N(H3334)*0.000000001)</f>
        <v/>
      </c>
      <c r="S3334" s="32" t="str">
        <f aca="false">IF(R3334="","",SUMPRODUCT((I$5:I$4004=I3334)*ISNUMBER(R$5:R$4004)*(R$5:R$4004&gt;R3334))+1)</f>
        <v/>
      </c>
      <c r="T3334" s="32" t="str">
        <f aca="false">IF(S3334="","",IF(S3334&lt;=Setup!$B$5,"🏆 WINNER",""))</f>
        <v/>
      </c>
      <c r="U3334" s="31" t="str">
        <f aca="false">IF(S3334="","",I3334&amp;"|"&amp;S3334)</f>
        <v/>
      </c>
    </row>
    <row r="3335" customFormat="false" ht="15" hidden="false" customHeight="false" outlineLevel="0" collapsed="false">
      <c r="A3335" s="24" t="n">
        <v>3331</v>
      </c>
      <c r="B3335" s="25" t="str">
        <f aca="false">IF(OR(C3335="",I3335="",G3335=""),"",IFERROR(VLOOKUP(I3335,Setup!$A$9:$B$11,2,0),"???")&amp;"-"&amp;G3335&amp;"-"&amp;TEXT(COUNTIFS(I$5:I3335,I3335,G$5:G3335,G3335),"0000"))</f>
        <v/>
      </c>
      <c r="C3335" s="26"/>
      <c r="D3335" s="26"/>
      <c r="E3335" s="27"/>
      <c r="F3335" s="27"/>
      <c r="G3335" s="24" t="str">
        <f aca="false">IF(F3335="","",IF(F3335&lt;=5,"A",IF(F3335&lt;=8,"B",IF(F3335&lt;=10,"C","D"))))</f>
        <v/>
      </c>
      <c r="H3335" s="28"/>
      <c r="I3335" s="27"/>
      <c r="J3335" s="26"/>
      <c r="K3335" s="27"/>
      <c r="L3335" s="27"/>
      <c r="M3335" s="27"/>
      <c r="N3335" s="27"/>
      <c r="O3335" s="24" t="str">
        <f aca="false">IF(G3335="","",VLOOKUP(G3335,Setup!$A$14:$C$17,3,0))</f>
        <v/>
      </c>
      <c r="P3335" s="27"/>
      <c r="Q3335" s="29" t="str">
        <f aca="false">IF(OR(P3335="",M3335&lt;&gt;"Paid",O3335=""),"",P3335/O3335)</f>
        <v/>
      </c>
      <c r="R3335" s="30" t="str">
        <f aca="false">IF(Q3335="","",Q3335+N(H3335)*0.000000001)</f>
        <v/>
      </c>
      <c r="S3335" s="25" t="str">
        <f aca="false">IF(R3335="","",SUMPRODUCT((I$5:I$4004=I3335)*ISNUMBER(R$5:R$4004)*(R$5:R$4004&gt;R3335))+1)</f>
        <v/>
      </c>
      <c r="T3335" s="25" t="str">
        <f aca="false">IF(S3335="","",IF(S3335&lt;=Setup!$B$5,"🏆 WINNER",""))</f>
        <v/>
      </c>
      <c r="U3335" s="24" t="str">
        <f aca="false">IF(S3335="","",I3335&amp;"|"&amp;S3335)</f>
        <v/>
      </c>
    </row>
    <row r="3336" customFormat="false" ht="15" hidden="false" customHeight="false" outlineLevel="0" collapsed="false">
      <c r="A3336" s="31" t="n">
        <v>3332</v>
      </c>
      <c r="B3336" s="32" t="str">
        <f aca="false">IF(OR(C3336="",I3336="",G3336=""),"",IFERROR(VLOOKUP(I3336,Setup!$A$9:$B$11,2,0),"???")&amp;"-"&amp;G3336&amp;"-"&amp;TEXT(COUNTIFS(I$5:I3336,I3336,G$5:G3336,G3336),"0000"))</f>
        <v/>
      </c>
      <c r="C3336" s="26"/>
      <c r="D3336" s="26"/>
      <c r="E3336" s="27"/>
      <c r="F3336" s="27"/>
      <c r="G3336" s="31" t="str">
        <f aca="false">IF(F3336="","",IF(F3336&lt;=5,"A",IF(F3336&lt;=8,"B",IF(F3336&lt;=10,"C","D"))))</f>
        <v/>
      </c>
      <c r="H3336" s="28"/>
      <c r="I3336" s="27"/>
      <c r="J3336" s="26"/>
      <c r="K3336" s="27"/>
      <c r="L3336" s="27"/>
      <c r="M3336" s="27"/>
      <c r="N3336" s="27"/>
      <c r="O3336" s="31" t="str">
        <f aca="false">IF(G3336="","",VLOOKUP(G3336,Setup!$A$14:$C$17,3,0))</f>
        <v/>
      </c>
      <c r="P3336" s="27"/>
      <c r="Q3336" s="33" t="str">
        <f aca="false">IF(OR(P3336="",M3336&lt;&gt;"Paid",O3336=""),"",P3336/O3336)</f>
        <v/>
      </c>
      <c r="R3336" s="34" t="str">
        <f aca="false">IF(Q3336="","",Q3336+N(H3336)*0.000000001)</f>
        <v/>
      </c>
      <c r="S3336" s="32" t="str">
        <f aca="false">IF(R3336="","",SUMPRODUCT((I$5:I$4004=I3336)*ISNUMBER(R$5:R$4004)*(R$5:R$4004&gt;R3336))+1)</f>
        <v/>
      </c>
      <c r="T3336" s="32" t="str">
        <f aca="false">IF(S3336="","",IF(S3336&lt;=Setup!$B$5,"🏆 WINNER",""))</f>
        <v/>
      </c>
      <c r="U3336" s="31" t="str">
        <f aca="false">IF(S3336="","",I3336&amp;"|"&amp;S3336)</f>
        <v/>
      </c>
    </row>
    <row r="3337" customFormat="false" ht="15" hidden="false" customHeight="false" outlineLevel="0" collapsed="false">
      <c r="A3337" s="24" t="n">
        <v>3333</v>
      </c>
      <c r="B3337" s="25" t="str">
        <f aca="false">IF(OR(C3337="",I3337="",G3337=""),"",IFERROR(VLOOKUP(I3337,Setup!$A$9:$B$11,2,0),"???")&amp;"-"&amp;G3337&amp;"-"&amp;TEXT(COUNTIFS(I$5:I3337,I3337,G$5:G3337,G3337),"0000"))</f>
        <v/>
      </c>
      <c r="C3337" s="26"/>
      <c r="D3337" s="26"/>
      <c r="E3337" s="27"/>
      <c r="F3337" s="27"/>
      <c r="G3337" s="24" t="str">
        <f aca="false">IF(F3337="","",IF(F3337&lt;=5,"A",IF(F3337&lt;=8,"B",IF(F3337&lt;=10,"C","D"))))</f>
        <v/>
      </c>
      <c r="H3337" s="28"/>
      <c r="I3337" s="27"/>
      <c r="J3337" s="26"/>
      <c r="K3337" s="27"/>
      <c r="L3337" s="27"/>
      <c r="M3337" s="27"/>
      <c r="N3337" s="27"/>
      <c r="O3337" s="24" t="str">
        <f aca="false">IF(G3337="","",VLOOKUP(G3337,Setup!$A$14:$C$17,3,0))</f>
        <v/>
      </c>
      <c r="P3337" s="27"/>
      <c r="Q3337" s="29" t="str">
        <f aca="false">IF(OR(P3337="",M3337&lt;&gt;"Paid",O3337=""),"",P3337/O3337)</f>
        <v/>
      </c>
      <c r="R3337" s="30" t="str">
        <f aca="false">IF(Q3337="","",Q3337+N(H3337)*0.000000001)</f>
        <v/>
      </c>
      <c r="S3337" s="25" t="str">
        <f aca="false">IF(R3337="","",SUMPRODUCT((I$5:I$4004=I3337)*ISNUMBER(R$5:R$4004)*(R$5:R$4004&gt;R3337))+1)</f>
        <v/>
      </c>
      <c r="T3337" s="25" t="str">
        <f aca="false">IF(S3337="","",IF(S3337&lt;=Setup!$B$5,"🏆 WINNER",""))</f>
        <v/>
      </c>
      <c r="U3337" s="24" t="str">
        <f aca="false">IF(S3337="","",I3337&amp;"|"&amp;S3337)</f>
        <v/>
      </c>
    </row>
    <row r="3338" customFormat="false" ht="15" hidden="false" customHeight="false" outlineLevel="0" collapsed="false">
      <c r="A3338" s="31" t="n">
        <v>3334</v>
      </c>
      <c r="B3338" s="32" t="str">
        <f aca="false">IF(OR(C3338="",I3338="",G3338=""),"",IFERROR(VLOOKUP(I3338,Setup!$A$9:$B$11,2,0),"???")&amp;"-"&amp;G3338&amp;"-"&amp;TEXT(COUNTIFS(I$5:I3338,I3338,G$5:G3338,G3338),"0000"))</f>
        <v/>
      </c>
      <c r="C3338" s="26"/>
      <c r="D3338" s="26"/>
      <c r="E3338" s="27"/>
      <c r="F3338" s="27"/>
      <c r="G3338" s="31" t="str">
        <f aca="false">IF(F3338="","",IF(F3338&lt;=5,"A",IF(F3338&lt;=8,"B",IF(F3338&lt;=10,"C","D"))))</f>
        <v/>
      </c>
      <c r="H3338" s="28"/>
      <c r="I3338" s="27"/>
      <c r="J3338" s="26"/>
      <c r="K3338" s="27"/>
      <c r="L3338" s="27"/>
      <c r="M3338" s="27"/>
      <c r="N3338" s="27"/>
      <c r="O3338" s="31" t="str">
        <f aca="false">IF(G3338="","",VLOOKUP(G3338,Setup!$A$14:$C$17,3,0))</f>
        <v/>
      </c>
      <c r="P3338" s="27"/>
      <c r="Q3338" s="33" t="str">
        <f aca="false">IF(OR(P3338="",M3338&lt;&gt;"Paid",O3338=""),"",P3338/O3338)</f>
        <v/>
      </c>
      <c r="R3338" s="34" t="str">
        <f aca="false">IF(Q3338="","",Q3338+N(H3338)*0.000000001)</f>
        <v/>
      </c>
      <c r="S3338" s="32" t="str">
        <f aca="false">IF(R3338="","",SUMPRODUCT((I$5:I$4004=I3338)*ISNUMBER(R$5:R$4004)*(R$5:R$4004&gt;R3338))+1)</f>
        <v/>
      </c>
      <c r="T3338" s="32" t="str">
        <f aca="false">IF(S3338="","",IF(S3338&lt;=Setup!$B$5,"🏆 WINNER",""))</f>
        <v/>
      </c>
      <c r="U3338" s="31" t="str">
        <f aca="false">IF(S3338="","",I3338&amp;"|"&amp;S3338)</f>
        <v/>
      </c>
    </row>
    <row r="3339" customFormat="false" ht="15" hidden="false" customHeight="false" outlineLevel="0" collapsed="false">
      <c r="A3339" s="24" t="n">
        <v>3335</v>
      </c>
      <c r="B3339" s="25" t="str">
        <f aca="false">IF(OR(C3339="",I3339="",G3339=""),"",IFERROR(VLOOKUP(I3339,Setup!$A$9:$B$11,2,0),"???")&amp;"-"&amp;G3339&amp;"-"&amp;TEXT(COUNTIFS(I$5:I3339,I3339,G$5:G3339,G3339),"0000"))</f>
        <v/>
      </c>
      <c r="C3339" s="26"/>
      <c r="D3339" s="26"/>
      <c r="E3339" s="27"/>
      <c r="F3339" s="27"/>
      <c r="G3339" s="24" t="str">
        <f aca="false">IF(F3339="","",IF(F3339&lt;=5,"A",IF(F3339&lt;=8,"B",IF(F3339&lt;=10,"C","D"))))</f>
        <v/>
      </c>
      <c r="H3339" s="28"/>
      <c r="I3339" s="27"/>
      <c r="J3339" s="26"/>
      <c r="K3339" s="27"/>
      <c r="L3339" s="27"/>
      <c r="M3339" s="27"/>
      <c r="N3339" s="27"/>
      <c r="O3339" s="24" t="str">
        <f aca="false">IF(G3339="","",VLOOKUP(G3339,Setup!$A$14:$C$17,3,0))</f>
        <v/>
      </c>
      <c r="P3339" s="27"/>
      <c r="Q3339" s="29" t="str">
        <f aca="false">IF(OR(P3339="",M3339&lt;&gt;"Paid",O3339=""),"",P3339/O3339)</f>
        <v/>
      </c>
      <c r="R3339" s="30" t="str">
        <f aca="false">IF(Q3339="","",Q3339+N(H3339)*0.000000001)</f>
        <v/>
      </c>
      <c r="S3339" s="25" t="str">
        <f aca="false">IF(R3339="","",SUMPRODUCT((I$5:I$4004=I3339)*ISNUMBER(R$5:R$4004)*(R$5:R$4004&gt;R3339))+1)</f>
        <v/>
      </c>
      <c r="T3339" s="25" t="str">
        <f aca="false">IF(S3339="","",IF(S3339&lt;=Setup!$B$5,"🏆 WINNER",""))</f>
        <v/>
      </c>
      <c r="U3339" s="24" t="str">
        <f aca="false">IF(S3339="","",I3339&amp;"|"&amp;S3339)</f>
        <v/>
      </c>
    </row>
    <row r="3340" customFormat="false" ht="15" hidden="false" customHeight="false" outlineLevel="0" collapsed="false">
      <c r="A3340" s="31" t="n">
        <v>3336</v>
      </c>
      <c r="B3340" s="32" t="str">
        <f aca="false">IF(OR(C3340="",I3340="",G3340=""),"",IFERROR(VLOOKUP(I3340,Setup!$A$9:$B$11,2,0),"???")&amp;"-"&amp;G3340&amp;"-"&amp;TEXT(COUNTIFS(I$5:I3340,I3340,G$5:G3340,G3340),"0000"))</f>
        <v/>
      </c>
      <c r="C3340" s="26"/>
      <c r="D3340" s="26"/>
      <c r="E3340" s="27"/>
      <c r="F3340" s="27"/>
      <c r="G3340" s="31" t="str">
        <f aca="false">IF(F3340="","",IF(F3340&lt;=5,"A",IF(F3340&lt;=8,"B",IF(F3340&lt;=10,"C","D"))))</f>
        <v/>
      </c>
      <c r="H3340" s="28"/>
      <c r="I3340" s="27"/>
      <c r="J3340" s="26"/>
      <c r="K3340" s="27"/>
      <c r="L3340" s="27"/>
      <c r="M3340" s="27"/>
      <c r="N3340" s="27"/>
      <c r="O3340" s="31" t="str">
        <f aca="false">IF(G3340="","",VLOOKUP(G3340,Setup!$A$14:$C$17,3,0))</f>
        <v/>
      </c>
      <c r="P3340" s="27"/>
      <c r="Q3340" s="33" t="str">
        <f aca="false">IF(OR(P3340="",M3340&lt;&gt;"Paid",O3340=""),"",P3340/O3340)</f>
        <v/>
      </c>
      <c r="R3340" s="34" t="str">
        <f aca="false">IF(Q3340="","",Q3340+N(H3340)*0.000000001)</f>
        <v/>
      </c>
      <c r="S3340" s="32" t="str">
        <f aca="false">IF(R3340="","",SUMPRODUCT((I$5:I$4004=I3340)*ISNUMBER(R$5:R$4004)*(R$5:R$4004&gt;R3340))+1)</f>
        <v/>
      </c>
      <c r="T3340" s="32" t="str">
        <f aca="false">IF(S3340="","",IF(S3340&lt;=Setup!$B$5,"🏆 WINNER",""))</f>
        <v/>
      </c>
      <c r="U3340" s="31" t="str">
        <f aca="false">IF(S3340="","",I3340&amp;"|"&amp;S3340)</f>
        <v/>
      </c>
    </row>
    <row r="3341" customFormat="false" ht="15" hidden="false" customHeight="false" outlineLevel="0" collapsed="false">
      <c r="A3341" s="24" t="n">
        <v>3337</v>
      </c>
      <c r="B3341" s="25" t="str">
        <f aca="false">IF(OR(C3341="",I3341="",G3341=""),"",IFERROR(VLOOKUP(I3341,Setup!$A$9:$B$11,2,0),"???")&amp;"-"&amp;G3341&amp;"-"&amp;TEXT(COUNTIFS(I$5:I3341,I3341,G$5:G3341,G3341),"0000"))</f>
        <v/>
      </c>
      <c r="C3341" s="26"/>
      <c r="D3341" s="26"/>
      <c r="E3341" s="27"/>
      <c r="F3341" s="27"/>
      <c r="G3341" s="24" t="str">
        <f aca="false">IF(F3341="","",IF(F3341&lt;=5,"A",IF(F3341&lt;=8,"B",IF(F3341&lt;=10,"C","D"))))</f>
        <v/>
      </c>
      <c r="H3341" s="28"/>
      <c r="I3341" s="27"/>
      <c r="J3341" s="26"/>
      <c r="K3341" s="27"/>
      <c r="L3341" s="27"/>
      <c r="M3341" s="27"/>
      <c r="N3341" s="27"/>
      <c r="O3341" s="24" t="str">
        <f aca="false">IF(G3341="","",VLOOKUP(G3341,Setup!$A$14:$C$17,3,0))</f>
        <v/>
      </c>
      <c r="P3341" s="27"/>
      <c r="Q3341" s="29" t="str">
        <f aca="false">IF(OR(P3341="",M3341&lt;&gt;"Paid",O3341=""),"",P3341/O3341)</f>
        <v/>
      </c>
      <c r="R3341" s="30" t="str">
        <f aca="false">IF(Q3341="","",Q3341+N(H3341)*0.000000001)</f>
        <v/>
      </c>
      <c r="S3341" s="25" t="str">
        <f aca="false">IF(R3341="","",SUMPRODUCT((I$5:I$4004=I3341)*ISNUMBER(R$5:R$4004)*(R$5:R$4004&gt;R3341))+1)</f>
        <v/>
      </c>
      <c r="T3341" s="25" t="str">
        <f aca="false">IF(S3341="","",IF(S3341&lt;=Setup!$B$5,"🏆 WINNER",""))</f>
        <v/>
      </c>
      <c r="U3341" s="24" t="str">
        <f aca="false">IF(S3341="","",I3341&amp;"|"&amp;S3341)</f>
        <v/>
      </c>
    </row>
    <row r="3342" customFormat="false" ht="15" hidden="false" customHeight="false" outlineLevel="0" collapsed="false">
      <c r="A3342" s="31" t="n">
        <v>3338</v>
      </c>
      <c r="B3342" s="32" t="str">
        <f aca="false">IF(OR(C3342="",I3342="",G3342=""),"",IFERROR(VLOOKUP(I3342,Setup!$A$9:$B$11,2,0),"???")&amp;"-"&amp;G3342&amp;"-"&amp;TEXT(COUNTIFS(I$5:I3342,I3342,G$5:G3342,G3342),"0000"))</f>
        <v/>
      </c>
      <c r="C3342" s="26"/>
      <c r="D3342" s="26"/>
      <c r="E3342" s="27"/>
      <c r="F3342" s="27"/>
      <c r="G3342" s="31" t="str">
        <f aca="false">IF(F3342="","",IF(F3342&lt;=5,"A",IF(F3342&lt;=8,"B",IF(F3342&lt;=10,"C","D"))))</f>
        <v/>
      </c>
      <c r="H3342" s="28"/>
      <c r="I3342" s="27"/>
      <c r="J3342" s="26"/>
      <c r="K3342" s="27"/>
      <c r="L3342" s="27"/>
      <c r="M3342" s="27"/>
      <c r="N3342" s="27"/>
      <c r="O3342" s="31" t="str">
        <f aca="false">IF(G3342="","",VLOOKUP(G3342,Setup!$A$14:$C$17,3,0))</f>
        <v/>
      </c>
      <c r="P3342" s="27"/>
      <c r="Q3342" s="33" t="str">
        <f aca="false">IF(OR(P3342="",M3342&lt;&gt;"Paid",O3342=""),"",P3342/O3342)</f>
        <v/>
      </c>
      <c r="R3342" s="34" t="str">
        <f aca="false">IF(Q3342="","",Q3342+N(H3342)*0.000000001)</f>
        <v/>
      </c>
      <c r="S3342" s="32" t="str">
        <f aca="false">IF(R3342="","",SUMPRODUCT((I$5:I$4004=I3342)*ISNUMBER(R$5:R$4004)*(R$5:R$4004&gt;R3342))+1)</f>
        <v/>
      </c>
      <c r="T3342" s="32" t="str">
        <f aca="false">IF(S3342="","",IF(S3342&lt;=Setup!$B$5,"🏆 WINNER",""))</f>
        <v/>
      </c>
      <c r="U3342" s="31" t="str">
        <f aca="false">IF(S3342="","",I3342&amp;"|"&amp;S3342)</f>
        <v/>
      </c>
    </row>
    <row r="3343" customFormat="false" ht="15" hidden="false" customHeight="false" outlineLevel="0" collapsed="false">
      <c r="A3343" s="24" t="n">
        <v>3339</v>
      </c>
      <c r="B3343" s="25" t="str">
        <f aca="false">IF(OR(C3343="",I3343="",G3343=""),"",IFERROR(VLOOKUP(I3343,Setup!$A$9:$B$11,2,0),"???")&amp;"-"&amp;G3343&amp;"-"&amp;TEXT(COUNTIFS(I$5:I3343,I3343,G$5:G3343,G3343),"0000"))</f>
        <v/>
      </c>
      <c r="C3343" s="26"/>
      <c r="D3343" s="26"/>
      <c r="E3343" s="27"/>
      <c r="F3343" s="27"/>
      <c r="G3343" s="24" t="str">
        <f aca="false">IF(F3343="","",IF(F3343&lt;=5,"A",IF(F3343&lt;=8,"B",IF(F3343&lt;=10,"C","D"))))</f>
        <v/>
      </c>
      <c r="H3343" s="28"/>
      <c r="I3343" s="27"/>
      <c r="J3343" s="26"/>
      <c r="K3343" s="27"/>
      <c r="L3343" s="27"/>
      <c r="M3343" s="27"/>
      <c r="N3343" s="27"/>
      <c r="O3343" s="24" t="str">
        <f aca="false">IF(G3343="","",VLOOKUP(G3343,Setup!$A$14:$C$17,3,0))</f>
        <v/>
      </c>
      <c r="P3343" s="27"/>
      <c r="Q3343" s="29" t="str">
        <f aca="false">IF(OR(P3343="",M3343&lt;&gt;"Paid",O3343=""),"",P3343/O3343)</f>
        <v/>
      </c>
      <c r="R3343" s="30" t="str">
        <f aca="false">IF(Q3343="","",Q3343+N(H3343)*0.000000001)</f>
        <v/>
      </c>
      <c r="S3343" s="25" t="str">
        <f aca="false">IF(R3343="","",SUMPRODUCT((I$5:I$4004=I3343)*ISNUMBER(R$5:R$4004)*(R$5:R$4004&gt;R3343))+1)</f>
        <v/>
      </c>
      <c r="T3343" s="25" t="str">
        <f aca="false">IF(S3343="","",IF(S3343&lt;=Setup!$B$5,"🏆 WINNER",""))</f>
        <v/>
      </c>
      <c r="U3343" s="24" t="str">
        <f aca="false">IF(S3343="","",I3343&amp;"|"&amp;S3343)</f>
        <v/>
      </c>
    </row>
    <row r="3344" customFormat="false" ht="15" hidden="false" customHeight="false" outlineLevel="0" collapsed="false">
      <c r="A3344" s="31" t="n">
        <v>3340</v>
      </c>
      <c r="B3344" s="32" t="str">
        <f aca="false">IF(OR(C3344="",I3344="",G3344=""),"",IFERROR(VLOOKUP(I3344,Setup!$A$9:$B$11,2,0),"???")&amp;"-"&amp;G3344&amp;"-"&amp;TEXT(COUNTIFS(I$5:I3344,I3344,G$5:G3344,G3344),"0000"))</f>
        <v/>
      </c>
      <c r="C3344" s="26"/>
      <c r="D3344" s="26"/>
      <c r="E3344" s="27"/>
      <c r="F3344" s="27"/>
      <c r="G3344" s="31" t="str">
        <f aca="false">IF(F3344="","",IF(F3344&lt;=5,"A",IF(F3344&lt;=8,"B",IF(F3344&lt;=10,"C","D"))))</f>
        <v/>
      </c>
      <c r="H3344" s="28"/>
      <c r="I3344" s="27"/>
      <c r="J3344" s="26"/>
      <c r="K3344" s="27"/>
      <c r="L3344" s="27"/>
      <c r="M3344" s="27"/>
      <c r="N3344" s="27"/>
      <c r="O3344" s="31" t="str">
        <f aca="false">IF(G3344="","",VLOOKUP(G3344,Setup!$A$14:$C$17,3,0))</f>
        <v/>
      </c>
      <c r="P3344" s="27"/>
      <c r="Q3344" s="33" t="str">
        <f aca="false">IF(OR(P3344="",M3344&lt;&gt;"Paid",O3344=""),"",P3344/O3344)</f>
        <v/>
      </c>
      <c r="R3344" s="34" t="str">
        <f aca="false">IF(Q3344="","",Q3344+N(H3344)*0.000000001)</f>
        <v/>
      </c>
      <c r="S3344" s="32" t="str">
        <f aca="false">IF(R3344="","",SUMPRODUCT((I$5:I$4004=I3344)*ISNUMBER(R$5:R$4004)*(R$5:R$4004&gt;R3344))+1)</f>
        <v/>
      </c>
      <c r="T3344" s="32" t="str">
        <f aca="false">IF(S3344="","",IF(S3344&lt;=Setup!$B$5,"🏆 WINNER",""))</f>
        <v/>
      </c>
      <c r="U3344" s="31" t="str">
        <f aca="false">IF(S3344="","",I3344&amp;"|"&amp;S3344)</f>
        <v/>
      </c>
    </row>
    <row r="3345" customFormat="false" ht="15" hidden="false" customHeight="false" outlineLevel="0" collapsed="false">
      <c r="A3345" s="24" t="n">
        <v>3341</v>
      </c>
      <c r="B3345" s="25" t="str">
        <f aca="false">IF(OR(C3345="",I3345="",G3345=""),"",IFERROR(VLOOKUP(I3345,Setup!$A$9:$B$11,2,0),"???")&amp;"-"&amp;G3345&amp;"-"&amp;TEXT(COUNTIFS(I$5:I3345,I3345,G$5:G3345,G3345),"0000"))</f>
        <v/>
      </c>
      <c r="C3345" s="26"/>
      <c r="D3345" s="26"/>
      <c r="E3345" s="27"/>
      <c r="F3345" s="27"/>
      <c r="G3345" s="24" t="str">
        <f aca="false">IF(F3345="","",IF(F3345&lt;=5,"A",IF(F3345&lt;=8,"B",IF(F3345&lt;=10,"C","D"))))</f>
        <v/>
      </c>
      <c r="H3345" s="28"/>
      <c r="I3345" s="27"/>
      <c r="J3345" s="26"/>
      <c r="K3345" s="27"/>
      <c r="L3345" s="27"/>
      <c r="M3345" s="27"/>
      <c r="N3345" s="27"/>
      <c r="O3345" s="24" t="str">
        <f aca="false">IF(G3345="","",VLOOKUP(G3345,Setup!$A$14:$C$17,3,0))</f>
        <v/>
      </c>
      <c r="P3345" s="27"/>
      <c r="Q3345" s="29" t="str">
        <f aca="false">IF(OR(P3345="",M3345&lt;&gt;"Paid",O3345=""),"",P3345/O3345)</f>
        <v/>
      </c>
      <c r="R3345" s="30" t="str">
        <f aca="false">IF(Q3345="","",Q3345+N(H3345)*0.000000001)</f>
        <v/>
      </c>
      <c r="S3345" s="25" t="str">
        <f aca="false">IF(R3345="","",SUMPRODUCT((I$5:I$4004=I3345)*ISNUMBER(R$5:R$4004)*(R$5:R$4004&gt;R3345))+1)</f>
        <v/>
      </c>
      <c r="T3345" s="25" t="str">
        <f aca="false">IF(S3345="","",IF(S3345&lt;=Setup!$B$5,"🏆 WINNER",""))</f>
        <v/>
      </c>
      <c r="U3345" s="24" t="str">
        <f aca="false">IF(S3345="","",I3345&amp;"|"&amp;S3345)</f>
        <v/>
      </c>
    </row>
    <row r="3346" customFormat="false" ht="15" hidden="false" customHeight="false" outlineLevel="0" collapsed="false">
      <c r="A3346" s="31" t="n">
        <v>3342</v>
      </c>
      <c r="B3346" s="32" t="str">
        <f aca="false">IF(OR(C3346="",I3346="",G3346=""),"",IFERROR(VLOOKUP(I3346,Setup!$A$9:$B$11,2,0),"???")&amp;"-"&amp;G3346&amp;"-"&amp;TEXT(COUNTIFS(I$5:I3346,I3346,G$5:G3346,G3346),"0000"))</f>
        <v/>
      </c>
      <c r="C3346" s="26"/>
      <c r="D3346" s="26"/>
      <c r="E3346" s="27"/>
      <c r="F3346" s="27"/>
      <c r="G3346" s="31" t="str">
        <f aca="false">IF(F3346="","",IF(F3346&lt;=5,"A",IF(F3346&lt;=8,"B",IF(F3346&lt;=10,"C","D"))))</f>
        <v/>
      </c>
      <c r="H3346" s="28"/>
      <c r="I3346" s="27"/>
      <c r="J3346" s="26"/>
      <c r="K3346" s="27"/>
      <c r="L3346" s="27"/>
      <c r="M3346" s="27"/>
      <c r="N3346" s="27"/>
      <c r="O3346" s="31" t="str">
        <f aca="false">IF(G3346="","",VLOOKUP(G3346,Setup!$A$14:$C$17,3,0))</f>
        <v/>
      </c>
      <c r="P3346" s="27"/>
      <c r="Q3346" s="33" t="str">
        <f aca="false">IF(OR(P3346="",M3346&lt;&gt;"Paid",O3346=""),"",P3346/O3346)</f>
        <v/>
      </c>
      <c r="R3346" s="34" t="str">
        <f aca="false">IF(Q3346="","",Q3346+N(H3346)*0.000000001)</f>
        <v/>
      </c>
      <c r="S3346" s="32" t="str">
        <f aca="false">IF(R3346="","",SUMPRODUCT((I$5:I$4004=I3346)*ISNUMBER(R$5:R$4004)*(R$5:R$4004&gt;R3346))+1)</f>
        <v/>
      </c>
      <c r="T3346" s="32" t="str">
        <f aca="false">IF(S3346="","",IF(S3346&lt;=Setup!$B$5,"🏆 WINNER",""))</f>
        <v/>
      </c>
      <c r="U3346" s="31" t="str">
        <f aca="false">IF(S3346="","",I3346&amp;"|"&amp;S3346)</f>
        <v/>
      </c>
    </row>
    <row r="3347" customFormat="false" ht="15" hidden="false" customHeight="false" outlineLevel="0" collapsed="false">
      <c r="A3347" s="24" t="n">
        <v>3343</v>
      </c>
      <c r="B3347" s="25" t="str">
        <f aca="false">IF(OR(C3347="",I3347="",G3347=""),"",IFERROR(VLOOKUP(I3347,Setup!$A$9:$B$11,2,0),"???")&amp;"-"&amp;G3347&amp;"-"&amp;TEXT(COUNTIFS(I$5:I3347,I3347,G$5:G3347,G3347),"0000"))</f>
        <v/>
      </c>
      <c r="C3347" s="26"/>
      <c r="D3347" s="26"/>
      <c r="E3347" s="27"/>
      <c r="F3347" s="27"/>
      <c r="G3347" s="24" t="str">
        <f aca="false">IF(F3347="","",IF(F3347&lt;=5,"A",IF(F3347&lt;=8,"B",IF(F3347&lt;=10,"C","D"))))</f>
        <v/>
      </c>
      <c r="H3347" s="28"/>
      <c r="I3347" s="27"/>
      <c r="J3347" s="26"/>
      <c r="K3347" s="27"/>
      <c r="L3347" s="27"/>
      <c r="M3347" s="27"/>
      <c r="N3347" s="27"/>
      <c r="O3347" s="24" t="str">
        <f aca="false">IF(G3347="","",VLOOKUP(G3347,Setup!$A$14:$C$17,3,0))</f>
        <v/>
      </c>
      <c r="P3347" s="27"/>
      <c r="Q3347" s="29" t="str">
        <f aca="false">IF(OR(P3347="",M3347&lt;&gt;"Paid",O3347=""),"",P3347/O3347)</f>
        <v/>
      </c>
      <c r="R3347" s="30" t="str">
        <f aca="false">IF(Q3347="","",Q3347+N(H3347)*0.000000001)</f>
        <v/>
      </c>
      <c r="S3347" s="25" t="str">
        <f aca="false">IF(R3347="","",SUMPRODUCT((I$5:I$4004=I3347)*ISNUMBER(R$5:R$4004)*(R$5:R$4004&gt;R3347))+1)</f>
        <v/>
      </c>
      <c r="T3347" s="25" t="str">
        <f aca="false">IF(S3347="","",IF(S3347&lt;=Setup!$B$5,"🏆 WINNER",""))</f>
        <v/>
      </c>
      <c r="U3347" s="24" t="str">
        <f aca="false">IF(S3347="","",I3347&amp;"|"&amp;S3347)</f>
        <v/>
      </c>
    </row>
    <row r="3348" customFormat="false" ht="15" hidden="false" customHeight="false" outlineLevel="0" collapsed="false">
      <c r="A3348" s="31" t="n">
        <v>3344</v>
      </c>
      <c r="B3348" s="32" t="str">
        <f aca="false">IF(OR(C3348="",I3348="",G3348=""),"",IFERROR(VLOOKUP(I3348,Setup!$A$9:$B$11,2,0),"???")&amp;"-"&amp;G3348&amp;"-"&amp;TEXT(COUNTIFS(I$5:I3348,I3348,G$5:G3348,G3348),"0000"))</f>
        <v/>
      </c>
      <c r="C3348" s="26"/>
      <c r="D3348" s="26"/>
      <c r="E3348" s="27"/>
      <c r="F3348" s="27"/>
      <c r="G3348" s="31" t="str">
        <f aca="false">IF(F3348="","",IF(F3348&lt;=5,"A",IF(F3348&lt;=8,"B",IF(F3348&lt;=10,"C","D"))))</f>
        <v/>
      </c>
      <c r="H3348" s="28"/>
      <c r="I3348" s="27"/>
      <c r="J3348" s="26"/>
      <c r="K3348" s="27"/>
      <c r="L3348" s="27"/>
      <c r="M3348" s="27"/>
      <c r="N3348" s="27"/>
      <c r="O3348" s="31" t="str">
        <f aca="false">IF(G3348="","",VLOOKUP(G3348,Setup!$A$14:$C$17,3,0))</f>
        <v/>
      </c>
      <c r="P3348" s="27"/>
      <c r="Q3348" s="33" t="str">
        <f aca="false">IF(OR(P3348="",M3348&lt;&gt;"Paid",O3348=""),"",P3348/O3348)</f>
        <v/>
      </c>
      <c r="R3348" s="34" t="str">
        <f aca="false">IF(Q3348="","",Q3348+N(H3348)*0.000000001)</f>
        <v/>
      </c>
      <c r="S3348" s="32" t="str">
        <f aca="false">IF(R3348="","",SUMPRODUCT((I$5:I$4004=I3348)*ISNUMBER(R$5:R$4004)*(R$5:R$4004&gt;R3348))+1)</f>
        <v/>
      </c>
      <c r="T3348" s="32" t="str">
        <f aca="false">IF(S3348="","",IF(S3348&lt;=Setup!$B$5,"🏆 WINNER",""))</f>
        <v/>
      </c>
      <c r="U3348" s="31" t="str">
        <f aca="false">IF(S3348="","",I3348&amp;"|"&amp;S3348)</f>
        <v/>
      </c>
    </row>
    <row r="3349" customFormat="false" ht="15" hidden="false" customHeight="false" outlineLevel="0" collapsed="false">
      <c r="A3349" s="24" t="n">
        <v>3345</v>
      </c>
      <c r="B3349" s="25" t="str">
        <f aca="false">IF(OR(C3349="",I3349="",G3349=""),"",IFERROR(VLOOKUP(I3349,Setup!$A$9:$B$11,2,0),"???")&amp;"-"&amp;G3349&amp;"-"&amp;TEXT(COUNTIFS(I$5:I3349,I3349,G$5:G3349,G3349),"0000"))</f>
        <v/>
      </c>
      <c r="C3349" s="26"/>
      <c r="D3349" s="26"/>
      <c r="E3349" s="27"/>
      <c r="F3349" s="27"/>
      <c r="G3349" s="24" t="str">
        <f aca="false">IF(F3349="","",IF(F3349&lt;=5,"A",IF(F3349&lt;=8,"B",IF(F3349&lt;=10,"C","D"))))</f>
        <v/>
      </c>
      <c r="H3349" s="28"/>
      <c r="I3349" s="27"/>
      <c r="J3349" s="26"/>
      <c r="K3349" s="27"/>
      <c r="L3349" s="27"/>
      <c r="M3349" s="27"/>
      <c r="N3349" s="27"/>
      <c r="O3349" s="24" t="str">
        <f aca="false">IF(G3349="","",VLOOKUP(G3349,Setup!$A$14:$C$17,3,0))</f>
        <v/>
      </c>
      <c r="P3349" s="27"/>
      <c r="Q3349" s="29" t="str">
        <f aca="false">IF(OR(P3349="",M3349&lt;&gt;"Paid",O3349=""),"",P3349/O3349)</f>
        <v/>
      </c>
      <c r="R3349" s="30" t="str">
        <f aca="false">IF(Q3349="","",Q3349+N(H3349)*0.000000001)</f>
        <v/>
      </c>
      <c r="S3349" s="25" t="str">
        <f aca="false">IF(R3349="","",SUMPRODUCT((I$5:I$4004=I3349)*ISNUMBER(R$5:R$4004)*(R$5:R$4004&gt;R3349))+1)</f>
        <v/>
      </c>
      <c r="T3349" s="25" t="str">
        <f aca="false">IF(S3349="","",IF(S3349&lt;=Setup!$B$5,"🏆 WINNER",""))</f>
        <v/>
      </c>
      <c r="U3349" s="24" t="str">
        <f aca="false">IF(S3349="","",I3349&amp;"|"&amp;S3349)</f>
        <v/>
      </c>
    </row>
    <row r="3350" customFormat="false" ht="15" hidden="false" customHeight="false" outlineLevel="0" collapsed="false">
      <c r="A3350" s="31" t="n">
        <v>3346</v>
      </c>
      <c r="B3350" s="32" t="str">
        <f aca="false">IF(OR(C3350="",I3350="",G3350=""),"",IFERROR(VLOOKUP(I3350,Setup!$A$9:$B$11,2,0),"???")&amp;"-"&amp;G3350&amp;"-"&amp;TEXT(COUNTIFS(I$5:I3350,I3350,G$5:G3350,G3350),"0000"))</f>
        <v/>
      </c>
      <c r="C3350" s="26"/>
      <c r="D3350" s="26"/>
      <c r="E3350" s="27"/>
      <c r="F3350" s="27"/>
      <c r="G3350" s="31" t="str">
        <f aca="false">IF(F3350="","",IF(F3350&lt;=5,"A",IF(F3350&lt;=8,"B",IF(F3350&lt;=10,"C","D"))))</f>
        <v/>
      </c>
      <c r="H3350" s="28"/>
      <c r="I3350" s="27"/>
      <c r="J3350" s="26"/>
      <c r="K3350" s="27"/>
      <c r="L3350" s="27"/>
      <c r="M3350" s="27"/>
      <c r="N3350" s="27"/>
      <c r="O3350" s="31" t="str">
        <f aca="false">IF(G3350="","",VLOOKUP(G3350,Setup!$A$14:$C$17,3,0))</f>
        <v/>
      </c>
      <c r="P3350" s="27"/>
      <c r="Q3350" s="33" t="str">
        <f aca="false">IF(OR(P3350="",M3350&lt;&gt;"Paid",O3350=""),"",P3350/O3350)</f>
        <v/>
      </c>
      <c r="R3350" s="34" t="str">
        <f aca="false">IF(Q3350="","",Q3350+N(H3350)*0.000000001)</f>
        <v/>
      </c>
      <c r="S3350" s="32" t="str">
        <f aca="false">IF(R3350="","",SUMPRODUCT((I$5:I$4004=I3350)*ISNUMBER(R$5:R$4004)*(R$5:R$4004&gt;R3350))+1)</f>
        <v/>
      </c>
      <c r="T3350" s="32" t="str">
        <f aca="false">IF(S3350="","",IF(S3350&lt;=Setup!$B$5,"🏆 WINNER",""))</f>
        <v/>
      </c>
      <c r="U3350" s="31" t="str">
        <f aca="false">IF(S3350="","",I3350&amp;"|"&amp;S3350)</f>
        <v/>
      </c>
    </row>
    <row r="3351" customFormat="false" ht="15" hidden="false" customHeight="false" outlineLevel="0" collapsed="false">
      <c r="A3351" s="24" t="n">
        <v>3347</v>
      </c>
      <c r="B3351" s="25" t="str">
        <f aca="false">IF(OR(C3351="",I3351="",G3351=""),"",IFERROR(VLOOKUP(I3351,Setup!$A$9:$B$11,2,0),"???")&amp;"-"&amp;G3351&amp;"-"&amp;TEXT(COUNTIFS(I$5:I3351,I3351,G$5:G3351,G3351),"0000"))</f>
        <v/>
      </c>
      <c r="C3351" s="26"/>
      <c r="D3351" s="26"/>
      <c r="E3351" s="27"/>
      <c r="F3351" s="27"/>
      <c r="G3351" s="24" t="str">
        <f aca="false">IF(F3351="","",IF(F3351&lt;=5,"A",IF(F3351&lt;=8,"B",IF(F3351&lt;=10,"C","D"))))</f>
        <v/>
      </c>
      <c r="H3351" s="28"/>
      <c r="I3351" s="27"/>
      <c r="J3351" s="26"/>
      <c r="K3351" s="27"/>
      <c r="L3351" s="27"/>
      <c r="M3351" s="27"/>
      <c r="N3351" s="27"/>
      <c r="O3351" s="24" t="str">
        <f aca="false">IF(G3351="","",VLOOKUP(G3351,Setup!$A$14:$C$17,3,0))</f>
        <v/>
      </c>
      <c r="P3351" s="27"/>
      <c r="Q3351" s="29" t="str">
        <f aca="false">IF(OR(P3351="",M3351&lt;&gt;"Paid",O3351=""),"",P3351/O3351)</f>
        <v/>
      </c>
      <c r="R3351" s="30" t="str">
        <f aca="false">IF(Q3351="","",Q3351+N(H3351)*0.000000001)</f>
        <v/>
      </c>
      <c r="S3351" s="25" t="str">
        <f aca="false">IF(R3351="","",SUMPRODUCT((I$5:I$4004=I3351)*ISNUMBER(R$5:R$4004)*(R$5:R$4004&gt;R3351))+1)</f>
        <v/>
      </c>
      <c r="T3351" s="25" t="str">
        <f aca="false">IF(S3351="","",IF(S3351&lt;=Setup!$B$5,"🏆 WINNER",""))</f>
        <v/>
      </c>
      <c r="U3351" s="24" t="str">
        <f aca="false">IF(S3351="","",I3351&amp;"|"&amp;S3351)</f>
        <v/>
      </c>
    </row>
    <row r="3352" customFormat="false" ht="15" hidden="false" customHeight="false" outlineLevel="0" collapsed="false">
      <c r="A3352" s="31" t="n">
        <v>3348</v>
      </c>
      <c r="B3352" s="32" t="str">
        <f aca="false">IF(OR(C3352="",I3352="",G3352=""),"",IFERROR(VLOOKUP(I3352,Setup!$A$9:$B$11,2,0),"???")&amp;"-"&amp;G3352&amp;"-"&amp;TEXT(COUNTIFS(I$5:I3352,I3352,G$5:G3352,G3352),"0000"))</f>
        <v/>
      </c>
      <c r="C3352" s="26"/>
      <c r="D3352" s="26"/>
      <c r="E3352" s="27"/>
      <c r="F3352" s="27"/>
      <c r="G3352" s="31" t="str">
        <f aca="false">IF(F3352="","",IF(F3352&lt;=5,"A",IF(F3352&lt;=8,"B",IF(F3352&lt;=10,"C","D"))))</f>
        <v/>
      </c>
      <c r="H3352" s="28"/>
      <c r="I3352" s="27"/>
      <c r="J3352" s="26"/>
      <c r="K3352" s="27"/>
      <c r="L3352" s="27"/>
      <c r="M3352" s="27"/>
      <c r="N3352" s="27"/>
      <c r="O3352" s="31" t="str">
        <f aca="false">IF(G3352="","",VLOOKUP(G3352,Setup!$A$14:$C$17,3,0))</f>
        <v/>
      </c>
      <c r="P3352" s="27"/>
      <c r="Q3352" s="33" t="str">
        <f aca="false">IF(OR(P3352="",M3352&lt;&gt;"Paid",O3352=""),"",P3352/O3352)</f>
        <v/>
      </c>
      <c r="R3352" s="34" t="str">
        <f aca="false">IF(Q3352="","",Q3352+N(H3352)*0.000000001)</f>
        <v/>
      </c>
      <c r="S3352" s="32" t="str">
        <f aca="false">IF(R3352="","",SUMPRODUCT((I$5:I$4004=I3352)*ISNUMBER(R$5:R$4004)*(R$5:R$4004&gt;R3352))+1)</f>
        <v/>
      </c>
      <c r="T3352" s="32" t="str">
        <f aca="false">IF(S3352="","",IF(S3352&lt;=Setup!$B$5,"🏆 WINNER",""))</f>
        <v/>
      </c>
      <c r="U3352" s="31" t="str">
        <f aca="false">IF(S3352="","",I3352&amp;"|"&amp;S3352)</f>
        <v/>
      </c>
    </row>
    <row r="3353" customFormat="false" ht="15" hidden="false" customHeight="false" outlineLevel="0" collapsed="false">
      <c r="A3353" s="24" t="n">
        <v>3349</v>
      </c>
      <c r="B3353" s="25" t="str">
        <f aca="false">IF(OR(C3353="",I3353="",G3353=""),"",IFERROR(VLOOKUP(I3353,Setup!$A$9:$B$11,2,0),"???")&amp;"-"&amp;G3353&amp;"-"&amp;TEXT(COUNTIFS(I$5:I3353,I3353,G$5:G3353,G3353),"0000"))</f>
        <v/>
      </c>
      <c r="C3353" s="26"/>
      <c r="D3353" s="26"/>
      <c r="E3353" s="27"/>
      <c r="F3353" s="27"/>
      <c r="G3353" s="24" t="str">
        <f aca="false">IF(F3353="","",IF(F3353&lt;=5,"A",IF(F3353&lt;=8,"B",IF(F3353&lt;=10,"C","D"))))</f>
        <v/>
      </c>
      <c r="H3353" s="28"/>
      <c r="I3353" s="27"/>
      <c r="J3353" s="26"/>
      <c r="K3353" s="27"/>
      <c r="L3353" s="27"/>
      <c r="M3353" s="27"/>
      <c r="N3353" s="27"/>
      <c r="O3353" s="24" t="str">
        <f aca="false">IF(G3353="","",VLOOKUP(G3353,Setup!$A$14:$C$17,3,0))</f>
        <v/>
      </c>
      <c r="P3353" s="27"/>
      <c r="Q3353" s="29" t="str">
        <f aca="false">IF(OR(P3353="",M3353&lt;&gt;"Paid",O3353=""),"",P3353/O3353)</f>
        <v/>
      </c>
      <c r="R3353" s="30" t="str">
        <f aca="false">IF(Q3353="","",Q3353+N(H3353)*0.000000001)</f>
        <v/>
      </c>
      <c r="S3353" s="25" t="str">
        <f aca="false">IF(R3353="","",SUMPRODUCT((I$5:I$4004=I3353)*ISNUMBER(R$5:R$4004)*(R$5:R$4004&gt;R3353))+1)</f>
        <v/>
      </c>
      <c r="T3353" s="25" t="str">
        <f aca="false">IF(S3353="","",IF(S3353&lt;=Setup!$B$5,"🏆 WINNER",""))</f>
        <v/>
      </c>
      <c r="U3353" s="24" t="str">
        <f aca="false">IF(S3353="","",I3353&amp;"|"&amp;S3353)</f>
        <v/>
      </c>
    </row>
    <row r="3354" customFormat="false" ht="15" hidden="false" customHeight="false" outlineLevel="0" collapsed="false">
      <c r="A3354" s="31" t="n">
        <v>3350</v>
      </c>
      <c r="B3354" s="32" t="str">
        <f aca="false">IF(OR(C3354="",I3354="",G3354=""),"",IFERROR(VLOOKUP(I3354,Setup!$A$9:$B$11,2,0),"???")&amp;"-"&amp;G3354&amp;"-"&amp;TEXT(COUNTIFS(I$5:I3354,I3354,G$5:G3354,G3354),"0000"))</f>
        <v/>
      </c>
      <c r="C3354" s="26"/>
      <c r="D3354" s="26"/>
      <c r="E3354" s="27"/>
      <c r="F3354" s="27"/>
      <c r="G3354" s="31" t="str">
        <f aca="false">IF(F3354="","",IF(F3354&lt;=5,"A",IF(F3354&lt;=8,"B",IF(F3354&lt;=10,"C","D"))))</f>
        <v/>
      </c>
      <c r="H3354" s="28"/>
      <c r="I3354" s="27"/>
      <c r="J3354" s="26"/>
      <c r="K3354" s="27"/>
      <c r="L3354" s="27"/>
      <c r="M3354" s="27"/>
      <c r="N3354" s="27"/>
      <c r="O3354" s="31" t="str">
        <f aca="false">IF(G3354="","",VLOOKUP(G3354,Setup!$A$14:$C$17,3,0))</f>
        <v/>
      </c>
      <c r="P3354" s="27"/>
      <c r="Q3354" s="33" t="str">
        <f aca="false">IF(OR(P3354="",M3354&lt;&gt;"Paid",O3354=""),"",P3354/O3354)</f>
        <v/>
      </c>
      <c r="R3354" s="34" t="str">
        <f aca="false">IF(Q3354="","",Q3354+N(H3354)*0.000000001)</f>
        <v/>
      </c>
      <c r="S3354" s="32" t="str">
        <f aca="false">IF(R3354="","",SUMPRODUCT((I$5:I$4004=I3354)*ISNUMBER(R$5:R$4004)*(R$5:R$4004&gt;R3354))+1)</f>
        <v/>
      </c>
      <c r="T3354" s="32" t="str">
        <f aca="false">IF(S3354="","",IF(S3354&lt;=Setup!$B$5,"🏆 WINNER",""))</f>
        <v/>
      </c>
      <c r="U3354" s="31" t="str">
        <f aca="false">IF(S3354="","",I3354&amp;"|"&amp;S3354)</f>
        <v/>
      </c>
    </row>
    <row r="3355" customFormat="false" ht="15" hidden="false" customHeight="false" outlineLevel="0" collapsed="false">
      <c r="A3355" s="24" t="n">
        <v>3351</v>
      </c>
      <c r="B3355" s="25" t="str">
        <f aca="false">IF(OR(C3355="",I3355="",G3355=""),"",IFERROR(VLOOKUP(I3355,Setup!$A$9:$B$11,2,0),"???")&amp;"-"&amp;G3355&amp;"-"&amp;TEXT(COUNTIFS(I$5:I3355,I3355,G$5:G3355,G3355),"0000"))</f>
        <v/>
      </c>
      <c r="C3355" s="26"/>
      <c r="D3355" s="26"/>
      <c r="E3355" s="27"/>
      <c r="F3355" s="27"/>
      <c r="G3355" s="24" t="str">
        <f aca="false">IF(F3355="","",IF(F3355&lt;=5,"A",IF(F3355&lt;=8,"B",IF(F3355&lt;=10,"C","D"))))</f>
        <v/>
      </c>
      <c r="H3355" s="28"/>
      <c r="I3355" s="27"/>
      <c r="J3355" s="26"/>
      <c r="K3355" s="27"/>
      <c r="L3355" s="27"/>
      <c r="M3355" s="27"/>
      <c r="N3355" s="27"/>
      <c r="O3355" s="24" t="str">
        <f aca="false">IF(G3355="","",VLOOKUP(G3355,Setup!$A$14:$C$17,3,0))</f>
        <v/>
      </c>
      <c r="P3355" s="27"/>
      <c r="Q3355" s="29" t="str">
        <f aca="false">IF(OR(P3355="",M3355&lt;&gt;"Paid",O3355=""),"",P3355/O3355)</f>
        <v/>
      </c>
      <c r="R3355" s="30" t="str">
        <f aca="false">IF(Q3355="","",Q3355+N(H3355)*0.000000001)</f>
        <v/>
      </c>
      <c r="S3355" s="25" t="str">
        <f aca="false">IF(R3355="","",SUMPRODUCT((I$5:I$4004=I3355)*ISNUMBER(R$5:R$4004)*(R$5:R$4004&gt;R3355))+1)</f>
        <v/>
      </c>
      <c r="T3355" s="25" t="str">
        <f aca="false">IF(S3355="","",IF(S3355&lt;=Setup!$B$5,"🏆 WINNER",""))</f>
        <v/>
      </c>
      <c r="U3355" s="24" t="str">
        <f aca="false">IF(S3355="","",I3355&amp;"|"&amp;S3355)</f>
        <v/>
      </c>
    </row>
    <row r="3356" customFormat="false" ht="15" hidden="false" customHeight="false" outlineLevel="0" collapsed="false">
      <c r="A3356" s="31" t="n">
        <v>3352</v>
      </c>
      <c r="B3356" s="32" t="str">
        <f aca="false">IF(OR(C3356="",I3356="",G3356=""),"",IFERROR(VLOOKUP(I3356,Setup!$A$9:$B$11,2,0),"???")&amp;"-"&amp;G3356&amp;"-"&amp;TEXT(COUNTIFS(I$5:I3356,I3356,G$5:G3356,G3356),"0000"))</f>
        <v/>
      </c>
      <c r="C3356" s="26"/>
      <c r="D3356" s="26"/>
      <c r="E3356" s="27"/>
      <c r="F3356" s="27"/>
      <c r="G3356" s="31" t="str">
        <f aca="false">IF(F3356="","",IF(F3356&lt;=5,"A",IF(F3356&lt;=8,"B",IF(F3356&lt;=10,"C","D"))))</f>
        <v/>
      </c>
      <c r="H3356" s="28"/>
      <c r="I3356" s="27"/>
      <c r="J3356" s="26"/>
      <c r="K3356" s="27"/>
      <c r="L3356" s="27"/>
      <c r="M3356" s="27"/>
      <c r="N3356" s="27"/>
      <c r="O3356" s="31" t="str">
        <f aca="false">IF(G3356="","",VLOOKUP(G3356,Setup!$A$14:$C$17,3,0))</f>
        <v/>
      </c>
      <c r="P3356" s="27"/>
      <c r="Q3356" s="33" t="str">
        <f aca="false">IF(OR(P3356="",M3356&lt;&gt;"Paid",O3356=""),"",P3356/O3356)</f>
        <v/>
      </c>
      <c r="R3356" s="34" t="str">
        <f aca="false">IF(Q3356="","",Q3356+N(H3356)*0.000000001)</f>
        <v/>
      </c>
      <c r="S3356" s="32" t="str">
        <f aca="false">IF(R3356="","",SUMPRODUCT((I$5:I$4004=I3356)*ISNUMBER(R$5:R$4004)*(R$5:R$4004&gt;R3356))+1)</f>
        <v/>
      </c>
      <c r="T3356" s="32" t="str">
        <f aca="false">IF(S3356="","",IF(S3356&lt;=Setup!$B$5,"🏆 WINNER",""))</f>
        <v/>
      </c>
      <c r="U3356" s="31" t="str">
        <f aca="false">IF(S3356="","",I3356&amp;"|"&amp;S3356)</f>
        <v/>
      </c>
    </row>
    <row r="3357" customFormat="false" ht="15" hidden="false" customHeight="false" outlineLevel="0" collapsed="false">
      <c r="A3357" s="24" t="n">
        <v>3353</v>
      </c>
      <c r="B3357" s="25" t="str">
        <f aca="false">IF(OR(C3357="",I3357="",G3357=""),"",IFERROR(VLOOKUP(I3357,Setup!$A$9:$B$11,2,0),"???")&amp;"-"&amp;G3357&amp;"-"&amp;TEXT(COUNTIFS(I$5:I3357,I3357,G$5:G3357,G3357),"0000"))</f>
        <v/>
      </c>
      <c r="C3357" s="26"/>
      <c r="D3357" s="26"/>
      <c r="E3357" s="27"/>
      <c r="F3357" s="27"/>
      <c r="G3357" s="24" t="str">
        <f aca="false">IF(F3357="","",IF(F3357&lt;=5,"A",IF(F3357&lt;=8,"B",IF(F3357&lt;=10,"C","D"))))</f>
        <v/>
      </c>
      <c r="H3357" s="28"/>
      <c r="I3357" s="27"/>
      <c r="J3357" s="26"/>
      <c r="K3357" s="27"/>
      <c r="L3357" s="27"/>
      <c r="M3357" s="27"/>
      <c r="N3357" s="27"/>
      <c r="O3357" s="24" t="str">
        <f aca="false">IF(G3357="","",VLOOKUP(G3357,Setup!$A$14:$C$17,3,0))</f>
        <v/>
      </c>
      <c r="P3357" s="27"/>
      <c r="Q3357" s="29" t="str">
        <f aca="false">IF(OR(P3357="",M3357&lt;&gt;"Paid",O3357=""),"",P3357/O3357)</f>
        <v/>
      </c>
      <c r="R3357" s="30" t="str">
        <f aca="false">IF(Q3357="","",Q3357+N(H3357)*0.000000001)</f>
        <v/>
      </c>
      <c r="S3357" s="25" t="str">
        <f aca="false">IF(R3357="","",SUMPRODUCT((I$5:I$4004=I3357)*ISNUMBER(R$5:R$4004)*(R$5:R$4004&gt;R3357))+1)</f>
        <v/>
      </c>
      <c r="T3357" s="25" t="str">
        <f aca="false">IF(S3357="","",IF(S3357&lt;=Setup!$B$5,"🏆 WINNER",""))</f>
        <v/>
      </c>
      <c r="U3357" s="24" t="str">
        <f aca="false">IF(S3357="","",I3357&amp;"|"&amp;S3357)</f>
        <v/>
      </c>
    </row>
    <row r="3358" customFormat="false" ht="15" hidden="false" customHeight="false" outlineLevel="0" collapsed="false">
      <c r="A3358" s="31" t="n">
        <v>3354</v>
      </c>
      <c r="B3358" s="32" t="str">
        <f aca="false">IF(OR(C3358="",I3358="",G3358=""),"",IFERROR(VLOOKUP(I3358,Setup!$A$9:$B$11,2,0),"???")&amp;"-"&amp;G3358&amp;"-"&amp;TEXT(COUNTIFS(I$5:I3358,I3358,G$5:G3358,G3358),"0000"))</f>
        <v/>
      </c>
      <c r="C3358" s="26"/>
      <c r="D3358" s="26"/>
      <c r="E3358" s="27"/>
      <c r="F3358" s="27"/>
      <c r="G3358" s="31" t="str">
        <f aca="false">IF(F3358="","",IF(F3358&lt;=5,"A",IF(F3358&lt;=8,"B",IF(F3358&lt;=10,"C","D"))))</f>
        <v/>
      </c>
      <c r="H3358" s="28"/>
      <c r="I3358" s="27"/>
      <c r="J3358" s="26"/>
      <c r="K3358" s="27"/>
      <c r="L3358" s="27"/>
      <c r="M3358" s="27"/>
      <c r="N3358" s="27"/>
      <c r="O3358" s="31" t="str">
        <f aca="false">IF(G3358="","",VLOOKUP(G3358,Setup!$A$14:$C$17,3,0))</f>
        <v/>
      </c>
      <c r="P3358" s="27"/>
      <c r="Q3358" s="33" t="str">
        <f aca="false">IF(OR(P3358="",M3358&lt;&gt;"Paid",O3358=""),"",P3358/O3358)</f>
        <v/>
      </c>
      <c r="R3358" s="34" t="str">
        <f aca="false">IF(Q3358="","",Q3358+N(H3358)*0.000000001)</f>
        <v/>
      </c>
      <c r="S3358" s="32" t="str">
        <f aca="false">IF(R3358="","",SUMPRODUCT((I$5:I$4004=I3358)*ISNUMBER(R$5:R$4004)*(R$5:R$4004&gt;R3358))+1)</f>
        <v/>
      </c>
      <c r="T3358" s="32" t="str">
        <f aca="false">IF(S3358="","",IF(S3358&lt;=Setup!$B$5,"🏆 WINNER",""))</f>
        <v/>
      </c>
      <c r="U3358" s="31" t="str">
        <f aca="false">IF(S3358="","",I3358&amp;"|"&amp;S3358)</f>
        <v/>
      </c>
    </row>
    <row r="3359" customFormat="false" ht="15" hidden="false" customHeight="false" outlineLevel="0" collapsed="false">
      <c r="A3359" s="24" t="n">
        <v>3355</v>
      </c>
      <c r="B3359" s="25" t="str">
        <f aca="false">IF(OR(C3359="",I3359="",G3359=""),"",IFERROR(VLOOKUP(I3359,Setup!$A$9:$B$11,2,0),"???")&amp;"-"&amp;G3359&amp;"-"&amp;TEXT(COUNTIFS(I$5:I3359,I3359,G$5:G3359,G3359),"0000"))</f>
        <v/>
      </c>
      <c r="C3359" s="26"/>
      <c r="D3359" s="26"/>
      <c r="E3359" s="27"/>
      <c r="F3359" s="27"/>
      <c r="G3359" s="24" t="str">
        <f aca="false">IF(F3359="","",IF(F3359&lt;=5,"A",IF(F3359&lt;=8,"B",IF(F3359&lt;=10,"C","D"))))</f>
        <v/>
      </c>
      <c r="H3359" s="28"/>
      <c r="I3359" s="27"/>
      <c r="J3359" s="26"/>
      <c r="K3359" s="27"/>
      <c r="L3359" s="27"/>
      <c r="M3359" s="27"/>
      <c r="N3359" s="27"/>
      <c r="O3359" s="24" t="str">
        <f aca="false">IF(G3359="","",VLOOKUP(G3359,Setup!$A$14:$C$17,3,0))</f>
        <v/>
      </c>
      <c r="P3359" s="27"/>
      <c r="Q3359" s="29" t="str">
        <f aca="false">IF(OR(P3359="",M3359&lt;&gt;"Paid",O3359=""),"",P3359/O3359)</f>
        <v/>
      </c>
      <c r="R3359" s="30" t="str">
        <f aca="false">IF(Q3359="","",Q3359+N(H3359)*0.000000001)</f>
        <v/>
      </c>
      <c r="S3359" s="25" t="str">
        <f aca="false">IF(R3359="","",SUMPRODUCT((I$5:I$4004=I3359)*ISNUMBER(R$5:R$4004)*(R$5:R$4004&gt;R3359))+1)</f>
        <v/>
      </c>
      <c r="T3359" s="25" t="str">
        <f aca="false">IF(S3359="","",IF(S3359&lt;=Setup!$B$5,"🏆 WINNER",""))</f>
        <v/>
      </c>
      <c r="U3359" s="24" t="str">
        <f aca="false">IF(S3359="","",I3359&amp;"|"&amp;S3359)</f>
        <v/>
      </c>
    </row>
    <row r="3360" customFormat="false" ht="15" hidden="false" customHeight="false" outlineLevel="0" collapsed="false">
      <c r="A3360" s="31" t="n">
        <v>3356</v>
      </c>
      <c r="B3360" s="32" t="str">
        <f aca="false">IF(OR(C3360="",I3360="",G3360=""),"",IFERROR(VLOOKUP(I3360,Setup!$A$9:$B$11,2,0),"???")&amp;"-"&amp;G3360&amp;"-"&amp;TEXT(COUNTIFS(I$5:I3360,I3360,G$5:G3360,G3360),"0000"))</f>
        <v/>
      </c>
      <c r="C3360" s="26"/>
      <c r="D3360" s="26"/>
      <c r="E3360" s="27"/>
      <c r="F3360" s="27"/>
      <c r="G3360" s="31" t="str">
        <f aca="false">IF(F3360="","",IF(F3360&lt;=5,"A",IF(F3360&lt;=8,"B",IF(F3360&lt;=10,"C","D"))))</f>
        <v/>
      </c>
      <c r="H3360" s="28"/>
      <c r="I3360" s="27"/>
      <c r="J3360" s="26"/>
      <c r="K3360" s="27"/>
      <c r="L3360" s="27"/>
      <c r="M3360" s="27"/>
      <c r="N3360" s="27"/>
      <c r="O3360" s="31" t="str">
        <f aca="false">IF(G3360="","",VLOOKUP(G3360,Setup!$A$14:$C$17,3,0))</f>
        <v/>
      </c>
      <c r="P3360" s="27"/>
      <c r="Q3360" s="33" t="str">
        <f aca="false">IF(OR(P3360="",M3360&lt;&gt;"Paid",O3360=""),"",P3360/O3360)</f>
        <v/>
      </c>
      <c r="R3360" s="34" t="str">
        <f aca="false">IF(Q3360="","",Q3360+N(H3360)*0.000000001)</f>
        <v/>
      </c>
      <c r="S3360" s="32" t="str">
        <f aca="false">IF(R3360="","",SUMPRODUCT((I$5:I$4004=I3360)*ISNUMBER(R$5:R$4004)*(R$5:R$4004&gt;R3360))+1)</f>
        <v/>
      </c>
      <c r="T3360" s="32" t="str">
        <f aca="false">IF(S3360="","",IF(S3360&lt;=Setup!$B$5,"🏆 WINNER",""))</f>
        <v/>
      </c>
      <c r="U3360" s="31" t="str">
        <f aca="false">IF(S3360="","",I3360&amp;"|"&amp;S3360)</f>
        <v/>
      </c>
    </row>
    <row r="3361" customFormat="false" ht="15" hidden="false" customHeight="false" outlineLevel="0" collapsed="false">
      <c r="A3361" s="24" t="n">
        <v>3357</v>
      </c>
      <c r="B3361" s="25" t="str">
        <f aca="false">IF(OR(C3361="",I3361="",G3361=""),"",IFERROR(VLOOKUP(I3361,Setup!$A$9:$B$11,2,0),"???")&amp;"-"&amp;G3361&amp;"-"&amp;TEXT(COUNTIFS(I$5:I3361,I3361,G$5:G3361,G3361),"0000"))</f>
        <v/>
      </c>
      <c r="C3361" s="26"/>
      <c r="D3361" s="26"/>
      <c r="E3361" s="27"/>
      <c r="F3361" s="27"/>
      <c r="G3361" s="24" t="str">
        <f aca="false">IF(F3361="","",IF(F3361&lt;=5,"A",IF(F3361&lt;=8,"B",IF(F3361&lt;=10,"C","D"))))</f>
        <v/>
      </c>
      <c r="H3361" s="28"/>
      <c r="I3361" s="27"/>
      <c r="J3361" s="26"/>
      <c r="K3361" s="27"/>
      <c r="L3361" s="27"/>
      <c r="M3361" s="27"/>
      <c r="N3361" s="27"/>
      <c r="O3361" s="24" t="str">
        <f aca="false">IF(G3361="","",VLOOKUP(G3361,Setup!$A$14:$C$17,3,0))</f>
        <v/>
      </c>
      <c r="P3361" s="27"/>
      <c r="Q3361" s="29" t="str">
        <f aca="false">IF(OR(P3361="",M3361&lt;&gt;"Paid",O3361=""),"",P3361/O3361)</f>
        <v/>
      </c>
      <c r="R3361" s="30" t="str">
        <f aca="false">IF(Q3361="","",Q3361+N(H3361)*0.000000001)</f>
        <v/>
      </c>
      <c r="S3361" s="25" t="str">
        <f aca="false">IF(R3361="","",SUMPRODUCT((I$5:I$4004=I3361)*ISNUMBER(R$5:R$4004)*(R$5:R$4004&gt;R3361))+1)</f>
        <v/>
      </c>
      <c r="T3361" s="25" t="str">
        <f aca="false">IF(S3361="","",IF(S3361&lt;=Setup!$B$5,"🏆 WINNER",""))</f>
        <v/>
      </c>
      <c r="U3361" s="24" t="str">
        <f aca="false">IF(S3361="","",I3361&amp;"|"&amp;S3361)</f>
        <v/>
      </c>
    </row>
    <row r="3362" customFormat="false" ht="15" hidden="false" customHeight="false" outlineLevel="0" collapsed="false">
      <c r="A3362" s="31" t="n">
        <v>3358</v>
      </c>
      <c r="B3362" s="32" t="str">
        <f aca="false">IF(OR(C3362="",I3362="",G3362=""),"",IFERROR(VLOOKUP(I3362,Setup!$A$9:$B$11,2,0),"???")&amp;"-"&amp;G3362&amp;"-"&amp;TEXT(COUNTIFS(I$5:I3362,I3362,G$5:G3362,G3362),"0000"))</f>
        <v/>
      </c>
      <c r="C3362" s="26"/>
      <c r="D3362" s="26"/>
      <c r="E3362" s="27"/>
      <c r="F3362" s="27"/>
      <c r="G3362" s="31" t="str">
        <f aca="false">IF(F3362="","",IF(F3362&lt;=5,"A",IF(F3362&lt;=8,"B",IF(F3362&lt;=10,"C","D"))))</f>
        <v/>
      </c>
      <c r="H3362" s="28"/>
      <c r="I3362" s="27"/>
      <c r="J3362" s="26"/>
      <c r="K3362" s="27"/>
      <c r="L3362" s="27"/>
      <c r="M3362" s="27"/>
      <c r="N3362" s="27"/>
      <c r="O3362" s="31" t="str">
        <f aca="false">IF(G3362="","",VLOOKUP(G3362,Setup!$A$14:$C$17,3,0))</f>
        <v/>
      </c>
      <c r="P3362" s="27"/>
      <c r="Q3362" s="33" t="str">
        <f aca="false">IF(OR(P3362="",M3362&lt;&gt;"Paid",O3362=""),"",P3362/O3362)</f>
        <v/>
      </c>
      <c r="R3362" s="34" t="str">
        <f aca="false">IF(Q3362="","",Q3362+N(H3362)*0.000000001)</f>
        <v/>
      </c>
      <c r="S3362" s="32" t="str">
        <f aca="false">IF(R3362="","",SUMPRODUCT((I$5:I$4004=I3362)*ISNUMBER(R$5:R$4004)*(R$5:R$4004&gt;R3362))+1)</f>
        <v/>
      </c>
      <c r="T3362" s="32" t="str">
        <f aca="false">IF(S3362="","",IF(S3362&lt;=Setup!$B$5,"🏆 WINNER",""))</f>
        <v/>
      </c>
      <c r="U3362" s="31" t="str">
        <f aca="false">IF(S3362="","",I3362&amp;"|"&amp;S3362)</f>
        <v/>
      </c>
    </row>
    <row r="3363" customFormat="false" ht="15" hidden="false" customHeight="false" outlineLevel="0" collapsed="false">
      <c r="A3363" s="24" t="n">
        <v>3359</v>
      </c>
      <c r="B3363" s="25" t="str">
        <f aca="false">IF(OR(C3363="",I3363="",G3363=""),"",IFERROR(VLOOKUP(I3363,Setup!$A$9:$B$11,2,0),"???")&amp;"-"&amp;G3363&amp;"-"&amp;TEXT(COUNTIFS(I$5:I3363,I3363,G$5:G3363,G3363),"0000"))</f>
        <v/>
      </c>
      <c r="C3363" s="26"/>
      <c r="D3363" s="26"/>
      <c r="E3363" s="27"/>
      <c r="F3363" s="27"/>
      <c r="G3363" s="24" t="str">
        <f aca="false">IF(F3363="","",IF(F3363&lt;=5,"A",IF(F3363&lt;=8,"B",IF(F3363&lt;=10,"C","D"))))</f>
        <v/>
      </c>
      <c r="H3363" s="28"/>
      <c r="I3363" s="27"/>
      <c r="J3363" s="26"/>
      <c r="K3363" s="27"/>
      <c r="L3363" s="27"/>
      <c r="M3363" s="27"/>
      <c r="N3363" s="27"/>
      <c r="O3363" s="24" t="str">
        <f aca="false">IF(G3363="","",VLOOKUP(G3363,Setup!$A$14:$C$17,3,0))</f>
        <v/>
      </c>
      <c r="P3363" s="27"/>
      <c r="Q3363" s="29" t="str">
        <f aca="false">IF(OR(P3363="",M3363&lt;&gt;"Paid",O3363=""),"",P3363/O3363)</f>
        <v/>
      </c>
      <c r="R3363" s="30" t="str">
        <f aca="false">IF(Q3363="","",Q3363+N(H3363)*0.000000001)</f>
        <v/>
      </c>
      <c r="S3363" s="25" t="str">
        <f aca="false">IF(R3363="","",SUMPRODUCT((I$5:I$4004=I3363)*ISNUMBER(R$5:R$4004)*(R$5:R$4004&gt;R3363))+1)</f>
        <v/>
      </c>
      <c r="T3363" s="25" t="str">
        <f aca="false">IF(S3363="","",IF(S3363&lt;=Setup!$B$5,"🏆 WINNER",""))</f>
        <v/>
      </c>
      <c r="U3363" s="24" t="str">
        <f aca="false">IF(S3363="","",I3363&amp;"|"&amp;S3363)</f>
        <v/>
      </c>
    </row>
    <row r="3364" customFormat="false" ht="15" hidden="false" customHeight="false" outlineLevel="0" collapsed="false">
      <c r="A3364" s="31" t="n">
        <v>3360</v>
      </c>
      <c r="B3364" s="32" t="str">
        <f aca="false">IF(OR(C3364="",I3364="",G3364=""),"",IFERROR(VLOOKUP(I3364,Setup!$A$9:$B$11,2,0),"???")&amp;"-"&amp;G3364&amp;"-"&amp;TEXT(COUNTIFS(I$5:I3364,I3364,G$5:G3364,G3364),"0000"))</f>
        <v/>
      </c>
      <c r="C3364" s="26"/>
      <c r="D3364" s="26"/>
      <c r="E3364" s="27"/>
      <c r="F3364" s="27"/>
      <c r="G3364" s="31" t="str">
        <f aca="false">IF(F3364="","",IF(F3364&lt;=5,"A",IF(F3364&lt;=8,"B",IF(F3364&lt;=10,"C","D"))))</f>
        <v/>
      </c>
      <c r="H3364" s="28"/>
      <c r="I3364" s="27"/>
      <c r="J3364" s="26"/>
      <c r="K3364" s="27"/>
      <c r="L3364" s="27"/>
      <c r="M3364" s="27"/>
      <c r="N3364" s="27"/>
      <c r="O3364" s="31" t="str">
        <f aca="false">IF(G3364="","",VLOOKUP(G3364,Setup!$A$14:$C$17,3,0))</f>
        <v/>
      </c>
      <c r="P3364" s="27"/>
      <c r="Q3364" s="33" t="str">
        <f aca="false">IF(OR(P3364="",M3364&lt;&gt;"Paid",O3364=""),"",P3364/O3364)</f>
        <v/>
      </c>
      <c r="R3364" s="34" t="str">
        <f aca="false">IF(Q3364="","",Q3364+N(H3364)*0.000000001)</f>
        <v/>
      </c>
      <c r="S3364" s="32" t="str">
        <f aca="false">IF(R3364="","",SUMPRODUCT((I$5:I$4004=I3364)*ISNUMBER(R$5:R$4004)*(R$5:R$4004&gt;R3364))+1)</f>
        <v/>
      </c>
      <c r="T3364" s="32" t="str">
        <f aca="false">IF(S3364="","",IF(S3364&lt;=Setup!$B$5,"🏆 WINNER",""))</f>
        <v/>
      </c>
      <c r="U3364" s="31" t="str">
        <f aca="false">IF(S3364="","",I3364&amp;"|"&amp;S3364)</f>
        <v/>
      </c>
    </row>
    <row r="3365" customFormat="false" ht="15" hidden="false" customHeight="false" outlineLevel="0" collapsed="false">
      <c r="A3365" s="24" t="n">
        <v>3361</v>
      </c>
      <c r="B3365" s="25" t="str">
        <f aca="false">IF(OR(C3365="",I3365="",G3365=""),"",IFERROR(VLOOKUP(I3365,Setup!$A$9:$B$11,2,0),"???")&amp;"-"&amp;G3365&amp;"-"&amp;TEXT(COUNTIFS(I$5:I3365,I3365,G$5:G3365,G3365),"0000"))</f>
        <v/>
      </c>
      <c r="C3365" s="26"/>
      <c r="D3365" s="26"/>
      <c r="E3365" s="27"/>
      <c r="F3365" s="27"/>
      <c r="G3365" s="24" t="str">
        <f aca="false">IF(F3365="","",IF(F3365&lt;=5,"A",IF(F3365&lt;=8,"B",IF(F3365&lt;=10,"C","D"))))</f>
        <v/>
      </c>
      <c r="H3365" s="28"/>
      <c r="I3365" s="27"/>
      <c r="J3365" s="26"/>
      <c r="K3365" s="27"/>
      <c r="L3365" s="27"/>
      <c r="M3365" s="27"/>
      <c r="N3365" s="27"/>
      <c r="O3365" s="24" t="str">
        <f aca="false">IF(G3365="","",VLOOKUP(G3365,Setup!$A$14:$C$17,3,0))</f>
        <v/>
      </c>
      <c r="P3365" s="27"/>
      <c r="Q3365" s="29" t="str">
        <f aca="false">IF(OR(P3365="",M3365&lt;&gt;"Paid",O3365=""),"",P3365/O3365)</f>
        <v/>
      </c>
      <c r="R3365" s="30" t="str">
        <f aca="false">IF(Q3365="","",Q3365+N(H3365)*0.000000001)</f>
        <v/>
      </c>
      <c r="S3365" s="25" t="str">
        <f aca="false">IF(R3365="","",SUMPRODUCT((I$5:I$4004=I3365)*ISNUMBER(R$5:R$4004)*(R$5:R$4004&gt;R3365))+1)</f>
        <v/>
      </c>
      <c r="T3365" s="25" t="str">
        <f aca="false">IF(S3365="","",IF(S3365&lt;=Setup!$B$5,"🏆 WINNER",""))</f>
        <v/>
      </c>
      <c r="U3365" s="24" t="str">
        <f aca="false">IF(S3365="","",I3365&amp;"|"&amp;S3365)</f>
        <v/>
      </c>
    </row>
    <row r="3366" customFormat="false" ht="15" hidden="false" customHeight="false" outlineLevel="0" collapsed="false">
      <c r="A3366" s="31" t="n">
        <v>3362</v>
      </c>
      <c r="B3366" s="32" t="str">
        <f aca="false">IF(OR(C3366="",I3366="",G3366=""),"",IFERROR(VLOOKUP(I3366,Setup!$A$9:$B$11,2,0),"???")&amp;"-"&amp;G3366&amp;"-"&amp;TEXT(COUNTIFS(I$5:I3366,I3366,G$5:G3366,G3366),"0000"))</f>
        <v/>
      </c>
      <c r="C3366" s="26"/>
      <c r="D3366" s="26"/>
      <c r="E3366" s="27"/>
      <c r="F3366" s="27"/>
      <c r="G3366" s="31" t="str">
        <f aca="false">IF(F3366="","",IF(F3366&lt;=5,"A",IF(F3366&lt;=8,"B",IF(F3366&lt;=10,"C","D"))))</f>
        <v/>
      </c>
      <c r="H3366" s="28"/>
      <c r="I3366" s="27"/>
      <c r="J3366" s="26"/>
      <c r="K3366" s="27"/>
      <c r="L3366" s="27"/>
      <c r="M3366" s="27"/>
      <c r="N3366" s="27"/>
      <c r="O3366" s="31" t="str">
        <f aca="false">IF(G3366="","",VLOOKUP(G3366,Setup!$A$14:$C$17,3,0))</f>
        <v/>
      </c>
      <c r="P3366" s="27"/>
      <c r="Q3366" s="33" t="str">
        <f aca="false">IF(OR(P3366="",M3366&lt;&gt;"Paid",O3366=""),"",P3366/O3366)</f>
        <v/>
      </c>
      <c r="R3366" s="34" t="str">
        <f aca="false">IF(Q3366="","",Q3366+N(H3366)*0.000000001)</f>
        <v/>
      </c>
      <c r="S3366" s="32" t="str">
        <f aca="false">IF(R3366="","",SUMPRODUCT((I$5:I$4004=I3366)*ISNUMBER(R$5:R$4004)*(R$5:R$4004&gt;R3366))+1)</f>
        <v/>
      </c>
      <c r="T3366" s="32" t="str">
        <f aca="false">IF(S3366="","",IF(S3366&lt;=Setup!$B$5,"🏆 WINNER",""))</f>
        <v/>
      </c>
      <c r="U3366" s="31" t="str">
        <f aca="false">IF(S3366="","",I3366&amp;"|"&amp;S3366)</f>
        <v/>
      </c>
    </row>
    <row r="3367" customFormat="false" ht="15" hidden="false" customHeight="false" outlineLevel="0" collapsed="false">
      <c r="A3367" s="24" t="n">
        <v>3363</v>
      </c>
      <c r="B3367" s="25" t="str">
        <f aca="false">IF(OR(C3367="",I3367="",G3367=""),"",IFERROR(VLOOKUP(I3367,Setup!$A$9:$B$11,2,0),"???")&amp;"-"&amp;G3367&amp;"-"&amp;TEXT(COUNTIFS(I$5:I3367,I3367,G$5:G3367,G3367),"0000"))</f>
        <v/>
      </c>
      <c r="C3367" s="26"/>
      <c r="D3367" s="26"/>
      <c r="E3367" s="27"/>
      <c r="F3367" s="27"/>
      <c r="G3367" s="24" t="str">
        <f aca="false">IF(F3367="","",IF(F3367&lt;=5,"A",IF(F3367&lt;=8,"B",IF(F3367&lt;=10,"C","D"))))</f>
        <v/>
      </c>
      <c r="H3367" s="28"/>
      <c r="I3367" s="27"/>
      <c r="J3367" s="26"/>
      <c r="K3367" s="27"/>
      <c r="L3367" s="27"/>
      <c r="M3367" s="27"/>
      <c r="N3367" s="27"/>
      <c r="O3367" s="24" t="str">
        <f aca="false">IF(G3367="","",VLOOKUP(G3367,Setup!$A$14:$C$17,3,0))</f>
        <v/>
      </c>
      <c r="P3367" s="27"/>
      <c r="Q3367" s="29" t="str">
        <f aca="false">IF(OR(P3367="",M3367&lt;&gt;"Paid",O3367=""),"",P3367/O3367)</f>
        <v/>
      </c>
      <c r="R3367" s="30" t="str">
        <f aca="false">IF(Q3367="","",Q3367+N(H3367)*0.000000001)</f>
        <v/>
      </c>
      <c r="S3367" s="25" t="str">
        <f aca="false">IF(R3367="","",SUMPRODUCT((I$5:I$4004=I3367)*ISNUMBER(R$5:R$4004)*(R$5:R$4004&gt;R3367))+1)</f>
        <v/>
      </c>
      <c r="T3367" s="25" t="str">
        <f aca="false">IF(S3367="","",IF(S3367&lt;=Setup!$B$5,"🏆 WINNER",""))</f>
        <v/>
      </c>
      <c r="U3367" s="24" t="str">
        <f aca="false">IF(S3367="","",I3367&amp;"|"&amp;S3367)</f>
        <v/>
      </c>
    </row>
    <row r="3368" customFormat="false" ht="15" hidden="false" customHeight="false" outlineLevel="0" collapsed="false">
      <c r="A3368" s="31" t="n">
        <v>3364</v>
      </c>
      <c r="B3368" s="32" t="str">
        <f aca="false">IF(OR(C3368="",I3368="",G3368=""),"",IFERROR(VLOOKUP(I3368,Setup!$A$9:$B$11,2,0),"???")&amp;"-"&amp;G3368&amp;"-"&amp;TEXT(COUNTIFS(I$5:I3368,I3368,G$5:G3368,G3368),"0000"))</f>
        <v/>
      </c>
      <c r="C3368" s="26"/>
      <c r="D3368" s="26"/>
      <c r="E3368" s="27"/>
      <c r="F3368" s="27"/>
      <c r="G3368" s="31" t="str">
        <f aca="false">IF(F3368="","",IF(F3368&lt;=5,"A",IF(F3368&lt;=8,"B",IF(F3368&lt;=10,"C","D"))))</f>
        <v/>
      </c>
      <c r="H3368" s="28"/>
      <c r="I3368" s="27"/>
      <c r="J3368" s="26"/>
      <c r="K3368" s="27"/>
      <c r="L3368" s="27"/>
      <c r="M3368" s="27"/>
      <c r="N3368" s="27"/>
      <c r="O3368" s="31" t="str">
        <f aca="false">IF(G3368="","",VLOOKUP(G3368,Setup!$A$14:$C$17,3,0))</f>
        <v/>
      </c>
      <c r="P3368" s="27"/>
      <c r="Q3368" s="33" t="str">
        <f aca="false">IF(OR(P3368="",M3368&lt;&gt;"Paid",O3368=""),"",P3368/O3368)</f>
        <v/>
      </c>
      <c r="R3368" s="34" t="str">
        <f aca="false">IF(Q3368="","",Q3368+N(H3368)*0.000000001)</f>
        <v/>
      </c>
      <c r="S3368" s="32" t="str">
        <f aca="false">IF(R3368="","",SUMPRODUCT((I$5:I$4004=I3368)*ISNUMBER(R$5:R$4004)*(R$5:R$4004&gt;R3368))+1)</f>
        <v/>
      </c>
      <c r="T3368" s="32" t="str">
        <f aca="false">IF(S3368="","",IF(S3368&lt;=Setup!$B$5,"🏆 WINNER",""))</f>
        <v/>
      </c>
      <c r="U3368" s="31" t="str">
        <f aca="false">IF(S3368="","",I3368&amp;"|"&amp;S3368)</f>
        <v/>
      </c>
    </row>
    <row r="3369" customFormat="false" ht="15" hidden="false" customHeight="false" outlineLevel="0" collapsed="false">
      <c r="A3369" s="24" t="n">
        <v>3365</v>
      </c>
      <c r="B3369" s="25" t="str">
        <f aca="false">IF(OR(C3369="",I3369="",G3369=""),"",IFERROR(VLOOKUP(I3369,Setup!$A$9:$B$11,2,0),"???")&amp;"-"&amp;G3369&amp;"-"&amp;TEXT(COUNTIFS(I$5:I3369,I3369,G$5:G3369,G3369),"0000"))</f>
        <v/>
      </c>
      <c r="C3369" s="26"/>
      <c r="D3369" s="26"/>
      <c r="E3369" s="27"/>
      <c r="F3369" s="27"/>
      <c r="G3369" s="24" t="str">
        <f aca="false">IF(F3369="","",IF(F3369&lt;=5,"A",IF(F3369&lt;=8,"B",IF(F3369&lt;=10,"C","D"))))</f>
        <v/>
      </c>
      <c r="H3369" s="28"/>
      <c r="I3369" s="27"/>
      <c r="J3369" s="26"/>
      <c r="K3369" s="27"/>
      <c r="L3369" s="27"/>
      <c r="M3369" s="27"/>
      <c r="N3369" s="27"/>
      <c r="O3369" s="24" t="str">
        <f aca="false">IF(G3369="","",VLOOKUP(G3369,Setup!$A$14:$C$17,3,0))</f>
        <v/>
      </c>
      <c r="P3369" s="27"/>
      <c r="Q3369" s="29" t="str">
        <f aca="false">IF(OR(P3369="",M3369&lt;&gt;"Paid",O3369=""),"",P3369/O3369)</f>
        <v/>
      </c>
      <c r="R3369" s="30" t="str">
        <f aca="false">IF(Q3369="","",Q3369+N(H3369)*0.000000001)</f>
        <v/>
      </c>
      <c r="S3369" s="25" t="str">
        <f aca="false">IF(R3369="","",SUMPRODUCT((I$5:I$4004=I3369)*ISNUMBER(R$5:R$4004)*(R$5:R$4004&gt;R3369))+1)</f>
        <v/>
      </c>
      <c r="T3369" s="25" t="str">
        <f aca="false">IF(S3369="","",IF(S3369&lt;=Setup!$B$5,"🏆 WINNER",""))</f>
        <v/>
      </c>
      <c r="U3369" s="24" t="str">
        <f aca="false">IF(S3369="","",I3369&amp;"|"&amp;S3369)</f>
        <v/>
      </c>
    </row>
    <row r="3370" customFormat="false" ht="15" hidden="false" customHeight="false" outlineLevel="0" collapsed="false">
      <c r="A3370" s="31" t="n">
        <v>3366</v>
      </c>
      <c r="B3370" s="32" t="str">
        <f aca="false">IF(OR(C3370="",I3370="",G3370=""),"",IFERROR(VLOOKUP(I3370,Setup!$A$9:$B$11,2,0),"???")&amp;"-"&amp;G3370&amp;"-"&amp;TEXT(COUNTIFS(I$5:I3370,I3370,G$5:G3370,G3370),"0000"))</f>
        <v/>
      </c>
      <c r="C3370" s="26"/>
      <c r="D3370" s="26"/>
      <c r="E3370" s="27"/>
      <c r="F3370" s="27"/>
      <c r="G3370" s="31" t="str">
        <f aca="false">IF(F3370="","",IF(F3370&lt;=5,"A",IF(F3370&lt;=8,"B",IF(F3370&lt;=10,"C","D"))))</f>
        <v/>
      </c>
      <c r="H3370" s="28"/>
      <c r="I3370" s="27"/>
      <c r="J3370" s="26"/>
      <c r="K3370" s="27"/>
      <c r="L3370" s="27"/>
      <c r="M3370" s="27"/>
      <c r="N3370" s="27"/>
      <c r="O3370" s="31" t="str">
        <f aca="false">IF(G3370="","",VLOOKUP(G3370,Setup!$A$14:$C$17,3,0))</f>
        <v/>
      </c>
      <c r="P3370" s="27"/>
      <c r="Q3370" s="33" t="str">
        <f aca="false">IF(OR(P3370="",M3370&lt;&gt;"Paid",O3370=""),"",P3370/O3370)</f>
        <v/>
      </c>
      <c r="R3370" s="34" t="str">
        <f aca="false">IF(Q3370="","",Q3370+N(H3370)*0.000000001)</f>
        <v/>
      </c>
      <c r="S3370" s="32" t="str">
        <f aca="false">IF(R3370="","",SUMPRODUCT((I$5:I$4004=I3370)*ISNUMBER(R$5:R$4004)*(R$5:R$4004&gt;R3370))+1)</f>
        <v/>
      </c>
      <c r="T3370" s="32" t="str">
        <f aca="false">IF(S3370="","",IF(S3370&lt;=Setup!$B$5,"🏆 WINNER",""))</f>
        <v/>
      </c>
      <c r="U3370" s="31" t="str">
        <f aca="false">IF(S3370="","",I3370&amp;"|"&amp;S3370)</f>
        <v/>
      </c>
    </row>
    <row r="3371" customFormat="false" ht="15" hidden="false" customHeight="false" outlineLevel="0" collapsed="false">
      <c r="A3371" s="24" t="n">
        <v>3367</v>
      </c>
      <c r="B3371" s="25" t="str">
        <f aca="false">IF(OR(C3371="",I3371="",G3371=""),"",IFERROR(VLOOKUP(I3371,Setup!$A$9:$B$11,2,0),"???")&amp;"-"&amp;G3371&amp;"-"&amp;TEXT(COUNTIFS(I$5:I3371,I3371,G$5:G3371,G3371),"0000"))</f>
        <v/>
      </c>
      <c r="C3371" s="26"/>
      <c r="D3371" s="26"/>
      <c r="E3371" s="27"/>
      <c r="F3371" s="27"/>
      <c r="G3371" s="24" t="str">
        <f aca="false">IF(F3371="","",IF(F3371&lt;=5,"A",IF(F3371&lt;=8,"B",IF(F3371&lt;=10,"C","D"))))</f>
        <v/>
      </c>
      <c r="H3371" s="28"/>
      <c r="I3371" s="27"/>
      <c r="J3371" s="26"/>
      <c r="K3371" s="27"/>
      <c r="L3371" s="27"/>
      <c r="M3371" s="27"/>
      <c r="N3371" s="27"/>
      <c r="O3371" s="24" t="str">
        <f aca="false">IF(G3371="","",VLOOKUP(G3371,Setup!$A$14:$C$17,3,0))</f>
        <v/>
      </c>
      <c r="P3371" s="27"/>
      <c r="Q3371" s="29" t="str">
        <f aca="false">IF(OR(P3371="",M3371&lt;&gt;"Paid",O3371=""),"",P3371/O3371)</f>
        <v/>
      </c>
      <c r="R3371" s="30" t="str">
        <f aca="false">IF(Q3371="","",Q3371+N(H3371)*0.000000001)</f>
        <v/>
      </c>
      <c r="S3371" s="25" t="str">
        <f aca="false">IF(R3371="","",SUMPRODUCT((I$5:I$4004=I3371)*ISNUMBER(R$5:R$4004)*(R$5:R$4004&gt;R3371))+1)</f>
        <v/>
      </c>
      <c r="T3371" s="25" t="str">
        <f aca="false">IF(S3371="","",IF(S3371&lt;=Setup!$B$5,"🏆 WINNER",""))</f>
        <v/>
      </c>
      <c r="U3371" s="24" t="str">
        <f aca="false">IF(S3371="","",I3371&amp;"|"&amp;S3371)</f>
        <v/>
      </c>
    </row>
    <row r="3372" customFormat="false" ht="15" hidden="false" customHeight="false" outlineLevel="0" collapsed="false">
      <c r="A3372" s="31" t="n">
        <v>3368</v>
      </c>
      <c r="B3372" s="32" t="str">
        <f aca="false">IF(OR(C3372="",I3372="",G3372=""),"",IFERROR(VLOOKUP(I3372,Setup!$A$9:$B$11,2,0),"???")&amp;"-"&amp;G3372&amp;"-"&amp;TEXT(COUNTIFS(I$5:I3372,I3372,G$5:G3372,G3372),"0000"))</f>
        <v/>
      </c>
      <c r="C3372" s="26"/>
      <c r="D3372" s="26"/>
      <c r="E3372" s="27"/>
      <c r="F3372" s="27"/>
      <c r="G3372" s="31" t="str">
        <f aca="false">IF(F3372="","",IF(F3372&lt;=5,"A",IF(F3372&lt;=8,"B",IF(F3372&lt;=10,"C","D"))))</f>
        <v/>
      </c>
      <c r="H3372" s="28"/>
      <c r="I3372" s="27"/>
      <c r="J3372" s="26"/>
      <c r="K3372" s="27"/>
      <c r="L3372" s="27"/>
      <c r="M3372" s="27"/>
      <c r="N3372" s="27"/>
      <c r="O3372" s="31" t="str">
        <f aca="false">IF(G3372="","",VLOOKUP(G3372,Setup!$A$14:$C$17,3,0))</f>
        <v/>
      </c>
      <c r="P3372" s="27"/>
      <c r="Q3372" s="33" t="str">
        <f aca="false">IF(OR(P3372="",M3372&lt;&gt;"Paid",O3372=""),"",P3372/O3372)</f>
        <v/>
      </c>
      <c r="R3372" s="34" t="str">
        <f aca="false">IF(Q3372="","",Q3372+N(H3372)*0.000000001)</f>
        <v/>
      </c>
      <c r="S3372" s="32" t="str">
        <f aca="false">IF(R3372="","",SUMPRODUCT((I$5:I$4004=I3372)*ISNUMBER(R$5:R$4004)*(R$5:R$4004&gt;R3372))+1)</f>
        <v/>
      </c>
      <c r="T3372" s="32" t="str">
        <f aca="false">IF(S3372="","",IF(S3372&lt;=Setup!$B$5,"🏆 WINNER",""))</f>
        <v/>
      </c>
      <c r="U3372" s="31" t="str">
        <f aca="false">IF(S3372="","",I3372&amp;"|"&amp;S3372)</f>
        <v/>
      </c>
    </row>
    <row r="3373" customFormat="false" ht="15" hidden="false" customHeight="false" outlineLevel="0" collapsed="false">
      <c r="A3373" s="24" t="n">
        <v>3369</v>
      </c>
      <c r="B3373" s="25" t="str">
        <f aca="false">IF(OR(C3373="",I3373="",G3373=""),"",IFERROR(VLOOKUP(I3373,Setup!$A$9:$B$11,2,0),"???")&amp;"-"&amp;G3373&amp;"-"&amp;TEXT(COUNTIFS(I$5:I3373,I3373,G$5:G3373,G3373),"0000"))</f>
        <v/>
      </c>
      <c r="C3373" s="26"/>
      <c r="D3373" s="26"/>
      <c r="E3373" s="27"/>
      <c r="F3373" s="27"/>
      <c r="G3373" s="24" t="str">
        <f aca="false">IF(F3373="","",IF(F3373&lt;=5,"A",IF(F3373&lt;=8,"B",IF(F3373&lt;=10,"C","D"))))</f>
        <v/>
      </c>
      <c r="H3373" s="28"/>
      <c r="I3373" s="27"/>
      <c r="J3373" s="26"/>
      <c r="K3373" s="27"/>
      <c r="L3373" s="27"/>
      <c r="M3373" s="27"/>
      <c r="N3373" s="27"/>
      <c r="O3373" s="24" t="str">
        <f aca="false">IF(G3373="","",VLOOKUP(G3373,Setup!$A$14:$C$17,3,0))</f>
        <v/>
      </c>
      <c r="P3373" s="27"/>
      <c r="Q3373" s="29" t="str">
        <f aca="false">IF(OR(P3373="",M3373&lt;&gt;"Paid",O3373=""),"",P3373/O3373)</f>
        <v/>
      </c>
      <c r="R3373" s="30" t="str">
        <f aca="false">IF(Q3373="","",Q3373+N(H3373)*0.000000001)</f>
        <v/>
      </c>
      <c r="S3373" s="25" t="str">
        <f aca="false">IF(R3373="","",SUMPRODUCT((I$5:I$4004=I3373)*ISNUMBER(R$5:R$4004)*(R$5:R$4004&gt;R3373))+1)</f>
        <v/>
      </c>
      <c r="T3373" s="25" t="str">
        <f aca="false">IF(S3373="","",IF(S3373&lt;=Setup!$B$5,"🏆 WINNER",""))</f>
        <v/>
      </c>
      <c r="U3373" s="24" t="str">
        <f aca="false">IF(S3373="","",I3373&amp;"|"&amp;S3373)</f>
        <v/>
      </c>
    </row>
    <row r="3374" customFormat="false" ht="15" hidden="false" customHeight="false" outlineLevel="0" collapsed="false">
      <c r="A3374" s="31" t="n">
        <v>3370</v>
      </c>
      <c r="B3374" s="32" t="str">
        <f aca="false">IF(OR(C3374="",I3374="",G3374=""),"",IFERROR(VLOOKUP(I3374,Setup!$A$9:$B$11,2,0),"???")&amp;"-"&amp;G3374&amp;"-"&amp;TEXT(COUNTIFS(I$5:I3374,I3374,G$5:G3374,G3374),"0000"))</f>
        <v/>
      </c>
      <c r="C3374" s="26"/>
      <c r="D3374" s="26"/>
      <c r="E3374" s="27"/>
      <c r="F3374" s="27"/>
      <c r="G3374" s="31" t="str">
        <f aca="false">IF(F3374="","",IF(F3374&lt;=5,"A",IF(F3374&lt;=8,"B",IF(F3374&lt;=10,"C","D"))))</f>
        <v/>
      </c>
      <c r="H3374" s="28"/>
      <c r="I3374" s="27"/>
      <c r="J3374" s="26"/>
      <c r="K3374" s="27"/>
      <c r="L3374" s="27"/>
      <c r="M3374" s="27"/>
      <c r="N3374" s="27"/>
      <c r="O3374" s="31" t="str">
        <f aca="false">IF(G3374="","",VLOOKUP(G3374,Setup!$A$14:$C$17,3,0))</f>
        <v/>
      </c>
      <c r="P3374" s="27"/>
      <c r="Q3374" s="33" t="str">
        <f aca="false">IF(OR(P3374="",M3374&lt;&gt;"Paid",O3374=""),"",P3374/O3374)</f>
        <v/>
      </c>
      <c r="R3374" s="34" t="str">
        <f aca="false">IF(Q3374="","",Q3374+N(H3374)*0.000000001)</f>
        <v/>
      </c>
      <c r="S3374" s="32" t="str">
        <f aca="false">IF(R3374="","",SUMPRODUCT((I$5:I$4004=I3374)*ISNUMBER(R$5:R$4004)*(R$5:R$4004&gt;R3374))+1)</f>
        <v/>
      </c>
      <c r="T3374" s="32" t="str">
        <f aca="false">IF(S3374="","",IF(S3374&lt;=Setup!$B$5,"🏆 WINNER",""))</f>
        <v/>
      </c>
      <c r="U3374" s="31" t="str">
        <f aca="false">IF(S3374="","",I3374&amp;"|"&amp;S3374)</f>
        <v/>
      </c>
    </row>
    <row r="3375" customFormat="false" ht="15" hidden="false" customHeight="false" outlineLevel="0" collapsed="false">
      <c r="A3375" s="24" t="n">
        <v>3371</v>
      </c>
      <c r="B3375" s="25" t="str">
        <f aca="false">IF(OR(C3375="",I3375="",G3375=""),"",IFERROR(VLOOKUP(I3375,Setup!$A$9:$B$11,2,0),"???")&amp;"-"&amp;G3375&amp;"-"&amp;TEXT(COUNTIFS(I$5:I3375,I3375,G$5:G3375,G3375),"0000"))</f>
        <v/>
      </c>
      <c r="C3375" s="26"/>
      <c r="D3375" s="26"/>
      <c r="E3375" s="27"/>
      <c r="F3375" s="27"/>
      <c r="G3375" s="24" t="str">
        <f aca="false">IF(F3375="","",IF(F3375&lt;=5,"A",IF(F3375&lt;=8,"B",IF(F3375&lt;=10,"C","D"))))</f>
        <v/>
      </c>
      <c r="H3375" s="28"/>
      <c r="I3375" s="27"/>
      <c r="J3375" s="26"/>
      <c r="K3375" s="27"/>
      <c r="L3375" s="27"/>
      <c r="M3375" s="27"/>
      <c r="N3375" s="27"/>
      <c r="O3375" s="24" t="str">
        <f aca="false">IF(G3375="","",VLOOKUP(G3375,Setup!$A$14:$C$17,3,0))</f>
        <v/>
      </c>
      <c r="P3375" s="27"/>
      <c r="Q3375" s="29" t="str">
        <f aca="false">IF(OR(P3375="",M3375&lt;&gt;"Paid",O3375=""),"",P3375/O3375)</f>
        <v/>
      </c>
      <c r="R3375" s="30" t="str">
        <f aca="false">IF(Q3375="","",Q3375+N(H3375)*0.000000001)</f>
        <v/>
      </c>
      <c r="S3375" s="25" t="str">
        <f aca="false">IF(R3375="","",SUMPRODUCT((I$5:I$4004=I3375)*ISNUMBER(R$5:R$4004)*(R$5:R$4004&gt;R3375))+1)</f>
        <v/>
      </c>
      <c r="T3375" s="25" t="str">
        <f aca="false">IF(S3375="","",IF(S3375&lt;=Setup!$B$5,"🏆 WINNER",""))</f>
        <v/>
      </c>
      <c r="U3375" s="24" t="str">
        <f aca="false">IF(S3375="","",I3375&amp;"|"&amp;S3375)</f>
        <v/>
      </c>
    </row>
    <row r="3376" customFormat="false" ht="15" hidden="false" customHeight="false" outlineLevel="0" collapsed="false">
      <c r="A3376" s="31" t="n">
        <v>3372</v>
      </c>
      <c r="B3376" s="32" t="str">
        <f aca="false">IF(OR(C3376="",I3376="",G3376=""),"",IFERROR(VLOOKUP(I3376,Setup!$A$9:$B$11,2,0),"???")&amp;"-"&amp;G3376&amp;"-"&amp;TEXT(COUNTIFS(I$5:I3376,I3376,G$5:G3376,G3376),"0000"))</f>
        <v/>
      </c>
      <c r="C3376" s="26"/>
      <c r="D3376" s="26"/>
      <c r="E3376" s="27"/>
      <c r="F3376" s="27"/>
      <c r="G3376" s="31" t="str">
        <f aca="false">IF(F3376="","",IF(F3376&lt;=5,"A",IF(F3376&lt;=8,"B",IF(F3376&lt;=10,"C","D"))))</f>
        <v/>
      </c>
      <c r="H3376" s="28"/>
      <c r="I3376" s="27"/>
      <c r="J3376" s="26"/>
      <c r="K3376" s="27"/>
      <c r="L3376" s="27"/>
      <c r="M3376" s="27"/>
      <c r="N3376" s="27"/>
      <c r="O3376" s="31" t="str">
        <f aca="false">IF(G3376="","",VLOOKUP(G3376,Setup!$A$14:$C$17,3,0))</f>
        <v/>
      </c>
      <c r="P3376" s="27"/>
      <c r="Q3376" s="33" t="str">
        <f aca="false">IF(OR(P3376="",M3376&lt;&gt;"Paid",O3376=""),"",P3376/O3376)</f>
        <v/>
      </c>
      <c r="R3376" s="34" t="str">
        <f aca="false">IF(Q3376="","",Q3376+N(H3376)*0.000000001)</f>
        <v/>
      </c>
      <c r="S3376" s="32" t="str">
        <f aca="false">IF(R3376="","",SUMPRODUCT((I$5:I$4004=I3376)*ISNUMBER(R$5:R$4004)*(R$5:R$4004&gt;R3376))+1)</f>
        <v/>
      </c>
      <c r="T3376" s="32" t="str">
        <f aca="false">IF(S3376="","",IF(S3376&lt;=Setup!$B$5,"🏆 WINNER",""))</f>
        <v/>
      </c>
      <c r="U3376" s="31" t="str">
        <f aca="false">IF(S3376="","",I3376&amp;"|"&amp;S3376)</f>
        <v/>
      </c>
    </row>
    <row r="3377" customFormat="false" ht="15" hidden="false" customHeight="false" outlineLevel="0" collapsed="false">
      <c r="A3377" s="24" t="n">
        <v>3373</v>
      </c>
      <c r="B3377" s="25" t="str">
        <f aca="false">IF(OR(C3377="",I3377="",G3377=""),"",IFERROR(VLOOKUP(I3377,Setup!$A$9:$B$11,2,0),"???")&amp;"-"&amp;G3377&amp;"-"&amp;TEXT(COUNTIFS(I$5:I3377,I3377,G$5:G3377,G3377),"0000"))</f>
        <v/>
      </c>
      <c r="C3377" s="26"/>
      <c r="D3377" s="26"/>
      <c r="E3377" s="27"/>
      <c r="F3377" s="27"/>
      <c r="G3377" s="24" t="str">
        <f aca="false">IF(F3377="","",IF(F3377&lt;=5,"A",IF(F3377&lt;=8,"B",IF(F3377&lt;=10,"C","D"))))</f>
        <v/>
      </c>
      <c r="H3377" s="28"/>
      <c r="I3377" s="27"/>
      <c r="J3377" s="26"/>
      <c r="K3377" s="27"/>
      <c r="L3377" s="27"/>
      <c r="M3377" s="27"/>
      <c r="N3377" s="27"/>
      <c r="O3377" s="24" t="str">
        <f aca="false">IF(G3377="","",VLOOKUP(G3377,Setup!$A$14:$C$17,3,0))</f>
        <v/>
      </c>
      <c r="P3377" s="27"/>
      <c r="Q3377" s="29" t="str">
        <f aca="false">IF(OR(P3377="",M3377&lt;&gt;"Paid",O3377=""),"",P3377/O3377)</f>
        <v/>
      </c>
      <c r="R3377" s="30" t="str">
        <f aca="false">IF(Q3377="","",Q3377+N(H3377)*0.000000001)</f>
        <v/>
      </c>
      <c r="S3377" s="25" t="str">
        <f aca="false">IF(R3377="","",SUMPRODUCT((I$5:I$4004=I3377)*ISNUMBER(R$5:R$4004)*(R$5:R$4004&gt;R3377))+1)</f>
        <v/>
      </c>
      <c r="T3377" s="25" t="str">
        <f aca="false">IF(S3377="","",IF(S3377&lt;=Setup!$B$5,"🏆 WINNER",""))</f>
        <v/>
      </c>
      <c r="U3377" s="24" t="str">
        <f aca="false">IF(S3377="","",I3377&amp;"|"&amp;S3377)</f>
        <v/>
      </c>
    </row>
    <row r="3378" customFormat="false" ht="15" hidden="false" customHeight="false" outlineLevel="0" collapsed="false">
      <c r="A3378" s="31" t="n">
        <v>3374</v>
      </c>
      <c r="B3378" s="32" t="str">
        <f aca="false">IF(OR(C3378="",I3378="",G3378=""),"",IFERROR(VLOOKUP(I3378,Setup!$A$9:$B$11,2,0),"???")&amp;"-"&amp;G3378&amp;"-"&amp;TEXT(COUNTIFS(I$5:I3378,I3378,G$5:G3378,G3378),"0000"))</f>
        <v/>
      </c>
      <c r="C3378" s="26"/>
      <c r="D3378" s="26"/>
      <c r="E3378" s="27"/>
      <c r="F3378" s="27"/>
      <c r="G3378" s="31" t="str">
        <f aca="false">IF(F3378="","",IF(F3378&lt;=5,"A",IF(F3378&lt;=8,"B",IF(F3378&lt;=10,"C","D"))))</f>
        <v/>
      </c>
      <c r="H3378" s="28"/>
      <c r="I3378" s="27"/>
      <c r="J3378" s="26"/>
      <c r="K3378" s="27"/>
      <c r="L3378" s="27"/>
      <c r="M3378" s="27"/>
      <c r="N3378" s="27"/>
      <c r="O3378" s="31" t="str">
        <f aca="false">IF(G3378="","",VLOOKUP(G3378,Setup!$A$14:$C$17,3,0))</f>
        <v/>
      </c>
      <c r="P3378" s="27"/>
      <c r="Q3378" s="33" t="str">
        <f aca="false">IF(OR(P3378="",M3378&lt;&gt;"Paid",O3378=""),"",P3378/O3378)</f>
        <v/>
      </c>
      <c r="R3378" s="34" t="str">
        <f aca="false">IF(Q3378="","",Q3378+N(H3378)*0.000000001)</f>
        <v/>
      </c>
      <c r="S3378" s="32" t="str">
        <f aca="false">IF(R3378="","",SUMPRODUCT((I$5:I$4004=I3378)*ISNUMBER(R$5:R$4004)*(R$5:R$4004&gt;R3378))+1)</f>
        <v/>
      </c>
      <c r="T3378" s="32" t="str">
        <f aca="false">IF(S3378="","",IF(S3378&lt;=Setup!$B$5,"🏆 WINNER",""))</f>
        <v/>
      </c>
      <c r="U3378" s="31" t="str">
        <f aca="false">IF(S3378="","",I3378&amp;"|"&amp;S3378)</f>
        <v/>
      </c>
    </row>
    <row r="3379" customFormat="false" ht="15" hidden="false" customHeight="false" outlineLevel="0" collapsed="false">
      <c r="A3379" s="24" t="n">
        <v>3375</v>
      </c>
      <c r="B3379" s="25" t="str">
        <f aca="false">IF(OR(C3379="",I3379="",G3379=""),"",IFERROR(VLOOKUP(I3379,Setup!$A$9:$B$11,2,0),"???")&amp;"-"&amp;G3379&amp;"-"&amp;TEXT(COUNTIFS(I$5:I3379,I3379,G$5:G3379,G3379),"0000"))</f>
        <v/>
      </c>
      <c r="C3379" s="26"/>
      <c r="D3379" s="26"/>
      <c r="E3379" s="27"/>
      <c r="F3379" s="27"/>
      <c r="G3379" s="24" t="str">
        <f aca="false">IF(F3379="","",IF(F3379&lt;=5,"A",IF(F3379&lt;=8,"B",IF(F3379&lt;=10,"C","D"))))</f>
        <v/>
      </c>
      <c r="H3379" s="28"/>
      <c r="I3379" s="27"/>
      <c r="J3379" s="26"/>
      <c r="K3379" s="27"/>
      <c r="L3379" s="27"/>
      <c r="M3379" s="27"/>
      <c r="N3379" s="27"/>
      <c r="O3379" s="24" t="str">
        <f aca="false">IF(G3379="","",VLOOKUP(G3379,Setup!$A$14:$C$17,3,0))</f>
        <v/>
      </c>
      <c r="P3379" s="27"/>
      <c r="Q3379" s="29" t="str">
        <f aca="false">IF(OR(P3379="",M3379&lt;&gt;"Paid",O3379=""),"",P3379/O3379)</f>
        <v/>
      </c>
      <c r="R3379" s="30" t="str">
        <f aca="false">IF(Q3379="","",Q3379+N(H3379)*0.000000001)</f>
        <v/>
      </c>
      <c r="S3379" s="25" t="str">
        <f aca="false">IF(R3379="","",SUMPRODUCT((I$5:I$4004=I3379)*ISNUMBER(R$5:R$4004)*(R$5:R$4004&gt;R3379))+1)</f>
        <v/>
      </c>
      <c r="T3379" s="25" t="str">
        <f aca="false">IF(S3379="","",IF(S3379&lt;=Setup!$B$5,"🏆 WINNER",""))</f>
        <v/>
      </c>
      <c r="U3379" s="24" t="str">
        <f aca="false">IF(S3379="","",I3379&amp;"|"&amp;S3379)</f>
        <v/>
      </c>
    </row>
    <row r="3380" customFormat="false" ht="15" hidden="false" customHeight="false" outlineLevel="0" collapsed="false">
      <c r="A3380" s="31" t="n">
        <v>3376</v>
      </c>
      <c r="B3380" s="32" t="str">
        <f aca="false">IF(OR(C3380="",I3380="",G3380=""),"",IFERROR(VLOOKUP(I3380,Setup!$A$9:$B$11,2,0),"???")&amp;"-"&amp;G3380&amp;"-"&amp;TEXT(COUNTIFS(I$5:I3380,I3380,G$5:G3380,G3380),"0000"))</f>
        <v/>
      </c>
      <c r="C3380" s="26"/>
      <c r="D3380" s="26"/>
      <c r="E3380" s="27"/>
      <c r="F3380" s="27"/>
      <c r="G3380" s="31" t="str">
        <f aca="false">IF(F3380="","",IF(F3380&lt;=5,"A",IF(F3380&lt;=8,"B",IF(F3380&lt;=10,"C","D"))))</f>
        <v/>
      </c>
      <c r="H3380" s="28"/>
      <c r="I3380" s="27"/>
      <c r="J3380" s="26"/>
      <c r="K3380" s="27"/>
      <c r="L3380" s="27"/>
      <c r="M3380" s="27"/>
      <c r="N3380" s="27"/>
      <c r="O3380" s="31" t="str">
        <f aca="false">IF(G3380="","",VLOOKUP(G3380,Setup!$A$14:$C$17,3,0))</f>
        <v/>
      </c>
      <c r="P3380" s="27"/>
      <c r="Q3380" s="33" t="str">
        <f aca="false">IF(OR(P3380="",M3380&lt;&gt;"Paid",O3380=""),"",P3380/O3380)</f>
        <v/>
      </c>
      <c r="R3380" s="34" t="str">
        <f aca="false">IF(Q3380="","",Q3380+N(H3380)*0.000000001)</f>
        <v/>
      </c>
      <c r="S3380" s="32" t="str">
        <f aca="false">IF(R3380="","",SUMPRODUCT((I$5:I$4004=I3380)*ISNUMBER(R$5:R$4004)*(R$5:R$4004&gt;R3380))+1)</f>
        <v/>
      </c>
      <c r="T3380" s="32" t="str">
        <f aca="false">IF(S3380="","",IF(S3380&lt;=Setup!$B$5,"🏆 WINNER",""))</f>
        <v/>
      </c>
      <c r="U3380" s="31" t="str">
        <f aca="false">IF(S3380="","",I3380&amp;"|"&amp;S3380)</f>
        <v/>
      </c>
    </row>
    <row r="3381" customFormat="false" ht="15" hidden="false" customHeight="false" outlineLevel="0" collapsed="false">
      <c r="A3381" s="24" t="n">
        <v>3377</v>
      </c>
      <c r="B3381" s="25" t="str">
        <f aca="false">IF(OR(C3381="",I3381="",G3381=""),"",IFERROR(VLOOKUP(I3381,Setup!$A$9:$B$11,2,0),"???")&amp;"-"&amp;G3381&amp;"-"&amp;TEXT(COUNTIFS(I$5:I3381,I3381,G$5:G3381,G3381),"0000"))</f>
        <v/>
      </c>
      <c r="C3381" s="26"/>
      <c r="D3381" s="26"/>
      <c r="E3381" s="27"/>
      <c r="F3381" s="27"/>
      <c r="G3381" s="24" t="str">
        <f aca="false">IF(F3381="","",IF(F3381&lt;=5,"A",IF(F3381&lt;=8,"B",IF(F3381&lt;=10,"C","D"))))</f>
        <v/>
      </c>
      <c r="H3381" s="28"/>
      <c r="I3381" s="27"/>
      <c r="J3381" s="26"/>
      <c r="K3381" s="27"/>
      <c r="L3381" s="27"/>
      <c r="M3381" s="27"/>
      <c r="N3381" s="27"/>
      <c r="O3381" s="24" t="str">
        <f aca="false">IF(G3381="","",VLOOKUP(G3381,Setup!$A$14:$C$17,3,0))</f>
        <v/>
      </c>
      <c r="P3381" s="27"/>
      <c r="Q3381" s="29" t="str">
        <f aca="false">IF(OR(P3381="",M3381&lt;&gt;"Paid",O3381=""),"",P3381/O3381)</f>
        <v/>
      </c>
      <c r="R3381" s="30" t="str">
        <f aca="false">IF(Q3381="","",Q3381+N(H3381)*0.000000001)</f>
        <v/>
      </c>
      <c r="S3381" s="25" t="str">
        <f aca="false">IF(R3381="","",SUMPRODUCT((I$5:I$4004=I3381)*ISNUMBER(R$5:R$4004)*(R$5:R$4004&gt;R3381))+1)</f>
        <v/>
      </c>
      <c r="T3381" s="25" t="str">
        <f aca="false">IF(S3381="","",IF(S3381&lt;=Setup!$B$5,"🏆 WINNER",""))</f>
        <v/>
      </c>
      <c r="U3381" s="24" t="str">
        <f aca="false">IF(S3381="","",I3381&amp;"|"&amp;S3381)</f>
        <v/>
      </c>
    </row>
    <row r="3382" customFormat="false" ht="15" hidden="false" customHeight="false" outlineLevel="0" collapsed="false">
      <c r="A3382" s="31" t="n">
        <v>3378</v>
      </c>
      <c r="B3382" s="32" t="str">
        <f aca="false">IF(OR(C3382="",I3382="",G3382=""),"",IFERROR(VLOOKUP(I3382,Setup!$A$9:$B$11,2,0),"???")&amp;"-"&amp;G3382&amp;"-"&amp;TEXT(COUNTIFS(I$5:I3382,I3382,G$5:G3382,G3382),"0000"))</f>
        <v/>
      </c>
      <c r="C3382" s="26"/>
      <c r="D3382" s="26"/>
      <c r="E3382" s="27"/>
      <c r="F3382" s="27"/>
      <c r="G3382" s="31" t="str">
        <f aca="false">IF(F3382="","",IF(F3382&lt;=5,"A",IF(F3382&lt;=8,"B",IF(F3382&lt;=10,"C","D"))))</f>
        <v/>
      </c>
      <c r="H3382" s="28"/>
      <c r="I3382" s="27"/>
      <c r="J3382" s="26"/>
      <c r="K3382" s="27"/>
      <c r="L3382" s="27"/>
      <c r="M3382" s="27"/>
      <c r="N3382" s="27"/>
      <c r="O3382" s="31" t="str">
        <f aca="false">IF(G3382="","",VLOOKUP(G3382,Setup!$A$14:$C$17,3,0))</f>
        <v/>
      </c>
      <c r="P3382" s="27"/>
      <c r="Q3382" s="33" t="str">
        <f aca="false">IF(OR(P3382="",M3382&lt;&gt;"Paid",O3382=""),"",P3382/O3382)</f>
        <v/>
      </c>
      <c r="R3382" s="34" t="str">
        <f aca="false">IF(Q3382="","",Q3382+N(H3382)*0.000000001)</f>
        <v/>
      </c>
      <c r="S3382" s="32" t="str">
        <f aca="false">IF(R3382="","",SUMPRODUCT((I$5:I$4004=I3382)*ISNUMBER(R$5:R$4004)*(R$5:R$4004&gt;R3382))+1)</f>
        <v/>
      </c>
      <c r="T3382" s="32" t="str">
        <f aca="false">IF(S3382="","",IF(S3382&lt;=Setup!$B$5,"🏆 WINNER",""))</f>
        <v/>
      </c>
      <c r="U3382" s="31" t="str">
        <f aca="false">IF(S3382="","",I3382&amp;"|"&amp;S3382)</f>
        <v/>
      </c>
    </row>
    <row r="3383" customFormat="false" ht="15" hidden="false" customHeight="false" outlineLevel="0" collapsed="false">
      <c r="A3383" s="24" t="n">
        <v>3379</v>
      </c>
      <c r="B3383" s="25" t="str">
        <f aca="false">IF(OR(C3383="",I3383="",G3383=""),"",IFERROR(VLOOKUP(I3383,Setup!$A$9:$B$11,2,0),"???")&amp;"-"&amp;G3383&amp;"-"&amp;TEXT(COUNTIFS(I$5:I3383,I3383,G$5:G3383,G3383),"0000"))</f>
        <v/>
      </c>
      <c r="C3383" s="26"/>
      <c r="D3383" s="26"/>
      <c r="E3383" s="27"/>
      <c r="F3383" s="27"/>
      <c r="G3383" s="24" t="str">
        <f aca="false">IF(F3383="","",IF(F3383&lt;=5,"A",IF(F3383&lt;=8,"B",IF(F3383&lt;=10,"C","D"))))</f>
        <v/>
      </c>
      <c r="H3383" s="28"/>
      <c r="I3383" s="27"/>
      <c r="J3383" s="26"/>
      <c r="K3383" s="27"/>
      <c r="L3383" s="27"/>
      <c r="M3383" s="27"/>
      <c r="N3383" s="27"/>
      <c r="O3383" s="24" t="str">
        <f aca="false">IF(G3383="","",VLOOKUP(G3383,Setup!$A$14:$C$17,3,0))</f>
        <v/>
      </c>
      <c r="P3383" s="27"/>
      <c r="Q3383" s="29" t="str">
        <f aca="false">IF(OR(P3383="",M3383&lt;&gt;"Paid",O3383=""),"",P3383/O3383)</f>
        <v/>
      </c>
      <c r="R3383" s="30" t="str">
        <f aca="false">IF(Q3383="","",Q3383+N(H3383)*0.000000001)</f>
        <v/>
      </c>
      <c r="S3383" s="25" t="str">
        <f aca="false">IF(R3383="","",SUMPRODUCT((I$5:I$4004=I3383)*ISNUMBER(R$5:R$4004)*(R$5:R$4004&gt;R3383))+1)</f>
        <v/>
      </c>
      <c r="T3383" s="25" t="str">
        <f aca="false">IF(S3383="","",IF(S3383&lt;=Setup!$B$5,"🏆 WINNER",""))</f>
        <v/>
      </c>
      <c r="U3383" s="24" t="str">
        <f aca="false">IF(S3383="","",I3383&amp;"|"&amp;S3383)</f>
        <v/>
      </c>
    </row>
    <row r="3384" customFormat="false" ht="15" hidden="false" customHeight="false" outlineLevel="0" collapsed="false">
      <c r="A3384" s="31" t="n">
        <v>3380</v>
      </c>
      <c r="B3384" s="32" t="str">
        <f aca="false">IF(OR(C3384="",I3384="",G3384=""),"",IFERROR(VLOOKUP(I3384,Setup!$A$9:$B$11,2,0),"???")&amp;"-"&amp;G3384&amp;"-"&amp;TEXT(COUNTIFS(I$5:I3384,I3384,G$5:G3384,G3384),"0000"))</f>
        <v/>
      </c>
      <c r="C3384" s="26"/>
      <c r="D3384" s="26"/>
      <c r="E3384" s="27"/>
      <c r="F3384" s="27"/>
      <c r="G3384" s="31" t="str">
        <f aca="false">IF(F3384="","",IF(F3384&lt;=5,"A",IF(F3384&lt;=8,"B",IF(F3384&lt;=10,"C","D"))))</f>
        <v/>
      </c>
      <c r="H3384" s="28"/>
      <c r="I3384" s="27"/>
      <c r="J3384" s="26"/>
      <c r="K3384" s="27"/>
      <c r="L3384" s="27"/>
      <c r="M3384" s="27"/>
      <c r="N3384" s="27"/>
      <c r="O3384" s="31" t="str">
        <f aca="false">IF(G3384="","",VLOOKUP(G3384,Setup!$A$14:$C$17,3,0))</f>
        <v/>
      </c>
      <c r="P3384" s="27"/>
      <c r="Q3384" s="33" t="str">
        <f aca="false">IF(OR(P3384="",M3384&lt;&gt;"Paid",O3384=""),"",P3384/O3384)</f>
        <v/>
      </c>
      <c r="R3384" s="34" t="str">
        <f aca="false">IF(Q3384="","",Q3384+N(H3384)*0.000000001)</f>
        <v/>
      </c>
      <c r="S3384" s="32" t="str">
        <f aca="false">IF(R3384="","",SUMPRODUCT((I$5:I$4004=I3384)*ISNUMBER(R$5:R$4004)*(R$5:R$4004&gt;R3384))+1)</f>
        <v/>
      </c>
      <c r="T3384" s="32" t="str">
        <f aca="false">IF(S3384="","",IF(S3384&lt;=Setup!$B$5,"🏆 WINNER",""))</f>
        <v/>
      </c>
      <c r="U3384" s="31" t="str">
        <f aca="false">IF(S3384="","",I3384&amp;"|"&amp;S3384)</f>
        <v/>
      </c>
    </row>
    <row r="3385" customFormat="false" ht="15" hidden="false" customHeight="false" outlineLevel="0" collapsed="false">
      <c r="A3385" s="24" t="n">
        <v>3381</v>
      </c>
      <c r="B3385" s="25" t="str">
        <f aca="false">IF(OR(C3385="",I3385="",G3385=""),"",IFERROR(VLOOKUP(I3385,Setup!$A$9:$B$11,2,0),"???")&amp;"-"&amp;G3385&amp;"-"&amp;TEXT(COUNTIFS(I$5:I3385,I3385,G$5:G3385,G3385),"0000"))</f>
        <v/>
      </c>
      <c r="C3385" s="26"/>
      <c r="D3385" s="26"/>
      <c r="E3385" s="27"/>
      <c r="F3385" s="27"/>
      <c r="G3385" s="24" t="str">
        <f aca="false">IF(F3385="","",IF(F3385&lt;=5,"A",IF(F3385&lt;=8,"B",IF(F3385&lt;=10,"C","D"))))</f>
        <v/>
      </c>
      <c r="H3385" s="28"/>
      <c r="I3385" s="27"/>
      <c r="J3385" s="26"/>
      <c r="K3385" s="27"/>
      <c r="L3385" s="27"/>
      <c r="M3385" s="27"/>
      <c r="N3385" s="27"/>
      <c r="O3385" s="24" t="str">
        <f aca="false">IF(G3385="","",VLOOKUP(G3385,Setup!$A$14:$C$17,3,0))</f>
        <v/>
      </c>
      <c r="P3385" s="27"/>
      <c r="Q3385" s="29" t="str">
        <f aca="false">IF(OR(P3385="",M3385&lt;&gt;"Paid",O3385=""),"",P3385/O3385)</f>
        <v/>
      </c>
      <c r="R3385" s="30" t="str">
        <f aca="false">IF(Q3385="","",Q3385+N(H3385)*0.000000001)</f>
        <v/>
      </c>
      <c r="S3385" s="25" t="str">
        <f aca="false">IF(R3385="","",SUMPRODUCT((I$5:I$4004=I3385)*ISNUMBER(R$5:R$4004)*(R$5:R$4004&gt;R3385))+1)</f>
        <v/>
      </c>
      <c r="T3385" s="25" t="str">
        <f aca="false">IF(S3385="","",IF(S3385&lt;=Setup!$B$5,"🏆 WINNER",""))</f>
        <v/>
      </c>
      <c r="U3385" s="24" t="str">
        <f aca="false">IF(S3385="","",I3385&amp;"|"&amp;S3385)</f>
        <v/>
      </c>
    </row>
    <row r="3386" customFormat="false" ht="15" hidden="false" customHeight="false" outlineLevel="0" collapsed="false">
      <c r="A3386" s="31" t="n">
        <v>3382</v>
      </c>
      <c r="B3386" s="32" t="str">
        <f aca="false">IF(OR(C3386="",I3386="",G3386=""),"",IFERROR(VLOOKUP(I3386,Setup!$A$9:$B$11,2,0),"???")&amp;"-"&amp;G3386&amp;"-"&amp;TEXT(COUNTIFS(I$5:I3386,I3386,G$5:G3386,G3386),"0000"))</f>
        <v/>
      </c>
      <c r="C3386" s="26"/>
      <c r="D3386" s="26"/>
      <c r="E3386" s="27"/>
      <c r="F3386" s="27"/>
      <c r="G3386" s="31" t="str">
        <f aca="false">IF(F3386="","",IF(F3386&lt;=5,"A",IF(F3386&lt;=8,"B",IF(F3386&lt;=10,"C","D"))))</f>
        <v/>
      </c>
      <c r="H3386" s="28"/>
      <c r="I3386" s="27"/>
      <c r="J3386" s="26"/>
      <c r="K3386" s="27"/>
      <c r="L3386" s="27"/>
      <c r="M3386" s="27"/>
      <c r="N3386" s="27"/>
      <c r="O3386" s="31" t="str">
        <f aca="false">IF(G3386="","",VLOOKUP(G3386,Setup!$A$14:$C$17,3,0))</f>
        <v/>
      </c>
      <c r="P3386" s="27"/>
      <c r="Q3386" s="33" t="str">
        <f aca="false">IF(OR(P3386="",M3386&lt;&gt;"Paid",O3386=""),"",P3386/O3386)</f>
        <v/>
      </c>
      <c r="R3386" s="34" t="str">
        <f aca="false">IF(Q3386="","",Q3386+N(H3386)*0.000000001)</f>
        <v/>
      </c>
      <c r="S3386" s="32" t="str">
        <f aca="false">IF(R3386="","",SUMPRODUCT((I$5:I$4004=I3386)*ISNUMBER(R$5:R$4004)*(R$5:R$4004&gt;R3386))+1)</f>
        <v/>
      </c>
      <c r="T3386" s="32" t="str">
        <f aca="false">IF(S3386="","",IF(S3386&lt;=Setup!$B$5,"🏆 WINNER",""))</f>
        <v/>
      </c>
      <c r="U3386" s="31" t="str">
        <f aca="false">IF(S3386="","",I3386&amp;"|"&amp;S3386)</f>
        <v/>
      </c>
    </row>
    <row r="3387" customFormat="false" ht="15" hidden="false" customHeight="false" outlineLevel="0" collapsed="false">
      <c r="A3387" s="24" t="n">
        <v>3383</v>
      </c>
      <c r="B3387" s="25" t="str">
        <f aca="false">IF(OR(C3387="",I3387="",G3387=""),"",IFERROR(VLOOKUP(I3387,Setup!$A$9:$B$11,2,0),"???")&amp;"-"&amp;G3387&amp;"-"&amp;TEXT(COUNTIFS(I$5:I3387,I3387,G$5:G3387,G3387),"0000"))</f>
        <v/>
      </c>
      <c r="C3387" s="26"/>
      <c r="D3387" s="26"/>
      <c r="E3387" s="27"/>
      <c r="F3387" s="27"/>
      <c r="G3387" s="24" t="str">
        <f aca="false">IF(F3387="","",IF(F3387&lt;=5,"A",IF(F3387&lt;=8,"B",IF(F3387&lt;=10,"C","D"))))</f>
        <v/>
      </c>
      <c r="H3387" s="28"/>
      <c r="I3387" s="27"/>
      <c r="J3387" s="26"/>
      <c r="K3387" s="27"/>
      <c r="L3387" s="27"/>
      <c r="M3387" s="27"/>
      <c r="N3387" s="27"/>
      <c r="O3387" s="24" t="str">
        <f aca="false">IF(G3387="","",VLOOKUP(G3387,Setup!$A$14:$C$17,3,0))</f>
        <v/>
      </c>
      <c r="P3387" s="27"/>
      <c r="Q3387" s="29" t="str">
        <f aca="false">IF(OR(P3387="",M3387&lt;&gt;"Paid",O3387=""),"",P3387/O3387)</f>
        <v/>
      </c>
      <c r="R3387" s="30" t="str">
        <f aca="false">IF(Q3387="","",Q3387+N(H3387)*0.000000001)</f>
        <v/>
      </c>
      <c r="S3387" s="25" t="str">
        <f aca="false">IF(R3387="","",SUMPRODUCT((I$5:I$4004=I3387)*ISNUMBER(R$5:R$4004)*(R$5:R$4004&gt;R3387))+1)</f>
        <v/>
      </c>
      <c r="T3387" s="25" t="str">
        <f aca="false">IF(S3387="","",IF(S3387&lt;=Setup!$B$5,"🏆 WINNER",""))</f>
        <v/>
      </c>
      <c r="U3387" s="24" t="str">
        <f aca="false">IF(S3387="","",I3387&amp;"|"&amp;S3387)</f>
        <v/>
      </c>
    </row>
    <row r="3388" customFormat="false" ht="15" hidden="false" customHeight="false" outlineLevel="0" collapsed="false">
      <c r="A3388" s="31" t="n">
        <v>3384</v>
      </c>
      <c r="B3388" s="32" t="str">
        <f aca="false">IF(OR(C3388="",I3388="",G3388=""),"",IFERROR(VLOOKUP(I3388,Setup!$A$9:$B$11,2,0),"???")&amp;"-"&amp;G3388&amp;"-"&amp;TEXT(COUNTIFS(I$5:I3388,I3388,G$5:G3388,G3388),"0000"))</f>
        <v/>
      </c>
      <c r="C3388" s="26"/>
      <c r="D3388" s="26"/>
      <c r="E3388" s="27"/>
      <c r="F3388" s="27"/>
      <c r="G3388" s="31" t="str">
        <f aca="false">IF(F3388="","",IF(F3388&lt;=5,"A",IF(F3388&lt;=8,"B",IF(F3388&lt;=10,"C","D"))))</f>
        <v/>
      </c>
      <c r="H3388" s="28"/>
      <c r="I3388" s="27"/>
      <c r="J3388" s="26"/>
      <c r="K3388" s="27"/>
      <c r="L3388" s="27"/>
      <c r="M3388" s="27"/>
      <c r="N3388" s="27"/>
      <c r="O3388" s="31" t="str">
        <f aca="false">IF(G3388="","",VLOOKUP(G3388,Setup!$A$14:$C$17,3,0))</f>
        <v/>
      </c>
      <c r="P3388" s="27"/>
      <c r="Q3388" s="33" t="str">
        <f aca="false">IF(OR(P3388="",M3388&lt;&gt;"Paid",O3388=""),"",P3388/O3388)</f>
        <v/>
      </c>
      <c r="R3388" s="34" t="str">
        <f aca="false">IF(Q3388="","",Q3388+N(H3388)*0.000000001)</f>
        <v/>
      </c>
      <c r="S3388" s="32" t="str">
        <f aca="false">IF(R3388="","",SUMPRODUCT((I$5:I$4004=I3388)*ISNUMBER(R$5:R$4004)*(R$5:R$4004&gt;R3388))+1)</f>
        <v/>
      </c>
      <c r="T3388" s="32" t="str">
        <f aca="false">IF(S3388="","",IF(S3388&lt;=Setup!$B$5,"🏆 WINNER",""))</f>
        <v/>
      </c>
      <c r="U3388" s="31" t="str">
        <f aca="false">IF(S3388="","",I3388&amp;"|"&amp;S3388)</f>
        <v/>
      </c>
    </row>
    <row r="3389" customFormat="false" ht="15" hidden="false" customHeight="false" outlineLevel="0" collapsed="false">
      <c r="A3389" s="24" t="n">
        <v>3385</v>
      </c>
      <c r="B3389" s="25" t="str">
        <f aca="false">IF(OR(C3389="",I3389="",G3389=""),"",IFERROR(VLOOKUP(I3389,Setup!$A$9:$B$11,2,0),"???")&amp;"-"&amp;G3389&amp;"-"&amp;TEXT(COUNTIFS(I$5:I3389,I3389,G$5:G3389,G3389),"0000"))</f>
        <v/>
      </c>
      <c r="C3389" s="26"/>
      <c r="D3389" s="26"/>
      <c r="E3389" s="27"/>
      <c r="F3389" s="27"/>
      <c r="G3389" s="24" t="str">
        <f aca="false">IF(F3389="","",IF(F3389&lt;=5,"A",IF(F3389&lt;=8,"B",IF(F3389&lt;=10,"C","D"))))</f>
        <v/>
      </c>
      <c r="H3389" s="28"/>
      <c r="I3389" s="27"/>
      <c r="J3389" s="26"/>
      <c r="K3389" s="27"/>
      <c r="L3389" s="27"/>
      <c r="M3389" s="27"/>
      <c r="N3389" s="27"/>
      <c r="O3389" s="24" t="str">
        <f aca="false">IF(G3389="","",VLOOKUP(G3389,Setup!$A$14:$C$17,3,0))</f>
        <v/>
      </c>
      <c r="P3389" s="27"/>
      <c r="Q3389" s="29" t="str">
        <f aca="false">IF(OR(P3389="",M3389&lt;&gt;"Paid",O3389=""),"",P3389/O3389)</f>
        <v/>
      </c>
      <c r="R3389" s="30" t="str">
        <f aca="false">IF(Q3389="","",Q3389+N(H3389)*0.000000001)</f>
        <v/>
      </c>
      <c r="S3389" s="25" t="str">
        <f aca="false">IF(R3389="","",SUMPRODUCT((I$5:I$4004=I3389)*ISNUMBER(R$5:R$4004)*(R$5:R$4004&gt;R3389))+1)</f>
        <v/>
      </c>
      <c r="T3389" s="25" t="str">
        <f aca="false">IF(S3389="","",IF(S3389&lt;=Setup!$B$5,"🏆 WINNER",""))</f>
        <v/>
      </c>
      <c r="U3389" s="24" t="str">
        <f aca="false">IF(S3389="","",I3389&amp;"|"&amp;S3389)</f>
        <v/>
      </c>
    </row>
    <row r="3390" customFormat="false" ht="15" hidden="false" customHeight="false" outlineLevel="0" collapsed="false">
      <c r="A3390" s="31" t="n">
        <v>3386</v>
      </c>
      <c r="B3390" s="32" t="str">
        <f aca="false">IF(OR(C3390="",I3390="",G3390=""),"",IFERROR(VLOOKUP(I3390,Setup!$A$9:$B$11,2,0),"???")&amp;"-"&amp;G3390&amp;"-"&amp;TEXT(COUNTIFS(I$5:I3390,I3390,G$5:G3390,G3390),"0000"))</f>
        <v/>
      </c>
      <c r="C3390" s="26"/>
      <c r="D3390" s="26"/>
      <c r="E3390" s="27"/>
      <c r="F3390" s="27"/>
      <c r="G3390" s="31" t="str">
        <f aca="false">IF(F3390="","",IF(F3390&lt;=5,"A",IF(F3390&lt;=8,"B",IF(F3390&lt;=10,"C","D"))))</f>
        <v/>
      </c>
      <c r="H3390" s="28"/>
      <c r="I3390" s="27"/>
      <c r="J3390" s="26"/>
      <c r="K3390" s="27"/>
      <c r="L3390" s="27"/>
      <c r="M3390" s="27"/>
      <c r="N3390" s="27"/>
      <c r="O3390" s="31" t="str">
        <f aca="false">IF(G3390="","",VLOOKUP(G3390,Setup!$A$14:$C$17,3,0))</f>
        <v/>
      </c>
      <c r="P3390" s="27"/>
      <c r="Q3390" s="33" t="str">
        <f aca="false">IF(OR(P3390="",M3390&lt;&gt;"Paid",O3390=""),"",P3390/O3390)</f>
        <v/>
      </c>
      <c r="R3390" s="34" t="str">
        <f aca="false">IF(Q3390="","",Q3390+N(H3390)*0.000000001)</f>
        <v/>
      </c>
      <c r="S3390" s="32" t="str">
        <f aca="false">IF(R3390="","",SUMPRODUCT((I$5:I$4004=I3390)*ISNUMBER(R$5:R$4004)*(R$5:R$4004&gt;R3390))+1)</f>
        <v/>
      </c>
      <c r="T3390" s="32" t="str">
        <f aca="false">IF(S3390="","",IF(S3390&lt;=Setup!$B$5,"🏆 WINNER",""))</f>
        <v/>
      </c>
      <c r="U3390" s="31" t="str">
        <f aca="false">IF(S3390="","",I3390&amp;"|"&amp;S3390)</f>
        <v/>
      </c>
    </row>
    <row r="3391" customFormat="false" ht="15" hidden="false" customHeight="false" outlineLevel="0" collapsed="false">
      <c r="A3391" s="24" t="n">
        <v>3387</v>
      </c>
      <c r="B3391" s="25" t="str">
        <f aca="false">IF(OR(C3391="",I3391="",G3391=""),"",IFERROR(VLOOKUP(I3391,Setup!$A$9:$B$11,2,0),"???")&amp;"-"&amp;G3391&amp;"-"&amp;TEXT(COUNTIFS(I$5:I3391,I3391,G$5:G3391,G3391),"0000"))</f>
        <v/>
      </c>
      <c r="C3391" s="26"/>
      <c r="D3391" s="26"/>
      <c r="E3391" s="27"/>
      <c r="F3391" s="27"/>
      <c r="G3391" s="24" t="str">
        <f aca="false">IF(F3391="","",IF(F3391&lt;=5,"A",IF(F3391&lt;=8,"B",IF(F3391&lt;=10,"C","D"))))</f>
        <v/>
      </c>
      <c r="H3391" s="28"/>
      <c r="I3391" s="27"/>
      <c r="J3391" s="26"/>
      <c r="K3391" s="27"/>
      <c r="L3391" s="27"/>
      <c r="M3391" s="27"/>
      <c r="N3391" s="27"/>
      <c r="O3391" s="24" t="str">
        <f aca="false">IF(G3391="","",VLOOKUP(G3391,Setup!$A$14:$C$17,3,0))</f>
        <v/>
      </c>
      <c r="P3391" s="27"/>
      <c r="Q3391" s="29" t="str">
        <f aca="false">IF(OR(P3391="",M3391&lt;&gt;"Paid",O3391=""),"",P3391/O3391)</f>
        <v/>
      </c>
      <c r="R3391" s="30" t="str">
        <f aca="false">IF(Q3391="","",Q3391+N(H3391)*0.000000001)</f>
        <v/>
      </c>
      <c r="S3391" s="25" t="str">
        <f aca="false">IF(R3391="","",SUMPRODUCT((I$5:I$4004=I3391)*ISNUMBER(R$5:R$4004)*(R$5:R$4004&gt;R3391))+1)</f>
        <v/>
      </c>
      <c r="T3391" s="25" t="str">
        <f aca="false">IF(S3391="","",IF(S3391&lt;=Setup!$B$5,"🏆 WINNER",""))</f>
        <v/>
      </c>
      <c r="U3391" s="24" t="str">
        <f aca="false">IF(S3391="","",I3391&amp;"|"&amp;S3391)</f>
        <v/>
      </c>
    </row>
    <row r="3392" customFormat="false" ht="15" hidden="false" customHeight="false" outlineLevel="0" collapsed="false">
      <c r="A3392" s="31" t="n">
        <v>3388</v>
      </c>
      <c r="B3392" s="32" t="str">
        <f aca="false">IF(OR(C3392="",I3392="",G3392=""),"",IFERROR(VLOOKUP(I3392,Setup!$A$9:$B$11,2,0),"???")&amp;"-"&amp;G3392&amp;"-"&amp;TEXT(COUNTIFS(I$5:I3392,I3392,G$5:G3392,G3392),"0000"))</f>
        <v/>
      </c>
      <c r="C3392" s="26"/>
      <c r="D3392" s="26"/>
      <c r="E3392" s="27"/>
      <c r="F3392" s="27"/>
      <c r="G3392" s="31" t="str">
        <f aca="false">IF(F3392="","",IF(F3392&lt;=5,"A",IF(F3392&lt;=8,"B",IF(F3392&lt;=10,"C","D"))))</f>
        <v/>
      </c>
      <c r="H3392" s="28"/>
      <c r="I3392" s="27"/>
      <c r="J3392" s="26"/>
      <c r="K3392" s="27"/>
      <c r="L3392" s="27"/>
      <c r="M3392" s="27"/>
      <c r="N3392" s="27"/>
      <c r="O3392" s="31" t="str">
        <f aca="false">IF(G3392="","",VLOOKUP(G3392,Setup!$A$14:$C$17,3,0))</f>
        <v/>
      </c>
      <c r="P3392" s="27"/>
      <c r="Q3392" s="33" t="str">
        <f aca="false">IF(OR(P3392="",M3392&lt;&gt;"Paid",O3392=""),"",P3392/O3392)</f>
        <v/>
      </c>
      <c r="R3392" s="34" t="str">
        <f aca="false">IF(Q3392="","",Q3392+N(H3392)*0.000000001)</f>
        <v/>
      </c>
      <c r="S3392" s="32" t="str">
        <f aca="false">IF(R3392="","",SUMPRODUCT((I$5:I$4004=I3392)*ISNUMBER(R$5:R$4004)*(R$5:R$4004&gt;R3392))+1)</f>
        <v/>
      </c>
      <c r="T3392" s="32" t="str">
        <f aca="false">IF(S3392="","",IF(S3392&lt;=Setup!$B$5,"🏆 WINNER",""))</f>
        <v/>
      </c>
      <c r="U3392" s="31" t="str">
        <f aca="false">IF(S3392="","",I3392&amp;"|"&amp;S3392)</f>
        <v/>
      </c>
    </row>
    <row r="3393" customFormat="false" ht="15" hidden="false" customHeight="false" outlineLevel="0" collapsed="false">
      <c r="A3393" s="24" t="n">
        <v>3389</v>
      </c>
      <c r="B3393" s="25" t="str">
        <f aca="false">IF(OR(C3393="",I3393="",G3393=""),"",IFERROR(VLOOKUP(I3393,Setup!$A$9:$B$11,2,0),"???")&amp;"-"&amp;G3393&amp;"-"&amp;TEXT(COUNTIFS(I$5:I3393,I3393,G$5:G3393,G3393),"0000"))</f>
        <v/>
      </c>
      <c r="C3393" s="26"/>
      <c r="D3393" s="26"/>
      <c r="E3393" s="27"/>
      <c r="F3393" s="27"/>
      <c r="G3393" s="24" t="str">
        <f aca="false">IF(F3393="","",IF(F3393&lt;=5,"A",IF(F3393&lt;=8,"B",IF(F3393&lt;=10,"C","D"))))</f>
        <v/>
      </c>
      <c r="H3393" s="28"/>
      <c r="I3393" s="27"/>
      <c r="J3393" s="26"/>
      <c r="K3393" s="27"/>
      <c r="L3393" s="27"/>
      <c r="M3393" s="27"/>
      <c r="N3393" s="27"/>
      <c r="O3393" s="24" t="str">
        <f aca="false">IF(G3393="","",VLOOKUP(G3393,Setup!$A$14:$C$17,3,0))</f>
        <v/>
      </c>
      <c r="P3393" s="27"/>
      <c r="Q3393" s="29" t="str">
        <f aca="false">IF(OR(P3393="",M3393&lt;&gt;"Paid",O3393=""),"",P3393/O3393)</f>
        <v/>
      </c>
      <c r="R3393" s="30" t="str">
        <f aca="false">IF(Q3393="","",Q3393+N(H3393)*0.000000001)</f>
        <v/>
      </c>
      <c r="S3393" s="25" t="str">
        <f aca="false">IF(R3393="","",SUMPRODUCT((I$5:I$4004=I3393)*ISNUMBER(R$5:R$4004)*(R$5:R$4004&gt;R3393))+1)</f>
        <v/>
      </c>
      <c r="T3393" s="25" t="str">
        <f aca="false">IF(S3393="","",IF(S3393&lt;=Setup!$B$5,"🏆 WINNER",""))</f>
        <v/>
      </c>
      <c r="U3393" s="24" t="str">
        <f aca="false">IF(S3393="","",I3393&amp;"|"&amp;S3393)</f>
        <v/>
      </c>
    </row>
    <row r="3394" customFormat="false" ht="15" hidden="false" customHeight="false" outlineLevel="0" collapsed="false">
      <c r="A3394" s="31" t="n">
        <v>3390</v>
      </c>
      <c r="B3394" s="32" t="str">
        <f aca="false">IF(OR(C3394="",I3394="",G3394=""),"",IFERROR(VLOOKUP(I3394,Setup!$A$9:$B$11,2,0),"???")&amp;"-"&amp;G3394&amp;"-"&amp;TEXT(COUNTIFS(I$5:I3394,I3394,G$5:G3394,G3394),"0000"))</f>
        <v/>
      </c>
      <c r="C3394" s="26"/>
      <c r="D3394" s="26"/>
      <c r="E3394" s="27"/>
      <c r="F3394" s="27"/>
      <c r="G3394" s="31" t="str">
        <f aca="false">IF(F3394="","",IF(F3394&lt;=5,"A",IF(F3394&lt;=8,"B",IF(F3394&lt;=10,"C","D"))))</f>
        <v/>
      </c>
      <c r="H3394" s="28"/>
      <c r="I3394" s="27"/>
      <c r="J3394" s="26"/>
      <c r="K3394" s="27"/>
      <c r="L3394" s="27"/>
      <c r="M3394" s="27"/>
      <c r="N3394" s="27"/>
      <c r="O3394" s="31" t="str">
        <f aca="false">IF(G3394="","",VLOOKUP(G3394,Setup!$A$14:$C$17,3,0))</f>
        <v/>
      </c>
      <c r="P3394" s="27"/>
      <c r="Q3394" s="33" t="str">
        <f aca="false">IF(OR(P3394="",M3394&lt;&gt;"Paid",O3394=""),"",P3394/O3394)</f>
        <v/>
      </c>
      <c r="R3394" s="34" t="str">
        <f aca="false">IF(Q3394="","",Q3394+N(H3394)*0.000000001)</f>
        <v/>
      </c>
      <c r="S3394" s="32" t="str">
        <f aca="false">IF(R3394="","",SUMPRODUCT((I$5:I$4004=I3394)*ISNUMBER(R$5:R$4004)*(R$5:R$4004&gt;R3394))+1)</f>
        <v/>
      </c>
      <c r="T3394" s="32" t="str">
        <f aca="false">IF(S3394="","",IF(S3394&lt;=Setup!$B$5,"🏆 WINNER",""))</f>
        <v/>
      </c>
      <c r="U3394" s="31" t="str">
        <f aca="false">IF(S3394="","",I3394&amp;"|"&amp;S3394)</f>
        <v/>
      </c>
    </row>
    <row r="3395" customFormat="false" ht="15" hidden="false" customHeight="false" outlineLevel="0" collapsed="false">
      <c r="A3395" s="24" t="n">
        <v>3391</v>
      </c>
      <c r="B3395" s="25" t="str">
        <f aca="false">IF(OR(C3395="",I3395="",G3395=""),"",IFERROR(VLOOKUP(I3395,Setup!$A$9:$B$11,2,0),"???")&amp;"-"&amp;G3395&amp;"-"&amp;TEXT(COUNTIFS(I$5:I3395,I3395,G$5:G3395,G3395),"0000"))</f>
        <v/>
      </c>
      <c r="C3395" s="26"/>
      <c r="D3395" s="26"/>
      <c r="E3395" s="27"/>
      <c r="F3395" s="27"/>
      <c r="G3395" s="24" t="str">
        <f aca="false">IF(F3395="","",IF(F3395&lt;=5,"A",IF(F3395&lt;=8,"B",IF(F3395&lt;=10,"C","D"))))</f>
        <v/>
      </c>
      <c r="H3395" s="28"/>
      <c r="I3395" s="27"/>
      <c r="J3395" s="26"/>
      <c r="K3395" s="27"/>
      <c r="L3395" s="27"/>
      <c r="M3395" s="27"/>
      <c r="N3395" s="27"/>
      <c r="O3395" s="24" t="str">
        <f aca="false">IF(G3395="","",VLOOKUP(G3395,Setup!$A$14:$C$17,3,0))</f>
        <v/>
      </c>
      <c r="P3395" s="27"/>
      <c r="Q3395" s="29" t="str">
        <f aca="false">IF(OR(P3395="",M3395&lt;&gt;"Paid",O3395=""),"",P3395/O3395)</f>
        <v/>
      </c>
      <c r="R3395" s="30" t="str">
        <f aca="false">IF(Q3395="","",Q3395+N(H3395)*0.000000001)</f>
        <v/>
      </c>
      <c r="S3395" s="25" t="str">
        <f aca="false">IF(R3395="","",SUMPRODUCT((I$5:I$4004=I3395)*ISNUMBER(R$5:R$4004)*(R$5:R$4004&gt;R3395))+1)</f>
        <v/>
      </c>
      <c r="T3395" s="25" t="str">
        <f aca="false">IF(S3395="","",IF(S3395&lt;=Setup!$B$5,"🏆 WINNER",""))</f>
        <v/>
      </c>
      <c r="U3395" s="24" t="str">
        <f aca="false">IF(S3395="","",I3395&amp;"|"&amp;S3395)</f>
        <v/>
      </c>
    </row>
    <row r="3396" customFormat="false" ht="15" hidden="false" customHeight="false" outlineLevel="0" collapsed="false">
      <c r="A3396" s="31" t="n">
        <v>3392</v>
      </c>
      <c r="B3396" s="32" t="str">
        <f aca="false">IF(OR(C3396="",I3396="",G3396=""),"",IFERROR(VLOOKUP(I3396,Setup!$A$9:$B$11,2,0),"???")&amp;"-"&amp;G3396&amp;"-"&amp;TEXT(COUNTIFS(I$5:I3396,I3396,G$5:G3396,G3396),"0000"))</f>
        <v/>
      </c>
      <c r="C3396" s="26"/>
      <c r="D3396" s="26"/>
      <c r="E3396" s="27"/>
      <c r="F3396" s="27"/>
      <c r="G3396" s="31" t="str">
        <f aca="false">IF(F3396="","",IF(F3396&lt;=5,"A",IF(F3396&lt;=8,"B",IF(F3396&lt;=10,"C","D"))))</f>
        <v/>
      </c>
      <c r="H3396" s="28"/>
      <c r="I3396" s="27"/>
      <c r="J3396" s="26"/>
      <c r="K3396" s="27"/>
      <c r="L3396" s="27"/>
      <c r="M3396" s="27"/>
      <c r="N3396" s="27"/>
      <c r="O3396" s="31" t="str">
        <f aca="false">IF(G3396="","",VLOOKUP(G3396,Setup!$A$14:$C$17,3,0))</f>
        <v/>
      </c>
      <c r="P3396" s="27"/>
      <c r="Q3396" s="33" t="str">
        <f aca="false">IF(OR(P3396="",M3396&lt;&gt;"Paid",O3396=""),"",P3396/O3396)</f>
        <v/>
      </c>
      <c r="R3396" s="34" t="str">
        <f aca="false">IF(Q3396="","",Q3396+N(H3396)*0.000000001)</f>
        <v/>
      </c>
      <c r="S3396" s="32" t="str">
        <f aca="false">IF(R3396="","",SUMPRODUCT((I$5:I$4004=I3396)*ISNUMBER(R$5:R$4004)*(R$5:R$4004&gt;R3396))+1)</f>
        <v/>
      </c>
      <c r="T3396" s="32" t="str">
        <f aca="false">IF(S3396="","",IF(S3396&lt;=Setup!$B$5,"🏆 WINNER",""))</f>
        <v/>
      </c>
      <c r="U3396" s="31" t="str">
        <f aca="false">IF(S3396="","",I3396&amp;"|"&amp;S3396)</f>
        <v/>
      </c>
    </row>
    <row r="3397" customFormat="false" ht="15" hidden="false" customHeight="false" outlineLevel="0" collapsed="false">
      <c r="A3397" s="24" t="n">
        <v>3393</v>
      </c>
      <c r="B3397" s="25" t="str">
        <f aca="false">IF(OR(C3397="",I3397="",G3397=""),"",IFERROR(VLOOKUP(I3397,Setup!$A$9:$B$11,2,0),"???")&amp;"-"&amp;G3397&amp;"-"&amp;TEXT(COUNTIFS(I$5:I3397,I3397,G$5:G3397,G3397),"0000"))</f>
        <v/>
      </c>
      <c r="C3397" s="26"/>
      <c r="D3397" s="26"/>
      <c r="E3397" s="27"/>
      <c r="F3397" s="27"/>
      <c r="G3397" s="24" t="str">
        <f aca="false">IF(F3397="","",IF(F3397&lt;=5,"A",IF(F3397&lt;=8,"B",IF(F3397&lt;=10,"C","D"))))</f>
        <v/>
      </c>
      <c r="H3397" s="28"/>
      <c r="I3397" s="27"/>
      <c r="J3397" s="26"/>
      <c r="K3397" s="27"/>
      <c r="L3397" s="27"/>
      <c r="M3397" s="27"/>
      <c r="N3397" s="27"/>
      <c r="O3397" s="24" t="str">
        <f aca="false">IF(G3397="","",VLOOKUP(G3397,Setup!$A$14:$C$17,3,0))</f>
        <v/>
      </c>
      <c r="P3397" s="27"/>
      <c r="Q3397" s="29" t="str">
        <f aca="false">IF(OR(P3397="",M3397&lt;&gt;"Paid",O3397=""),"",P3397/O3397)</f>
        <v/>
      </c>
      <c r="R3397" s="30" t="str">
        <f aca="false">IF(Q3397="","",Q3397+N(H3397)*0.000000001)</f>
        <v/>
      </c>
      <c r="S3397" s="25" t="str">
        <f aca="false">IF(R3397="","",SUMPRODUCT((I$5:I$4004=I3397)*ISNUMBER(R$5:R$4004)*(R$5:R$4004&gt;R3397))+1)</f>
        <v/>
      </c>
      <c r="T3397" s="25" t="str">
        <f aca="false">IF(S3397="","",IF(S3397&lt;=Setup!$B$5,"🏆 WINNER",""))</f>
        <v/>
      </c>
      <c r="U3397" s="24" t="str">
        <f aca="false">IF(S3397="","",I3397&amp;"|"&amp;S3397)</f>
        <v/>
      </c>
    </row>
    <row r="3398" customFormat="false" ht="15" hidden="false" customHeight="false" outlineLevel="0" collapsed="false">
      <c r="A3398" s="31" t="n">
        <v>3394</v>
      </c>
      <c r="B3398" s="32" t="str">
        <f aca="false">IF(OR(C3398="",I3398="",G3398=""),"",IFERROR(VLOOKUP(I3398,Setup!$A$9:$B$11,2,0),"???")&amp;"-"&amp;G3398&amp;"-"&amp;TEXT(COUNTIFS(I$5:I3398,I3398,G$5:G3398,G3398),"0000"))</f>
        <v/>
      </c>
      <c r="C3398" s="26"/>
      <c r="D3398" s="26"/>
      <c r="E3398" s="27"/>
      <c r="F3398" s="27"/>
      <c r="G3398" s="31" t="str">
        <f aca="false">IF(F3398="","",IF(F3398&lt;=5,"A",IF(F3398&lt;=8,"B",IF(F3398&lt;=10,"C","D"))))</f>
        <v/>
      </c>
      <c r="H3398" s="28"/>
      <c r="I3398" s="27"/>
      <c r="J3398" s="26"/>
      <c r="K3398" s="27"/>
      <c r="L3398" s="27"/>
      <c r="M3398" s="27"/>
      <c r="N3398" s="27"/>
      <c r="O3398" s="31" t="str">
        <f aca="false">IF(G3398="","",VLOOKUP(G3398,Setup!$A$14:$C$17,3,0))</f>
        <v/>
      </c>
      <c r="P3398" s="27"/>
      <c r="Q3398" s="33" t="str">
        <f aca="false">IF(OR(P3398="",M3398&lt;&gt;"Paid",O3398=""),"",P3398/O3398)</f>
        <v/>
      </c>
      <c r="R3398" s="34" t="str">
        <f aca="false">IF(Q3398="","",Q3398+N(H3398)*0.000000001)</f>
        <v/>
      </c>
      <c r="S3398" s="32" t="str">
        <f aca="false">IF(R3398="","",SUMPRODUCT((I$5:I$4004=I3398)*ISNUMBER(R$5:R$4004)*(R$5:R$4004&gt;R3398))+1)</f>
        <v/>
      </c>
      <c r="T3398" s="32" t="str">
        <f aca="false">IF(S3398="","",IF(S3398&lt;=Setup!$B$5,"🏆 WINNER",""))</f>
        <v/>
      </c>
      <c r="U3398" s="31" t="str">
        <f aca="false">IF(S3398="","",I3398&amp;"|"&amp;S3398)</f>
        <v/>
      </c>
    </row>
    <row r="3399" customFormat="false" ht="15" hidden="false" customHeight="false" outlineLevel="0" collapsed="false">
      <c r="A3399" s="24" t="n">
        <v>3395</v>
      </c>
      <c r="B3399" s="25" t="str">
        <f aca="false">IF(OR(C3399="",I3399="",G3399=""),"",IFERROR(VLOOKUP(I3399,Setup!$A$9:$B$11,2,0),"???")&amp;"-"&amp;G3399&amp;"-"&amp;TEXT(COUNTIFS(I$5:I3399,I3399,G$5:G3399,G3399),"0000"))</f>
        <v/>
      </c>
      <c r="C3399" s="26"/>
      <c r="D3399" s="26"/>
      <c r="E3399" s="27"/>
      <c r="F3399" s="27"/>
      <c r="G3399" s="24" t="str">
        <f aca="false">IF(F3399="","",IF(F3399&lt;=5,"A",IF(F3399&lt;=8,"B",IF(F3399&lt;=10,"C","D"))))</f>
        <v/>
      </c>
      <c r="H3399" s="28"/>
      <c r="I3399" s="27"/>
      <c r="J3399" s="26"/>
      <c r="K3399" s="27"/>
      <c r="L3399" s="27"/>
      <c r="M3399" s="27"/>
      <c r="N3399" s="27"/>
      <c r="O3399" s="24" t="str">
        <f aca="false">IF(G3399="","",VLOOKUP(G3399,Setup!$A$14:$C$17,3,0))</f>
        <v/>
      </c>
      <c r="P3399" s="27"/>
      <c r="Q3399" s="29" t="str">
        <f aca="false">IF(OR(P3399="",M3399&lt;&gt;"Paid",O3399=""),"",P3399/O3399)</f>
        <v/>
      </c>
      <c r="R3399" s="30" t="str">
        <f aca="false">IF(Q3399="","",Q3399+N(H3399)*0.000000001)</f>
        <v/>
      </c>
      <c r="S3399" s="25" t="str">
        <f aca="false">IF(R3399="","",SUMPRODUCT((I$5:I$4004=I3399)*ISNUMBER(R$5:R$4004)*(R$5:R$4004&gt;R3399))+1)</f>
        <v/>
      </c>
      <c r="T3399" s="25" t="str">
        <f aca="false">IF(S3399="","",IF(S3399&lt;=Setup!$B$5,"🏆 WINNER",""))</f>
        <v/>
      </c>
      <c r="U3399" s="24" t="str">
        <f aca="false">IF(S3399="","",I3399&amp;"|"&amp;S3399)</f>
        <v/>
      </c>
    </row>
    <row r="3400" customFormat="false" ht="15" hidden="false" customHeight="false" outlineLevel="0" collapsed="false">
      <c r="A3400" s="31" t="n">
        <v>3396</v>
      </c>
      <c r="B3400" s="32" t="str">
        <f aca="false">IF(OR(C3400="",I3400="",G3400=""),"",IFERROR(VLOOKUP(I3400,Setup!$A$9:$B$11,2,0),"???")&amp;"-"&amp;G3400&amp;"-"&amp;TEXT(COUNTIFS(I$5:I3400,I3400,G$5:G3400,G3400),"0000"))</f>
        <v/>
      </c>
      <c r="C3400" s="26"/>
      <c r="D3400" s="26"/>
      <c r="E3400" s="27"/>
      <c r="F3400" s="27"/>
      <c r="G3400" s="31" t="str">
        <f aca="false">IF(F3400="","",IF(F3400&lt;=5,"A",IF(F3400&lt;=8,"B",IF(F3400&lt;=10,"C","D"))))</f>
        <v/>
      </c>
      <c r="H3400" s="28"/>
      <c r="I3400" s="27"/>
      <c r="J3400" s="26"/>
      <c r="K3400" s="27"/>
      <c r="L3400" s="27"/>
      <c r="M3400" s="27"/>
      <c r="N3400" s="27"/>
      <c r="O3400" s="31" t="str">
        <f aca="false">IF(G3400="","",VLOOKUP(G3400,Setup!$A$14:$C$17,3,0))</f>
        <v/>
      </c>
      <c r="P3400" s="27"/>
      <c r="Q3400" s="33" t="str">
        <f aca="false">IF(OR(P3400="",M3400&lt;&gt;"Paid",O3400=""),"",P3400/O3400)</f>
        <v/>
      </c>
      <c r="R3400" s="34" t="str">
        <f aca="false">IF(Q3400="","",Q3400+N(H3400)*0.000000001)</f>
        <v/>
      </c>
      <c r="S3400" s="32" t="str">
        <f aca="false">IF(R3400="","",SUMPRODUCT((I$5:I$4004=I3400)*ISNUMBER(R$5:R$4004)*(R$5:R$4004&gt;R3400))+1)</f>
        <v/>
      </c>
      <c r="T3400" s="32" t="str">
        <f aca="false">IF(S3400="","",IF(S3400&lt;=Setup!$B$5,"🏆 WINNER",""))</f>
        <v/>
      </c>
      <c r="U3400" s="31" t="str">
        <f aca="false">IF(S3400="","",I3400&amp;"|"&amp;S3400)</f>
        <v/>
      </c>
    </row>
    <row r="3401" customFormat="false" ht="15" hidden="false" customHeight="false" outlineLevel="0" collapsed="false">
      <c r="A3401" s="24" t="n">
        <v>3397</v>
      </c>
      <c r="B3401" s="25" t="str">
        <f aca="false">IF(OR(C3401="",I3401="",G3401=""),"",IFERROR(VLOOKUP(I3401,Setup!$A$9:$B$11,2,0),"???")&amp;"-"&amp;G3401&amp;"-"&amp;TEXT(COUNTIFS(I$5:I3401,I3401,G$5:G3401,G3401),"0000"))</f>
        <v/>
      </c>
      <c r="C3401" s="26"/>
      <c r="D3401" s="26"/>
      <c r="E3401" s="27"/>
      <c r="F3401" s="27"/>
      <c r="G3401" s="24" t="str">
        <f aca="false">IF(F3401="","",IF(F3401&lt;=5,"A",IF(F3401&lt;=8,"B",IF(F3401&lt;=10,"C","D"))))</f>
        <v/>
      </c>
      <c r="H3401" s="28"/>
      <c r="I3401" s="27"/>
      <c r="J3401" s="26"/>
      <c r="K3401" s="27"/>
      <c r="L3401" s="27"/>
      <c r="M3401" s="27"/>
      <c r="N3401" s="27"/>
      <c r="O3401" s="24" t="str">
        <f aca="false">IF(G3401="","",VLOOKUP(G3401,Setup!$A$14:$C$17,3,0))</f>
        <v/>
      </c>
      <c r="P3401" s="27"/>
      <c r="Q3401" s="29" t="str">
        <f aca="false">IF(OR(P3401="",M3401&lt;&gt;"Paid",O3401=""),"",P3401/O3401)</f>
        <v/>
      </c>
      <c r="R3401" s="30" t="str">
        <f aca="false">IF(Q3401="","",Q3401+N(H3401)*0.000000001)</f>
        <v/>
      </c>
      <c r="S3401" s="25" t="str">
        <f aca="false">IF(R3401="","",SUMPRODUCT((I$5:I$4004=I3401)*ISNUMBER(R$5:R$4004)*(R$5:R$4004&gt;R3401))+1)</f>
        <v/>
      </c>
      <c r="T3401" s="25" t="str">
        <f aca="false">IF(S3401="","",IF(S3401&lt;=Setup!$B$5,"🏆 WINNER",""))</f>
        <v/>
      </c>
      <c r="U3401" s="24" t="str">
        <f aca="false">IF(S3401="","",I3401&amp;"|"&amp;S3401)</f>
        <v/>
      </c>
    </row>
    <row r="3402" customFormat="false" ht="15" hidden="false" customHeight="false" outlineLevel="0" collapsed="false">
      <c r="A3402" s="31" t="n">
        <v>3398</v>
      </c>
      <c r="B3402" s="32" t="str">
        <f aca="false">IF(OR(C3402="",I3402="",G3402=""),"",IFERROR(VLOOKUP(I3402,Setup!$A$9:$B$11,2,0),"???")&amp;"-"&amp;G3402&amp;"-"&amp;TEXT(COUNTIFS(I$5:I3402,I3402,G$5:G3402,G3402),"0000"))</f>
        <v/>
      </c>
      <c r="C3402" s="26"/>
      <c r="D3402" s="26"/>
      <c r="E3402" s="27"/>
      <c r="F3402" s="27"/>
      <c r="G3402" s="31" t="str">
        <f aca="false">IF(F3402="","",IF(F3402&lt;=5,"A",IF(F3402&lt;=8,"B",IF(F3402&lt;=10,"C","D"))))</f>
        <v/>
      </c>
      <c r="H3402" s="28"/>
      <c r="I3402" s="27"/>
      <c r="J3402" s="26"/>
      <c r="K3402" s="27"/>
      <c r="L3402" s="27"/>
      <c r="M3402" s="27"/>
      <c r="N3402" s="27"/>
      <c r="O3402" s="31" t="str">
        <f aca="false">IF(G3402="","",VLOOKUP(G3402,Setup!$A$14:$C$17,3,0))</f>
        <v/>
      </c>
      <c r="P3402" s="27"/>
      <c r="Q3402" s="33" t="str">
        <f aca="false">IF(OR(P3402="",M3402&lt;&gt;"Paid",O3402=""),"",P3402/O3402)</f>
        <v/>
      </c>
      <c r="R3402" s="34" t="str">
        <f aca="false">IF(Q3402="","",Q3402+N(H3402)*0.000000001)</f>
        <v/>
      </c>
      <c r="S3402" s="32" t="str">
        <f aca="false">IF(R3402="","",SUMPRODUCT((I$5:I$4004=I3402)*ISNUMBER(R$5:R$4004)*(R$5:R$4004&gt;R3402))+1)</f>
        <v/>
      </c>
      <c r="T3402" s="32" t="str">
        <f aca="false">IF(S3402="","",IF(S3402&lt;=Setup!$B$5,"🏆 WINNER",""))</f>
        <v/>
      </c>
      <c r="U3402" s="31" t="str">
        <f aca="false">IF(S3402="","",I3402&amp;"|"&amp;S3402)</f>
        <v/>
      </c>
    </row>
    <row r="3403" customFormat="false" ht="15" hidden="false" customHeight="false" outlineLevel="0" collapsed="false">
      <c r="A3403" s="24" t="n">
        <v>3399</v>
      </c>
      <c r="B3403" s="25" t="str">
        <f aca="false">IF(OR(C3403="",I3403="",G3403=""),"",IFERROR(VLOOKUP(I3403,Setup!$A$9:$B$11,2,0),"???")&amp;"-"&amp;G3403&amp;"-"&amp;TEXT(COUNTIFS(I$5:I3403,I3403,G$5:G3403,G3403),"0000"))</f>
        <v/>
      </c>
      <c r="C3403" s="26"/>
      <c r="D3403" s="26"/>
      <c r="E3403" s="27"/>
      <c r="F3403" s="27"/>
      <c r="G3403" s="24" t="str">
        <f aca="false">IF(F3403="","",IF(F3403&lt;=5,"A",IF(F3403&lt;=8,"B",IF(F3403&lt;=10,"C","D"))))</f>
        <v/>
      </c>
      <c r="H3403" s="28"/>
      <c r="I3403" s="27"/>
      <c r="J3403" s="26"/>
      <c r="K3403" s="27"/>
      <c r="L3403" s="27"/>
      <c r="M3403" s="27"/>
      <c r="N3403" s="27"/>
      <c r="O3403" s="24" t="str">
        <f aca="false">IF(G3403="","",VLOOKUP(G3403,Setup!$A$14:$C$17,3,0))</f>
        <v/>
      </c>
      <c r="P3403" s="27"/>
      <c r="Q3403" s="29" t="str">
        <f aca="false">IF(OR(P3403="",M3403&lt;&gt;"Paid",O3403=""),"",P3403/O3403)</f>
        <v/>
      </c>
      <c r="R3403" s="30" t="str">
        <f aca="false">IF(Q3403="","",Q3403+N(H3403)*0.000000001)</f>
        <v/>
      </c>
      <c r="S3403" s="25" t="str">
        <f aca="false">IF(R3403="","",SUMPRODUCT((I$5:I$4004=I3403)*ISNUMBER(R$5:R$4004)*(R$5:R$4004&gt;R3403))+1)</f>
        <v/>
      </c>
      <c r="T3403" s="25" t="str">
        <f aca="false">IF(S3403="","",IF(S3403&lt;=Setup!$B$5,"🏆 WINNER",""))</f>
        <v/>
      </c>
      <c r="U3403" s="24" t="str">
        <f aca="false">IF(S3403="","",I3403&amp;"|"&amp;S3403)</f>
        <v/>
      </c>
    </row>
    <row r="3404" customFormat="false" ht="15" hidden="false" customHeight="false" outlineLevel="0" collapsed="false">
      <c r="A3404" s="31" t="n">
        <v>3400</v>
      </c>
      <c r="B3404" s="32" t="str">
        <f aca="false">IF(OR(C3404="",I3404="",G3404=""),"",IFERROR(VLOOKUP(I3404,Setup!$A$9:$B$11,2,0),"???")&amp;"-"&amp;G3404&amp;"-"&amp;TEXT(COUNTIFS(I$5:I3404,I3404,G$5:G3404,G3404),"0000"))</f>
        <v/>
      </c>
      <c r="C3404" s="26"/>
      <c r="D3404" s="26"/>
      <c r="E3404" s="27"/>
      <c r="F3404" s="27"/>
      <c r="G3404" s="31" t="str">
        <f aca="false">IF(F3404="","",IF(F3404&lt;=5,"A",IF(F3404&lt;=8,"B",IF(F3404&lt;=10,"C","D"))))</f>
        <v/>
      </c>
      <c r="H3404" s="28"/>
      <c r="I3404" s="27"/>
      <c r="J3404" s="26"/>
      <c r="K3404" s="27"/>
      <c r="L3404" s="27"/>
      <c r="M3404" s="27"/>
      <c r="N3404" s="27"/>
      <c r="O3404" s="31" t="str">
        <f aca="false">IF(G3404="","",VLOOKUP(G3404,Setup!$A$14:$C$17,3,0))</f>
        <v/>
      </c>
      <c r="P3404" s="27"/>
      <c r="Q3404" s="33" t="str">
        <f aca="false">IF(OR(P3404="",M3404&lt;&gt;"Paid",O3404=""),"",P3404/O3404)</f>
        <v/>
      </c>
      <c r="R3404" s="34" t="str">
        <f aca="false">IF(Q3404="","",Q3404+N(H3404)*0.000000001)</f>
        <v/>
      </c>
      <c r="S3404" s="32" t="str">
        <f aca="false">IF(R3404="","",SUMPRODUCT((I$5:I$4004=I3404)*ISNUMBER(R$5:R$4004)*(R$5:R$4004&gt;R3404))+1)</f>
        <v/>
      </c>
      <c r="T3404" s="32" t="str">
        <f aca="false">IF(S3404="","",IF(S3404&lt;=Setup!$B$5,"🏆 WINNER",""))</f>
        <v/>
      </c>
      <c r="U3404" s="31" t="str">
        <f aca="false">IF(S3404="","",I3404&amp;"|"&amp;S3404)</f>
        <v/>
      </c>
    </row>
    <row r="3405" customFormat="false" ht="15" hidden="false" customHeight="false" outlineLevel="0" collapsed="false">
      <c r="A3405" s="24" t="n">
        <v>3401</v>
      </c>
      <c r="B3405" s="25" t="str">
        <f aca="false">IF(OR(C3405="",I3405="",G3405=""),"",IFERROR(VLOOKUP(I3405,Setup!$A$9:$B$11,2,0),"???")&amp;"-"&amp;G3405&amp;"-"&amp;TEXT(COUNTIFS(I$5:I3405,I3405,G$5:G3405,G3405),"0000"))</f>
        <v/>
      </c>
      <c r="C3405" s="26"/>
      <c r="D3405" s="26"/>
      <c r="E3405" s="27"/>
      <c r="F3405" s="27"/>
      <c r="G3405" s="24" t="str">
        <f aca="false">IF(F3405="","",IF(F3405&lt;=5,"A",IF(F3405&lt;=8,"B",IF(F3405&lt;=10,"C","D"))))</f>
        <v/>
      </c>
      <c r="H3405" s="28"/>
      <c r="I3405" s="27"/>
      <c r="J3405" s="26"/>
      <c r="K3405" s="27"/>
      <c r="L3405" s="27"/>
      <c r="M3405" s="27"/>
      <c r="N3405" s="27"/>
      <c r="O3405" s="24" t="str">
        <f aca="false">IF(G3405="","",VLOOKUP(G3405,Setup!$A$14:$C$17,3,0))</f>
        <v/>
      </c>
      <c r="P3405" s="27"/>
      <c r="Q3405" s="29" t="str">
        <f aca="false">IF(OR(P3405="",M3405&lt;&gt;"Paid",O3405=""),"",P3405/O3405)</f>
        <v/>
      </c>
      <c r="R3405" s="30" t="str">
        <f aca="false">IF(Q3405="","",Q3405+N(H3405)*0.000000001)</f>
        <v/>
      </c>
      <c r="S3405" s="25" t="str">
        <f aca="false">IF(R3405="","",SUMPRODUCT((I$5:I$4004=I3405)*ISNUMBER(R$5:R$4004)*(R$5:R$4004&gt;R3405))+1)</f>
        <v/>
      </c>
      <c r="T3405" s="25" t="str">
        <f aca="false">IF(S3405="","",IF(S3405&lt;=Setup!$B$5,"🏆 WINNER",""))</f>
        <v/>
      </c>
      <c r="U3405" s="24" t="str">
        <f aca="false">IF(S3405="","",I3405&amp;"|"&amp;S3405)</f>
        <v/>
      </c>
    </row>
    <row r="3406" customFormat="false" ht="15" hidden="false" customHeight="false" outlineLevel="0" collapsed="false">
      <c r="A3406" s="31" t="n">
        <v>3402</v>
      </c>
      <c r="B3406" s="32" t="str">
        <f aca="false">IF(OR(C3406="",I3406="",G3406=""),"",IFERROR(VLOOKUP(I3406,Setup!$A$9:$B$11,2,0),"???")&amp;"-"&amp;G3406&amp;"-"&amp;TEXT(COUNTIFS(I$5:I3406,I3406,G$5:G3406,G3406),"0000"))</f>
        <v/>
      </c>
      <c r="C3406" s="26"/>
      <c r="D3406" s="26"/>
      <c r="E3406" s="27"/>
      <c r="F3406" s="27"/>
      <c r="G3406" s="31" t="str">
        <f aca="false">IF(F3406="","",IF(F3406&lt;=5,"A",IF(F3406&lt;=8,"B",IF(F3406&lt;=10,"C","D"))))</f>
        <v/>
      </c>
      <c r="H3406" s="28"/>
      <c r="I3406" s="27"/>
      <c r="J3406" s="26"/>
      <c r="K3406" s="27"/>
      <c r="L3406" s="27"/>
      <c r="M3406" s="27"/>
      <c r="N3406" s="27"/>
      <c r="O3406" s="31" t="str">
        <f aca="false">IF(G3406="","",VLOOKUP(G3406,Setup!$A$14:$C$17,3,0))</f>
        <v/>
      </c>
      <c r="P3406" s="27"/>
      <c r="Q3406" s="33" t="str">
        <f aca="false">IF(OR(P3406="",M3406&lt;&gt;"Paid",O3406=""),"",P3406/O3406)</f>
        <v/>
      </c>
      <c r="R3406" s="34" t="str">
        <f aca="false">IF(Q3406="","",Q3406+N(H3406)*0.000000001)</f>
        <v/>
      </c>
      <c r="S3406" s="32" t="str">
        <f aca="false">IF(R3406="","",SUMPRODUCT((I$5:I$4004=I3406)*ISNUMBER(R$5:R$4004)*(R$5:R$4004&gt;R3406))+1)</f>
        <v/>
      </c>
      <c r="T3406" s="32" t="str">
        <f aca="false">IF(S3406="","",IF(S3406&lt;=Setup!$B$5,"🏆 WINNER",""))</f>
        <v/>
      </c>
      <c r="U3406" s="31" t="str">
        <f aca="false">IF(S3406="","",I3406&amp;"|"&amp;S3406)</f>
        <v/>
      </c>
    </row>
    <row r="3407" customFormat="false" ht="15" hidden="false" customHeight="false" outlineLevel="0" collapsed="false">
      <c r="A3407" s="24" t="n">
        <v>3403</v>
      </c>
      <c r="B3407" s="25" t="str">
        <f aca="false">IF(OR(C3407="",I3407="",G3407=""),"",IFERROR(VLOOKUP(I3407,Setup!$A$9:$B$11,2,0),"???")&amp;"-"&amp;G3407&amp;"-"&amp;TEXT(COUNTIFS(I$5:I3407,I3407,G$5:G3407,G3407),"0000"))</f>
        <v/>
      </c>
      <c r="C3407" s="26"/>
      <c r="D3407" s="26"/>
      <c r="E3407" s="27"/>
      <c r="F3407" s="27"/>
      <c r="G3407" s="24" t="str">
        <f aca="false">IF(F3407="","",IF(F3407&lt;=5,"A",IF(F3407&lt;=8,"B",IF(F3407&lt;=10,"C","D"))))</f>
        <v/>
      </c>
      <c r="H3407" s="28"/>
      <c r="I3407" s="27"/>
      <c r="J3407" s="26"/>
      <c r="K3407" s="27"/>
      <c r="L3407" s="27"/>
      <c r="M3407" s="27"/>
      <c r="N3407" s="27"/>
      <c r="O3407" s="24" t="str">
        <f aca="false">IF(G3407="","",VLOOKUP(G3407,Setup!$A$14:$C$17,3,0))</f>
        <v/>
      </c>
      <c r="P3407" s="27"/>
      <c r="Q3407" s="29" t="str">
        <f aca="false">IF(OR(P3407="",M3407&lt;&gt;"Paid",O3407=""),"",P3407/O3407)</f>
        <v/>
      </c>
      <c r="R3407" s="30" t="str">
        <f aca="false">IF(Q3407="","",Q3407+N(H3407)*0.000000001)</f>
        <v/>
      </c>
      <c r="S3407" s="25" t="str">
        <f aca="false">IF(R3407="","",SUMPRODUCT((I$5:I$4004=I3407)*ISNUMBER(R$5:R$4004)*(R$5:R$4004&gt;R3407))+1)</f>
        <v/>
      </c>
      <c r="T3407" s="25" t="str">
        <f aca="false">IF(S3407="","",IF(S3407&lt;=Setup!$B$5,"🏆 WINNER",""))</f>
        <v/>
      </c>
      <c r="U3407" s="24" t="str">
        <f aca="false">IF(S3407="","",I3407&amp;"|"&amp;S3407)</f>
        <v/>
      </c>
    </row>
    <row r="3408" customFormat="false" ht="15" hidden="false" customHeight="false" outlineLevel="0" collapsed="false">
      <c r="A3408" s="31" t="n">
        <v>3404</v>
      </c>
      <c r="B3408" s="32" t="str">
        <f aca="false">IF(OR(C3408="",I3408="",G3408=""),"",IFERROR(VLOOKUP(I3408,Setup!$A$9:$B$11,2,0),"???")&amp;"-"&amp;G3408&amp;"-"&amp;TEXT(COUNTIFS(I$5:I3408,I3408,G$5:G3408,G3408),"0000"))</f>
        <v/>
      </c>
      <c r="C3408" s="26"/>
      <c r="D3408" s="26"/>
      <c r="E3408" s="27"/>
      <c r="F3408" s="27"/>
      <c r="G3408" s="31" t="str">
        <f aca="false">IF(F3408="","",IF(F3408&lt;=5,"A",IF(F3408&lt;=8,"B",IF(F3408&lt;=10,"C","D"))))</f>
        <v/>
      </c>
      <c r="H3408" s="28"/>
      <c r="I3408" s="27"/>
      <c r="J3408" s="26"/>
      <c r="K3408" s="27"/>
      <c r="L3408" s="27"/>
      <c r="M3408" s="27"/>
      <c r="N3408" s="27"/>
      <c r="O3408" s="31" t="str">
        <f aca="false">IF(G3408="","",VLOOKUP(G3408,Setup!$A$14:$C$17,3,0))</f>
        <v/>
      </c>
      <c r="P3408" s="27"/>
      <c r="Q3408" s="33" t="str">
        <f aca="false">IF(OR(P3408="",M3408&lt;&gt;"Paid",O3408=""),"",P3408/O3408)</f>
        <v/>
      </c>
      <c r="R3408" s="34" t="str">
        <f aca="false">IF(Q3408="","",Q3408+N(H3408)*0.000000001)</f>
        <v/>
      </c>
      <c r="S3408" s="32" t="str">
        <f aca="false">IF(R3408="","",SUMPRODUCT((I$5:I$4004=I3408)*ISNUMBER(R$5:R$4004)*(R$5:R$4004&gt;R3408))+1)</f>
        <v/>
      </c>
      <c r="T3408" s="32" t="str">
        <f aca="false">IF(S3408="","",IF(S3408&lt;=Setup!$B$5,"🏆 WINNER",""))</f>
        <v/>
      </c>
      <c r="U3408" s="31" t="str">
        <f aca="false">IF(S3408="","",I3408&amp;"|"&amp;S3408)</f>
        <v/>
      </c>
    </row>
    <row r="3409" customFormat="false" ht="15" hidden="false" customHeight="false" outlineLevel="0" collapsed="false">
      <c r="A3409" s="24" t="n">
        <v>3405</v>
      </c>
      <c r="B3409" s="25" t="str">
        <f aca="false">IF(OR(C3409="",I3409="",G3409=""),"",IFERROR(VLOOKUP(I3409,Setup!$A$9:$B$11,2,0),"???")&amp;"-"&amp;G3409&amp;"-"&amp;TEXT(COUNTIFS(I$5:I3409,I3409,G$5:G3409,G3409),"0000"))</f>
        <v/>
      </c>
      <c r="C3409" s="26"/>
      <c r="D3409" s="26"/>
      <c r="E3409" s="27"/>
      <c r="F3409" s="27"/>
      <c r="G3409" s="24" t="str">
        <f aca="false">IF(F3409="","",IF(F3409&lt;=5,"A",IF(F3409&lt;=8,"B",IF(F3409&lt;=10,"C","D"))))</f>
        <v/>
      </c>
      <c r="H3409" s="28"/>
      <c r="I3409" s="27"/>
      <c r="J3409" s="26"/>
      <c r="K3409" s="27"/>
      <c r="L3409" s="27"/>
      <c r="M3409" s="27"/>
      <c r="N3409" s="27"/>
      <c r="O3409" s="24" t="str">
        <f aca="false">IF(G3409="","",VLOOKUP(G3409,Setup!$A$14:$C$17,3,0))</f>
        <v/>
      </c>
      <c r="P3409" s="27"/>
      <c r="Q3409" s="29" t="str">
        <f aca="false">IF(OR(P3409="",M3409&lt;&gt;"Paid",O3409=""),"",P3409/O3409)</f>
        <v/>
      </c>
      <c r="R3409" s="30" t="str">
        <f aca="false">IF(Q3409="","",Q3409+N(H3409)*0.000000001)</f>
        <v/>
      </c>
      <c r="S3409" s="25" t="str">
        <f aca="false">IF(R3409="","",SUMPRODUCT((I$5:I$4004=I3409)*ISNUMBER(R$5:R$4004)*(R$5:R$4004&gt;R3409))+1)</f>
        <v/>
      </c>
      <c r="T3409" s="25" t="str">
        <f aca="false">IF(S3409="","",IF(S3409&lt;=Setup!$B$5,"🏆 WINNER",""))</f>
        <v/>
      </c>
      <c r="U3409" s="24" t="str">
        <f aca="false">IF(S3409="","",I3409&amp;"|"&amp;S3409)</f>
        <v/>
      </c>
    </row>
    <row r="3410" customFormat="false" ht="15" hidden="false" customHeight="false" outlineLevel="0" collapsed="false">
      <c r="A3410" s="31" t="n">
        <v>3406</v>
      </c>
      <c r="B3410" s="32" t="str">
        <f aca="false">IF(OR(C3410="",I3410="",G3410=""),"",IFERROR(VLOOKUP(I3410,Setup!$A$9:$B$11,2,0),"???")&amp;"-"&amp;G3410&amp;"-"&amp;TEXT(COUNTIFS(I$5:I3410,I3410,G$5:G3410,G3410),"0000"))</f>
        <v/>
      </c>
      <c r="C3410" s="26"/>
      <c r="D3410" s="26"/>
      <c r="E3410" s="27"/>
      <c r="F3410" s="27"/>
      <c r="G3410" s="31" t="str">
        <f aca="false">IF(F3410="","",IF(F3410&lt;=5,"A",IF(F3410&lt;=8,"B",IF(F3410&lt;=10,"C","D"))))</f>
        <v/>
      </c>
      <c r="H3410" s="28"/>
      <c r="I3410" s="27"/>
      <c r="J3410" s="26"/>
      <c r="K3410" s="27"/>
      <c r="L3410" s="27"/>
      <c r="M3410" s="27"/>
      <c r="N3410" s="27"/>
      <c r="O3410" s="31" t="str">
        <f aca="false">IF(G3410="","",VLOOKUP(G3410,Setup!$A$14:$C$17,3,0))</f>
        <v/>
      </c>
      <c r="P3410" s="27"/>
      <c r="Q3410" s="33" t="str">
        <f aca="false">IF(OR(P3410="",M3410&lt;&gt;"Paid",O3410=""),"",P3410/O3410)</f>
        <v/>
      </c>
      <c r="R3410" s="34" t="str">
        <f aca="false">IF(Q3410="","",Q3410+N(H3410)*0.000000001)</f>
        <v/>
      </c>
      <c r="S3410" s="32" t="str">
        <f aca="false">IF(R3410="","",SUMPRODUCT((I$5:I$4004=I3410)*ISNUMBER(R$5:R$4004)*(R$5:R$4004&gt;R3410))+1)</f>
        <v/>
      </c>
      <c r="T3410" s="32" t="str">
        <f aca="false">IF(S3410="","",IF(S3410&lt;=Setup!$B$5,"🏆 WINNER",""))</f>
        <v/>
      </c>
      <c r="U3410" s="31" t="str">
        <f aca="false">IF(S3410="","",I3410&amp;"|"&amp;S3410)</f>
        <v/>
      </c>
    </row>
    <row r="3411" customFormat="false" ht="15" hidden="false" customHeight="false" outlineLevel="0" collapsed="false">
      <c r="A3411" s="24" t="n">
        <v>3407</v>
      </c>
      <c r="B3411" s="25" t="str">
        <f aca="false">IF(OR(C3411="",I3411="",G3411=""),"",IFERROR(VLOOKUP(I3411,Setup!$A$9:$B$11,2,0),"???")&amp;"-"&amp;G3411&amp;"-"&amp;TEXT(COUNTIFS(I$5:I3411,I3411,G$5:G3411,G3411),"0000"))</f>
        <v/>
      </c>
      <c r="C3411" s="26"/>
      <c r="D3411" s="26"/>
      <c r="E3411" s="27"/>
      <c r="F3411" s="27"/>
      <c r="G3411" s="24" t="str">
        <f aca="false">IF(F3411="","",IF(F3411&lt;=5,"A",IF(F3411&lt;=8,"B",IF(F3411&lt;=10,"C","D"))))</f>
        <v/>
      </c>
      <c r="H3411" s="28"/>
      <c r="I3411" s="27"/>
      <c r="J3411" s="26"/>
      <c r="K3411" s="27"/>
      <c r="L3411" s="27"/>
      <c r="M3411" s="27"/>
      <c r="N3411" s="27"/>
      <c r="O3411" s="24" t="str">
        <f aca="false">IF(G3411="","",VLOOKUP(G3411,Setup!$A$14:$C$17,3,0))</f>
        <v/>
      </c>
      <c r="P3411" s="27"/>
      <c r="Q3411" s="29" t="str">
        <f aca="false">IF(OR(P3411="",M3411&lt;&gt;"Paid",O3411=""),"",P3411/O3411)</f>
        <v/>
      </c>
      <c r="R3411" s="30" t="str">
        <f aca="false">IF(Q3411="","",Q3411+N(H3411)*0.000000001)</f>
        <v/>
      </c>
      <c r="S3411" s="25" t="str">
        <f aca="false">IF(R3411="","",SUMPRODUCT((I$5:I$4004=I3411)*ISNUMBER(R$5:R$4004)*(R$5:R$4004&gt;R3411))+1)</f>
        <v/>
      </c>
      <c r="T3411" s="25" t="str">
        <f aca="false">IF(S3411="","",IF(S3411&lt;=Setup!$B$5,"🏆 WINNER",""))</f>
        <v/>
      </c>
      <c r="U3411" s="24" t="str">
        <f aca="false">IF(S3411="","",I3411&amp;"|"&amp;S3411)</f>
        <v/>
      </c>
    </row>
    <row r="3412" customFormat="false" ht="15" hidden="false" customHeight="false" outlineLevel="0" collapsed="false">
      <c r="A3412" s="31" t="n">
        <v>3408</v>
      </c>
      <c r="B3412" s="32" t="str">
        <f aca="false">IF(OR(C3412="",I3412="",G3412=""),"",IFERROR(VLOOKUP(I3412,Setup!$A$9:$B$11,2,0),"???")&amp;"-"&amp;G3412&amp;"-"&amp;TEXT(COUNTIFS(I$5:I3412,I3412,G$5:G3412,G3412),"0000"))</f>
        <v/>
      </c>
      <c r="C3412" s="26"/>
      <c r="D3412" s="26"/>
      <c r="E3412" s="27"/>
      <c r="F3412" s="27"/>
      <c r="G3412" s="31" t="str">
        <f aca="false">IF(F3412="","",IF(F3412&lt;=5,"A",IF(F3412&lt;=8,"B",IF(F3412&lt;=10,"C","D"))))</f>
        <v/>
      </c>
      <c r="H3412" s="28"/>
      <c r="I3412" s="27"/>
      <c r="J3412" s="26"/>
      <c r="K3412" s="27"/>
      <c r="L3412" s="27"/>
      <c r="M3412" s="27"/>
      <c r="N3412" s="27"/>
      <c r="O3412" s="31" t="str">
        <f aca="false">IF(G3412="","",VLOOKUP(G3412,Setup!$A$14:$C$17,3,0))</f>
        <v/>
      </c>
      <c r="P3412" s="27"/>
      <c r="Q3412" s="33" t="str">
        <f aca="false">IF(OR(P3412="",M3412&lt;&gt;"Paid",O3412=""),"",P3412/O3412)</f>
        <v/>
      </c>
      <c r="R3412" s="34" t="str">
        <f aca="false">IF(Q3412="","",Q3412+N(H3412)*0.000000001)</f>
        <v/>
      </c>
      <c r="S3412" s="32" t="str">
        <f aca="false">IF(R3412="","",SUMPRODUCT((I$5:I$4004=I3412)*ISNUMBER(R$5:R$4004)*(R$5:R$4004&gt;R3412))+1)</f>
        <v/>
      </c>
      <c r="T3412" s="32" t="str">
        <f aca="false">IF(S3412="","",IF(S3412&lt;=Setup!$B$5,"🏆 WINNER",""))</f>
        <v/>
      </c>
      <c r="U3412" s="31" t="str">
        <f aca="false">IF(S3412="","",I3412&amp;"|"&amp;S3412)</f>
        <v/>
      </c>
    </row>
    <row r="3413" customFormat="false" ht="15" hidden="false" customHeight="false" outlineLevel="0" collapsed="false">
      <c r="A3413" s="24" t="n">
        <v>3409</v>
      </c>
      <c r="B3413" s="25" t="str">
        <f aca="false">IF(OR(C3413="",I3413="",G3413=""),"",IFERROR(VLOOKUP(I3413,Setup!$A$9:$B$11,2,0),"???")&amp;"-"&amp;G3413&amp;"-"&amp;TEXT(COUNTIFS(I$5:I3413,I3413,G$5:G3413,G3413),"0000"))</f>
        <v/>
      </c>
      <c r="C3413" s="26"/>
      <c r="D3413" s="26"/>
      <c r="E3413" s="27"/>
      <c r="F3413" s="27"/>
      <c r="G3413" s="24" t="str">
        <f aca="false">IF(F3413="","",IF(F3413&lt;=5,"A",IF(F3413&lt;=8,"B",IF(F3413&lt;=10,"C","D"))))</f>
        <v/>
      </c>
      <c r="H3413" s="28"/>
      <c r="I3413" s="27"/>
      <c r="J3413" s="26"/>
      <c r="K3413" s="27"/>
      <c r="L3413" s="27"/>
      <c r="M3413" s="27"/>
      <c r="N3413" s="27"/>
      <c r="O3413" s="24" t="str">
        <f aca="false">IF(G3413="","",VLOOKUP(G3413,Setup!$A$14:$C$17,3,0))</f>
        <v/>
      </c>
      <c r="P3413" s="27"/>
      <c r="Q3413" s="29" t="str">
        <f aca="false">IF(OR(P3413="",M3413&lt;&gt;"Paid",O3413=""),"",P3413/O3413)</f>
        <v/>
      </c>
      <c r="R3413" s="30" t="str">
        <f aca="false">IF(Q3413="","",Q3413+N(H3413)*0.000000001)</f>
        <v/>
      </c>
      <c r="S3413" s="25" t="str">
        <f aca="false">IF(R3413="","",SUMPRODUCT((I$5:I$4004=I3413)*ISNUMBER(R$5:R$4004)*(R$5:R$4004&gt;R3413))+1)</f>
        <v/>
      </c>
      <c r="T3413" s="25" t="str">
        <f aca="false">IF(S3413="","",IF(S3413&lt;=Setup!$B$5,"🏆 WINNER",""))</f>
        <v/>
      </c>
      <c r="U3413" s="24" t="str">
        <f aca="false">IF(S3413="","",I3413&amp;"|"&amp;S3413)</f>
        <v/>
      </c>
    </row>
    <row r="3414" customFormat="false" ht="15" hidden="false" customHeight="false" outlineLevel="0" collapsed="false">
      <c r="A3414" s="31" t="n">
        <v>3410</v>
      </c>
      <c r="B3414" s="32" t="str">
        <f aca="false">IF(OR(C3414="",I3414="",G3414=""),"",IFERROR(VLOOKUP(I3414,Setup!$A$9:$B$11,2,0),"???")&amp;"-"&amp;G3414&amp;"-"&amp;TEXT(COUNTIFS(I$5:I3414,I3414,G$5:G3414,G3414),"0000"))</f>
        <v/>
      </c>
      <c r="C3414" s="26"/>
      <c r="D3414" s="26"/>
      <c r="E3414" s="27"/>
      <c r="F3414" s="27"/>
      <c r="G3414" s="31" t="str">
        <f aca="false">IF(F3414="","",IF(F3414&lt;=5,"A",IF(F3414&lt;=8,"B",IF(F3414&lt;=10,"C","D"))))</f>
        <v/>
      </c>
      <c r="H3414" s="28"/>
      <c r="I3414" s="27"/>
      <c r="J3414" s="26"/>
      <c r="K3414" s="27"/>
      <c r="L3414" s="27"/>
      <c r="M3414" s="27"/>
      <c r="N3414" s="27"/>
      <c r="O3414" s="31" t="str">
        <f aca="false">IF(G3414="","",VLOOKUP(G3414,Setup!$A$14:$C$17,3,0))</f>
        <v/>
      </c>
      <c r="P3414" s="27"/>
      <c r="Q3414" s="33" t="str">
        <f aca="false">IF(OR(P3414="",M3414&lt;&gt;"Paid",O3414=""),"",P3414/O3414)</f>
        <v/>
      </c>
      <c r="R3414" s="34" t="str">
        <f aca="false">IF(Q3414="","",Q3414+N(H3414)*0.000000001)</f>
        <v/>
      </c>
      <c r="S3414" s="32" t="str">
        <f aca="false">IF(R3414="","",SUMPRODUCT((I$5:I$4004=I3414)*ISNUMBER(R$5:R$4004)*(R$5:R$4004&gt;R3414))+1)</f>
        <v/>
      </c>
      <c r="T3414" s="32" t="str">
        <f aca="false">IF(S3414="","",IF(S3414&lt;=Setup!$B$5,"🏆 WINNER",""))</f>
        <v/>
      </c>
      <c r="U3414" s="31" t="str">
        <f aca="false">IF(S3414="","",I3414&amp;"|"&amp;S3414)</f>
        <v/>
      </c>
    </row>
    <row r="3415" customFormat="false" ht="15" hidden="false" customHeight="false" outlineLevel="0" collapsed="false">
      <c r="A3415" s="24" t="n">
        <v>3411</v>
      </c>
      <c r="B3415" s="25" t="str">
        <f aca="false">IF(OR(C3415="",I3415="",G3415=""),"",IFERROR(VLOOKUP(I3415,Setup!$A$9:$B$11,2,0),"???")&amp;"-"&amp;G3415&amp;"-"&amp;TEXT(COUNTIFS(I$5:I3415,I3415,G$5:G3415,G3415),"0000"))</f>
        <v/>
      </c>
      <c r="C3415" s="26"/>
      <c r="D3415" s="26"/>
      <c r="E3415" s="27"/>
      <c r="F3415" s="27"/>
      <c r="G3415" s="24" t="str">
        <f aca="false">IF(F3415="","",IF(F3415&lt;=5,"A",IF(F3415&lt;=8,"B",IF(F3415&lt;=10,"C","D"))))</f>
        <v/>
      </c>
      <c r="H3415" s="28"/>
      <c r="I3415" s="27"/>
      <c r="J3415" s="26"/>
      <c r="K3415" s="27"/>
      <c r="L3415" s="27"/>
      <c r="M3415" s="27"/>
      <c r="N3415" s="27"/>
      <c r="O3415" s="24" t="str">
        <f aca="false">IF(G3415="","",VLOOKUP(G3415,Setup!$A$14:$C$17,3,0))</f>
        <v/>
      </c>
      <c r="P3415" s="27"/>
      <c r="Q3415" s="29" t="str">
        <f aca="false">IF(OR(P3415="",M3415&lt;&gt;"Paid",O3415=""),"",P3415/O3415)</f>
        <v/>
      </c>
      <c r="R3415" s="30" t="str">
        <f aca="false">IF(Q3415="","",Q3415+N(H3415)*0.000000001)</f>
        <v/>
      </c>
      <c r="S3415" s="25" t="str">
        <f aca="false">IF(R3415="","",SUMPRODUCT((I$5:I$4004=I3415)*ISNUMBER(R$5:R$4004)*(R$5:R$4004&gt;R3415))+1)</f>
        <v/>
      </c>
      <c r="T3415" s="25" t="str">
        <f aca="false">IF(S3415="","",IF(S3415&lt;=Setup!$B$5,"🏆 WINNER",""))</f>
        <v/>
      </c>
      <c r="U3415" s="24" t="str">
        <f aca="false">IF(S3415="","",I3415&amp;"|"&amp;S3415)</f>
        <v/>
      </c>
    </row>
    <row r="3416" customFormat="false" ht="15" hidden="false" customHeight="false" outlineLevel="0" collapsed="false">
      <c r="A3416" s="31" t="n">
        <v>3412</v>
      </c>
      <c r="B3416" s="32" t="str">
        <f aca="false">IF(OR(C3416="",I3416="",G3416=""),"",IFERROR(VLOOKUP(I3416,Setup!$A$9:$B$11,2,0),"???")&amp;"-"&amp;G3416&amp;"-"&amp;TEXT(COUNTIFS(I$5:I3416,I3416,G$5:G3416,G3416),"0000"))</f>
        <v/>
      </c>
      <c r="C3416" s="26"/>
      <c r="D3416" s="26"/>
      <c r="E3416" s="27"/>
      <c r="F3416" s="27"/>
      <c r="G3416" s="31" t="str">
        <f aca="false">IF(F3416="","",IF(F3416&lt;=5,"A",IF(F3416&lt;=8,"B",IF(F3416&lt;=10,"C","D"))))</f>
        <v/>
      </c>
      <c r="H3416" s="28"/>
      <c r="I3416" s="27"/>
      <c r="J3416" s="26"/>
      <c r="K3416" s="27"/>
      <c r="L3416" s="27"/>
      <c r="M3416" s="27"/>
      <c r="N3416" s="27"/>
      <c r="O3416" s="31" t="str">
        <f aca="false">IF(G3416="","",VLOOKUP(G3416,Setup!$A$14:$C$17,3,0))</f>
        <v/>
      </c>
      <c r="P3416" s="27"/>
      <c r="Q3416" s="33" t="str">
        <f aca="false">IF(OR(P3416="",M3416&lt;&gt;"Paid",O3416=""),"",P3416/O3416)</f>
        <v/>
      </c>
      <c r="R3416" s="34" t="str">
        <f aca="false">IF(Q3416="","",Q3416+N(H3416)*0.000000001)</f>
        <v/>
      </c>
      <c r="S3416" s="32" t="str">
        <f aca="false">IF(R3416="","",SUMPRODUCT((I$5:I$4004=I3416)*ISNUMBER(R$5:R$4004)*(R$5:R$4004&gt;R3416))+1)</f>
        <v/>
      </c>
      <c r="T3416" s="32" t="str">
        <f aca="false">IF(S3416="","",IF(S3416&lt;=Setup!$B$5,"🏆 WINNER",""))</f>
        <v/>
      </c>
      <c r="U3416" s="31" t="str">
        <f aca="false">IF(S3416="","",I3416&amp;"|"&amp;S3416)</f>
        <v/>
      </c>
    </row>
    <row r="3417" customFormat="false" ht="15" hidden="false" customHeight="false" outlineLevel="0" collapsed="false">
      <c r="A3417" s="24" t="n">
        <v>3413</v>
      </c>
      <c r="B3417" s="25" t="str">
        <f aca="false">IF(OR(C3417="",I3417="",G3417=""),"",IFERROR(VLOOKUP(I3417,Setup!$A$9:$B$11,2,0),"???")&amp;"-"&amp;G3417&amp;"-"&amp;TEXT(COUNTIFS(I$5:I3417,I3417,G$5:G3417,G3417),"0000"))</f>
        <v/>
      </c>
      <c r="C3417" s="26"/>
      <c r="D3417" s="26"/>
      <c r="E3417" s="27"/>
      <c r="F3417" s="27"/>
      <c r="G3417" s="24" t="str">
        <f aca="false">IF(F3417="","",IF(F3417&lt;=5,"A",IF(F3417&lt;=8,"B",IF(F3417&lt;=10,"C","D"))))</f>
        <v/>
      </c>
      <c r="H3417" s="28"/>
      <c r="I3417" s="27"/>
      <c r="J3417" s="26"/>
      <c r="K3417" s="27"/>
      <c r="L3417" s="27"/>
      <c r="M3417" s="27"/>
      <c r="N3417" s="27"/>
      <c r="O3417" s="24" t="str">
        <f aca="false">IF(G3417="","",VLOOKUP(G3417,Setup!$A$14:$C$17,3,0))</f>
        <v/>
      </c>
      <c r="P3417" s="27"/>
      <c r="Q3417" s="29" t="str">
        <f aca="false">IF(OR(P3417="",M3417&lt;&gt;"Paid",O3417=""),"",P3417/O3417)</f>
        <v/>
      </c>
      <c r="R3417" s="30" t="str">
        <f aca="false">IF(Q3417="","",Q3417+N(H3417)*0.000000001)</f>
        <v/>
      </c>
      <c r="S3417" s="25" t="str">
        <f aca="false">IF(R3417="","",SUMPRODUCT((I$5:I$4004=I3417)*ISNUMBER(R$5:R$4004)*(R$5:R$4004&gt;R3417))+1)</f>
        <v/>
      </c>
      <c r="T3417" s="25" t="str">
        <f aca="false">IF(S3417="","",IF(S3417&lt;=Setup!$B$5,"🏆 WINNER",""))</f>
        <v/>
      </c>
      <c r="U3417" s="24" t="str">
        <f aca="false">IF(S3417="","",I3417&amp;"|"&amp;S3417)</f>
        <v/>
      </c>
    </row>
    <row r="3418" customFormat="false" ht="15" hidden="false" customHeight="false" outlineLevel="0" collapsed="false">
      <c r="A3418" s="31" t="n">
        <v>3414</v>
      </c>
      <c r="B3418" s="32" t="str">
        <f aca="false">IF(OR(C3418="",I3418="",G3418=""),"",IFERROR(VLOOKUP(I3418,Setup!$A$9:$B$11,2,0),"???")&amp;"-"&amp;G3418&amp;"-"&amp;TEXT(COUNTIFS(I$5:I3418,I3418,G$5:G3418,G3418),"0000"))</f>
        <v/>
      </c>
      <c r="C3418" s="26"/>
      <c r="D3418" s="26"/>
      <c r="E3418" s="27"/>
      <c r="F3418" s="27"/>
      <c r="G3418" s="31" t="str">
        <f aca="false">IF(F3418="","",IF(F3418&lt;=5,"A",IF(F3418&lt;=8,"B",IF(F3418&lt;=10,"C","D"))))</f>
        <v/>
      </c>
      <c r="H3418" s="28"/>
      <c r="I3418" s="27"/>
      <c r="J3418" s="26"/>
      <c r="K3418" s="27"/>
      <c r="L3418" s="27"/>
      <c r="M3418" s="27"/>
      <c r="N3418" s="27"/>
      <c r="O3418" s="31" t="str">
        <f aca="false">IF(G3418="","",VLOOKUP(G3418,Setup!$A$14:$C$17,3,0))</f>
        <v/>
      </c>
      <c r="P3418" s="27"/>
      <c r="Q3418" s="33" t="str">
        <f aca="false">IF(OR(P3418="",M3418&lt;&gt;"Paid",O3418=""),"",P3418/O3418)</f>
        <v/>
      </c>
      <c r="R3418" s="34" t="str">
        <f aca="false">IF(Q3418="","",Q3418+N(H3418)*0.000000001)</f>
        <v/>
      </c>
      <c r="S3418" s="32" t="str">
        <f aca="false">IF(R3418="","",SUMPRODUCT((I$5:I$4004=I3418)*ISNUMBER(R$5:R$4004)*(R$5:R$4004&gt;R3418))+1)</f>
        <v/>
      </c>
      <c r="T3418" s="32" t="str">
        <f aca="false">IF(S3418="","",IF(S3418&lt;=Setup!$B$5,"🏆 WINNER",""))</f>
        <v/>
      </c>
      <c r="U3418" s="31" t="str">
        <f aca="false">IF(S3418="","",I3418&amp;"|"&amp;S3418)</f>
        <v/>
      </c>
    </row>
    <row r="3419" customFormat="false" ht="15" hidden="false" customHeight="false" outlineLevel="0" collapsed="false">
      <c r="A3419" s="24" t="n">
        <v>3415</v>
      </c>
      <c r="B3419" s="25" t="str">
        <f aca="false">IF(OR(C3419="",I3419="",G3419=""),"",IFERROR(VLOOKUP(I3419,Setup!$A$9:$B$11,2,0),"???")&amp;"-"&amp;G3419&amp;"-"&amp;TEXT(COUNTIFS(I$5:I3419,I3419,G$5:G3419,G3419),"0000"))</f>
        <v/>
      </c>
      <c r="C3419" s="26"/>
      <c r="D3419" s="26"/>
      <c r="E3419" s="27"/>
      <c r="F3419" s="27"/>
      <c r="G3419" s="24" t="str">
        <f aca="false">IF(F3419="","",IF(F3419&lt;=5,"A",IF(F3419&lt;=8,"B",IF(F3419&lt;=10,"C","D"))))</f>
        <v/>
      </c>
      <c r="H3419" s="28"/>
      <c r="I3419" s="27"/>
      <c r="J3419" s="26"/>
      <c r="K3419" s="27"/>
      <c r="L3419" s="27"/>
      <c r="M3419" s="27"/>
      <c r="N3419" s="27"/>
      <c r="O3419" s="24" t="str">
        <f aca="false">IF(G3419="","",VLOOKUP(G3419,Setup!$A$14:$C$17,3,0))</f>
        <v/>
      </c>
      <c r="P3419" s="27"/>
      <c r="Q3419" s="29" t="str">
        <f aca="false">IF(OR(P3419="",M3419&lt;&gt;"Paid",O3419=""),"",P3419/O3419)</f>
        <v/>
      </c>
      <c r="R3419" s="30" t="str">
        <f aca="false">IF(Q3419="","",Q3419+N(H3419)*0.000000001)</f>
        <v/>
      </c>
      <c r="S3419" s="25" t="str">
        <f aca="false">IF(R3419="","",SUMPRODUCT((I$5:I$4004=I3419)*ISNUMBER(R$5:R$4004)*(R$5:R$4004&gt;R3419))+1)</f>
        <v/>
      </c>
      <c r="T3419" s="25" t="str">
        <f aca="false">IF(S3419="","",IF(S3419&lt;=Setup!$B$5,"🏆 WINNER",""))</f>
        <v/>
      </c>
      <c r="U3419" s="24" t="str">
        <f aca="false">IF(S3419="","",I3419&amp;"|"&amp;S3419)</f>
        <v/>
      </c>
    </row>
    <row r="3420" customFormat="false" ht="15" hidden="false" customHeight="false" outlineLevel="0" collapsed="false">
      <c r="A3420" s="31" t="n">
        <v>3416</v>
      </c>
      <c r="B3420" s="32" t="str">
        <f aca="false">IF(OR(C3420="",I3420="",G3420=""),"",IFERROR(VLOOKUP(I3420,Setup!$A$9:$B$11,2,0),"???")&amp;"-"&amp;G3420&amp;"-"&amp;TEXT(COUNTIFS(I$5:I3420,I3420,G$5:G3420,G3420),"0000"))</f>
        <v/>
      </c>
      <c r="C3420" s="26"/>
      <c r="D3420" s="26"/>
      <c r="E3420" s="27"/>
      <c r="F3420" s="27"/>
      <c r="G3420" s="31" t="str">
        <f aca="false">IF(F3420="","",IF(F3420&lt;=5,"A",IF(F3420&lt;=8,"B",IF(F3420&lt;=10,"C","D"))))</f>
        <v/>
      </c>
      <c r="H3420" s="28"/>
      <c r="I3420" s="27"/>
      <c r="J3420" s="26"/>
      <c r="K3420" s="27"/>
      <c r="L3420" s="27"/>
      <c r="M3420" s="27"/>
      <c r="N3420" s="27"/>
      <c r="O3420" s="31" t="str">
        <f aca="false">IF(G3420="","",VLOOKUP(G3420,Setup!$A$14:$C$17,3,0))</f>
        <v/>
      </c>
      <c r="P3420" s="27"/>
      <c r="Q3420" s="33" t="str">
        <f aca="false">IF(OR(P3420="",M3420&lt;&gt;"Paid",O3420=""),"",P3420/O3420)</f>
        <v/>
      </c>
      <c r="R3420" s="34" t="str">
        <f aca="false">IF(Q3420="","",Q3420+N(H3420)*0.000000001)</f>
        <v/>
      </c>
      <c r="S3420" s="32" t="str">
        <f aca="false">IF(R3420="","",SUMPRODUCT((I$5:I$4004=I3420)*ISNUMBER(R$5:R$4004)*(R$5:R$4004&gt;R3420))+1)</f>
        <v/>
      </c>
      <c r="T3420" s="32" t="str">
        <f aca="false">IF(S3420="","",IF(S3420&lt;=Setup!$B$5,"🏆 WINNER",""))</f>
        <v/>
      </c>
      <c r="U3420" s="31" t="str">
        <f aca="false">IF(S3420="","",I3420&amp;"|"&amp;S3420)</f>
        <v/>
      </c>
    </row>
    <row r="3421" customFormat="false" ht="15" hidden="false" customHeight="false" outlineLevel="0" collapsed="false">
      <c r="A3421" s="24" t="n">
        <v>3417</v>
      </c>
      <c r="B3421" s="25" t="str">
        <f aca="false">IF(OR(C3421="",I3421="",G3421=""),"",IFERROR(VLOOKUP(I3421,Setup!$A$9:$B$11,2,0),"???")&amp;"-"&amp;G3421&amp;"-"&amp;TEXT(COUNTIFS(I$5:I3421,I3421,G$5:G3421,G3421),"0000"))</f>
        <v/>
      </c>
      <c r="C3421" s="26"/>
      <c r="D3421" s="26"/>
      <c r="E3421" s="27"/>
      <c r="F3421" s="27"/>
      <c r="G3421" s="24" t="str">
        <f aca="false">IF(F3421="","",IF(F3421&lt;=5,"A",IF(F3421&lt;=8,"B",IF(F3421&lt;=10,"C","D"))))</f>
        <v/>
      </c>
      <c r="H3421" s="28"/>
      <c r="I3421" s="27"/>
      <c r="J3421" s="26"/>
      <c r="K3421" s="27"/>
      <c r="L3421" s="27"/>
      <c r="M3421" s="27"/>
      <c r="N3421" s="27"/>
      <c r="O3421" s="24" t="str">
        <f aca="false">IF(G3421="","",VLOOKUP(G3421,Setup!$A$14:$C$17,3,0))</f>
        <v/>
      </c>
      <c r="P3421" s="27"/>
      <c r="Q3421" s="29" t="str">
        <f aca="false">IF(OR(P3421="",M3421&lt;&gt;"Paid",O3421=""),"",P3421/O3421)</f>
        <v/>
      </c>
      <c r="R3421" s="30" t="str">
        <f aca="false">IF(Q3421="","",Q3421+N(H3421)*0.000000001)</f>
        <v/>
      </c>
      <c r="S3421" s="25" t="str">
        <f aca="false">IF(R3421="","",SUMPRODUCT((I$5:I$4004=I3421)*ISNUMBER(R$5:R$4004)*(R$5:R$4004&gt;R3421))+1)</f>
        <v/>
      </c>
      <c r="T3421" s="25" t="str">
        <f aca="false">IF(S3421="","",IF(S3421&lt;=Setup!$B$5,"🏆 WINNER",""))</f>
        <v/>
      </c>
      <c r="U3421" s="24" t="str">
        <f aca="false">IF(S3421="","",I3421&amp;"|"&amp;S3421)</f>
        <v/>
      </c>
    </row>
    <row r="3422" customFormat="false" ht="15" hidden="false" customHeight="false" outlineLevel="0" collapsed="false">
      <c r="A3422" s="31" t="n">
        <v>3418</v>
      </c>
      <c r="B3422" s="32" t="str">
        <f aca="false">IF(OR(C3422="",I3422="",G3422=""),"",IFERROR(VLOOKUP(I3422,Setup!$A$9:$B$11,2,0),"???")&amp;"-"&amp;G3422&amp;"-"&amp;TEXT(COUNTIFS(I$5:I3422,I3422,G$5:G3422,G3422),"0000"))</f>
        <v/>
      </c>
      <c r="C3422" s="26"/>
      <c r="D3422" s="26"/>
      <c r="E3422" s="27"/>
      <c r="F3422" s="27"/>
      <c r="G3422" s="31" t="str">
        <f aca="false">IF(F3422="","",IF(F3422&lt;=5,"A",IF(F3422&lt;=8,"B",IF(F3422&lt;=10,"C","D"))))</f>
        <v/>
      </c>
      <c r="H3422" s="28"/>
      <c r="I3422" s="27"/>
      <c r="J3422" s="26"/>
      <c r="K3422" s="27"/>
      <c r="L3422" s="27"/>
      <c r="M3422" s="27"/>
      <c r="N3422" s="27"/>
      <c r="O3422" s="31" t="str">
        <f aca="false">IF(G3422="","",VLOOKUP(G3422,Setup!$A$14:$C$17,3,0))</f>
        <v/>
      </c>
      <c r="P3422" s="27"/>
      <c r="Q3422" s="33" t="str">
        <f aca="false">IF(OR(P3422="",M3422&lt;&gt;"Paid",O3422=""),"",P3422/O3422)</f>
        <v/>
      </c>
      <c r="R3422" s="34" t="str">
        <f aca="false">IF(Q3422="","",Q3422+N(H3422)*0.000000001)</f>
        <v/>
      </c>
      <c r="S3422" s="32" t="str">
        <f aca="false">IF(R3422="","",SUMPRODUCT((I$5:I$4004=I3422)*ISNUMBER(R$5:R$4004)*(R$5:R$4004&gt;R3422))+1)</f>
        <v/>
      </c>
      <c r="T3422" s="32" t="str">
        <f aca="false">IF(S3422="","",IF(S3422&lt;=Setup!$B$5,"🏆 WINNER",""))</f>
        <v/>
      </c>
      <c r="U3422" s="31" t="str">
        <f aca="false">IF(S3422="","",I3422&amp;"|"&amp;S3422)</f>
        <v/>
      </c>
    </row>
    <row r="3423" customFormat="false" ht="15" hidden="false" customHeight="false" outlineLevel="0" collapsed="false">
      <c r="A3423" s="24" t="n">
        <v>3419</v>
      </c>
      <c r="B3423" s="25" t="str">
        <f aca="false">IF(OR(C3423="",I3423="",G3423=""),"",IFERROR(VLOOKUP(I3423,Setup!$A$9:$B$11,2,0),"???")&amp;"-"&amp;G3423&amp;"-"&amp;TEXT(COUNTIFS(I$5:I3423,I3423,G$5:G3423,G3423),"0000"))</f>
        <v/>
      </c>
      <c r="C3423" s="26"/>
      <c r="D3423" s="26"/>
      <c r="E3423" s="27"/>
      <c r="F3423" s="27"/>
      <c r="G3423" s="24" t="str">
        <f aca="false">IF(F3423="","",IF(F3423&lt;=5,"A",IF(F3423&lt;=8,"B",IF(F3423&lt;=10,"C","D"))))</f>
        <v/>
      </c>
      <c r="H3423" s="28"/>
      <c r="I3423" s="27"/>
      <c r="J3423" s="26"/>
      <c r="K3423" s="27"/>
      <c r="L3423" s="27"/>
      <c r="M3423" s="27"/>
      <c r="N3423" s="27"/>
      <c r="O3423" s="24" t="str">
        <f aca="false">IF(G3423="","",VLOOKUP(G3423,Setup!$A$14:$C$17,3,0))</f>
        <v/>
      </c>
      <c r="P3423" s="27"/>
      <c r="Q3423" s="29" t="str">
        <f aca="false">IF(OR(P3423="",M3423&lt;&gt;"Paid",O3423=""),"",P3423/O3423)</f>
        <v/>
      </c>
      <c r="R3423" s="30" t="str">
        <f aca="false">IF(Q3423="","",Q3423+N(H3423)*0.000000001)</f>
        <v/>
      </c>
      <c r="S3423" s="25" t="str">
        <f aca="false">IF(R3423="","",SUMPRODUCT((I$5:I$4004=I3423)*ISNUMBER(R$5:R$4004)*(R$5:R$4004&gt;R3423))+1)</f>
        <v/>
      </c>
      <c r="T3423" s="25" t="str">
        <f aca="false">IF(S3423="","",IF(S3423&lt;=Setup!$B$5,"🏆 WINNER",""))</f>
        <v/>
      </c>
      <c r="U3423" s="24" t="str">
        <f aca="false">IF(S3423="","",I3423&amp;"|"&amp;S3423)</f>
        <v/>
      </c>
    </row>
    <row r="3424" customFormat="false" ht="15" hidden="false" customHeight="false" outlineLevel="0" collapsed="false">
      <c r="A3424" s="31" t="n">
        <v>3420</v>
      </c>
      <c r="B3424" s="32" t="str">
        <f aca="false">IF(OR(C3424="",I3424="",G3424=""),"",IFERROR(VLOOKUP(I3424,Setup!$A$9:$B$11,2,0),"???")&amp;"-"&amp;G3424&amp;"-"&amp;TEXT(COUNTIFS(I$5:I3424,I3424,G$5:G3424,G3424),"0000"))</f>
        <v/>
      </c>
      <c r="C3424" s="26"/>
      <c r="D3424" s="26"/>
      <c r="E3424" s="27"/>
      <c r="F3424" s="27"/>
      <c r="G3424" s="31" t="str">
        <f aca="false">IF(F3424="","",IF(F3424&lt;=5,"A",IF(F3424&lt;=8,"B",IF(F3424&lt;=10,"C","D"))))</f>
        <v/>
      </c>
      <c r="H3424" s="28"/>
      <c r="I3424" s="27"/>
      <c r="J3424" s="26"/>
      <c r="K3424" s="27"/>
      <c r="L3424" s="27"/>
      <c r="M3424" s="27"/>
      <c r="N3424" s="27"/>
      <c r="O3424" s="31" t="str">
        <f aca="false">IF(G3424="","",VLOOKUP(G3424,Setup!$A$14:$C$17,3,0))</f>
        <v/>
      </c>
      <c r="P3424" s="27"/>
      <c r="Q3424" s="33" t="str">
        <f aca="false">IF(OR(P3424="",M3424&lt;&gt;"Paid",O3424=""),"",P3424/O3424)</f>
        <v/>
      </c>
      <c r="R3424" s="34" t="str">
        <f aca="false">IF(Q3424="","",Q3424+N(H3424)*0.000000001)</f>
        <v/>
      </c>
      <c r="S3424" s="32" t="str">
        <f aca="false">IF(R3424="","",SUMPRODUCT((I$5:I$4004=I3424)*ISNUMBER(R$5:R$4004)*(R$5:R$4004&gt;R3424))+1)</f>
        <v/>
      </c>
      <c r="T3424" s="32" t="str">
        <f aca="false">IF(S3424="","",IF(S3424&lt;=Setup!$B$5,"🏆 WINNER",""))</f>
        <v/>
      </c>
      <c r="U3424" s="31" t="str">
        <f aca="false">IF(S3424="","",I3424&amp;"|"&amp;S3424)</f>
        <v/>
      </c>
    </row>
    <row r="3425" customFormat="false" ht="15" hidden="false" customHeight="false" outlineLevel="0" collapsed="false">
      <c r="A3425" s="24" t="n">
        <v>3421</v>
      </c>
      <c r="B3425" s="25" t="str">
        <f aca="false">IF(OR(C3425="",I3425="",G3425=""),"",IFERROR(VLOOKUP(I3425,Setup!$A$9:$B$11,2,0),"???")&amp;"-"&amp;G3425&amp;"-"&amp;TEXT(COUNTIFS(I$5:I3425,I3425,G$5:G3425,G3425),"0000"))</f>
        <v/>
      </c>
      <c r="C3425" s="26"/>
      <c r="D3425" s="26"/>
      <c r="E3425" s="27"/>
      <c r="F3425" s="27"/>
      <c r="G3425" s="24" t="str">
        <f aca="false">IF(F3425="","",IF(F3425&lt;=5,"A",IF(F3425&lt;=8,"B",IF(F3425&lt;=10,"C","D"))))</f>
        <v/>
      </c>
      <c r="H3425" s="28"/>
      <c r="I3425" s="27"/>
      <c r="J3425" s="26"/>
      <c r="K3425" s="27"/>
      <c r="L3425" s="27"/>
      <c r="M3425" s="27"/>
      <c r="N3425" s="27"/>
      <c r="O3425" s="24" t="str">
        <f aca="false">IF(G3425="","",VLOOKUP(G3425,Setup!$A$14:$C$17,3,0))</f>
        <v/>
      </c>
      <c r="P3425" s="27"/>
      <c r="Q3425" s="29" t="str">
        <f aca="false">IF(OR(P3425="",M3425&lt;&gt;"Paid",O3425=""),"",P3425/O3425)</f>
        <v/>
      </c>
      <c r="R3425" s="30" t="str">
        <f aca="false">IF(Q3425="","",Q3425+N(H3425)*0.000000001)</f>
        <v/>
      </c>
      <c r="S3425" s="25" t="str">
        <f aca="false">IF(R3425="","",SUMPRODUCT((I$5:I$4004=I3425)*ISNUMBER(R$5:R$4004)*(R$5:R$4004&gt;R3425))+1)</f>
        <v/>
      </c>
      <c r="T3425" s="25" t="str">
        <f aca="false">IF(S3425="","",IF(S3425&lt;=Setup!$B$5,"🏆 WINNER",""))</f>
        <v/>
      </c>
      <c r="U3425" s="24" t="str">
        <f aca="false">IF(S3425="","",I3425&amp;"|"&amp;S3425)</f>
        <v/>
      </c>
    </row>
    <row r="3426" customFormat="false" ht="15" hidden="false" customHeight="false" outlineLevel="0" collapsed="false">
      <c r="A3426" s="31" t="n">
        <v>3422</v>
      </c>
      <c r="B3426" s="32" t="str">
        <f aca="false">IF(OR(C3426="",I3426="",G3426=""),"",IFERROR(VLOOKUP(I3426,Setup!$A$9:$B$11,2,0),"???")&amp;"-"&amp;G3426&amp;"-"&amp;TEXT(COUNTIFS(I$5:I3426,I3426,G$5:G3426,G3426),"0000"))</f>
        <v/>
      </c>
      <c r="C3426" s="26"/>
      <c r="D3426" s="26"/>
      <c r="E3426" s="27"/>
      <c r="F3426" s="27"/>
      <c r="G3426" s="31" t="str">
        <f aca="false">IF(F3426="","",IF(F3426&lt;=5,"A",IF(F3426&lt;=8,"B",IF(F3426&lt;=10,"C","D"))))</f>
        <v/>
      </c>
      <c r="H3426" s="28"/>
      <c r="I3426" s="27"/>
      <c r="J3426" s="26"/>
      <c r="K3426" s="27"/>
      <c r="L3426" s="27"/>
      <c r="M3426" s="27"/>
      <c r="N3426" s="27"/>
      <c r="O3426" s="31" t="str">
        <f aca="false">IF(G3426="","",VLOOKUP(G3426,Setup!$A$14:$C$17,3,0))</f>
        <v/>
      </c>
      <c r="P3426" s="27"/>
      <c r="Q3426" s="33" t="str">
        <f aca="false">IF(OR(P3426="",M3426&lt;&gt;"Paid",O3426=""),"",P3426/O3426)</f>
        <v/>
      </c>
      <c r="R3426" s="34" t="str">
        <f aca="false">IF(Q3426="","",Q3426+N(H3426)*0.000000001)</f>
        <v/>
      </c>
      <c r="S3426" s="32" t="str">
        <f aca="false">IF(R3426="","",SUMPRODUCT((I$5:I$4004=I3426)*ISNUMBER(R$5:R$4004)*(R$5:R$4004&gt;R3426))+1)</f>
        <v/>
      </c>
      <c r="T3426" s="32" t="str">
        <f aca="false">IF(S3426="","",IF(S3426&lt;=Setup!$B$5,"🏆 WINNER",""))</f>
        <v/>
      </c>
      <c r="U3426" s="31" t="str">
        <f aca="false">IF(S3426="","",I3426&amp;"|"&amp;S3426)</f>
        <v/>
      </c>
    </row>
    <row r="3427" customFormat="false" ht="15" hidden="false" customHeight="false" outlineLevel="0" collapsed="false">
      <c r="A3427" s="24" t="n">
        <v>3423</v>
      </c>
      <c r="B3427" s="25" t="str">
        <f aca="false">IF(OR(C3427="",I3427="",G3427=""),"",IFERROR(VLOOKUP(I3427,Setup!$A$9:$B$11,2,0),"???")&amp;"-"&amp;G3427&amp;"-"&amp;TEXT(COUNTIFS(I$5:I3427,I3427,G$5:G3427,G3427),"0000"))</f>
        <v/>
      </c>
      <c r="C3427" s="26"/>
      <c r="D3427" s="26"/>
      <c r="E3427" s="27"/>
      <c r="F3427" s="27"/>
      <c r="G3427" s="24" t="str">
        <f aca="false">IF(F3427="","",IF(F3427&lt;=5,"A",IF(F3427&lt;=8,"B",IF(F3427&lt;=10,"C","D"))))</f>
        <v/>
      </c>
      <c r="H3427" s="28"/>
      <c r="I3427" s="27"/>
      <c r="J3427" s="26"/>
      <c r="K3427" s="27"/>
      <c r="L3427" s="27"/>
      <c r="M3427" s="27"/>
      <c r="N3427" s="27"/>
      <c r="O3427" s="24" t="str">
        <f aca="false">IF(G3427="","",VLOOKUP(G3427,Setup!$A$14:$C$17,3,0))</f>
        <v/>
      </c>
      <c r="P3427" s="27"/>
      <c r="Q3427" s="29" t="str">
        <f aca="false">IF(OR(P3427="",M3427&lt;&gt;"Paid",O3427=""),"",P3427/O3427)</f>
        <v/>
      </c>
      <c r="R3427" s="30" t="str">
        <f aca="false">IF(Q3427="","",Q3427+N(H3427)*0.000000001)</f>
        <v/>
      </c>
      <c r="S3427" s="25" t="str">
        <f aca="false">IF(R3427="","",SUMPRODUCT((I$5:I$4004=I3427)*ISNUMBER(R$5:R$4004)*(R$5:R$4004&gt;R3427))+1)</f>
        <v/>
      </c>
      <c r="T3427" s="25" t="str">
        <f aca="false">IF(S3427="","",IF(S3427&lt;=Setup!$B$5,"🏆 WINNER",""))</f>
        <v/>
      </c>
      <c r="U3427" s="24" t="str">
        <f aca="false">IF(S3427="","",I3427&amp;"|"&amp;S3427)</f>
        <v/>
      </c>
    </row>
    <row r="3428" customFormat="false" ht="15" hidden="false" customHeight="false" outlineLevel="0" collapsed="false">
      <c r="A3428" s="31" t="n">
        <v>3424</v>
      </c>
      <c r="B3428" s="32" t="str">
        <f aca="false">IF(OR(C3428="",I3428="",G3428=""),"",IFERROR(VLOOKUP(I3428,Setup!$A$9:$B$11,2,0),"???")&amp;"-"&amp;G3428&amp;"-"&amp;TEXT(COUNTIFS(I$5:I3428,I3428,G$5:G3428,G3428),"0000"))</f>
        <v/>
      </c>
      <c r="C3428" s="26"/>
      <c r="D3428" s="26"/>
      <c r="E3428" s="27"/>
      <c r="F3428" s="27"/>
      <c r="G3428" s="31" t="str">
        <f aca="false">IF(F3428="","",IF(F3428&lt;=5,"A",IF(F3428&lt;=8,"B",IF(F3428&lt;=10,"C","D"))))</f>
        <v/>
      </c>
      <c r="H3428" s="28"/>
      <c r="I3428" s="27"/>
      <c r="J3428" s="26"/>
      <c r="K3428" s="27"/>
      <c r="L3428" s="27"/>
      <c r="M3428" s="27"/>
      <c r="N3428" s="27"/>
      <c r="O3428" s="31" t="str">
        <f aca="false">IF(G3428="","",VLOOKUP(G3428,Setup!$A$14:$C$17,3,0))</f>
        <v/>
      </c>
      <c r="P3428" s="27"/>
      <c r="Q3428" s="33" t="str">
        <f aca="false">IF(OR(P3428="",M3428&lt;&gt;"Paid",O3428=""),"",P3428/O3428)</f>
        <v/>
      </c>
      <c r="R3428" s="34" t="str">
        <f aca="false">IF(Q3428="","",Q3428+N(H3428)*0.000000001)</f>
        <v/>
      </c>
      <c r="S3428" s="32" t="str">
        <f aca="false">IF(R3428="","",SUMPRODUCT((I$5:I$4004=I3428)*ISNUMBER(R$5:R$4004)*(R$5:R$4004&gt;R3428))+1)</f>
        <v/>
      </c>
      <c r="T3428" s="32" t="str">
        <f aca="false">IF(S3428="","",IF(S3428&lt;=Setup!$B$5,"🏆 WINNER",""))</f>
        <v/>
      </c>
      <c r="U3428" s="31" t="str">
        <f aca="false">IF(S3428="","",I3428&amp;"|"&amp;S3428)</f>
        <v/>
      </c>
    </row>
    <row r="3429" customFormat="false" ht="15" hidden="false" customHeight="false" outlineLevel="0" collapsed="false">
      <c r="A3429" s="24" t="n">
        <v>3425</v>
      </c>
      <c r="B3429" s="25" t="str">
        <f aca="false">IF(OR(C3429="",I3429="",G3429=""),"",IFERROR(VLOOKUP(I3429,Setup!$A$9:$B$11,2,0),"???")&amp;"-"&amp;G3429&amp;"-"&amp;TEXT(COUNTIFS(I$5:I3429,I3429,G$5:G3429,G3429),"0000"))</f>
        <v/>
      </c>
      <c r="C3429" s="26"/>
      <c r="D3429" s="26"/>
      <c r="E3429" s="27"/>
      <c r="F3429" s="27"/>
      <c r="G3429" s="24" t="str">
        <f aca="false">IF(F3429="","",IF(F3429&lt;=5,"A",IF(F3429&lt;=8,"B",IF(F3429&lt;=10,"C","D"))))</f>
        <v/>
      </c>
      <c r="H3429" s="28"/>
      <c r="I3429" s="27"/>
      <c r="J3429" s="26"/>
      <c r="K3429" s="27"/>
      <c r="L3429" s="27"/>
      <c r="M3429" s="27"/>
      <c r="N3429" s="27"/>
      <c r="O3429" s="24" t="str">
        <f aca="false">IF(G3429="","",VLOOKUP(G3429,Setup!$A$14:$C$17,3,0))</f>
        <v/>
      </c>
      <c r="P3429" s="27"/>
      <c r="Q3429" s="29" t="str">
        <f aca="false">IF(OR(P3429="",M3429&lt;&gt;"Paid",O3429=""),"",P3429/O3429)</f>
        <v/>
      </c>
      <c r="R3429" s="30" t="str">
        <f aca="false">IF(Q3429="","",Q3429+N(H3429)*0.000000001)</f>
        <v/>
      </c>
      <c r="S3429" s="25" t="str">
        <f aca="false">IF(R3429="","",SUMPRODUCT((I$5:I$4004=I3429)*ISNUMBER(R$5:R$4004)*(R$5:R$4004&gt;R3429))+1)</f>
        <v/>
      </c>
      <c r="T3429" s="25" t="str">
        <f aca="false">IF(S3429="","",IF(S3429&lt;=Setup!$B$5,"🏆 WINNER",""))</f>
        <v/>
      </c>
      <c r="U3429" s="24" t="str">
        <f aca="false">IF(S3429="","",I3429&amp;"|"&amp;S3429)</f>
        <v/>
      </c>
    </row>
    <row r="3430" customFormat="false" ht="15" hidden="false" customHeight="false" outlineLevel="0" collapsed="false">
      <c r="A3430" s="31" t="n">
        <v>3426</v>
      </c>
      <c r="B3430" s="32" t="str">
        <f aca="false">IF(OR(C3430="",I3430="",G3430=""),"",IFERROR(VLOOKUP(I3430,Setup!$A$9:$B$11,2,0),"???")&amp;"-"&amp;G3430&amp;"-"&amp;TEXT(COUNTIFS(I$5:I3430,I3430,G$5:G3430,G3430),"0000"))</f>
        <v/>
      </c>
      <c r="C3430" s="26"/>
      <c r="D3430" s="26"/>
      <c r="E3430" s="27"/>
      <c r="F3430" s="27"/>
      <c r="G3430" s="31" t="str">
        <f aca="false">IF(F3430="","",IF(F3430&lt;=5,"A",IF(F3430&lt;=8,"B",IF(F3430&lt;=10,"C","D"))))</f>
        <v/>
      </c>
      <c r="H3430" s="28"/>
      <c r="I3430" s="27"/>
      <c r="J3430" s="26"/>
      <c r="K3430" s="27"/>
      <c r="L3430" s="27"/>
      <c r="M3430" s="27"/>
      <c r="N3430" s="27"/>
      <c r="O3430" s="31" t="str">
        <f aca="false">IF(G3430="","",VLOOKUP(G3430,Setup!$A$14:$C$17,3,0))</f>
        <v/>
      </c>
      <c r="P3430" s="27"/>
      <c r="Q3430" s="33" t="str">
        <f aca="false">IF(OR(P3430="",M3430&lt;&gt;"Paid",O3430=""),"",P3430/O3430)</f>
        <v/>
      </c>
      <c r="R3430" s="34" t="str">
        <f aca="false">IF(Q3430="","",Q3430+N(H3430)*0.000000001)</f>
        <v/>
      </c>
      <c r="S3430" s="32" t="str">
        <f aca="false">IF(R3430="","",SUMPRODUCT((I$5:I$4004=I3430)*ISNUMBER(R$5:R$4004)*(R$5:R$4004&gt;R3430))+1)</f>
        <v/>
      </c>
      <c r="T3430" s="32" t="str">
        <f aca="false">IF(S3430="","",IF(S3430&lt;=Setup!$B$5,"🏆 WINNER",""))</f>
        <v/>
      </c>
      <c r="U3430" s="31" t="str">
        <f aca="false">IF(S3430="","",I3430&amp;"|"&amp;S3430)</f>
        <v/>
      </c>
    </row>
    <row r="3431" customFormat="false" ht="15" hidden="false" customHeight="false" outlineLevel="0" collapsed="false">
      <c r="A3431" s="24" t="n">
        <v>3427</v>
      </c>
      <c r="B3431" s="25" t="str">
        <f aca="false">IF(OR(C3431="",I3431="",G3431=""),"",IFERROR(VLOOKUP(I3431,Setup!$A$9:$B$11,2,0),"???")&amp;"-"&amp;G3431&amp;"-"&amp;TEXT(COUNTIFS(I$5:I3431,I3431,G$5:G3431,G3431),"0000"))</f>
        <v/>
      </c>
      <c r="C3431" s="26"/>
      <c r="D3431" s="26"/>
      <c r="E3431" s="27"/>
      <c r="F3431" s="27"/>
      <c r="G3431" s="24" t="str">
        <f aca="false">IF(F3431="","",IF(F3431&lt;=5,"A",IF(F3431&lt;=8,"B",IF(F3431&lt;=10,"C","D"))))</f>
        <v/>
      </c>
      <c r="H3431" s="28"/>
      <c r="I3431" s="27"/>
      <c r="J3431" s="26"/>
      <c r="K3431" s="27"/>
      <c r="L3431" s="27"/>
      <c r="M3431" s="27"/>
      <c r="N3431" s="27"/>
      <c r="O3431" s="24" t="str">
        <f aca="false">IF(G3431="","",VLOOKUP(G3431,Setup!$A$14:$C$17,3,0))</f>
        <v/>
      </c>
      <c r="P3431" s="27"/>
      <c r="Q3431" s="29" t="str">
        <f aca="false">IF(OR(P3431="",M3431&lt;&gt;"Paid",O3431=""),"",P3431/O3431)</f>
        <v/>
      </c>
      <c r="R3431" s="30" t="str">
        <f aca="false">IF(Q3431="","",Q3431+N(H3431)*0.000000001)</f>
        <v/>
      </c>
      <c r="S3431" s="25" t="str">
        <f aca="false">IF(R3431="","",SUMPRODUCT((I$5:I$4004=I3431)*ISNUMBER(R$5:R$4004)*(R$5:R$4004&gt;R3431))+1)</f>
        <v/>
      </c>
      <c r="T3431" s="25" t="str">
        <f aca="false">IF(S3431="","",IF(S3431&lt;=Setup!$B$5,"🏆 WINNER",""))</f>
        <v/>
      </c>
      <c r="U3431" s="24" t="str">
        <f aca="false">IF(S3431="","",I3431&amp;"|"&amp;S3431)</f>
        <v/>
      </c>
    </row>
    <row r="3432" customFormat="false" ht="15" hidden="false" customHeight="false" outlineLevel="0" collapsed="false">
      <c r="A3432" s="31" t="n">
        <v>3428</v>
      </c>
      <c r="B3432" s="32" t="str">
        <f aca="false">IF(OR(C3432="",I3432="",G3432=""),"",IFERROR(VLOOKUP(I3432,Setup!$A$9:$B$11,2,0),"???")&amp;"-"&amp;G3432&amp;"-"&amp;TEXT(COUNTIFS(I$5:I3432,I3432,G$5:G3432,G3432),"0000"))</f>
        <v/>
      </c>
      <c r="C3432" s="26"/>
      <c r="D3432" s="26"/>
      <c r="E3432" s="27"/>
      <c r="F3432" s="27"/>
      <c r="G3432" s="31" t="str">
        <f aca="false">IF(F3432="","",IF(F3432&lt;=5,"A",IF(F3432&lt;=8,"B",IF(F3432&lt;=10,"C","D"))))</f>
        <v/>
      </c>
      <c r="H3432" s="28"/>
      <c r="I3432" s="27"/>
      <c r="J3432" s="26"/>
      <c r="K3432" s="27"/>
      <c r="L3432" s="27"/>
      <c r="M3432" s="27"/>
      <c r="N3432" s="27"/>
      <c r="O3432" s="31" t="str">
        <f aca="false">IF(G3432="","",VLOOKUP(G3432,Setup!$A$14:$C$17,3,0))</f>
        <v/>
      </c>
      <c r="P3432" s="27"/>
      <c r="Q3432" s="33" t="str">
        <f aca="false">IF(OR(P3432="",M3432&lt;&gt;"Paid",O3432=""),"",P3432/O3432)</f>
        <v/>
      </c>
      <c r="R3432" s="34" t="str">
        <f aca="false">IF(Q3432="","",Q3432+N(H3432)*0.000000001)</f>
        <v/>
      </c>
      <c r="S3432" s="32" t="str">
        <f aca="false">IF(R3432="","",SUMPRODUCT((I$5:I$4004=I3432)*ISNUMBER(R$5:R$4004)*(R$5:R$4004&gt;R3432))+1)</f>
        <v/>
      </c>
      <c r="T3432" s="32" t="str">
        <f aca="false">IF(S3432="","",IF(S3432&lt;=Setup!$B$5,"🏆 WINNER",""))</f>
        <v/>
      </c>
      <c r="U3432" s="31" t="str">
        <f aca="false">IF(S3432="","",I3432&amp;"|"&amp;S3432)</f>
        <v/>
      </c>
    </row>
    <row r="3433" customFormat="false" ht="15" hidden="false" customHeight="false" outlineLevel="0" collapsed="false">
      <c r="A3433" s="24" t="n">
        <v>3429</v>
      </c>
      <c r="B3433" s="25" t="str">
        <f aca="false">IF(OR(C3433="",I3433="",G3433=""),"",IFERROR(VLOOKUP(I3433,Setup!$A$9:$B$11,2,0),"???")&amp;"-"&amp;G3433&amp;"-"&amp;TEXT(COUNTIFS(I$5:I3433,I3433,G$5:G3433,G3433),"0000"))</f>
        <v/>
      </c>
      <c r="C3433" s="26"/>
      <c r="D3433" s="26"/>
      <c r="E3433" s="27"/>
      <c r="F3433" s="27"/>
      <c r="G3433" s="24" t="str">
        <f aca="false">IF(F3433="","",IF(F3433&lt;=5,"A",IF(F3433&lt;=8,"B",IF(F3433&lt;=10,"C","D"))))</f>
        <v/>
      </c>
      <c r="H3433" s="28"/>
      <c r="I3433" s="27"/>
      <c r="J3433" s="26"/>
      <c r="K3433" s="27"/>
      <c r="L3433" s="27"/>
      <c r="M3433" s="27"/>
      <c r="N3433" s="27"/>
      <c r="O3433" s="24" t="str">
        <f aca="false">IF(G3433="","",VLOOKUP(G3433,Setup!$A$14:$C$17,3,0))</f>
        <v/>
      </c>
      <c r="P3433" s="27"/>
      <c r="Q3433" s="29" t="str">
        <f aca="false">IF(OR(P3433="",M3433&lt;&gt;"Paid",O3433=""),"",P3433/O3433)</f>
        <v/>
      </c>
      <c r="R3433" s="30" t="str">
        <f aca="false">IF(Q3433="","",Q3433+N(H3433)*0.000000001)</f>
        <v/>
      </c>
      <c r="S3433" s="25" t="str">
        <f aca="false">IF(R3433="","",SUMPRODUCT((I$5:I$4004=I3433)*ISNUMBER(R$5:R$4004)*(R$5:R$4004&gt;R3433))+1)</f>
        <v/>
      </c>
      <c r="T3433" s="25" t="str">
        <f aca="false">IF(S3433="","",IF(S3433&lt;=Setup!$B$5,"🏆 WINNER",""))</f>
        <v/>
      </c>
      <c r="U3433" s="24" t="str">
        <f aca="false">IF(S3433="","",I3433&amp;"|"&amp;S3433)</f>
        <v/>
      </c>
    </row>
    <row r="3434" customFormat="false" ht="15" hidden="false" customHeight="false" outlineLevel="0" collapsed="false">
      <c r="A3434" s="31" t="n">
        <v>3430</v>
      </c>
      <c r="B3434" s="32" t="str">
        <f aca="false">IF(OR(C3434="",I3434="",G3434=""),"",IFERROR(VLOOKUP(I3434,Setup!$A$9:$B$11,2,0),"???")&amp;"-"&amp;G3434&amp;"-"&amp;TEXT(COUNTIFS(I$5:I3434,I3434,G$5:G3434,G3434),"0000"))</f>
        <v/>
      </c>
      <c r="C3434" s="26"/>
      <c r="D3434" s="26"/>
      <c r="E3434" s="27"/>
      <c r="F3434" s="27"/>
      <c r="G3434" s="31" t="str">
        <f aca="false">IF(F3434="","",IF(F3434&lt;=5,"A",IF(F3434&lt;=8,"B",IF(F3434&lt;=10,"C","D"))))</f>
        <v/>
      </c>
      <c r="H3434" s="28"/>
      <c r="I3434" s="27"/>
      <c r="J3434" s="26"/>
      <c r="K3434" s="27"/>
      <c r="L3434" s="27"/>
      <c r="M3434" s="27"/>
      <c r="N3434" s="27"/>
      <c r="O3434" s="31" t="str">
        <f aca="false">IF(G3434="","",VLOOKUP(G3434,Setup!$A$14:$C$17,3,0))</f>
        <v/>
      </c>
      <c r="P3434" s="27"/>
      <c r="Q3434" s="33" t="str">
        <f aca="false">IF(OR(P3434="",M3434&lt;&gt;"Paid",O3434=""),"",P3434/O3434)</f>
        <v/>
      </c>
      <c r="R3434" s="34" t="str">
        <f aca="false">IF(Q3434="","",Q3434+N(H3434)*0.000000001)</f>
        <v/>
      </c>
      <c r="S3434" s="32" t="str">
        <f aca="false">IF(R3434="","",SUMPRODUCT((I$5:I$4004=I3434)*ISNUMBER(R$5:R$4004)*(R$5:R$4004&gt;R3434))+1)</f>
        <v/>
      </c>
      <c r="T3434" s="32" t="str">
        <f aca="false">IF(S3434="","",IF(S3434&lt;=Setup!$B$5,"🏆 WINNER",""))</f>
        <v/>
      </c>
      <c r="U3434" s="31" t="str">
        <f aca="false">IF(S3434="","",I3434&amp;"|"&amp;S3434)</f>
        <v/>
      </c>
    </row>
    <row r="3435" customFormat="false" ht="15" hidden="false" customHeight="false" outlineLevel="0" collapsed="false">
      <c r="A3435" s="24" t="n">
        <v>3431</v>
      </c>
      <c r="B3435" s="25" t="str">
        <f aca="false">IF(OR(C3435="",I3435="",G3435=""),"",IFERROR(VLOOKUP(I3435,Setup!$A$9:$B$11,2,0),"???")&amp;"-"&amp;G3435&amp;"-"&amp;TEXT(COUNTIFS(I$5:I3435,I3435,G$5:G3435,G3435),"0000"))</f>
        <v/>
      </c>
      <c r="C3435" s="26"/>
      <c r="D3435" s="26"/>
      <c r="E3435" s="27"/>
      <c r="F3435" s="27"/>
      <c r="G3435" s="24" t="str">
        <f aca="false">IF(F3435="","",IF(F3435&lt;=5,"A",IF(F3435&lt;=8,"B",IF(F3435&lt;=10,"C","D"))))</f>
        <v/>
      </c>
      <c r="H3435" s="28"/>
      <c r="I3435" s="27"/>
      <c r="J3435" s="26"/>
      <c r="K3435" s="27"/>
      <c r="L3435" s="27"/>
      <c r="M3435" s="27"/>
      <c r="N3435" s="27"/>
      <c r="O3435" s="24" t="str">
        <f aca="false">IF(G3435="","",VLOOKUP(G3435,Setup!$A$14:$C$17,3,0))</f>
        <v/>
      </c>
      <c r="P3435" s="27"/>
      <c r="Q3435" s="29" t="str">
        <f aca="false">IF(OR(P3435="",M3435&lt;&gt;"Paid",O3435=""),"",P3435/O3435)</f>
        <v/>
      </c>
      <c r="R3435" s="30" t="str">
        <f aca="false">IF(Q3435="","",Q3435+N(H3435)*0.000000001)</f>
        <v/>
      </c>
      <c r="S3435" s="25" t="str">
        <f aca="false">IF(R3435="","",SUMPRODUCT((I$5:I$4004=I3435)*ISNUMBER(R$5:R$4004)*(R$5:R$4004&gt;R3435))+1)</f>
        <v/>
      </c>
      <c r="T3435" s="25" t="str">
        <f aca="false">IF(S3435="","",IF(S3435&lt;=Setup!$B$5,"🏆 WINNER",""))</f>
        <v/>
      </c>
      <c r="U3435" s="24" t="str">
        <f aca="false">IF(S3435="","",I3435&amp;"|"&amp;S3435)</f>
        <v/>
      </c>
    </row>
    <row r="3436" customFormat="false" ht="15" hidden="false" customHeight="false" outlineLevel="0" collapsed="false">
      <c r="A3436" s="31" t="n">
        <v>3432</v>
      </c>
      <c r="B3436" s="32" t="str">
        <f aca="false">IF(OR(C3436="",I3436="",G3436=""),"",IFERROR(VLOOKUP(I3436,Setup!$A$9:$B$11,2,0),"???")&amp;"-"&amp;G3436&amp;"-"&amp;TEXT(COUNTIFS(I$5:I3436,I3436,G$5:G3436,G3436),"0000"))</f>
        <v/>
      </c>
      <c r="C3436" s="26"/>
      <c r="D3436" s="26"/>
      <c r="E3436" s="27"/>
      <c r="F3436" s="27"/>
      <c r="G3436" s="31" t="str">
        <f aca="false">IF(F3436="","",IF(F3436&lt;=5,"A",IF(F3436&lt;=8,"B",IF(F3436&lt;=10,"C","D"))))</f>
        <v/>
      </c>
      <c r="H3436" s="28"/>
      <c r="I3436" s="27"/>
      <c r="J3436" s="26"/>
      <c r="K3436" s="27"/>
      <c r="L3436" s="27"/>
      <c r="M3436" s="27"/>
      <c r="N3436" s="27"/>
      <c r="O3436" s="31" t="str">
        <f aca="false">IF(G3436="","",VLOOKUP(G3436,Setup!$A$14:$C$17,3,0))</f>
        <v/>
      </c>
      <c r="P3436" s="27"/>
      <c r="Q3436" s="33" t="str">
        <f aca="false">IF(OR(P3436="",M3436&lt;&gt;"Paid",O3436=""),"",P3436/O3436)</f>
        <v/>
      </c>
      <c r="R3436" s="34" t="str">
        <f aca="false">IF(Q3436="","",Q3436+N(H3436)*0.000000001)</f>
        <v/>
      </c>
      <c r="S3436" s="32" t="str">
        <f aca="false">IF(R3436="","",SUMPRODUCT((I$5:I$4004=I3436)*ISNUMBER(R$5:R$4004)*(R$5:R$4004&gt;R3436))+1)</f>
        <v/>
      </c>
      <c r="T3436" s="32" t="str">
        <f aca="false">IF(S3436="","",IF(S3436&lt;=Setup!$B$5,"🏆 WINNER",""))</f>
        <v/>
      </c>
      <c r="U3436" s="31" t="str">
        <f aca="false">IF(S3436="","",I3436&amp;"|"&amp;S3436)</f>
        <v/>
      </c>
    </row>
    <row r="3437" customFormat="false" ht="15" hidden="false" customHeight="false" outlineLevel="0" collapsed="false">
      <c r="A3437" s="24" t="n">
        <v>3433</v>
      </c>
      <c r="B3437" s="25" t="str">
        <f aca="false">IF(OR(C3437="",I3437="",G3437=""),"",IFERROR(VLOOKUP(I3437,Setup!$A$9:$B$11,2,0),"???")&amp;"-"&amp;G3437&amp;"-"&amp;TEXT(COUNTIFS(I$5:I3437,I3437,G$5:G3437,G3437),"0000"))</f>
        <v/>
      </c>
      <c r="C3437" s="26"/>
      <c r="D3437" s="26"/>
      <c r="E3437" s="27"/>
      <c r="F3437" s="27"/>
      <c r="G3437" s="24" t="str">
        <f aca="false">IF(F3437="","",IF(F3437&lt;=5,"A",IF(F3437&lt;=8,"B",IF(F3437&lt;=10,"C","D"))))</f>
        <v/>
      </c>
      <c r="H3437" s="28"/>
      <c r="I3437" s="27"/>
      <c r="J3437" s="26"/>
      <c r="K3437" s="27"/>
      <c r="L3437" s="27"/>
      <c r="M3437" s="27"/>
      <c r="N3437" s="27"/>
      <c r="O3437" s="24" t="str">
        <f aca="false">IF(G3437="","",VLOOKUP(G3437,Setup!$A$14:$C$17,3,0))</f>
        <v/>
      </c>
      <c r="P3437" s="27"/>
      <c r="Q3437" s="29" t="str">
        <f aca="false">IF(OR(P3437="",M3437&lt;&gt;"Paid",O3437=""),"",P3437/O3437)</f>
        <v/>
      </c>
      <c r="R3437" s="30" t="str">
        <f aca="false">IF(Q3437="","",Q3437+N(H3437)*0.000000001)</f>
        <v/>
      </c>
      <c r="S3437" s="25" t="str">
        <f aca="false">IF(R3437="","",SUMPRODUCT((I$5:I$4004=I3437)*ISNUMBER(R$5:R$4004)*(R$5:R$4004&gt;R3437))+1)</f>
        <v/>
      </c>
      <c r="T3437" s="25" t="str">
        <f aca="false">IF(S3437="","",IF(S3437&lt;=Setup!$B$5,"🏆 WINNER",""))</f>
        <v/>
      </c>
      <c r="U3437" s="24" t="str">
        <f aca="false">IF(S3437="","",I3437&amp;"|"&amp;S3437)</f>
        <v/>
      </c>
    </row>
    <row r="3438" customFormat="false" ht="15" hidden="false" customHeight="false" outlineLevel="0" collapsed="false">
      <c r="A3438" s="31" t="n">
        <v>3434</v>
      </c>
      <c r="B3438" s="32" t="str">
        <f aca="false">IF(OR(C3438="",I3438="",G3438=""),"",IFERROR(VLOOKUP(I3438,Setup!$A$9:$B$11,2,0),"???")&amp;"-"&amp;G3438&amp;"-"&amp;TEXT(COUNTIFS(I$5:I3438,I3438,G$5:G3438,G3438),"0000"))</f>
        <v/>
      </c>
      <c r="C3438" s="26"/>
      <c r="D3438" s="26"/>
      <c r="E3438" s="27"/>
      <c r="F3438" s="27"/>
      <c r="G3438" s="31" t="str">
        <f aca="false">IF(F3438="","",IF(F3438&lt;=5,"A",IF(F3438&lt;=8,"B",IF(F3438&lt;=10,"C","D"))))</f>
        <v/>
      </c>
      <c r="H3438" s="28"/>
      <c r="I3438" s="27"/>
      <c r="J3438" s="26"/>
      <c r="K3438" s="27"/>
      <c r="L3438" s="27"/>
      <c r="M3438" s="27"/>
      <c r="N3438" s="27"/>
      <c r="O3438" s="31" t="str">
        <f aca="false">IF(G3438="","",VLOOKUP(G3438,Setup!$A$14:$C$17,3,0))</f>
        <v/>
      </c>
      <c r="P3438" s="27"/>
      <c r="Q3438" s="33" t="str">
        <f aca="false">IF(OR(P3438="",M3438&lt;&gt;"Paid",O3438=""),"",P3438/O3438)</f>
        <v/>
      </c>
      <c r="R3438" s="34" t="str">
        <f aca="false">IF(Q3438="","",Q3438+N(H3438)*0.000000001)</f>
        <v/>
      </c>
      <c r="S3438" s="32" t="str">
        <f aca="false">IF(R3438="","",SUMPRODUCT((I$5:I$4004=I3438)*ISNUMBER(R$5:R$4004)*(R$5:R$4004&gt;R3438))+1)</f>
        <v/>
      </c>
      <c r="T3438" s="32" t="str">
        <f aca="false">IF(S3438="","",IF(S3438&lt;=Setup!$B$5,"🏆 WINNER",""))</f>
        <v/>
      </c>
      <c r="U3438" s="31" t="str">
        <f aca="false">IF(S3438="","",I3438&amp;"|"&amp;S3438)</f>
        <v/>
      </c>
    </row>
    <row r="3439" customFormat="false" ht="15" hidden="false" customHeight="false" outlineLevel="0" collapsed="false">
      <c r="A3439" s="24" t="n">
        <v>3435</v>
      </c>
      <c r="B3439" s="25" t="str">
        <f aca="false">IF(OR(C3439="",I3439="",G3439=""),"",IFERROR(VLOOKUP(I3439,Setup!$A$9:$B$11,2,0),"???")&amp;"-"&amp;G3439&amp;"-"&amp;TEXT(COUNTIFS(I$5:I3439,I3439,G$5:G3439,G3439),"0000"))</f>
        <v/>
      </c>
      <c r="C3439" s="26"/>
      <c r="D3439" s="26"/>
      <c r="E3439" s="27"/>
      <c r="F3439" s="27"/>
      <c r="G3439" s="24" t="str">
        <f aca="false">IF(F3439="","",IF(F3439&lt;=5,"A",IF(F3439&lt;=8,"B",IF(F3439&lt;=10,"C","D"))))</f>
        <v/>
      </c>
      <c r="H3439" s="28"/>
      <c r="I3439" s="27"/>
      <c r="J3439" s="26"/>
      <c r="K3439" s="27"/>
      <c r="L3439" s="27"/>
      <c r="M3439" s="27"/>
      <c r="N3439" s="27"/>
      <c r="O3439" s="24" t="str">
        <f aca="false">IF(G3439="","",VLOOKUP(G3439,Setup!$A$14:$C$17,3,0))</f>
        <v/>
      </c>
      <c r="P3439" s="27"/>
      <c r="Q3439" s="29" t="str">
        <f aca="false">IF(OR(P3439="",M3439&lt;&gt;"Paid",O3439=""),"",P3439/O3439)</f>
        <v/>
      </c>
      <c r="R3439" s="30" t="str">
        <f aca="false">IF(Q3439="","",Q3439+N(H3439)*0.000000001)</f>
        <v/>
      </c>
      <c r="S3439" s="25" t="str">
        <f aca="false">IF(R3439="","",SUMPRODUCT((I$5:I$4004=I3439)*ISNUMBER(R$5:R$4004)*(R$5:R$4004&gt;R3439))+1)</f>
        <v/>
      </c>
      <c r="T3439" s="25" t="str">
        <f aca="false">IF(S3439="","",IF(S3439&lt;=Setup!$B$5,"🏆 WINNER",""))</f>
        <v/>
      </c>
      <c r="U3439" s="24" t="str">
        <f aca="false">IF(S3439="","",I3439&amp;"|"&amp;S3439)</f>
        <v/>
      </c>
    </row>
    <row r="3440" customFormat="false" ht="15" hidden="false" customHeight="false" outlineLevel="0" collapsed="false">
      <c r="A3440" s="31" t="n">
        <v>3436</v>
      </c>
      <c r="B3440" s="32" t="str">
        <f aca="false">IF(OR(C3440="",I3440="",G3440=""),"",IFERROR(VLOOKUP(I3440,Setup!$A$9:$B$11,2,0),"???")&amp;"-"&amp;G3440&amp;"-"&amp;TEXT(COUNTIFS(I$5:I3440,I3440,G$5:G3440,G3440),"0000"))</f>
        <v/>
      </c>
      <c r="C3440" s="26"/>
      <c r="D3440" s="26"/>
      <c r="E3440" s="27"/>
      <c r="F3440" s="27"/>
      <c r="G3440" s="31" t="str">
        <f aca="false">IF(F3440="","",IF(F3440&lt;=5,"A",IF(F3440&lt;=8,"B",IF(F3440&lt;=10,"C","D"))))</f>
        <v/>
      </c>
      <c r="H3440" s="28"/>
      <c r="I3440" s="27"/>
      <c r="J3440" s="26"/>
      <c r="K3440" s="27"/>
      <c r="L3440" s="27"/>
      <c r="M3440" s="27"/>
      <c r="N3440" s="27"/>
      <c r="O3440" s="31" t="str">
        <f aca="false">IF(G3440="","",VLOOKUP(G3440,Setup!$A$14:$C$17,3,0))</f>
        <v/>
      </c>
      <c r="P3440" s="27"/>
      <c r="Q3440" s="33" t="str">
        <f aca="false">IF(OR(P3440="",M3440&lt;&gt;"Paid",O3440=""),"",P3440/O3440)</f>
        <v/>
      </c>
      <c r="R3440" s="34" t="str">
        <f aca="false">IF(Q3440="","",Q3440+N(H3440)*0.000000001)</f>
        <v/>
      </c>
      <c r="S3440" s="32" t="str">
        <f aca="false">IF(R3440="","",SUMPRODUCT((I$5:I$4004=I3440)*ISNUMBER(R$5:R$4004)*(R$5:R$4004&gt;R3440))+1)</f>
        <v/>
      </c>
      <c r="T3440" s="32" t="str">
        <f aca="false">IF(S3440="","",IF(S3440&lt;=Setup!$B$5,"🏆 WINNER",""))</f>
        <v/>
      </c>
      <c r="U3440" s="31" t="str">
        <f aca="false">IF(S3440="","",I3440&amp;"|"&amp;S3440)</f>
        <v/>
      </c>
    </row>
    <row r="3441" customFormat="false" ht="15" hidden="false" customHeight="false" outlineLevel="0" collapsed="false">
      <c r="A3441" s="24" t="n">
        <v>3437</v>
      </c>
      <c r="B3441" s="25" t="str">
        <f aca="false">IF(OR(C3441="",I3441="",G3441=""),"",IFERROR(VLOOKUP(I3441,Setup!$A$9:$B$11,2,0),"???")&amp;"-"&amp;G3441&amp;"-"&amp;TEXT(COUNTIFS(I$5:I3441,I3441,G$5:G3441,G3441),"0000"))</f>
        <v/>
      </c>
      <c r="C3441" s="26"/>
      <c r="D3441" s="26"/>
      <c r="E3441" s="27"/>
      <c r="F3441" s="27"/>
      <c r="G3441" s="24" t="str">
        <f aca="false">IF(F3441="","",IF(F3441&lt;=5,"A",IF(F3441&lt;=8,"B",IF(F3441&lt;=10,"C","D"))))</f>
        <v/>
      </c>
      <c r="H3441" s="28"/>
      <c r="I3441" s="27"/>
      <c r="J3441" s="26"/>
      <c r="K3441" s="27"/>
      <c r="L3441" s="27"/>
      <c r="M3441" s="27"/>
      <c r="N3441" s="27"/>
      <c r="O3441" s="24" t="str">
        <f aca="false">IF(G3441="","",VLOOKUP(G3441,Setup!$A$14:$C$17,3,0))</f>
        <v/>
      </c>
      <c r="P3441" s="27"/>
      <c r="Q3441" s="29" t="str">
        <f aca="false">IF(OR(P3441="",M3441&lt;&gt;"Paid",O3441=""),"",P3441/O3441)</f>
        <v/>
      </c>
      <c r="R3441" s="30" t="str">
        <f aca="false">IF(Q3441="","",Q3441+N(H3441)*0.000000001)</f>
        <v/>
      </c>
      <c r="S3441" s="25" t="str">
        <f aca="false">IF(R3441="","",SUMPRODUCT((I$5:I$4004=I3441)*ISNUMBER(R$5:R$4004)*(R$5:R$4004&gt;R3441))+1)</f>
        <v/>
      </c>
      <c r="T3441" s="25" t="str">
        <f aca="false">IF(S3441="","",IF(S3441&lt;=Setup!$B$5,"🏆 WINNER",""))</f>
        <v/>
      </c>
      <c r="U3441" s="24" t="str">
        <f aca="false">IF(S3441="","",I3441&amp;"|"&amp;S3441)</f>
        <v/>
      </c>
    </row>
    <row r="3442" customFormat="false" ht="15" hidden="false" customHeight="false" outlineLevel="0" collapsed="false">
      <c r="A3442" s="31" t="n">
        <v>3438</v>
      </c>
      <c r="B3442" s="32" t="str">
        <f aca="false">IF(OR(C3442="",I3442="",G3442=""),"",IFERROR(VLOOKUP(I3442,Setup!$A$9:$B$11,2,0),"???")&amp;"-"&amp;G3442&amp;"-"&amp;TEXT(COUNTIFS(I$5:I3442,I3442,G$5:G3442,G3442),"0000"))</f>
        <v/>
      </c>
      <c r="C3442" s="26"/>
      <c r="D3442" s="26"/>
      <c r="E3442" s="27"/>
      <c r="F3442" s="27"/>
      <c r="G3442" s="31" t="str">
        <f aca="false">IF(F3442="","",IF(F3442&lt;=5,"A",IF(F3442&lt;=8,"B",IF(F3442&lt;=10,"C","D"))))</f>
        <v/>
      </c>
      <c r="H3442" s="28"/>
      <c r="I3442" s="27"/>
      <c r="J3442" s="26"/>
      <c r="K3442" s="27"/>
      <c r="L3442" s="27"/>
      <c r="M3442" s="27"/>
      <c r="N3442" s="27"/>
      <c r="O3442" s="31" t="str">
        <f aca="false">IF(G3442="","",VLOOKUP(G3442,Setup!$A$14:$C$17,3,0))</f>
        <v/>
      </c>
      <c r="P3442" s="27"/>
      <c r="Q3442" s="33" t="str">
        <f aca="false">IF(OR(P3442="",M3442&lt;&gt;"Paid",O3442=""),"",P3442/O3442)</f>
        <v/>
      </c>
      <c r="R3442" s="34" t="str">
        <f aca="false">IF(Q3442="","",Q3442+N(H3442)*0.000000001)</f>
        <v/>
      </c>
      <c r="S3442" s="32" t="str">
        <f aca="false">IF(R3442="","",SUMPRODUCT((I$5:I$4004=I3442)*ISNUMBER(R$5:R$4004)*(R$5:R$4004&gt;R3442))+1)</f>
        <v/>
      </c>
      <c r="T3442" s="32" t="str">
        <f aca="false">IF(S3442="","",IF(S3442&lt;=Setup!$B$5,"🏆 WINNER",""))</f>
        <v/>
      </c>
      <c r="U3442" s="31" t="str">
        <f aca="false">IF(S3442="","",I3442&amp;"|"&amp;S3442)</f>
        <v/>
      </c>
    </row>
    <row r="3443" customFormat="false" ht="15" hidden="false" customHeight="false" outlineLevel="0" collapsed="false">
      <c r="A3443" s="24" t="n">
        <v>3439</v>
      </c>
      <c r="B3443" s="25" t="str">
        <f aca="false">IF(OR(C3443="",I3443="",G3443=""),"",IFERROR(VLOOKUP(I3443,Setup!$A$9:$B$11,2,0),"???")&amp;"-"&amp;G3443&amp;"-"&amp;TEXT(COUNTIFS(I$5:I3443,I3443,G$5:G3443,G3443),"0000"))</f>
        <v/>
      </c>
      <c r="C3443" s="26"/>
      <c r="D3443" s="26"/>
      <c r="E3443" s="27"/>
      <c r="F3443" s="27"/>
      <c r="G3443" s="24" t="str">
        <f aca="false">IF(F3443="","",IF(F3443&lt;=5,"A",IF(F3443&lt;=8,"B",IF(F3443&lt;=10,"C","D"))))</f>
        <v/>
      </c>
      <c r="H3443" s="28"/>
      <c r="I3443" s="27"/>
      <c r="J3443" s="26"/>
      <c r="K3443" s="27"/>
      <c r="L3443" s="27"/>
      <c r="M3443" s="27"/>
      <c r="N3443" s="27"/>
      <c r="O3443" s="24" t="str">
        <f aca="false">IF(G3443="","",VLOOKUP(G3443,Setup!$A$14:$C$17,3,0))</f>
        <v/>
      </c>
      <c r="P3443" s="27"/>
      <c r="Q3443" s="29" t="str">
        <f aca="false">IF(OR(P3443="",M3443&lt;&gt;"Paid",O3443=""),"",P3443/O3443)</f>
        <v/>
      </c>
      <c r="R3443" s="30" t="str">
        <f aca="false">IF(Q3443="","",Q3443+N(H3443)*0.000000001)</f>
        <v/>
      </c>
      <c r="S3443" s="25" t="str">
        <f aca="false">IF(R3443="","",SUMPRODUCT((I$5:I$4004=I3443)*ISNUMBER(R$5:R$4004)*(R$5:R$4004&gt;R3443))+1)</f>
        <v/>
      </c>
      <c r="T3443" s="25" t="str">
        <f aca="false">IF(S3443="","",IF(S3443&lt;=Setup!$B$5,"🏆 WINNER",""))</f>
        <v/>
      </c>
      <c r="U3443" s="24" t="str">
        <f aca="false">IF(S3443="","",I3443&amp;"|"&amp;S3443)</f>
        <v/>
      </c>
    </row>
    <row r="3444" customFormat="false" ht="15" hidden="false" customHeight="false" outlineLevel="0" collapsed="false">
      <c r="A3444" s="31" t="n">
        <v>3440</v>
      </c>
      <c r="B3444" s="32" t="str">
        <f aca="false">IF(OR(C3444="",I3444="",G3444=""),"",IFERROR(VLOOKUP(I3444,Setup!$A$9:$B$11,2,0),"???")&amp;"-"&amp;G3444&amp;"-"&amp;TEXT(COUNTIFS(I$5:I3444,I3444,G$5:G3444,G3444),"0000"))</f>
        <v/>
      </c>
      <c r="C3444" s="26"/>
      <c r="D3444" s="26"/>
      <c r="E3444" s="27"/>
      <c r="F3444" s="27"/>
      <c r="G3444" s="31" t="str">
        <f aca="false">IF(F3444="","",IF(F3444&lt;=5,"A",IF(F3444&lt;=8,"B",IF(F3444&lt;=10,"C","D"))))</f>
        <v/>
      </c>
      <c r="H3444" s="28"/>
      <c r="I3444" s="27"/>
      <c r="J3444" s="26"/>
      <c r="K3444" s="27"/>
      <c r="L3444" s="27"/>
      <c r="M3444" s="27"/>
      <c r="N3444" s="27"/>
      <c r="O3444" s="31" t="str">
        <f aca="false">IF(G3444="","",VLOOKUP(G3444,Setup!$A$14:$C$17,3,0))</f>
        <v/>
      </c>
      <c r="P3444" s="27"/>
      <c r="Q3444" s="33" t="str">
        <f aca="false">IF(OR(P3444="",M3444&lt;&gt;"Paid",O3444=""),"",P3444/O3444)</f>
        <v/>
      </c>
      <c r="R3444" s="34" t="str">
        <f aca="false">IF(Q3444="","",Q3444+N(H3444)*0.000000001)</f>
        <v/>
      </c>
      <c r="S3444" s="32" t="str">
        <f aca="false">IF(R3444="","",SUMPRODUCT((I$5:I$4004=I3444)*ISNUMBER(R$5:R$4004)*(R$5:R$4004&gt;R3444))+1)</f>
        <v/>
      </c>
      <c r="T3444" s="32" t="str">
        <f aca="false">IF(S3444="","",IF(S3444&lt;=Setup!$B$5,"🏆 WINNER",""))</f>
        <v/>
      </c>
      <c r="U3444" s="31" t="str">
        <f aca="false">IF(S3444="","",I3444&amp;"|"&amp;S3444)</f>
        <v/>
      </c>
    </row>
    <row r="3445" customFormat="false" ht="15" hidden="false" customHeight="false" outlineLevel="0" collapsed="false">
      <c r="A3445" s="24" t="n">
        <v>3441</v>
      </c>
      <c r="B3445" s="25" t="str">
        <f aca="false">IF(OR(C3445="",I3445="",G3445=""),"",IFERROR(VLOOKUP(I3445,Setup!$A$9:$B$11,2,0),"???")&amp;"-"&amp;G3445&amp;"-"&amp;TEXT(COUNTIFS(I$5:I3445,I3445,G$5:G3445,G3445),"0000"))</f>
        <v/>
      </c>
      <c r="C3445" s="26"/>
      <c r="D3445" s="26"/>
      <c r="E3445" s="27"/>
      <c r="F3445" s="27"/>
      <c r="G3445" s="24" t="str">
        <f aca="false">IF(F3445="","",IF(F3445&lt;=5,"A",IF(F3445&lt;=8,"B",IF(F3445&lt;=10,"C","D"))))</f>
        <v/>
      </c>
      <c r="H3445" s="28"/>
      <c r="I3445" s="27"/>
      <c r="J3445" s="26"/>
      <c r="K3445" s="27"/>
      <c r="L3445" s="27"/>
      <c r="M3445" s="27"/>
      <c r="N3445" s="27"/>
      <c r="O3445" s="24" t="str">
        <f aca="false">IF(G3445="","",VLOOKUP(G3445,Setup!$A$14:$C$17,3,0))</f>
        <v/>
      </c>
      <c r="P3445" s="27"/>
      <c r="Q3445" s="29" t="str">
        <f aca="false">IF(OR(P3445="",M3445&lt;&gt;"Paid",O3445=""),"",P3445/O3445)</f>
        <v/>
      </c>
      <c r="R3445" s="30" t="str">
        <f aca="false">IF(Q3445="","",Q3445+N(H3445)*0.000000001)</f>
        <v/>
      </c>
      <c r="S3445" s="25" t="str">
        <f aca="false">IF(R3445="","",SUMPRODUCT((I$5:I$4004=I3445)*ISNUMBER(R$5:R$4004)*(R$5:R$4004&gt;R3445))+1)</f>
        <v/>
      </c>
      <c r="T3445" s="25" t="str">
        <f aca="false">IF(S3445="","",IF(S3445&lt;=Setup!$B$5,"🏆 WINNER",""))</f>
        <v/>
      </c>
      <c r="U3445" s="24" t="str">
        <f aca="false">IF(S3445="","",I3445&amp;"|"&amp;S3445)</f>
        <v/>
      </c>
    </row>
    <row r="3446" customFormat="false" ht="15" hidden="false" customHeight="false" outlineLevel="0" collapsed="false">
      <c r="A3446" s="31" t="n">
        <v>3442</v>
      </c>
      <c r="B3446" s="32" t="str">
        <f aca="false">IF(OR(C3446="",I3446="",G3446=""),"",IFERROR(VLOOKUP(I3446,Setup!$A$9:$B$11,2,0),"???")&amp;"-"&amp;G3446&amp;"-"&amp;TEXT(COUNTIFS(I$5:I3446,I3446,G$5:G3446,G3446),"0000"))</f>
        <v/>
      </c>
      <c r="C3446" s="26"/>
      <c r="D3446" s="26"/>
      <c r="E3446" s="27"/>
      <c r="F3446" s="27"/>
      <c r="G3446" s="31" t="str">
        <f aca="false">IF(F3446="","",IF(F3446&lt;=5,"A",IF(F3446&lt;=8,"B",IF(F3446&lt;=10,"C","D"))))</f>
        <v/>
      </c>
      <c r="H3446" s="28"/>
      <c r="I3446" s="27"/>
      <c r="J3446" s="26"/>
      <c r="K3446" s="27"/>
      <c r="L3446" s="27"/>
      <c r="M3446" s="27"/>
      <c r="N3446" s="27"/>
      <c r="O3446" s="31" t="str">
        <f aca="false">IF(G3446="","",VLOOKUP(G3446,Setup!$A$14:$C$17,3,0))</f>
        <v/>
      </c>
      <c r="P3446" s="27"/>
      <c r="Q3446" s="33" t="str">
        <f aca="false">IF(OR(P3446="",M3446&lt;&gt;"Paid",O3446=""),"",P3446/O3446)</f>
        <v/>
      </c>
      <c r="R3446" s="34" t="str">
        <f aca="false">IF(Q3446="","",Q3446+N(H3446)*0.000000001)</f>
        <v/>
      </c>
      <c r="S3446" s="32" t="str">
        <f aca="false">IF(R3446="","",SUMPRODUCT((I$5:I$4004=I3446)*ISNUMBER(R$5:R$4004)*(R$5:R$4004&gt;R3446))+1)</f>
        <v/>
      </c>
      <c r="T3446" s="32" t="str">
        <f aca="false">IF(S3446="","",IF(S3446&lt;=Setup!$B$5,"🏆 WINNER",""))</f>
        <v/>
      </c>
      <c r="U3446" s="31" t="str">
        <f aca="false">IF(S3446="","",I3446&amp;"|"&amp;S3446)</f>
        <v/>
      </c>
    </row>
    <row r="3447" customFormat="false" ht="15" hidden="false" customHeight="false" outlineLevel="0" collapsed="false">
      <c r="A3447" s="24" t="n">
        <v>3443</v>
      </c>
      <c r="B3447" s="25" t="str">
        <f aca="false">IF(OR(C3447="",I3447="",G3447=""),"",IFERROR(VLOOKUP(I3447,Setup!$A$9:$B$11,2,0),"???")&amp;"-"&amp;G3447&amp;"-"&amp;TEXT(COUNTIFS(I$5:I3447,I3447,G$5:G3447,G3447),"0000"))</f>
        <v/>
      </c>
      <c r="C3447" s="26"/>
      <c r="D3447" s="26"/>
      <c r="E3447" s="27"/>
      <c r="F3447" s="27"/>
      <c r="G3447" s="24" t="str">
        <f aca="false">IF(F3447="","",IF(F3447&lt;=5,"A",IF(F3447&lt;=8,"B",IF(F3447&lt;=10,"C","D"))))</f>
        <v/>
      </c>
      <c r="H3447" s="28"/>
      <c r="I3447" s="27"/>
      <c r="J3447" s="26"/>
      <c r="K3447" s="27"/>
      <c r="L3447" s="27"/>
      <c r="M3447" s="27"/>
      <c r="N3447" s="27"/>
      <c r="O3447" s="24" t="str">
        <f aca="false">IF(G3447="","",VLOOKUP(G3447,Setup!$A$14:$C$17,3,0))</f>
        <v/>
      </c>
      <c r="P3447" s="27"/>
      <c r="Q3447" s="29" t="str">
        <f aca="false">IF(OR(P3447="",M3447&lt;&gt;"Paid",O3447=""),"",P3447/O3447)</f>
        <v/>
      </c>
      <c r="R3447" s="30" t="str">
        <f aca="false">IF(Q3447="","",Q3447+N(H3447)*0.000000001)</f>
        <v/>
      </c>
      <c r="S3447" s="25" t="str">
        <f aca="false">IF(R3447="","",SUMPRODUCT((I$5:I$4004=I3447)*ISNUMBER(R$5:R$4004)*(R$5:R$4004&gt;R3447))+1)</f>
        <v/>
      </c>
      <c r="T3447" s="25" t="str">
        <f aca="false">IF(S3447="","",IF(S3447&lt;=Setup!$B$5,"🏆 WINNER",""))</f>
        <v/>
      </c>
      <c r="U3447" s="24" t="str">
        <f aca="false">IF(S3447="","",I3447&amp;"|"&amp;S3447)</f>
        <v/>
      </c>
    </row>
    <row r="3448" customFormat="false" ht="15" hidden="false" customHeight="false" outlineLevel="0" collapsed="false">
      <c r="A3448" s="31" t="n">
        <v>3444</v>
      </c>
      <c r="B3448" s="32" t="str">
        <f aca="false">IF(OR(C3448="",I3448="",G3448=""),"",IFERROR(VLOOKUP(I3448,Setup!$A$9:$B$11,2,0),"???")&amp;"-"&amp;G3448&amp;"-"&amp;TEXT(COUNTIFS(I$5:I3448,I3448,G$5:G3448,G3448),"0000"))</f>
        <v/>
      </c>
      <c r="C3448" s="26"/>
      <c r="D3448" s="26"/>
      <c r="E3448" s="27"/>
      <c r="F3448" s="27"/>
      <c r="G3448" s="31" t="str">
        <f aca="false">IF(F3448="","",IF(F3448&lt;=5,"A",IF(F3448&lt;=8,"B",IF(F3448&lt;=10,"C","D"))))</f>
        <v/>
      </c>
      <c r="H3448" s="28"/>
      <c r="I3448" s="27"/>
      <c r="J3448" s="26"/>
      <c r="K3448" s="27"/>
      <c r="L3448" s="27"/>
      <c r="M3448" s="27"/>
      <c r="N3448" s="27"/>
      <c r="O3448" s="31" t="str">
        <f aca="false">IF(G3448="","",VLOOKUP(G3448,Setup!$A$14:$C$17,3,0))</f>
        <v/>
      </c>
      <c r="P3448" s="27"/>
      <c r="Q3448" s="33" t="str">
        <f aca="false">IF(OR(P3448="",M3448&lt;&gt;"Paid",O3448=""),"",P3448/O3448)</f>
        <v/>
      </c>
      <c r="R3448" s="34" t="str">
        <f aca="false">IF(Q3448="","",Q3448+N(H3448)*0.000000001)</f>
        <v/>
      </c>
      <c r="S3448" s="32" t="str">
        <f aca="false">IF(R3448="","",SUMPRODUCT((I$5:I$4004=I3448)*ISNUMBER(R$5:R$4004)*(R$5:R$4004&gt;R3448))+1)</f>
        <v/>
      </c>
      <c r="T3448" s="32" t="str">
        <f aca="false">IF(S3448="","",IF(S3448&lt;=Setup!$B$5,"🏆 WINNER",""))</f>
        <v/>
      </c>
      <c r="U3448" s="31" t="str">
        <f aca="false">IF(S3448="","",I3448&amp;"|"&amp;S3448)</f>
        <v/>
      </c>
    </row>
    <row r="3449" customFormat="false" ht="15" hidden="false" customHeight="false" outlineLevel="0" collapsed="false">
      <c r="A3449" s="24" t="n">
        <v>3445</v>
      </c>
      <c r="B3449" s="25" t="str">
        <f aca="false">IF(OR(C3449="",I3449="",G3449=""),"",IFERROR(VLOOKUP(I3449,Setup!$A$9:$B$11,2,0),"???")&amp;"-"&amp;G3449&amp;"-"&amp;TEXT(COUNTIFS(I$5:I3449,I3449,G$5:G3449,G3449),"0000"))</f>
        <v/>
      </c>
      <c r="C3449" s="26"/>
      <c r="D3449" s="26"/>
      <c r="E3449" s="27"/>
      <c r="F3449" s="27"/>
      <c r="G3449" s="24" t="str">
        <f aca="false">IF(F3449="","",IF(F3449&lt;=5,"A",IF(F3449&lt;=8,"B",IF(F3449&lt;=10,"C","D"))))</f>
        <v/>
      </c>
      <c r="H3449" s="28"/>
      <c r="I3449" s="27"/>
      <c r="J3449" s="26"/>
      <c r="K3449" s="27"/>
      <c r="L3449" s="27"/>
      <c r="M3449" s="27"/>
      <c r="N3449" s="27"/>
      <c r="O3449" s="24" t="str">
        <f aca="false">IF(G3449="","",VLOOKUP(G3449,Setup!$A$14:$C$17,3,0))</f>
        <v/>
      </c>
      <c r="P3449" s="27"/>
      <c r="Q3449" s="29" t="str">
        <f aca="false">IF(OR(P3449="",M3449&lt;&gt;"Paid",O3449=""),"",P3449/O3449)</f>
        <v/>
      </c>
      <c r="R3449" s="30" t="str">
        <f aca="false">IF(Q3449="","",Q3449+N(H3449)*0.000000001)</f>
        <v/>
      </c>
      <c r="S3449" s="25" t="str">
        <f aca="false">IF(R3449="","",SUMPRODUCT((I$5:I$4004=I3449)*ISNUMBER(R$5:R$4004)*(R$5:R$4004&gt;R3449))+1)</f>
        <v/>
      </c>
      <c r="T3449" s="25" t="str">
        <f aca="false">IF(S3449="","",IF(S3449&lt;=Setup!$B$5,"🏆 WINNER",""))</f>
        <v/>
      </c>
      <c r="U3449" s="24" t="str">
        <f aca="false">IF(S3449="","",I3449&amp;"|"&amp;S3449)</f>
        <v/>
      </c>
    </row>
    <row r="3450" customFormat="false" ht="15" hidden="false" customHeight="false" outlineLevel="0" collapsed="false">
      <c r="A3450" s="31" t="n">
        <v>3446</v>
      </c>
      <c r="B3450" s="32" t="str">
        <f aca="false">IF(OR(C3450="",I3450="",G3450=""),"",IFERROR(VLOOKUP(I3450,Setup!$A$9:$B$11,2,0),"???")&amp;"-"&amp;G3450&amp;"-"&amp;TEXT(COUNTIFS(I$5:I3450,I3450,G$5:G3450,G3450),"0000"))</f>
        <v/>
      </c>
      <c r="C3450" s="26"/>
      <c r="D3450" s="26"/>
      <c r="E3450" s="27"/>
      <c r="F3450" s="27"/>
      <c r="G3450" s="31" t="str">
        <f aca="false">IF(F3450="","",IF(F3450&lt;=5,"A",IF(F3450&lt;=8,"B",IF(F3450&lt;=10,"C","D"))))</f>
        <v/>
      </c>
      <c r="H3450" s="28"/>
      <c r="I3450" s="27"/>
      <c r="J3450" s="26"/>
      <c r="K3450" s="27"/>
      <c r="L3450" s="27"/>
      <c r="M3450" s="27"/>
      <c r="N3450" s="27"/>
      <c r="O3450" s="31" t="str">
        <f aca="false">IF(G3450="","",VLOOKUP(G3450,Setup!$A$14:$C$17,3,0))</f>
        <v/>
      </c>
      <c r="P3450" s="27"/>
      <c r="Q3450" s="33" t="str">
        <f aca="false">IF(OR(P3450="",M3450&lt;&gt;"Paid",O3450=""),"",P3450/O3450)</f>
        <v/>
      </c>
      <c r="R3450" s="34" t="str">
        <f aca="false">IF(Q3450="","",Q3450+N(H3450)*0.000000001)</f>
        <v/>
      </c>
      <c r="S3450" s="32" t="str">
        <f aca="false">IF(R3450="","",SUMPRODUCT((I$5:I$4004=I3450)*ISNUMBER(R$5:R$4004)*(R$5:R$4004&gt;R3450))+1)</f>
        <v/>
      </c>
      <c r="T3450" s="32" t="str">
        <f aca="false">IF(S3450="","",IF(S3450&lt;=Setup!$B$5,"🏆 WINNER",""))</f>
        <v/>
      </c>
      <c r="U3450" s="31" t="str">
        <f aca="false">IF(S3450="","",I3450&amp;"|"&amp;S3450)</f>
        <v/>
      </c>
    </row>
    <row r="3451" customFormat="false" ht="15" hidden="false" customHeight="false" outlineLevel="0" collapsed="false">
      <c r="A3451" s="24" t="n">
        <v>3447</v>
      </c>
      <c r="B3451" s="25" t="str">
        <f aca="false">IF(OR(C3451="",I3451="",G3451=""),"",IFERROR(VLOOKUP(I3451,Setup!$A$9:$B$11,2,0),"???")&amp;"-"&amp;G3451&amp;"-"&amp;TEXT(COUNTIFS(I$5:I3451,I3451,G$5:G3451,G3451),"0000"))</f>
        <v/>
      </c>
      <c r="C3451" s="26"/>
      <c r="D3451" s="26"/>
      <c r="E3451" s="27"/>
      <c r="F3451" s="27"/>
      <c r="G3451" s="24" t="str">
        <f aca="false">IF(F3451="","",IF(F3451&lt;=5,"A",IF(F3451&lt;=8,"B",IF(F3451&lt;=10,"C","D"))))</f>
        <v/>
      </c>
      <c r="H3451" s="28"/>
      <c r="I3451" s="27"/>
      <c r="J3451" s="26"/>
      <c r="K3451" s="27"/>
      <c r="L3451" s="27"/>
      <c r="M3451" s="27"/>
      <c r="N3451" s="27"/>
      <c r="O3451" s="24" t="str">
        <f aca="false">IF(G3451="","",VLOOKUP(G3451,Setup!$A$14:$C$17,3,0))</f>
        <v/>
      </c>
      <c r="P3451" s="27"/>
      <c r="Q3451" s="29" t="str">
        <f aca="false">IF(OR(P3451="",M3451&lt;&gt;"Paid",O3451=""),"",P3451/O3451)</f>
        <v/>
      </c>
      <c r="R3451" s="30" t="str">
        <f aca="false">IF(Q3451="","",Q3451+N(H3451)*0.000000001)</f>
        <v/>
      </c>
      <c r="S3451" s="25" t="str">
        <f aca="false">IF(R3451="","",SUMPRODUCT((I$5:I$4004=I3451)*ISNUMBER(R$5:R$4004)*(R$5:R$4004&gt;R3451))+1)</f>
        <v/>
      </c>
      <c r="T3451" s="25" t="str">
        <f aca="false">IF(S3451="","",IF(S3451&lt;=Setup!$B$5,"🏆 WINNER",""))</f>
        <v/>
      </c>
      <c r="U3451" s="24" t="str">
        <f aca="false">IF(S3451="","",I3451&amp;"|"&amp;S3451)</f>
        <v/>
      </c>
    </row>
    <row r="3452" customFormat="false" ht="15" hidden="false" customHeight="false" outlineLevel="0" collapsed="false">
      <c r="A3452" s="31" t="n">
        <v>3448</v>
      </c>
      <c r="B3452" s="32" t="str">
        <f aca="false">IF(OR(C3452="",I3452="",G3452=""),"",IFERROR(VLOOKUP(I3452,Setup!$A$9:$B$11,2,0),"???")&amp;"-"&amp;G3452&amp;"-"&amp;TEXT(COUNTIFS(I$5:I3452,I3452,G$5:G3452,G3452),"0000"))</f>
        <v/>
      </c>
      <c r="C3452" s="26"/>
      <c r="D3452" s="26"/>
      <c r="E3452" s="27"/>
      <c r="F3452" s="27"/>
      <c r="G3452" s="31" t="str">
        <f aca="false">IF(F3452="","",IF(F3452&lt;=5,"A",IF(F3452&lt;=8,"B",IF(F3452&lt;=10,"C","D"))))</f>
        <v/>
      </c>
      <c r="H3452" s="28"/>
      <c r="I3452" s="27"/>
      <c r="J3452" s="26"/>
      <c r="K3452" s="27"/>
      <c r="L3452" s="27"/>
      <c r="M3452" s="27"/>
      <c r="N3452" s="27"/>
      <c r="O3452" s="31" t="str">
        <f aca="false">IF(G3452="","",VLOOKUP(G3452,Setup!$A$14:$C$17,3,0))</f>
        <v/>
      </c>
      <c r="P3452" s="27"/>
      <c r="Q3452" s="33" t="str">
        <f aca="false">IF(OR(P3452="",M3452&lt;&gt;"Paid",O3452=""),"",P3452/O3452)</f>
        <v/>
      </c>
      <c r="R3452" s="34" t="str">
        <f aca="false">IF(Q3452="","",Q3452+N(H3452)*0.000000001)</f>
        <v/>
      </c>
      <c r="S3452" s="32" t="str">
        <f aca="false">IF(R3452="","",SUMPRODUCT((I$5:I$4004=I3452)*ISNUMBER(R$5:R$4004)*(R$5:R$4004&gt;R3452))+1)</f>
        <v/>
      </c>
      <c r="T3452" s="32" t="str">
        <f aca="false">IF(S3452="","",IF(S3452&lt;=Setup!$B$5,"🏆 WINNER",""))</f>
        <v/>
      </c>
      <c r="U3452" s="31" t="str">
        <f aca="false">IF(S3452="","",I3452&amp;"|"&amp;S3452)</f>
        <v/>
      </c>
    </row>
    <row r="3453" customFormat="false" ht="15" hidden="false" customHeight="false" outlineLevel="0" collapsed="false">
      <c r="A3453" s="24" t="n">
        <v>3449</v>
      </c>
      <c r="B3453" s="25" t="str">
        <f aca="false">IF(OR(C3453="",I3453="",G3453=""),"",IFERROR(VLOOKUP(I3453,Setup!$A$9:$B$11,2,0),"???")&amp;"-"&amp;G3453&amp;"-"&amp;TEXT(COUNTIFS(I$5:I3453,I3453,G$5:G3453,G3453),"0000"))</f>
        <v/>
      </c>
      <c r="C3453" s="26"/>
      <c r="D3453" s="26"/>
      <c r="E3453" s="27"/>
      <c r="F3453" s="27"/>
      <c r="G3453" s="24" t="str">
        <f aca="false">IF(F3453="","",IF(F3453&lt;=5,"A",IF(F3453&lt;=8,"B",IF(F3453&lt;=10,"C","D"))))</f>
        <v/>
      </c>
      <c r="H3453" s="28"/>
      <c r="I3453" s="27"/>
      <c r="J3453" s="26"/>
      <c r="K3453" s="27"/>
      <c r="L3453" s="27"/>
      <c r="M3453" s="27"/>
      <c r="N3453" s="27"/>
      <c r="O3453" s="24" t="str">
        <f aca="false">IF(G3453="","",VLOOKUP(G3453,Setup!$A$14:$C$17,3,0))</f>
        <v/>
      </c>
      <c r="P3453" s="27"/>
      <c r="Q3453" s="29" t="str">
        <f aca="false">IF(OR(P3453="",M3453&lt;&gt;"Paid",O3453=""),"",P3453/O3453)</f>
        <v/>
      </c>
      <c r="R3453" s="30" t="str">
        <f aca="false">IF(Q3453="","",Q3453+N(H3453)*0.000000001)</f>
        <v/>
      </c>
      <c r="S3453" s="25" t="str">
        <f aca="false">IF(R3453="","",SUMPRODUCT((I$5:I$4004=I3453)*ISNUMBER(R$5:R$4004)*(R$5:R$4004&gt;R3453))+1)</f>
        <v/>
      </c>
      <c r="T3453" s="25" t="str">
        <f aca="false">IF(S3453="","",IF(S3453&lt;=Setup!$B$5,"🏆 WINNER",""))</f>
        <v/>
      </c>
      <c r="U3453" s="24" t="str">
        <f aca="false">IF(S3453="","",I3453&amp;"|"&amp;S3453)</f>
        <v/>
      </c>
    </row>
    <row r="3454" customFormat="false" ht="15" hidden="false" customHeight="false" outlineLevel="0" collapsed="false">
      <c r="A3454" s="31" t="n">
        <v>3450</v>
      </c>
      <c r="B3454" s="32" t="str">
        <f aca="false">IF(OR(C3454="",I3454="",G3454=""),"",IFERROR(VLOOKUP(I3454,Setup!$A$9:$B$11,2,0),"???")&amp;"-"&amp;G3454&amp;"-"&amp;TEXT(COUNTIFS(I$5:I3454,I3454,G$5:G3454,G3454),"0000"))</f>
        <v/>
      </c>
      <c r="C3454" s="26"/>
      <c r="D3454" s="26"/>
      <c r="E3454" s="27"/>
      <c r="F3454" s="27"/>
      <c r="G3454" s="31" t="str">
        <f aca="false">IF(F3454="","",IF(F3454&lt;=5,"A",IF(F3454&lt;=8,"B",IF(F3454&lt;=10,"C","D"))))</f>
        <v/>
      </c>
      <c r="H3454" s="28"/>
      <c r="I3454" s="27"/>
      <c r="J3454" s="26"/>
      <c r="K3454" s="27"/>
      <c r="L3454" s="27"/>
      <c r="M3454" s="27"/>
      <c r="N3454" s="27"/>
      <c r="O3454" s="31" t="str">
        <f aca="false">IF(G3454="","",VLOOKUP(G3454,Setup!$A$14:$C$17,3,0))</f>
        <v/>
      </c>
      <c r="P3454" s="27"/>
      <c r="Q3454" s="33" t="str">
        <f aca="false">IF(OR(P3454="",M3454&lt;&gt;"Paid",O3454=""),"",P3454/O3454)</f>
        <v/>
      </c>
      <c r="R3454" s="34" t="str">
        <f aca="false">IF(Q3454="","",Q3454+N(H3454)*0.000000001)</f>
        <v/>
      </c>
      <c r="S3454" s="32" t="str">
        <f aca="false">IF(R3454="","",SUMPRODUCT((I$5:I$4004=I3454)*ISNUMBER(R$5:R$4004)*(R$5:R$4004&gt;R3454))+1)</f>
        <v/>
      </c>
      <c r="T3454" s="32" t="str">
        <f aca="false">IF(S3454="","",IF(S3454&lt;=Setup!$B$5,"🏆 WINNER",""))</f>
        <v/>
      </c>
      <c r="U3454" s="31" t="str">
        <f aca="false">IF(S3454="","",I3454&amp;"|"&amp;S3454)</f>
        <v/>
      </c>
    </row>
    <row r="3455" customFormat="false" ht="15" hidden="false" customHeight="false" outlineLevel="0" collapsed="false">
      <c r="A3455" s="24" t="n">
        <v>3451</v>
      </c>
      <c r="B3455" s="25" t="str">
        <f aca="false">IF(OR(C3455="",I3455="",G3455=""),"",IFERROR(VLOOKUP(I3455,Setup!$A$9:$B$11,2,0),"???")&amp;"-"&amp;G3455&amp;"-"&amp;TEXT(COUNTIFS(I$5:I3455,I3455,G$5:G3455,G3455),"0000"))</f>
        <v/>
      </c>
      <c r="C3455" s="26"/>
      <c r="D3455" s="26"/>
      <c r="E3455" s="27"/>
      <c r="F3455" s="27"/>
      <c r="G3455" s="24" t="str">
        <f aca="false">IF(F3455="","",IF(F3455&lt;=5,"A",IF(F3455&lt;=8,"B",IF(F3455&lt;=10,"C","D"))))</f>
        <v/>
      </c>
      <c r="H3455" s="28"/>
      <c r="I3455" s="27"/>
      <c r="J3455" s="26"/>
      <c r="K3455" s="27"/>
      <c r="L3455" s="27"/>
      <c r="M3455" s="27"/>
      <c r="N3455" s="27"/>
      <c r="O3455" s="24" t="str">
        <f aca="false">IF(G3455="","",VLOOKUP(G3455,Setup!$A$14:$C$17,3,0))</f>
        <v/>
      </c>
      <c r="P3455" s="27"/>
      <c r="Q3455" s="29" t="str">
        <f aca="false">IF(OR(P3455="",M3455&lt;&gt;"Paid",O3455=""),"",P3455/O3455)</f>
        <v/>
      </c>
      <c r="R3455" s="30" t="str">
        <f aca="false">IF(Q3455="","",Q3455+N(H3455)*0.000000001)</f>
        <v/>
      </c>
      <c r="S3455" s="25" t="str">
        <f aca="false">IF(R3455="","",SUMPRODUCT((I$5:I$4004=I3455)*ISNUMBER(R$5:R$4004)*(R$5:R$4004&gt;R3455))+1)</f>
        <v/>
      </c>
      <c r="T3455" s="25" t="str">
        <f aca="false">IF(S3455="","",IF(S3455&lt;=Setup!$B$5,"🏆 WINNER",""))</f>
        <v/>
      </c>
      <c r="U3455" s="24" t="str">
        <f aca="false">IF(S3455="","",I3455&amp;"|"&amp;S3455)</f>
        <v/>
      </c>
    </row>
    <row r="3456" customFormat="false" ht="15" hidden="false" customHeight="false" outlineLevel="0" collapsed="false">
      <c r="A3456" s="31" t="n">
        <v>3452</v>
      </c>
      <c r="B3456" s="32" t="str">
        <f aca="false">IF(OR(C3456="",I3456="",G3456=""),"",IFERROR(VLOOKUP(I3456,Setup!$A$9:$B$11,2,0),"???")&amp;"-"&amp;G3456&amp;"-"&amp;TEXT(COUNTIFS(I$5:I3456,I3456,G$5:G3456,G3456),"0000"))</f>
        <v/>
      </c>
      <c r="C3456" s="26"/>
      <c r="D3456" s="26"/>
      <c r="E3456" s="27"/>
      <c r="F3456" s="27"/>
      <c r="G3456" s="31" t="str">
        <f aca="false">IF(F3456="","",IF(F3456&lt;=5,"A",IF(F3456&lt;=8,"B",IF(F3456&lt;=10,"C","D"))))</f>
        <v/>
      </c>
      <c r="H3456" s="28"/>
      <c r="I3456" s="27"/>
      <c r="J3456" s="26"/>
      <c r="K3456" s="27"/>
      <c r="L3456" s="27"/>
      <c r="M3456" s="27"/>
      <c r="N3456" s="27"/>
      <c r="O3456" s="31" t="str">
        <f aca="false">IF(G3456="","",VLOOKUP(G3456,Setup!$A$14:$C$17,3,0))</f>
        <v/>
      </c>
      <c r="P3456" s="27"/>
      <c r="Q3456" s="33" t="str">
        <f aca="false">IF(OR(P3456="",M3456&lt;&gt;"Paid",O3456=""),"",P3456/O3456)</f>
        <v/>
      </c>
      <c r="R3456" s="34" t="str">
        <f aca="false">IF(Q3456="","",Q3456+N(H3456)*0.000000001)</f>
        <v/>
      </c>
      <c r="S3456" s="32" t="str">
        <f aca="false">IF(R3456="","",SUMPRODUCT((I$5:I$4004=I3456)*ISNUMBER(R$5:R$4004)*(R$5:R$4004&gt;R3456))+1)</f>
        <v/>
      </c>
      <c r="T3456" s="32" t="str">
        <f aca="false">IF(S3456="","",IF(S3456&lt;=Setup!$B$5,"🏆 WINNER",""))</f>
        <v/>
      </c>
      <c r="U3456" s="31" t="str">
        <f aca="false">IF(S3456="","",I3456&amp;"|"&amp;S3456)</f>
        <v/>
      </c>
    </row>
    <row r="3457" customFormat="false" ht="15" hidden="false" customHeight="false" outlineLevel="0" collapsed="false">
      <c r="A3457" s="24" t="n">
        <v>3453</v>
      </c>
      <c r="B3457" s="25" t="str">
        <f aca="false">IF(OR(C3457="",I3457="",G3457=""),"",IFERROR(VLOOKUP(I3457,Setup!$A$9:$B$11,2,0),"???")&amp;"-"&amp;G3457&amp;"-"&amp;TEXT(COUNTIFS(I$5:I3457,I3457,G$5:G3457,G3457),"0000"))</f>
        <v/>
      </c>
      <c r="C3457" s="26"/>
      <c r="D3457" s="26"/>
      <c r="E3457" s="27"/>
      <c r="F3457" s="27"/>
      <c r="G3457" s="24" t="str">
        <f aca="false">IF(F3457="","",IF(F3457&lt;=5,"A",IF(F3457&lt;=8,"B",IF(F3457&lt;=10,"C","D"))))</f>
        <v/>
      </c>
      <c r="H3457" s="28"/>
      <c r="I3457" s="27"/>
      <c r="J3457" s="26"/>
      <c r="K3457" s="27"/>
      <c r="L3457" s="27"/>
      <c r="M3457" s="27"/>
      <c r="N3457" s="27"/>
      <c r="O3457" s="24" t="str">
        <f aca="false">IF(G3457="","",VLOOKUP(G3457,Setup!$A$14:$C$17,3,0))</f>
        <v/>
      </c>
      <c r="P3457" s="27"/>
      <c r="Q3457" s="29" t="str">
        <f aca="false">IF(OR(P3457="",M3457&lt;&gt;"Paid",O3457=""),"",P3457/O3457)</f>
        <v/>
      </c>
      <c r="R3457" s="30" t="str">
        <f aca="false">IF(Q3457="","",Q3457+N(H3457)*0.000000001)</f>
        <v/>
      </c>
      <c r="S3457" s="25" t="str">
        <f aca="false">IF(R3457="","",SUMPRODUCT((I$5:I$4004=I3457)*ISNUMBER(R$5:R$4004)*(R$5:R$4004&gt;R3457))+1)</f>
        <v/>
      </c>
      <c r="T3457" s="25" t="str">
        <f aca="false">IF(S3457="","",IF(S3457&lt;=Setup!$B$5,"🏆 WINNER",""))</f>
        <v/>
      </c>
      <c r="U3457" s="24" t="str">
        <f aca="false">IF(S3457="","",I3457&amp;"|"&amp;S3457)</f>
        <v/>
      </c>
    </row>
    <row r="3458" customFormat="false" ht="15" hidden="false" customHeight="false" outlineLevel="0" collapsed="false">
      <c r="A3458" s="31" t="n">
        <v>3454</v>
      </c>
      <c r="B3458" s="32" t="str">
        <f aca="false">IF(OR(C3458="",I3458="",G3458=""),"",IFERROR(VLOOKUP(I3458,Setup!$A$9:$B$11,2,0),"???")&amp;"-"&amp;G3458&amp;"-"&amp;TEXT(COUNTIFS(I$5:I3458,I3458,G$5:G3458,G3458),"0000"))</f>
        <v/>
      </c>
      <c r="C3458" s="26"/>
      <c r="D3458" s="26"/>
      <c r="E3458" s="27"/>
      <c r="F3458" s="27"/>
      <c r="G3458" s="31" t="str">
        <f aca="false">IF(F3458="","",IF(F3458&lt;=5,"A",IF(F3458&lt;=8,"B",IF(F3458&lt;=10,"C","D"))))</f>
        <v/>
      </c>
      <c r="H3458" s="28"/>
      <c r="I3458" s="27"/>
      <c r="J3458" s="26"/>
      <c r="K3458" s="27"/>
      <c r="L3458" s="27"/>
      <c r="M3458" s="27"/>
      <c r="N3458" s="27"/>
      <c r="O3458" s="31" t="str">
        <f aca="false">IF(G3458="","",VLOOKUP(G3458,Setup!$A$14:$C$17,3,0))</f>
        <v/>
      </c>
      <c r="P3458" s="27"/>
      <c r="Q3458" s="33" t="str">
        <f aca="false">IF(OR(P3458="",M3458&lt;&gt;"Paid",O3458=""),"",P3458/O3458)</f>
        <v/>
      </c>
      <c r="R3458" s="34" t="str">
        <f aca="false">IF(Q3458="","",Q3458+N(H3458)*0.000000001)</f>
        <v/>
      </c>
      <c r="S3458" s="32" t="str">
        <f aca="false">IF(R3458="","",SUMPRODUCT((I$5:I$4004=I3458)*ISNUMBER(R$5:R$4004)*(R$5:R$4004&gt;R3458))+1)</f>
        <v/>
      </c>
      <c r="T3458" s="32" t="str">
        <f aca="false">IF(S3458="","",IF(S3458&lt;=Setup!$B$5,"🏆 WINNER",""))</f>
        <v/>
      </c>
      <c r="U3458" s="31" t="str">
        <f aca="false">IF(S3458="","",I3458&amp;"|"&amp;S3458)</f>
        <v/>
      </c>
    </row>
    <row r="3459" customFormat="false" ht="15" hidden="false" customHeight="false" outlineLevel="0" collapsed="false">
      <c r="A3459" s="24" t="n">
        <v>3455</v>
      </c>
      <c r="B3459" s="25" t="str">
        <f aca="false">IF(OR(C3459="",I3459="",G3459=""),"",IFERROR(VLOOKUP(I3459,Setup!$A$9:$B$11,2,0),"???")&amp;"-"&amp;G3459&amp;"-"&amp;TEXT(COUNTIFS(I$5:I3459,I3459,G$5:G3459,G3459),"0000"))</f>
        <v/>
      </c>
      <c r="C3459" s="26"/>
      <c r="D3459" s="26"/>
      <c r="E3459" s="27"/>
      <c r="F3459" s="27"/>
      <c r="G3459" s="24" t="str">
        <f aca="false">IF(F3459="","",IF(F3459&lt;=5,"A",IF(F3459&lt;=8,"B",IF(F3459&lt;=10,"C","D"))))</f>
        <v/>
      </c>
      <c r="H3459" s="28"/>
      <c r="I3459" s="27"/>
      <c r="J3459" s="26"/>
      <c r="K3459" s="27"/>
      <c r="L3459" s="27"/>
      <c r="M3459" s="27"/>
      <c r="N3459" s="27"/>
      <c r="O3459" s="24" t="str">
        <f aca="false">IF(G3459="","",VLOOKUP(G3459,Setup!$A$14:$C$17,3,0))</f>
        <v/>
      </c>
      <c r="P3459" s="27"/>
      <c r="Q3459" s="29" t="str">
        <f aca="false">IF(OR(P3459="",M3459&lt;&gt;"Paid",O3459=""),"",P3459/O3459)</f>
        <v/>
      </c>
      <c r="R3459" s="30" t="str">
        <f aca="false">IF(Q3459="","",Q3459+N(H3459)*0.000000001)</f>
        <v/>
      </c>
      <c r="S3459" s="25" t="str">
        <f aca="false">IF(R3459="","",SUMPRODUCT((I$5:I$4004=I3459)*ISNUMBER(R$5:R$4004)*(R$5:R$4004&gt;R3459))+1)</f>
        <v/>
      </c>
      <c r="T3459" s="25" t="str">
        <f aca="false">IF(S3459="","",IF(S3459&lt;=Setup!$B$5,"🏆 WINNER",""))</f>
        <v/>
      </c>
      <c r="U3459" s="24" t="str">
        <f aca="false">IF(S3459="","",I3459&amp;"|"&amp;S3459)</f>
        <v/>
      </c>
    </row>
    <row r="3460" customFormat="false" ht="15" hidden="false" customHeight="false" outlineLevel="0" collapsed="false">
      <c r="A3460" s="31" t="n">
        <v>3456</v>
      </c>
      <c r="B3460" s="32" t="str">
        <f aca="false">IF(OR(C3460="",I3460="",G3460=""),"",IFERROR(VLOOKUP(I3460,Setup!$A$9:$B$11,2,0),"???")&amp;"-"&amp;G3460&amp;"-"&amp;TEXT(COUNTIFS(I$5:I3460,I3460,G$5:G3460,G3460),"0000"))</f>
        <v/>
      </c>
      <c r="C3460" s="26"/>
      <c r="D3460" s="26"/>
      <c r="E3460" s="27"/>
      <c r="F3460" s="27"/>
      <c r="G3460" s="31" t="str">
        <f aca="false">IF(F3460="","",IF(F3460&lt;=5,"A",IF(F3460&lt;=8,"B",IF(F3460&lt;=10,"C","D"))))</f>
        <v/>
      </c>
      <c r="H3460" s="28"/>
      <c r="I3460" s="27"/>
      <c r="J3460" s="26"/>
      <c r="K3460" s="27"/>
      <c r="L3460" s="27"/>
      <c r="M3460" s="27"/>
      <c r="N3460" s="27"/>
      <c r="O3460" s="31" t="str">
        <f aca="false">IF(G3460="","",VLOOKUP(G3460,Setup!$A$14:$C$17,3,0))</f>
        <v/>
      </c>
      <c r="P3460" s="27"/>
      <c r="Q3460" s="33" t="str">
        <f aca="false">IF(OR(P3460="",M3460&lt;&gt;"Paid",O3460=""),"",P3460/O3460)</f>
        <v/>
      </c>
      <c r="R3460" s="34" t="str">
        <f aca="false">IF(Q3460="","",Q3460+N(H3460)*0.000000001)</f>
        <v/>
      </c>
      <c r="S3460" s="32" t="str">
        <f aca="false">IF(R3460="","",SUMPRODUCT((I$5:I$4004=I3460)*ISNUMBER(R$5:R$4004)*(R$5:R$4004&gt;R3460))+1)</f>
        <v/>
      </c>
      <c r="T3460" s="32" t="str">
        <f aca="false">IF(S3460="","",IF(S3460&lt;=Setup!$B$5,"🏆 WINNER",""))</f>
        <v/>
      </c>
      <c r="U3460" s="31" t="str">
        <f aca="false">IF(S3460="","",I3460&amp;"|"&amp;S3460)</f>
        <v/>
      </c>
    </row>
    <row r="3461" customFormat="false" ht="15" hidden="false" customHeight="false" outlineLevel="0" collapsed="false">
      <c r="A3461" s="24" t="n">
        <v>3457</v>
      </c>
      <c r="B3461" s="25" t="str">
        <f aca="false">IF(OR(C3461="",I3461="",G3461=""),"",IFERROR(VLOOKUP(I3461,Setup!$A$9:$B$11,2,0),"???")&amp;"-"&amp;G3461&amp;"-"&amp;TEXT(COUNTIFS(I$5:I3461,I3461,G$5:G3461,G3461),"0000"))</f>
        <v/>
      </c>
      <c r="C3461" s="26"/>
      <c r="D3461" s="26"/>
      <c r="E3461" s="27"/>
      <c r="F3461" s="27"/>
      <c r="G3461" s="24" t="str">
        <f aca="false">IF(F3461="","",IF(F3461&lt;=5,"A",IF(F3461&lt;=8,"B",IF(F3461&lt;=10,"C","D"))))</f>
        <v/>
      </c>
      <c r="H3461" s="28"/>
      <c r="I3461" s="27"/>
      <c r="J3461" s="26"/>
      <c r="K3461" s="27"/>
      <c r="L3461" s="27"/>
      <c r="M3461" s="27"/>
      <c r="N3461" s="27"/>
      <c r="O3461" s="24" t="str">
        <f aca="false">IF(G3461="","",VLOOKUP(G3461,Setup!$A$14:$C$17,3,0))</f>
        <v/>
      </c>
      <c r="P3461" s="27"/>
      <c r="Q3461" s="29" t="str">
        <f aca="false">IF(OR(P3461="",M3461&lt;&gt;"Paid",O3461=""),"",P3461/O3461)</f>
        <v/>
      </c>
      <c r="R3461" s="30" t="str">
        <f aca="false">IF(Q3461="","",Q3461+N(H3461)*0.000000001)</f>
        <v/>
      </c>
      <c r="S3461" s="25" t="str">
        <f aca="false">IF(R3461="","",SUMPRODUCT((I$5:I$4004=I3461)*ISNUMBER(R$5:R$4004)*(R$5:R$4004&gt;R3461))+1)</f>
        <v/>
      </c>
      <c r="T3461" s="25" t="str">
        <f aca="false">IF(S3461="","",IF(S3461&lt;=Setup!$B$5,"🏆 WINNER",""))</f>
        <v/>
      </c>
      <c r="U3461" s="24" t="str">
        <f aca="false">IF(S3461="","",I3461&amp;"|"&amp;S3461)</f>
        <v/>
      </c>
    </row>
    <row r="3462" customFormat="false" ht="15" hidden="false" customHeight="false" outlineLevel="0" collapsed="false">
      <c r="A3462" s="31" t="n">
        <v>3458</v>
      </c>
      <c r="B3462" s="32" t="str">
        <f aca="false">IF(OR(C3462="",I3462="",G3462=""),"",IFERROR(VLOOKUP(I3462,Setup!$A$9:$B$11,2,0),"???")&amp;"-"&amp;G3462&amp;"-"&amp;TEXT(COUNTIFS(I$5:I3462,I3462,G$5:G3462,G3462),"0000"))</f>
        <v/>
      </c>
      <c r="C3462" s="26"/>
      <c r="D3462" s="26"/>
      <c r="E3462" s="27"/>
      <c r="F3462" s="27"/>
      <c r="G3462" s="31" t="str">
        <f aca="false">IF(F3462="","",IF(F3462&lt;=5,"A",IF(F3462&lt;=8,"B",IF(F3462&lt;=10,"C","D"))))</f>
        <v/>
      </c>
      <c r="H3462" s="28"/>
      <c r="I3462" s="27"/>
      <c r="J3462" s="26"/>
      <c r="K3462" s="27"/>
      <c r="L3462" s="27"/>
      <c r="M3462" s="27"/>
      <c r="N3462" s="27"/>
      <c r="O3462" s="31" t="str">
        <f aca="false">IF(G3462="","",VLOOKUP(G3462,Setup!$A$14:$C$17,3,0))</f>
        <v/>
      </c>
      <c r="P3462" s="27"/>
      <c r="Q3462" s="33" t="str">
        <f aca="false">IF(OR(P3462="",M3462&lt;&gt;"Paid",O3462=""),"",P3462/O3462)</f>
        <v/>
      </c>
      <c r="R3462" s="34" t="str">
        <f aca="false">IF(Q3462="","",Q3462+N(H3462)*0.000000001)</f>
        <v/>
      </c>
      <c r="S3462" s="32" t="str">
        <f aca="false">IF(R3462="","",SUMPRODUCT((I$5:I$4004=I3462)*ISNUMBER(R$5:R$4004)*(R$5:R$4004&gt;R3462))+1)</f>
        <v/>
      </c>
      <c r="T3462" s="32" t="str">
        <f aca="false">IF(S3462="","",IF(S3462&lt;=Setup!$B$5,"🏆 WINNER",""))</f>
        <v/>
      </c>
      <c r="U3462" s="31" t="str">
        <f aca="false">IF(S3462="","",I3462&amp;"|"&amp;S3462)</f>
        <v/>
      </c>
    </row>
    <row r="3463" customFormat="false" ht="15" hidden="false" customHeight="false" outlineLevel="0" collapsed="false">
      <c r="A3463" s="24" t="n">
        <v>3459</v>
      </c>
      <c r="B3463" s="25" t="str">
        <f aca="false">IF(OR(C3463="",I3463="",G3463=""),"",IFERROR(VLOOKUP(I3463,Setup!$A$9:$B$11,2,0),"???")&amp;"-"&amp;G3463&amp;"-"&amp;TEXT(COUNTIFS(I$5:I3463,I3463,G$5:G3463,G3463),"0000"))</f>
        <v/>
      </c>
      <c r="C3463" s="26"/>
      <c r="D3463" s="26"/>
      <c r="E3463" s="27"/>
      <c r="F3463" s="27"/>
      <c r="G3463" s="24" t="str">
        <f aca="false">IF(F3463="","",IF(F3463&lt;=5,"A",IF(F3463&lt;=8,"B",IF(F3463&lt;=10,"C","D"))))</f>
        <v/>
      </c>
      <c r="H3463" s="28"/>
      <c r="I3463" s="27"/>
      <c r="J3463" s="26"/>
      <c r="K3463" s="27"/>
      <c r="L3463" s="27"/>
      <c r="M3463" s="27"/>
      <c r="N3463" s="27"/>
      <c r="O3463" s="24" t="str">
        <f aca="false">IF(G3463="","",VLOOKUP(G3463,Setup!$A$14:$C$17,3,0))</f>
        <v/>
      </c>
      <c r="P3463" s="27"/>
      <c r="Q3463" s="29" t="str">
        <f aca="false">IF(OR(P3463="",M3463&lt;&gt;"Paid",O3463=""),"",P3463/O3463)</f>
        <v/>
      </c>
      <c r="R3463" s="30" t="str">
        <f aca="false">IF(Q3463="","",Q3463+N(H3463)*0.000000001)</f>
        <v/>
      </c>
      <c r="S3463" s="25" t="str">
        <f aca="false">IF(R3463="","",SUMPRODUCT((I$5:I$4004=I3463)*ISNUMBER(R$5:R$4004)*(R$5:R$4004&gt;R3463))+1)</f>
        <v/>
      </c>
      <c r="T3463" s="25" t="str">
        <f aca="false">IF(S3463="","",IF(S3463&lt;=Setup!$B$5,"🏆 WINNER",""))</f>
        <v/>
      </c>
      <c r="U3463" s="24" t="str">
        <f aca="false">IF(S3463="","",I3463&amp;"|"&amp;S3463)</f>
        <v/>
      </c>
    </row>
    <row r="3464" customFormat="false" ht="15" hidden="false" customHeight="false" outlineLevel="0" collapsed="false">
      <c r="A3464" s="31" t="n">
        <v>3460</v>
      </c>
      <c r="B3464" s="32" t="str">
        <f aca="false">IF(OR(C3464="",I3464="",G3464=""),"",IFERROR(VLOOKUP(I3464,Setup!$A$9:$B$11,2,0),"???")&amp;"-"&amp;G3464&amp;"-"&amp;TEXT(COUNTIFS(I$5:I3464,I3464,G$5:G3464,G3464),"0000"))</f>
        <v/>
      </c>
      <c r="C3464" s="26"/>
      <c r="D3464" s="26"/>
      <c r="E3464" s="27"/>
      <c r="F3464" s="27"/>
      <c r="G3464" s="31" t="str">
        <f aca="false">IF(F3464="","",IF(F3464&lt;=5,"A",IF(F3464&lt;=8,"B",IF(F3464&lt;=10,"C","D"))))</f>
        <v/>
      </c>
      <c r="H3464" s="28"/>
      <c r="I3464" s="27"/>
      <c r="J3464" s="26"/>
      <c r="K3464" s="27"/>
      <c r="L3464" s="27"/>
      <c r="M3464" s="27"/>
      <c r="N3464" s="27"/>
      <c r="O3464" s="31" t="str">
        <f aca="false">IF(G3464="","",VLOOKUP(G3464,Setup!$A$14:$C$17,3,0))</f>
        <v/>
      </c>
      <c r="P3464" s="27"/>
      <c r="Q3464" s="33" t="str">
        <f aca="false">IF(OR(P3464="",M3464&lt;&gt;"Paid",O3464=""),"",P3464/O3464)</f>
        <v/>
      </c>
      <c r="R3464" s="34" t="str">
        <f aca="false">IF(Q3464="","",Q3464+N(H3464)*0.000000001)</f>
        <v/>
      </c>
      <c r="S3464" s="32" t="str">
        <f aca="false">IF(R3464="","",SUMPRODUCT((I$5:I$4004=I3464)*ISNUMBER(R$5:R$4004)*(R$5:R$4004&gt;R3464))+1)</f>
        <v/>
      </c>
      <c r="T3464" s="32" t="str">
        <f aca="false">IF(S3464="","",IF(S3464&lt;=Setup!$B$5,"🏆 WINNER",""))</f>
        <v/>
      </c>
      <c r="U3464" s="31" t="str">
        <f aca="false">IF(S3464="","",I3464&amp;"|"&amp;S3464)</f>
        <v/>
      </c>
    </row>
    <row r="3465" customFormat="false" ht="15" hidden="false" customHeight="false" outlineLevel="0" collapsed="false">
      <c r="A3465" s="24" t="n">
        <v>3461</v>
      </c>
      <c r="B3465" s="25" t="str">
        <f aca="false">IF(OR(C3465="",I3465="",G3465=""),"",IFERROR(VLOOKUP(I3465,Setup!$A$9:$B$11,2,0),"???")&amp;"-"&amp;G3465&amp;"-"&amp;TEXT(COUNTIFS(I$5:I3465,I3465,G$5:G3465,G3465),"0000"))</f>
        <v/>
      </c>
      <c r="C3465" s="26"/>
      <c r="D3465" s="26"/>
      <c r="E3465" s="27"/>
      <c r="F3465" s="27"/>
      <c r="G3465" s="24" t="str">
        <f aca="false">IF(F3465="","",IF(F3465&lt;=5,"A",IF(F3465&lt;=8,"B",IF(F3465&lt;=10,"C","D"))))</f>
        <v/>
      </c>
      <c r="H3465" s="28"/>
      <c r="I3465" s="27"/>
      <c r="J3465" s="26"/>
      <c r="K3465" s="27"/>
      <c r="L3465" s="27"/>
      <c r="M3465" s="27"/>
      <c r="N3465" s="27"/>
      <c r="O3465" s="24" t="str">
        <f aca="false">IF(G3465="","",VLOOKUP(G3465,Setup!$A$14:$C$17,3,0))</f>
        <v/>
      </c>
      <c r="P3465" s="27"/>
      <c r="Q3465" s="29" t="str">
        <f aca="false">IF(OR(P3465="",M3465&lt;&gt;"Paid",O3465=""),"",P3465/O3465)</f>
        <v/>
      </c>
      <c r="R3465" s="30" t="str">
        <f aca="false">IF(Q3465="","",Q3465+N(H3465)*0.000000001)</f>
        <v/>
      </c>
      <c r="S3465" s="25" t="str">
        <f aca="false">IF(R3465="","",SUMPRODUCT((I$5:I$4004=I3465)*ISNUMBER(R$5:R$4004)*(R$5:R$4004&gt;R3465))+1)</f>
        <v/>
      </c>
      <c r="T3465" s="25" t="str">
        <f aca="false">IF(S3465="","",IF(S3465&lt;=Setup!$B$5,"🏆 WINNER",""))</f>
        <v/>
      </c>
      <c r="U3465" s="24" t="str">
        <f aca="false">IF(S3465="","",I3465&amp;"|"&amp;S3465)</f>
        <v/>
      </c>
    </row>
    <row r="3466" customFormat="false" ht="15" hidden="false" customHeight="false" outlineLevel="0" collapsed="false">
      <c r="A3466" s="31" t="n">
        <v>3462</v>
      </c>
      <c r="B3466" s="32" t="str">
        <f aca="false">IF(OR(C3466="",I3466="",G3466=""),"",IFERROR(VLOOKUP(I3466,Setup!$A$9:$B$11,2,0),"???")&amp;"-"&amp;G3466&amp;"-"&amp;TEXT(COUNTIFS(I$5:I3466,I3466,G$5:G3466,G3466),"0000"))</f>
        <v/>
      </c>
      <c r="C3466" s="26"/>
      <c r="D3466" s="26"/>
      <c r="E3466" s="27"/>
      <c r="F3466" s="27"/>
      <c r="G3466" s="31" t="str">
        <f aca="false">IF(F3466="","",IF(F3466&lt;=5,"A",IF(F3466&lt;=8,"B",IF(F3466&lt;=10,"C","D"))))</f>
        <v/>
      </c>
      <c r="H3466" s="28"/>
      <c r="I3466" s="27"/>
      <c r="J3466" s="26"/>
      <c r="K3466" s="27"/>
      <c r="L3466" s="27"/>
      <c r="M3466" s="27"/>
      <c r="N3466" s="27"/>
      <c r="O3466" s="31" t="str">
        <f aca="false">IF(G3466="","",VLOOKUP(G3466,Setup!$A$14:$C$17,3,0))</f>
        <v/>
      </c>
      <c r="P3466" s="27"/>
      <c r="Q3466" s="33" t="str">
        <f aca="false">IF(OR(P3466="",M3466&lt;&gt;"Paid",O3466=""),"",P3466/O3466)</f>
        <v/>
      </c>
      <c r="R3466" s="34" t="str">
        <f aca="false">IF(Q3466="","",Q3466+N(H3466)*0.000000001)</f>
        <v/>
      </c>
      <c r="S3466" s="32" t="str">
        <f aca="false">IF(R3466="","",SUMPRODUCT((I$5:I$4004=I3466)*ISNUMBER(R$5:R$4004)*(R$5:R$4004&gt;R3466))+1)</f>
        <v/>
      </c>
      <c r="T3466" s="32" t="str">
        <f aca="false">IF(S3466="","",IF(S3466&lt;=Setup!$B$5,"🏆 WINNER",""))</f>
        <v/>
      </c>
      <c r="U3466" s="31" t="str">
        <f aca="false">IF(S3466="","",I3466&amp;"|"&amp;S3466)</f>
        <v/>
      </c>
    </row>
    <row r="3467" customFormat="false" ht="15" hidden="false" customHeight="false" outlineLevel="0" collapsed="false">
      <c r="A3467" s="24" t="n">
        <v>3463</v>
      </c>
      <c r="B3467" s="25" t="str">
        <f aca="false">IF(OR(C3467="",I3467="",G3467=""),"",IFERROR(VLOOKUP(I3467,Setup!$A$9:$B$11,2,0),"???")&amp;"-"&amp;G3467&amp;"-"&amp;TEXT(COUNTIFS(I$5:I3467,I3467,G$5:G3467,G3467),"0000"))</f>
        <v/>
      </c>
      <c r="C3467" s="26"/>
      <c r="D3467" s="26"/>
      <c r="E3467" s="27"/>
      <c r="F3467" s="27"/>
      <c r="G3467" s="24" t="str">
        <f aca="false">IF(F3467="","",IF(F3467&lt;=5,"A",IF(F3467&lt;=8,"B",IF(F3467&lt;=10,"C","D"))))</f>
        <v/>
      </c>
      <c r="H3467" s="28"/>
      <c r="I3467" s="27"/>
      <c r="J3467" s="26"/>
      <c r="K3467" s="27"/>
      <c r="L3467" s="27"/>
      <c r="M3467" s="27"/>
      <c r="N3467" s="27"/>
      <c r="O3467" s="24" t="str">
        <f aca="false">IF(G3467="","",VLOOKUP(G3467,Setup!$A$14:$C$17,3,0))</f>
        <v/>
      </c>
      <c r="P3467" s="27"/>
      <c r="Q3467" s="29" t="str">
        <f aca="false">IF(OR(P3467="",M3467&lt;&gt;"Paid",O3467=""),"",P3467/O3467)</f>
        <v/>
      </c>
      <c r="R3467" s="30" t="str">
        <f aca="false">IF(Q3467="","",Q3467+N(H3467)*0.000000001)</f>
        <v/>
      </c>
      <c r="S3467" s="25" t="str">
        <f aca="false">IF(R3467="","",SUMPRODUCT((I$5:I$4004=I3467)*ISNUMBER(R$5:R$4004)*(R$5:R$4004&gt;R3467))+1)</f>
        <v/>
      </c>
      <c r="T3467" s="25" t="str">
        <f aca="false">IF(S3467="","",IF(S3467&lt;=Setup!$B$5,"🏆 WINNER",""))</f>
        <v/>
      </c>
      <c r="U3467" s="24" t="str">
        <f aca="false">IF(S3467="","",I3467&amp;"|"&amp;S3467)</f>
        <v/>
      </c>
    </row>
    <row r="3468" customFormat="false" ht="15" hidden="false" customHeight="false" outlineLevel="0" collapsed="false">
      <c r="A3468" s="31" t="n">
        <v>3464</v>
      </c>
      <c r="B3468" s="32" t="str">
        <f aca="false">IF(OR(C3468="",I3468="",G3468=""),"",IFERROR(VLOOKUP(I3468,Setup!$A$9:$B$11,2,0),"???")&amp;"-"&amp;G3468&amp;"-"&amp;TEXT(COUNTIFS(I$5:I3468,I3468,G$5:G3468,G3468),"0000"))</f>
        <v/>
      </c>
      <c r="C3468" s="26"/>
      <c r="D3468" s="26"/>
      <c r="E3468" s="27"/>
      <c r="F3468" s="27"/>
      <c r="G3468" s="31" t="str">
        <f aca="false">IF(F3468="","",IF(F3468&lt;=5,"A",IF(F3468&lt;=8,"B",IF(F3468&lt;=10,"C","D"))))</f>
        <v/>
      </c>
      <c r="H3468" s="28"/>
      <c r="I3468" s="27"/>
      <c r="J3468" s="26"/>
      <c r="K3468" s="27"/>
      <c r="L3468" s="27"/>
      <c r="M3468" s="27"/>
      <c r="N3468" s="27"/>
      <c r="O3468" s="31" t="str">
        <f aca="false">IF(G3468="","",VLOOKUP(G3468,Setup!$A$14:$C$17,3,0))</f>
        <v/>
      </c>
      <c r="P3468" s="27"/>
      <c r="Q3468" s="33" t="str">
        <f aca="false">IF(OR(P3468="",M3468&lt;&gt;"Paid",O3468=""),"",P3468/O3468)</f>
        <v/>
      </c>
      <c r="R3468" s="34" t="str">
        <f aca="false">IF(Q3468="","",Q3468+N(H3468)*0.000000001)</f>
        <v/>
      </c>
      <c r="S3468" s="32" t="str">
        <f aca="false">IF(R3468="","",SUMPRODUCT((I$5:I$4004=I3468)*ISNUMBER(R$5:R$4004)*(R$5:R$4004&gt;R3468))+1)</f>
        <v/>
      </c>
      <c r="T3468" s="32" t="str">
        <f aca="false">IF(S3468="","",IF(S3468&lt;=Setup!$B$5,"🏆 WINNER",""))</f>
        <v/>
      </c>
      <c r="U3468" s="31" t="str">
        <f aca="false">IF(S3468="","",I3468&amp;"|"&amp;S3468)</f>
        <v/>
      </c>
    </row>
    <row r="3469" customFormat="false" ht="15" hidden="false" customHeight="false" outlineLevel="0" collapsed="false">
      <c r="A3469" s="24" t="n">
        <v>3465</v>
      </c>
      <c r="B3469" s="25" t="str">
        <f aca="false">IF(OR(C3469="",I3469="",G3469=""),"",IFERROR(VLOOKUP(I3469,Setup!$A$9:$B$11,2,0),"???")&amp;"-"&amp;G3469&amp;"-"&amp;TEXT(COUNTIFS(I$5:I3469,I3469,G$5:G3469,G3469),"0000"))</f>
        <v/>
      </c>
      <c r="C3469" s="26"/>
      <c r="D3469" s="26"/>
      <c r="E3469" s="27"/>
      <c r="F3469" s="27"/>
      <c r="G3469" s="24" t="str">
        <f aca="false">IF(F3469="","",IF(F3469&lt;=5,"A",IF(F3469&lt;=8,"B",IF(F3469&lt;=10,"C","D"))))</f>
        <v/>
      </c>
      <c r="H3469" s="28"/>
      <c r="I3469" s="27"/>
      <c r="J3469" s="26"/>
      <c r="K3469" s="27"/>
      <c r="L3469" s="27"/>
      <c r="M3469" s="27"/>
      <c r="N3469" s="27"/>
      <c r="O3469" s="24" t="str">
        <f aca="false">IF(G3469="","",VLOOKUP(G3469,Setup!$A$14:$C$17,3,0))</f>
        <v/>
      </c>
      <c r="P3469" s="27"/>
      <c r="Q3469" s="29" t="str">
        <f aca="false">IF(OR(P3469="",M3469&lt;&gt;"Paid",O3469=""),"",P3469/O3469)</f>
        <v/>
      </c>
      <c r="R3469" s="30" t="str">
        <f aca="false">IF(Q3469="","",Q3469+N(H3469)*0.000000001)</f>
        <v/>
      </c>
      <c r="S3469" s="25" t="str">
        <f aca="false">IF(R3469="","",SUMPRODUCT((I$5:I$4004=I3469)*ISNUMBER(R$5:R$4004)*(R$5:R$4004&gt;R3469))+1)</f>
        <v/>
      </c>
      <c r="T3469" s="25" t="str">
        <f aca="false">IF(S3469="","",IF(S3469&lt;=Setup!$B$5,"🏆 WINNER",""))</f>
        <v/>
      </c>
      <c r="U3469" s="24" t="str">
        <f aca="false">IF(S3469="","",I3469&amp;"|"&amp;S3469)</f>
        <v/>
      </c>
    </row>
    <row r="3470" customFormat="false" ht="15" hidden="false" customHeight="false" outlineLevel="0" collapsed="false">
      <c r="A3470" s="31" t="n">
        <v>3466</v>
      </c>
      <c r="B3470" s="32" t="str">
        <f aca="false">IF(OR(C3470="",I3470="",G3470=""),"",IFERROR(VLOOKUP(I3470,Setup!$A$9:$B$11,2,0),"???")&amp;"-"&amp;G3470&amp;"-"&amp;TEXT(COUNTIFS(I$5:I3470,I3470,G$5:G3470,G3470),"0000"))</f>
        <v/>
      </c>
      <c r="C3470" s="26"/>
      <c r="D3470" s="26"/>
      <c r="E3470" s="27"/>
      <c r="F3470" s="27"/>
      <c r="G3470" s="31" t="str">
        <f aca="false">IF(F3470="","",IF(F3470&lt;=5,"A",IF(F3470&lt;=8,"B",IF(F3470&lt;=10,"C","D"))))</f>
        <v/>
      </c>
      <c r="H3470" s="28"/>
      <c r="I3470" s="27"/>
      <c r="J3470" s="26"/>
      <c r="K3470" s="27"/>
      <c r="L3470" s="27"/>
      <c r="M3470" s="27"/>
      <c r="N3470" s="27"/>
      <c r="O3470" s="31" t="str">
        <f aca="false">IF(G3470="","",VLOOKUP(G3470,Setup!$A$14:$C$17,3,0))</f>
        <v/>
      </c>
      <c r="P3470" s="27"/>
      <c r="Q3470" s="33" t="str">
        <f aca="false">IF(OR(P3470="",M3470&lt;&gt;"Paid",O3470=""),"",P3470/O3470)</f>
        <v/>
      </c>
      <c r="R3470" s="34" t="str">
        <f aca="false">IF(Q3470="","",Q3470+N(H3470)*0.000000001)</f>
        <v/>
      </c>
      <c r="S3470" s="32" t="str">
        <f aca="false">IF(R3470="","",SUMPRODUCT((I$5:I$4004=I3470)*ISNUMBER(R$5:R$4004)*(R$5:R$4004&gt;R3470))+1)</f>
        <v/>
      </c>
      <c r="T3470" s="32" t="str">
        <f aca="false">IF(S3470="","",IF(S3470&lt;=Setup!$B$5,"🏆 WINNER",""))</f>
        <v/>
      </c>
      <c r="U3470" s="31" t="str">
        <f aca="false">IF(S3470="","",I3470&amp;"|"&amp;S3470)</f>
        <v/>
      </c>
    </row>
    <row r="3471" customFormat="false" ht="15" hidden="false" customHeight="false" outlineLevel="0" collapsed="false">
      <c r="A3471" s="24" t="n">
        <v>3467</v>
      </c>
      <c r="B3471" s="25" t="str">
        <f aca="false">IF(OR(C3471="",I3471="",G3471=""),"",IFERROR(VLOOKUP(I3471,Setup!$A$9:$B$11,2,0),"???")&amp;"-"&amp;G3471&amp;"-"&amp;TEXT(COUNTIFS(I$5:I3471,I3471,G$5:G3471,G3471),"0000"))</f>
        <v/>
      </c>
      <c r="C3471" s="26"/>
      <c r="D3471" s="26"/>
      <c r="E3471" s="27"/>
      <c r="F3471" s="27"/>
      <c r="G3471" s="24" t="str">
        <f aca="false">IF(F3471="","",IF(F3471&lt;=5,"A",IF(F3471&lt;=8,"B",IF(F3471&lt;=10,"C","D"))))</f>
        <v/>
      </c>
      <c r="H3471" s="28"/>
      <c r="I3471" s="27"/>
      <c r="J3471" s="26"/>
      <c r="K3471" s="27"/>
      <c r="L3471" s="27"/>
      <c r="M3471" s="27"/>
      <c r="N3471" s="27"/>
      <c r="O3471" s="24" t="str">
        <f aca="false">IF(G3471="","",VLOOKUP(G3471,Setup!$A$14:$C$17,3,0))</f>
        <v/>
      </c>
      <c r="P3471" s="27"/>
      <c r="Q3471" s="29" t="str">
        <f aca="false">IF(OR(P3471="",M3471&lt;&gt;"Paid",O3471=""),"",P3471/O3471)</f>
        <v/>
      </c>
      <c r="R3471" s="30" t="str">
        <f aca="false">IF(Q3471="","",Q3471+N(H3471)*0.000000001)</f>
        <v/>
      </c>
      <c r="S3471" s="25" t="str">
        <f aca="false">IF(R3471="","",SUMPRODUCT((I$5:I$4004=I3471)*ISNUMBER(R$5:R$4004)*(R$5:R$4004&gt;R3471))+1)</f>
        <v/>
      </c>
      <c r="T3471" s="25" t="str">
        <f aca="false">IF(S3471="","",IF(S3471&lt;=Setup!$B$5,"🏆 WINNER",""))</f>
        <v/>
      </c>
      <c r="U3471" s="24" t="str">
        <f aca="false">IF(S3471="","",I3471&amp;"|"&amp;S3471)</f>
        <v/>
      </c>
    </row>
    <row r="3472" customFormat="false" ht="15" hidden="false" customHeight="false" outlineLevel="0" collapsed="false">
      <c r="A3472" s="31" t="n">
        <v>3468</v>
      </c>
      <c r="B3472" s="32" t="str">
        <f aca="false">IF(OR(C3472="",I3472="",G3472=""),"",IFERROR(VLOOKUP(I3472,Setup!$A$9:$B$11,2,0),"???")&amp;"-"&amp;G3472&amp;"-"&amp;TEXT(COUNTIFS(I$5:I3472,I3472,G$5:G3472,G3472),"0000"))</f>
        <v/>
      </c>
      <c r="C3472" s="26"/>
      <c r="D3472" s="26"/>
      <c r="E3472" s="27"/>
      <c r="F3472" s="27"/>
      <c r="G3472" s="31" t="str">
        <f aca="false">IF(F3472="","",IF(F3472&lt;=5,"A",IF(F3472&lt;=8,"B",IF(F3472&lt;=10,"C","D"))))</f>
        <v/>
      </c>
      <c r="H3472" s="28"/>
      <c r="I3472" s="27"/>
      <c r="J3472" s="26"/>
      <c r="K3472" s="27"/>
      <c r="L3472" s="27"/>
      <c r="M3472" s="27"/>
      <c r="N3472" s="27"/>
      <c r="O3472" s="31" t="str">
        <f aca="false">IF(G3472="","",VLOOKUP(G3472,Setup!$A$14:$C$17,3,0))</f>
        <v/>
      </c>
      <c r="P3472" s="27"/>
      <c r="Q3472" s="33" t="str">
        <f aca="false">IF(OR(P3472="",M3472&lt;&gt;"Paid",O3472=""),"",P3472/O3472)</f>
        <v/>
      </c>
      <c r="R3472" s="34" t="str">
        <f aca="false">IF(Q3472="","",Q3472+N(H3472)*0.000000001)</f>
        <v/>
      </c>
      <c r="S3472" s="32" t="str">
        <f aca="false">IF(R3472="","",SUMPRODUCT((I$5:I$4004=I3472)*ISNUMBER(R$5:R$4004)*(R$5:R$4004&gt;R3472))+1)</f>
        <v/>
      </c>
      <c r="T3472" s="32" t="str">
        <f aca="false">IF(S3472="","",IF(S3472&lt;=Setup!$B$5,"🏆 WINNER",""))</f>
        <v/>
      </c>
      <c r="U3472" s="31" t="str">
        <f aca="false">IF(S3472="","",I3472&amp;"|"&amp;S3472)</f>
        <v/>
      </c>
    </row>
    <row r="3473" customFormat="false" ht="15" hidden="false" customHeight="false" outlineLevel="0" collapsed="false">
      <c r="A3473" s="24" t="n">
        <v>3469</v>
      </c>
      <c r="B3473" s="25" t="str">
        <f aca="false">IF(OR(C3473="",I3473="",G3473=""),"",IFERROR(VLOOKUP(I3473,Setup!$A$9:$B$11,2,0),"???")&amp;"-"&amp;G3473&amp;"-"&amp;TEXT(COUNTIFS(I$5:I3473,I3473,G$5:G3473,G3473),"0000"))</f>
        <v/>
      </c>
      <c r="C3473" s="26"/>
      <c r="D3473" s="26"/>
      <c r="E3473" s="27"/>
      <c r="F3473" s="27"/>
      <c r="G3473" s="24" t="str">
        <f aca="false">IF(F3473="","",IF(F3473&lt;=5,"A",IF(F3473&lt;=8,"B",IF(F3473&lt;=10,"C","D"))))</f>
        <v/>
      </c>
      <c r="H3473" s="28"/>
      <c r="I3473" s="27"/>
      <c r="J3473" s="26"/>
      <c r="K3473" s="27"/>
      <c r="L3473" s="27"/>
      <c r="M3473" s="27"/>
      <c r="N3473" s="27"/>
      <c r="O3473" s="24" t="str">
        <f aca="false">IF(G3473="","",VLOOKUP(G3473,Setup!$A$14:$C$17,3,0))</f>
        <v/>
      </c>
      <c r="P3473" s="27"/>
      <c r="Q3473" s="29" t="str">
        <f aca="false">IF(OR(P3473="",M3473&lt;&gt;"Paid",O3473=""),"",P3473/O3473)</f>
        <v/>
      </c>
      <c r="R3473" s="30" t="str">
        <f aca="false">IF(Q3473="","",Q3473+N(H3473)*0.000000001)</f>
        <v/>
      </c>
      <c r="S3473" s="25" t="str">
        <f aca="false">IF(R3473="","",SUMPRODUCT((I$5:I$4004=I3473)*ISNUMBER(R$5:R$4004)*(R$5:R$4004&gt;R3473))+1)</f>
        <v/>
      </c>
      <c r="T3473" s="25" t="str">
        <f aca="false">IF(S3473="","",IF(S3473&lt;=Setup!$B$5,"🏆 WINNER",""))</f>
        <v/>
      </c>
      <c r="U3473" s="24" t="str">
        <f aca="false">IF(S3473="","",I3473&amp;"|"&amp;S3473)</f>
        <v/>
      </c>
    </row>
    <row r="3474" customFormat="false" ht="15" hidden="false" customHeight="false" outlineLevel="0" collapsed="false">
      <c r="A3474" s="31" t="n">
        <v>3470</v>
      </c>
      <c r="B3474" s="32" t="str">
        <f aca="false">IF(OR(C3474="",I3474="",G3474=""),"",IFERROR(VLOOKUP(I3474,Setup!$A$9:$B$11,2,0),"???")&amp;"-"&amp;G3474&amp;"-"&amp;TEXT(COUNTIFS(I$5:I3474,I3474,G$5:G3474,G3474),"0000"))</f>
        <v/>
      </c>
      <c r="C3474" s="26"/>
      <c r="D3474" s="26"/>
      <c r="E3474" s="27"/>
      <c r="F3474" s="27"/>
      <c r="G3474" s="31" t="str">
        <f aca="false">IF(F3474="","",IF(F3474&lt;=5,"A",IF(F3474&lt;=8,"B",IF(F3474&lt;=10,"C","D"))))</f>
        <v/>
      </c>
      <c r="H3474" s="28"/>
      <c r="I3474" s="27"/>
      <c r="J3474" s="26"/>
      <c r="K3474" s="27"/>
      <c r="L3474" s="27"/>
      <c r="M3474" s="27"/>
      <c r="N3474" s="27"/>
      <c r="O3474" s="31" t="str">
        <f aca="false">IF(G3474="","",VLOOKUP(G3474,Setup!$A$14:$C$17,3,0))</f>
        <v/>
      </c>
      <c r="P3474" s="27"/>
      <c r="Q3474" s="33" t="str">
        <f aca="false">IF(OR(P3474="",M3474&lt;&gt;"Paid",O3474=""),"",P3474/O3474)</f>
        <v/>
      </c>
      <c r="R3474" s="34" t="str">
        <f aca="false">IF(Q3474="","",Q3474+N(H3474)*0.000000001)</f>
        <v/>
      </c>
      <c r="S3474" s="32" t="str">
        <f aca="false">IF(R3474="","",SUMPRODUCT((I$5:I$4004=I3474)*ISNUMBER(R$5:R$4004)*(R$5:R$4004&gt;R3474))+1)</f>
        <v/>
      </c>
      <c r="T3474" s="32" t="str">
        <f aca="false">IF(S3474="","",IF(S3474&lt;=Setup!$B$5,"🏆 WINNER",""))</f>
        <v/>
      </c>
      <c r="U3474" s="31" t="str">
        <f aca="false">IF(S3474="","",I3474&amp;"|"&amp;S3474)</f>
        <v/>
      </c>
    </row>
    <row r="3475" customFormat="false" ht="15" hidden="false" customHeight="false" outlineLevel="0" collapsed="false">
      <c r="A3475" s="24" t="n">
        <v>3471</v>
      </c>
      <c r="B3475" s="25" t="str">
        <f aca="false">IF(OR(C3475="",I3475="",G3475=""),"",IFERROR(VLOOKUP(I3475,Setup!$A$9:$B$11,2,0),"???")&amp;"-"&amp;G3475&amp;"-"&amp;TEXT(COUNTIFS(I$5:I3475,I3475,G$5:G3475,G3475),"0000"))</f>
        <v/>
      </c>
      <c r="C3475" s="26"/>
      <c r="D3475" s="26"/>
      <c r="E3475" s="27"/>
      <c r="F3475" s="27"/>
      <c r="G3475" s="24" t="str">
        <f aca="false">IF(F3475="","",IF(F3475&lt;=5,"A",IF(F3475&lt;=8,"B",IF(F3475&lt;=10,"C","D"))))</f>
        <v/>
      </c>
      <c r="H3475" s="28"/>
      <c r="I3475" s="27"/>
      <c r="J3475" s="26"/>
      <c r="K3475" s="27"/>
      <c r="L3475" s="27"/>
      <c r="M3475" s="27"/>
      <c r="N3475" s="27"/>
      <c r="O3475" s="24" t="str">
        <f aca="false">IF(G3475="","",VLOOKUP(G3475,Setup!$A$14:$C$17,3,0))</f>
        <v/>
      </c>
      <c r="P3475" s="27"/>
      <c r="Q3475" s="29" t="str">
        <f aca="false">IF(OR(P3475="",M3475&lt;&gt;"Paid",O3475=""),"",P3475/O3475)</f>
        <v/>
      </c>
      <c r="R3475" s="30" t="str">
        <f aca="false">IF(Q3475="","",Q3475+N(H3475)*0.000000001)</f>
        <v/>
      </c>
      <c r="S3475" s="25" t="str">
        <f aca="false">IF(R3475="","",SUMPRODUCT((I$5:I$4004=I3475)*ISNUMBER(R$5:R$4004)*(R$5:R$4004&gt;R3475))+1)</f>
        <v/>
      </c>
      <c r="T3475" s="25" t="str">
        <f aca="false">IF(S3475="","",IF(S3475&lt;=Setup!$B$5,"🏆 WINNER",""))</f>
        <v/>
      </c>
      <c r="U3475" s="24" t="str">
        <f aca="false">IF(S3475="","",I3475&amp;"|"&amp;S3475)</f>
        <v/>
      </c>
    </row>
    <row r="3476" customFormat="false" ht="15" hidden="false" customHeight="false" outlineLevel="0" collapsed="false">
      <c r="A3476" s="31" t="n">
        <v>3472</v>
      </c>
      <c r="B3476" s="32" t="str">
        <f aca="false">IF(OR(C3476="",I3476="",G3476=""),"",IFERROR(VLOOKUP(I3476,Setup!$A$9:$B$11,2,0),"???")&amp;"-"&amp;G3476&amp;"-"&amp;TEXT(COUNTIFS(I$5:I3476,I3476,G$5:G3476,G3476),"0000"))</f>
        <v/>
      </c>
      <c r="C3476" s="26"/>
      <c r="D3476" s="26"/>
      <c r="E3476" s="27"/>
      <c r="F3476" s="27"/>
      <c r="G3476" s="31" t="str">
        <f aca="false">IF(F3476="","",IF(F3476&lt;=5,"A",IF(F3476&lt;=8,"B",IF(F3476&lt;=10,"C","D"))))</f>
        <v/>
      </c>
      <c r="H3476" s="28"/>
      <c r="I3476" s="27"/>
      <c r="J3476" s="26"/>
      <c r="K3476" s="27"/>
      <c r="L3476" s="27"/>
      <c r="M3476" s="27"/>
      <c r="N3476" s="27"/>
      <c r="O3476" s="31" t="str">
        <f aca="false">IF(G3476="","",VLOOKUP(G3476,Setup!$A$14:$C$17,3,0))</f>
        <v/>
      </c>
      <c r="P3476" s="27"/>
      <c r="Q3476" s="33" t="str">
        <f aca="false">IF(OR(P3476="",M3476&lt;&gt;"Paid",O3476=""),"",P3476/O3476)</f>
        <v/>
      </c>
      <c r="R3476" s="34" t="str">
        <f aca="false">IF(Q3476="","",Q3476+N(H3476)*0.000000001)</f>
        <v/>
      </c>
      <c r="S3476" s="32" t="str">
        <f aca="false">IF(R3476="","",SUMPRODUCT((I$5:I$4004=I3476)*ISNUMBER(R$5:R$4004)*(R$5:R$4004&gt;R3476))+1)</f>
        <v/>
      </c>
      <c r="T3476" s="32" t="str">
        <f aca="false">IF(S3476="","",IF(S3476&lt;=Setup!$B$5,"🏆 WINNER",""))</f>
        <v/>
      </c>
      <c r="U3476" s="31" t="str">
        <f aca="false">IF(S3476="","",I3476&amp;"|"&amp;S3476)</f>
        <v/>
      </c>
    </row>
    <row r="3477" customFormat="false" ht="15" hidden="false" customHeight="false" outlineLevel="0" collapsed="false">
      <c r="A3477" s="24" t="n">
        <v>3473</v>
      </c>
      <c r="B3477" s="25" t="str">
        <f aca="false">IF(OR(C3477="",I3477="",G3477=""),"",IFERROR(VLOOKUP(I3477,Setup!$A$9:$B$11,2,0),"???")&amp;"-"&amp;G3477&amp;"-"&amp;TEXT(COUNTIFS(I$5:I3477,I3477,G$5:G3477,G3477),"0000"))</f>
        <v/>
      </c>
      <c r="C3477" s="26"/>
      <c r="D3477" s="26"/>
      <c r="E3477" s="27"/>
      <c r="F3477" s="27"/>
      <c r="G3477" s="24" t="str">
        <f aca="false">IF(F3477="","",IF(F3477&lt;=5,"A",IF(F3477&lt;=8,"B",IF(F3477&lt;=10,"C","D"))))</f>
        <v/>
      </c>
      <c r="H3477" s="28"/>
      <c r="I3477" s="27"/>
      <c r="J3477" s="26"/>
      <c r="K3477" s="27"/>
      <c r="L3477" s="27"/>
      <c r="M3477" s="27"/>
      <c r="N3477" s="27"/>
      <c r="O3477" s="24" t="str">
        <f aca="false">IF(G3477="","",VLOOKUP(G3477,Setup!$A$14:$C$17,3,0))</f>
        <v/>
      </c>
      <c r="P3477" s="27"/>
      <c r="Q3477" s="29" t="str">
        <f aca="false">IF(OR(P3477="",M3477&lt;&gt;"Paid",O3477=""),"",P3477/O3477)</f>
        <v/>
      </c>
      <c r="R3477" s="30" t="str">
        <f aca="false">IF(Q3477="","",Q3477+N(H3477)*0.000000001)</f>
        <v/>
      </c>
      <c r="S3477" s="25" t="str">
        <f aca="false">IF(R3477="","",SUMPRODUCT((I$5:I$4004=I3477)*ISNUMBER(R$5:R$4004)*(R$5:R$4004&gt;R3477))+1)</f>
        <v/>
      </c>
      <c r="T3477" s="25" t="str">
        <f aca="false">IF(S3477="","",IF(S3477&lt;=Setup!$B$5,"🏆 WINNER",""))</f>
        <v/>
      </c>
      <c r="U3477" s="24" t="str">
        <f aca="false">IF(S3477="","",I3477&amp;"|"&amp;S3477)</f>
        <v/>
      </c>
    </row>
    <row r="3478" customFormat="false" ht="15" hidden="false" customHeight="false" outlineLevel="0" collapsed="false">
      <c r="A3478" s="31" t="n">
        <v>3474</v>
      </c>
      <c r="B3478" s="32" t="str">
        <f aca="false">IF(OR(C3478="",I3478="",G3478=""),"",IFERROR(VLOOKUP(I3478,Setup!$A$9:$B$11,2,0),"???")&amp;"-"&amp;G3478&amp;"-"&amp;TEXT(COUNTIFS(I$5:I3478,I3478,G$5:G3478,G3478),"0000"))</f>
        <v/>
      </c>
      <c r="C3478" s="26"/>
      <c r="D3478" s="26"/>
      <c r="E3478" s="27"/>
      <c r="F3478" s="27"/>
      <c r="G3478" s="31" t="str">
        <f aca="false">IF(F3478="","",IF(F3478&lt;=5,"A",IF(F3478&lt;=8,"B",IF(F3478&lt;=10,"C","D"))))</f>
        <v/>
      </c>
      <c r="H3478" s="28"/>
      <c r="I3478" s="27"/>
      <c r="J3478" s="26"/>
      <c r="K3478" s="27"/>
      <c r="L3478" s="27"/>
      <c r="M3478" s="27"/>
      <c r="N3478" s="27"/>
      <c r="O3478" s="31" t="str">
        <f aca="false">IF(G3478="","",VLOOKUP(G3478,Setup!$A$14:$C$17,3,0))</f>
        <v/>
      </c>
      <c r="P3478" s="27"/>
      <c r="Q3478" s="33" t="str">
        <f aca="false">IF(OR(P3478="",M3478&lt;&gt;"Paid",O3478=""),"",P3478/O3478)</f>
        <v/>
      </c>
      <c r="R3478" s="34" t="str">
        <f aca="false">IF(Q3478="","",Q3478+N(H3478)*0.000000001)</f>
        <v/>
      </c>
      <c r="S3478" s="32" t="str">
        <f aca="false">IF(R3478="","",SUMPRODUCT((I$5:I$4004=I3478)*ISNUMBER(R$5:R$4004)*(R$5:R$4004&gt;R3478))+1)</f>
        <v/>
      </c>
      <c r="T3478" s="32" t="str">
        <f aca="false">IF(S3478="","",IF(S3478&lt;=Setup!$B$5,"🏆 WINNER",""))</f>
        <v/>
      </c>
      <c r="U3478" s="31" t="str">
        <f aca="false">IF(S3478="","",I3478&amp;"|"&amp;S3478)</f>
        <v/>
      </c>
    </row>
    <row r="3479" customFormat="false" ht="15" hidden="false" customHeight="false" outlineLevel="0" collapsed="false">
      <c r="A3479" s="24" t="n">
        <v>3475</v>
      </c>
      <c r="B3479" s="25" t="str">
        <f aca="false">IF(OR(C3479="",I3479="",G3479=""),"",IFERROR(VLOOKUP(I3479,Setup!$A$9:$B$11,2,0),"???")&amp;"-"&amp;G3479&amp;"-"&amp;TEXT(COUNTIFS(I$5:I3479,I3479,G$5:G3479,G3479),"0000"))</f>
        <v/>
      </c>
      <c r="C3479" s="26"/>
      <c r="D3479" s="26"/>
      <c r="E3479" s="27"/>
      <c r="F3479" s="27"/>
      <c r="G3479" s="24" t="str">
        <f aca="false">IF(F3479="","",IF(F3479&lt;=5,"A",IF(F3479&lt;=8,"B",IF(F3479&lt;=10,"C","D"))))</f>
        <v/>
      </c>
      <c r="H3479" s="28"/>
      <c r="I3479" s="27"/>
      <c r="J3479" s="26"/>
      <c r="K3479" s="27"/>
      <c r="L3479" s="27"/>
      <c r="M3479" s="27"/>
      <c r="N3479" s="27"/>
      <c r="O3479" s="24" t="str">
        <f aca="false">IF(G3479="","",VLOOKUP(G3479,Setup!$A$14:$C$17,3,0))</f>
        <v/>
      </c>
      <c r="P3479" s="27"/>
      <c r="Q3479" s="29" t="str">
        <f aca="false">IF(OR(P3479="",M3479&lt;&gt;"Paid",O3479=""),"",P3479/O3479)</f>
        <v/>
      </c>
      <c r="R3479" s="30" t="str">
        <f aca="false">IF(Q3479="","",Q3479+N(H3479)*0.000000001)</f>
        <v/>
      </c>
      <c r="S3479" s="25" t="str">
        <f aca="false">IF(R3479="","",SUMPRODUCT((I$5:I$4004=I3479)*ISNUMBER(R$5:R$4004)*(R$5:R$4004&gt;R3479))+1)</f>
        <v/>
      </c>
      <c r="T3479" s="25" t="str">
        <f aca="false">IF(S3479="","",IF(S3479&lt;=Setup!$B$5,"🏆 WINNER",""))</f>
        <v/>
      </c>
      <c r="U3479" s="24" t="str">
        <f aca="false">IF(S3479="","",I3479&amp;"|"&amp;S3479)</f>
        <v/>
      </c>
    </row>
    <row r="3480" customFormat="false" ht="15" hidden="false" customHeight="false" outlineLevel="0" collapsed="false">
      <c r="A3480" s="31" t="n">
        <v>3476</v>
      </c>
      <c r="B3480" s="32" t="str">
        <f aca="false">IF(OR(C3480="",I3480="",G3480=""),"",IFERROR(VLOOKUP(I3480,Setup!$A$9:$B$11,2,0),"???")&amp;"-"&amp;G3480&amp;"-"&amp;TEXT(COUNTIFS(I$5:I3480,I3480,G$5:G3480,G3480),"0000"))</f>
        <v/>
      </c>
      <c r="C3480" s="26"/>
      <c r="D3480" s="26"/>
      <c r="E3480" s="27"/>
      <c r="F3480" s="27"/>
      <c r="G3480" s="31" t="str">
        <f aca="false">IF(F3480="","",IF(F3480&lt;=5,"A",IF(F3480&lt;=8,"B",IF(F3480&lt;=10,"C","D"))))</f>
        <v/>
      </c>
      <c r="H3480" s="28"/>
      <c r="I3480" s="27"/>
      <c r="J3480" s="26"/>
      <c r="K3480" s="27"/>
      <c r="L3480" s="27"/>
      <c r="M3480" s="27"/>
      <c r="N3480" s="27"/>
      <c r="O3480" s="31" t="str">
        <f aca="false">IF(G3480="","",VLOOKUP(G3480,Setup!$A$14:$C$17,3,0))</f>
        <v/>
      </c>
      <c r="P3480" s="27"/>
      <c r="Q3480" s="33" t="str">
        <f aca="false">IF(OR(P3480="",M3480&lt;&gt;"Paid",O3480=""),"",P3480/O3480)</f>
        <v/>
      </c>
      <c r="R3480" s="34" t="str">
        <f aca="false">IF(Q3480="","",Q3480+N(H3480)*0.000000001)</f>
        <v/>
      </c>
      <c r="S3480" s="32" t="str">
        <f aca="false">IF(R3480="","",SUMPRODUCT((I$5:I$4004=I3480)*ISNUMBER(R$5:R$4004)*(R$5:R$4004&gt;R3480))+1)</f>
        <v/>
      </c>
      <c r="T3480" s="32" t="str">
        <f aca="false">IF(S3480="","",IF(S3480&lt;=Setup!$B$5,"🏆 WINNER",""))</f>
        <v/>
      </c>
      <c r="U3480" s="31" t="str">
        <f aca="false">IF(S3480="","",I3480&amp;"|"&amp;S3480)</f>
        <v/>
      </c>
    </row>
    <row r="3481" customFormat="false" ht="15" hidden="false" customHeight="false" outlineLevel="0" collapsed="false">
      <c r="A3481" s="24" t="n">
        <v>3477</v>
      </c>
      <c r="B3481" s="25" t="str">
        <f aca="false">IF(OR(C3481="",I3481="",G3481=""),"",IFERROR(VLOOKUP(I3481,Setup!$A$9:$B$11,2,0),"???")&amp;"-"&amp;G3481&amp;"-"&amp;TEXT(COUNTIFS(I$5:I3481,I3481,G$5:G3481,G3481),"0000"))</f>
        <v/>
      </c>
      <c r="C3481" s="26"/>
      <c r="D3481" s="26"/>
      <c r="E3481" s="27"/>
      <c r="F3481" s="27"/>
      <c r="G3481" s="24" t="str">
        <f aca="false">IF(F3481="","",IF(F3481&lt;=5,"A",IF(F3481&lt;=8,"B",IF(F3481&lt;=10,"C","D"))))</f>
        <v/>
      </c>
      <c r="H3481" s="28"/>
      <c r="I3481" s="27"/>
      <c r="J3481" s="26"/>
      <c r="K3481" s="27"/>
      <c r="L3481" s="27"/>
      <c r="M3481" s="27"/>
      <c r="N3481" s="27"/>
      <c r="O3481" s="24" t="str">
        <f aca="false">IF(G3481="","",VLOOKUP(G3481,Setup!$A$14:$C$17,3,0))</f>
        <v/>
      </c>
      <c r="P3481" s="27"/>
      <c r="Q3481" s="29" t="str">
        <f aca="false">IF(OR(P3481="",M3481&lt;&gt;"Paid",O3481=""),"",P3481/O3481)</f>
        <v/>
      </c>
      <c r="R3481" s="30" t="str">
        <f aca="false">IF(Q3481="","",Q3481+N(H3481)*0.000000001)</f>
        <v/>
      </c>
      <c r="S3481" s="25" t="str">
        <f aca="false">IF(R3481="","",SUMPRODUCT((I$5:I$4004=I3481)*ISNUMBER(R$5:R$4004)*(R$5:R$4004&gt;R3481))+1)</f>
        <v/>
      </c>
      <c r="T3481" s="25" t="str">
        <f aca="false">IF(S3481="","",IF(S3481&lt;=Setup!$B$5,"🏆 WINNER",""))</f>
        <v/>
      </c>
      <c r="U3481" s="24" t="str">
        <f aca="false">IF(S3481="","",I3481&amp;"|"&amp;S3481)</f>
        <v/>
      </c>
    </row>
    <row r="3482" customFormat="false" ht="15" hidden="false" customHeight="false" outlineLevel="0" collapsed="false">
      <c r="A3482" s="31" t="n">
        <v>3478</v>
      </c>
      <c r="B3482" s="32" t="str">
        <f aca="false">IF(OR(C3482="",I3482="",G3482=""),"",IFERROR(VLOOKUP(I3482,Setup!$A$9:$B$11,2,0),"???")&amp;"-"&amp;G3482&amp;"-"&amp;TEXT(COUNTIFS(I$5:I3482,I3482,G$5:G3482,G3482),"0000"))</f>
        <v/>
      </c>
      <c r="C3482" s="26"/>
      <c r="D3482" s="26"/>
      <c r="E3482" s="27"/>
      <c r="F3482" s="27"/>
      <c r="G3482" s="31" t="str">
        <f aca="false">IF(F3482="","",IF(F3482&lt;=5,"A",IF(F3482&lt;=8,"B",IF(F3482&lt;=10,"C","D"))))</f>
        <v/>
      </c>
      <c r="H3482" s="28"/>
      <c r="I3482" s="27"/>
      <c r="J3482" s="26"/>
      <c r="K3482" s="27"/>
      <c r="L3482" s="27"/>
      <c r="M3482" s="27"/>
      <c r="N3482" s="27"/>
      <c r="O3482" s="31" t="str">
        <f aca="false">IF(G3482="","",VLOOKUP(G3482,Setup!$A$14:$C$17,3,0))</f>
        <v/>
      </c>
      <c r="P3482" s="27"/>
      <c r="Q3482" s="33" t="str">
        <f aca="false">IF(OR(P3482="",M3482&lt;&gt;"Paid",O3482=""),"",P3482/O3482)</f>
        <v/>
      </c>
      <c r="R3482" s="34" t="str">
        <f aca="false">IF(Q3482="","",Q3482+N(H3482)*0.000000001)</f>
        <v/>
      </c>
      <c r="S3482" s="32" t="str">
        <f aca="false">IF(R3482="","",SUMPRODUCT((I$5:I$4004=I3482)*ISNUMBER(R$5:R$4004)*(R$5:R$4004&gt;R3482))+1)</f>
        <v/>
      </c>
      <c r="T3482" s="32" t="str">
        <f aca="false">IF(S3482="","",IF(S3482&lt;=Setup!$B$5,"🏆 WINNER",""))</f>
        <v/>
      </c>
      <c r="U3482" s="31" t="str">
        <f aca="false">IF(S3482="","",I3482&amp;"|"&amp;S3482)</f>
        <v/>
      </c>
    </row>
    <row r="3483" customFormat="false" ht="15" hidden="false" customHeight="false" outlineLevel="0" collapsed="false">
      <c r="A3483" s="24" t="n">
        <v>3479</v>
      </c>
      <c r="B3483" s="25" t="str">
        <f aca="false">IF(OR(C3483="",I3483="",G3483=""),"",IFERROR(VLOOKUP(I3483,Setup!$A$9:$B$11,2,0),"???")&amp;"-"&amp;G3483&amp;"-"&amp;TEXT(COUNTIFS(I$5:I3483,I3483,G$5:G3483,G3483),"0000"))</f>
        <v/>
      </c>
      <c r="C3483" s="26"/>
      <c r="D3483" s="26"/>
      <c r="E3483" s="27"/>
      <c r="F3483" s="27"/>
      <c r="G3483" s="24" t="str">
        <f aca="false">IF(F3483="","",IF(F3483&lt;=5,"A",IF(F3483&lt;=8,"B",IF(F3483&lt;=10,"C","D"))))</f>
        <v/>
      </c>
      <c r="H3483" s="28"/>
      <c r="I3483" s="27"/>
      <c r="J3483" s="26"/>
      <c r="K3483" s="27"/>
      <c r="L3483" s="27"/>
      <c r="M3483" s="27"/>
      <c r="N3483" s="27"/>
      <c r="O3483" s="24" t="str">
        <f aca="false">IF(G3483="","",VLOOKUP(G3483,Setup!$A$14:$C$17,3,0))</f>
        <v/>
      </c>
      <c r="P3483" s="27"/>
      <c r="Q3483" s="29" t="str">
        <f aca="false">IF(OR(P3483="",M3483&lt;&gt;"Paid",O3483=""),"",P3483/O3483)</f>
        <v/>
      </c>
      <c r="R3483" s="30" t="str">
        <f aca="false">IF(Q3483="","",Q3483+N(H3483)*0.000000001)</f>
        <v/>
      </c>
      <c r="S3483" s="25" t="str">
        <f aca="false">IF(R3483="","",SUMPRODUCT((I$5:I$4004=I3483)*ISNUMBER(R$5:R$4004)*(R$5:R$4004&gt;R3483))+1)</f>
        <v/>
      </c>
      <c r="T3483" s="25" t="str">
        <f aca="false">IF(S3483="","",IF(S3483&lt;=Setup!$B$5,"🏆 WINNER",""))</f>
        <v/>
      </c>
      <c r="U3483" s="24" t="str">
        <f aca="false">IF(S3483="","",I3483&amp;"|"&amp;S3483)</f>
        <v/>
      </c>
    </row>
    <row r="3484" customFormat="false" ht="15" hidden="false" customHeight="false" outlineLevel="0" collapsed="false">
      <c r="A3484" s="31" t="n">
        <v>3480</v>
      </c>
      <c r="B3484" s="32" t="str">
        <f aca="false">IF(OR(C3484="",I3484="",G3484=""),"",IFERROR(VLOOKUP(I3484,Setup!$A$9:$B$11,2,0),"???")&amp;"-"&amp;G3484&amp;"-"&amp;TEXT(COUNTIFS(I$5:I3484,I3484,G$5:G3484,G3484),"0000"))</f>
        <v/>
      </c>
      <c r="C3484" s="26"/>
      <c r="D3484" s="26"/>
      <c r="E3484" s="27"/>
      <c r="F3484" s="27"/>
      <c r="G3484" s="31" t="str">
        <f aca="false">IF(F3484="","",IF(F3484&lt;=5,"A",IF(F3484&lt;=8,"B",IF(F3484&lt;=10,"C","D"))))</f>
        <v/>
      </c>
      <c r="H3484" s="28"/>
      <c r="I3484" s="27"/>
      <c r="J3484" s="26"/>
      <c r="K3484" s="27"/>
      <c r="L3484" s="27"/>
      <c r="M3484" s="27"/>
      <c r="N3484" s="27"/>
      <c r="O3484" s="31" t="str">
        <f aca="false">IF(G3484="","",VLOOKUP(G3484,Setup!$A$14:$C$17,3,0))</f>
        <v/>
      </c>
      <c r="P3484" s="27"/>
      <c r="Q3484" s="33" t="str">
        <f aca="false">IF(OR(P3484="",M3484&lt;&gt;"Paid",O3484=""),"",P3484/O3484)</f>
        <v/>
      </c>
      <c r="R3484" s="34" t="str">
        <f aca="false">IF(Q3484="","",Q3484+N(H3484)*0.000000001)</f>
        <v/>
      </c>
      <c r="S3484" s="32" t="str">
        <f aca="false">IF(R3484="","",SUMPRODUCT((I$5:I$4004=I3484)*ISNUMBER(R$5:R$4004)*(R$5:R$4004&gt;R3484))+1)</f>
        <v/>
      </c>
      <c r="T3484" s="32" t="str">
        <f aca="false">IF(S3484="","",IF(S3484&lt;=Setup!$B$5,"🏆 WINNER",""))</f>
        <v/>
      </c>
      <c r="U3484" s="31" t="str">
        <f aca="false">IF(S3484="","",I3484&amp;"|"&amp;S3484)</f>
        <v/>
      </c>
    </row>
    <row r="3485" customFormat="false" ht="15" hidden="false" customHeight="false" outlineLevel="0" collapsed="false">
      <c r="A3485" s="24" t="n">
        <v>3481</v>
      </c>
      <c r="B3485" s="25" t="str">
        <f aca="false">IF(OR(C3485="",I3485="",G3485=""),"",IFERROR(VLOOKUP(I3485,Setup!$A$9:$B$11,2,0),"???")&amp;"-"&amp;G3485&amp;"-"&amp;TEXT(COUNTIFS(I$5:I3485,I3485,G$5:G3485,G3485),"0000"))</f>
        <v/>
      </c>
      <c r="C3485" s="26"/>
      <c r="D3485" s="26"/>
      <c r="E3485" s="27"/>
      <c r="F3485" s="27"/>
      <c r="G3485" s="24" t="str">
        <f aca="false">IF(F3485="","",IF(F3485&lt;=5,"A",IF(F3485&lt;=8,"B",IF(F3485&lt;=10,"C","D"))))</f>
        <v/>
      </c>
      <c r="H3485" s="28"/>
      <c r="I3485" s="27"/>
      <c r="J3485" s="26"/>
      <c r="K3485" s="27"/>
      <c r="L3485" s="27"/>
      <c r="M3485" s="27"/>
      <c r="N3485" s="27"/>
      <c r="O3485" s="24" t="str">
        <f aca="false">IF(G3485="","",VLOOKUP(G3485,Setup!$A$14:$C$17,3,0))</f>
        <v/>
      </c>
      <c r="P3485" s="27"/>
      <c r="Q3485" s="29" t="str">
        <f aca="false">IF(OR(P3485="",M3485&lt;&gt;"Paid",O3485=""),"",P3485/O3485)</f>
        <v/>
      </c>
      <c r="R3485" s="30" t="str">
        <f aca="false">IF(Q3485="","",Q3485+N(H3485)*0.000000001)</f>
        <v/>
      </c>
      <c r="S3485" s="25" t="str">
        <f aca="false">IF(R3485="","",SUMPRODUCT((I$5:I$4004=I3485)*ISNUMBER(R$5:R$4004)*(R$5:R$4004&gt;R3485))+1)</f>
        <v/>
      </c>
      <c r="T3485" s="25" t="str">
        <f aca="false">IF(S3485="","",IF(S3485&lt;=Setup!$B$5,"🏆 WINNER",""))</f>
        <v/>
      </c>
      <c r="U3485" s="24" t="str">
        <f aca="false">IF(S3485="","",I3485&amp;"|"&amp;S3485)</f>
        <v/>
      </c>
    </row>
    <row r="3486" customFormat="false" ht="15" hidden="false" customHeight="false" outlineLevel="0" collapsed="false">
      <c r="A3486" s="31" t="n">
        <v>3482</v>
      </c>
      <c r="B3486" s="32" t="str">
        <f aca="false">IF(OR(C3486="",I3486="",G3486=""),"",IFERROR(VLOOKUP(I3486,Setup!$A$9:$B$11,2,0),"???")&amp;"-"&amp;G3486&amp;"-"&amp;TEXT(COUNTIFS(I$5:I3486,I3486,G$5:G3486,G3486),"0000"))</f>
        <v/>
      </c>
      <c r="C3486" s="26"/>
      <c r="D3486" s="26"/>
      <c r="E3486" s="27"/>
      <c r="F3486" s="27"/>
      <c r="G3486" s="31" t="str">
        <f aca="false">IF(F3486="","",IF(F3486&lt;=5,"A",IF(F3486&lt;=8,"B",IF(F3486&lt;=10,"C","D"))))</f>
        <v/>
      </c>
      <c r="H3486" s="28"/>
      <c r="I3486" s="27"/>
      <c r="J3486" s="26"/>
      <c r="K3486" s="27"/>
      <c r="L3486" s="27"/>
      <c r="M3486" s="27"/>
      <c r="N3486" s="27"/>
      <c r="O3486" s="31" t="str">
        <f aca="false">IF(G3486="","",VLOOKUP(G3486,Setup!$A$14:$C$17,3,0))</f>
        <v/>
      </c>
      <c r="P3486" s="27"/>
      <c r="Q3486" s="33" t="str">
        <f aca="false">IF(OR(P3486="",M3486&lt;&gt;"Paid",O3486=""),"",P3486/O3486)</f>
        <v/>
      </c>
      <c r="R3486" s="34" t="str">
        <f aca="false">IF(Q3486="","",Q3486+N(H3486)*0.000000001)</f>
        <v/>
      </c>
      <c r="S3486" s="32" t="str">
        <f aca="false">IF(R3486="","",SUMPRODUCT((I$5:I$4004=I3486)*ISNUMBER(R$5:R$4004)*(R$5:R$4004&gt;R3486))+1)</f>
        <v/>
      </c>
      <c r="T3486" s="32" t="str">
        <f aca="false">IF(S3486="","",IF(S3486&lt;=Setup!$B$5,"🏆 WINNER",""))</f>
        <v/>
      </c>
      <c r="U3486" s="31" t="str">
        <f aca="false">IF(S3486="","",I3486&amp;"|"&amp;S3486)</f>
        <v/>
      </c>
    </row>
    <row r="3487" customFormat="false" ht="15" hidden="false" customHeight="false" outlineLevel="0" collapsed="false">
      <c r="A3487" s="24" t="n">
        <v>3483</v>
      </c>
      <c r="B3487" s="25" t="str">
        <f aca="false">IF(OR(C3487="",I3487="",G3487=""),"",IFERROR(VLOOKUP(I3487,Setup!$A$9:$B$11,2,0),"???")&amp;"-"&amp;G3487&amp;"-"&amp;TEXT(COUNTIFS(I$5:I3487,I3487,G$5:G3487,G3487),"0000"))</f>
        <v/>
      </c>
      <c r="C3487" s="26"/>
      <c r="D3487" s="26"/>
      <c r="E3487" s="27"/>
      <c r="F3487" s="27"/>
      <c r="G3487" s="24" t="str">
        <f aca="false">IF(F3487="","",IF(F3487&lt;=5,"A",IF(F3487&lt;=8,"B",IF(F3487&lt;=10,"C","D"))))</f>
        <v/>
      </c>
      <c r="H3487" s="28"/>
      <c r="I3487" s="27"/>
      <c r="J3487" s="26"/>
      <c r="K3487" s="27"/>
      <c r="L3487" s="27"/>
      <c r="M3487" s="27"/>
      <c r="N3487" s="27"/>
      <c r="O3487" s="24" t="str">
        <f aca="false">IF(G3487="","",VLOOKUP(G3487,Setup!$A$14:$C$17,3,0))</f>
        <v/>
      </c>
      <c r="P3487" s="27"/>
      <c r="Q3487" s="29" t="str">
        <f aca="false">IF(OR(P3487="",M3487&lt;&gt;"Paid",O3487=""),"",P3487/O3487)</f>
        <v/>
      </c>
      <c r="R3487" s="30" t="str">
        <f aca="false">IF(Q3487="","",Q3487+N(H3487)*0.000000001)</f>
        <v/>
      </c>
      <c r="S3487" s="25" t="str">
        <f aca="false">IF(R3487="","",SUMPRODUCT((I$5:I$4004=I3487)*ISNUMBER(R$5:R$4004)*(R$5:R$4004&gt;R3487))+1)</f>
        <v/>
      </c>
      <c r="T3487" s="25" t="str">
        <f aca="false">IF(S3487="","",IF(S3487&lt;=Setup!$B$5,"🏆 WINNER",""))</f>
        <v/>
      </c>
      <c r="U3487" s="24" t="str">
        <f aca="false">IF(S3487="","",I3487&amp;"|"&amp;S3487)</f>
        <v/>
      </c>
    </row>
    <row r="3488" customFormat="false" ht="15" hidden="false" customHeight="false" outlineLevel="0" collapsed="false">
      <c r="A3488" s="31" t="n">
        <v>3484</v>
      </c>
      <c r="B3488" s="32" t="str">
        <f aca="false">IF(OR(C3488="",I3488="",G3488=""),"",IFERROR(VLOOKUP(I3488,Setup!$A$9:$B$11,2,0),"???")&amp;"-"&amp;G3488&amp;"-"&amp;TEXT(COUNTIFS(I$5:I3488,I3488,G$5:G3488,G3488),"0000"))</f>
        <v/>
      </c>
      <c r="C3488" s="26"/>
      <c r="D3488" s="26"/>
      <c r="E3488" s="27"/>
      <c r="F3488" s="27"/>
      <c r="G3488" s="31" t="str">
        <f aca="false">IF(F3488="","",IF(F3488&lt;=5,"A",IF(F3488&lt;=8,"B",IF(F3488&lt;=10,"C","D"))))</f>
        <v/>
      </c>
      <c r="H3488" s="28"/>
      <c r="I3488" s="27"/>
      <c r="J3488" s="26"/>
      <c r="K3488" s="27"/>
      <c r="L3488" s="27"/>
      <c r="M3488" s="27"/>
      <c r="N3488" s="27"/>
      <c r="O3488" s="31" t="str">
        <f aca="false">IF(G3488="","",VLOOKUP(G3488,Setup!$A$14:$C$17,3,0))</f>
        <v/>
      </c>
      <c r="P3488" s="27"/>
      <c r="Q3488" s="33" t="str">
        <f aca="false">IF(OR(P3488="",M3488&lt;&gt;"Paid",O3488=""),"",P3488/O3488)</f>
        <v/>
      </c>
      <c r="R3488" s="34" t="str">
        <f aca="false">IF(Q3488="","",Q3488+N(H3488)*0.000000001)</f>
        <v/>
      </c>
      <c r="S3488" s="32" t="str">
        <f aca="false">IF(R3488="","",SUMPRODUCT((I$5:I$4004=I3488)*ISNUMBER(R$5:R$4004)*(R$5:R$4004&gt;R3488))+1)</f>
        <v/>
      </c>
      <c r="T3488" s="32" t="str">
        <f aca="false">IF(S3488="","",IF(S3488&lt;=Setup!$B$5,"🏆 WINNER",""))</f>
        <v/>
      </c>
      <c r="U3488" s="31" t="str">
        <f aca="false">IF(S3488="","",I3488&amp;"|"&amp;S3488)</f>
        <v/>
      </c>
    </row>
    <row r="3489" customFormat="false" ht="15" hidden="false" customHeight="false" outlineLevel="0" collapsed="false">
      <c r="A3489" s="24" t="n">
        <v>3485</v>
      </c>
      <c r="B3489" s="25" t="str">
        <f aca="false">IF(OR(C3489="",I3489="",G3489=""),"",IFERROR(VLOOKUP(I3489,Setup!$A$9:$B$11,2,0),"???")&amp;"-"&amp;G3489&amp;"-"&amp;TEXT(COUNTIFS(I$5:I3489,I3489,G$5:G3489,G3489),"0000"))</f>
        <v/>
      </c>
      <c r="C3489" s="26"/>
      <c r="D3489" s="26"/>
      <c r="E3489" s="27"/>
      <c r="F3489" s="27"/>
      <c r="G3489" s="24" t="str">
        <f aca="false">IF(F3489="","",IF(F3489&lt;=5,"A",IF(F3489&lt;=8,"B",IF(F3489&lt;=10,"C","D"))))</f>
        <v/>
      </c>
      <c r="H3489" s="28"/>
      <c r="I3489" s="27"/>
      <c r="J3489" s="26"/>
      <c r="K3489" s="27"/>
      <c r="L3489" s="27"/>
      <c r="M3489" s="27"/>
      <c r="N3489" s="27"/>
      <c r="O3489" s="24" t="str">
        <f aca="false">IF(G3489="","",VLOOKUP(G3489,Setup!$A$14:$C$17,3,0))</f>
        <v/>
      </c>
      <c r="P3489" s="27"/>
      <c r="Q3489" s="29" t="str">
        <f aca="false">IF(OR(P3489="",M3489&lt;&gt;"Paid",O3489=""),"",P3489/O3489)</f>
        <v/>
      </c>
      <c r="R3489" s="30" t="str">
        <f aca="false">IF(Q3489="","",Q3489+N(H3489)*0.000000001)</f>
        <v/>
      </c>
      <c r="S3489" s="25" t="str">
        <f aca="false">IF(R3489="","",SUMPRODUCT((I$5:I$4004=I3489)*ISNUMBER(R$5:R$4004)*(R$5:R$4004&gt;R3489))+1)</f>
        <v/>
      </c>
      <c r="T3489" s="25" t="str">
        <f aca="false">IF(S3489="","",IF(S3489&lt;=Setup!$B$5,"🏆 WINNER",""))</f>
        <v/>
      </c>
      <c r="U3489" s="24" t="str">
        <f aca="false">IF(S3489="","",I3489&amp;"|"&amp;S3489)</f>
        <v/>
      </c>
    </row>
    <row r="3490" customFormat="false" ht="15" hidden="false" customHeight="false" outlineLevel="0" collapsed="false">
      <c r="A3490" s="31" t="n">
        <v>3486</v>
      </c>
      <c r="B3490" s="32" t="str">
        <f aca="false">IF(OR(C3490="",I3490="",G3490=""),"",IFERROR(VLOOKUP(I3490,Setup!$A$9:$B$11,2,0),"???")&amp;"-"&amp;G3490&amp;"-"&amp;TEXT(COUNTIFS(I$5:I3490,I3490,G$5:G3490,G3490),"0000"))</f>
        <v/>
      </c>
      <c r="C3490" s="26"/>
      <c r="D3490" s="26"/>
      <c r="E3490" s="27"/>
      <c r="F3490" s="27"/>
      <c r="G3490" s="31" t="str">
        <f aca="false">IF(F3490="","",IF(F3490&lt;=5,"A",IF(F3490&lt;=8,"B",IF(F3490&lt;=10,"C","D"))))</f>
        <v/>
      </c>
      <c r="H3490" s="28"/>
      <c r="I3490" s="27"/>
      <c r="J3490" s="26"/>
      <c r="K3490" s="27"/>
      <c r="L3490" s="27"/>
      <c r="M3490" s="27"/>
      <c r="N3490" s="27"/>
      <c r="O3490" s="31" t="str">
        <f aca="false">IF(G3490="","",VLOOKUP(G3490,Setup!$A$14:$C$17,3,0))</f>
        <v/>
      </c>
      <c r="P3490" s="27"/>
      <c r="Q3490" s="33" t="str">
        <f aca="false">IF(OR(P3490="",M3490&lt;&gt;"Paid",O3490=""),"",P3490/O3490)</f>
        <v/>
      </c>
      <c r="R3490" s="34" t="str">
        <f aca="false">IF(Q3490="","",Q3490+N(H3490)*0.000000001)</f>
        <v/>
      </c>
      <c r="S3490" s="32" t="str">
        <f aca="false">IF(R3490="","",SUMPRODUCT((I$5:I$4004=I3490)*ISNUMBER(R$5:R$4004)*(R$5:R$4004&gt;R3490))+1)</f>
        <v/>
      </c>
      <c r="T3490" s="32" t="str">
        <f aca="false">IF(S3490="","",IF(S3490&lt;=Setup!$B$5,"🏆 WINNER",""))</f>
        <v/>
      </c>
      <c r="U3490" s="31" t="str">
        <f aca="false">IF(S3490="","",I3490&amp;"|"&amp;S3490)</f>
        <v/>
      </c>
    </row>
    <row r="3491" customFormat="false" ht="15" hidden="false" customHeight="false" outlineLevel="0" collapsed="false">
      <c r="A3491" s="24" t="n">
        <v>3487</v>
      </c>
      <c r="B3491" s="25" t="str">
        <f aca="false">IF(OR(C3491="",I3491="",G3491=""),"",IFERROR(VLOOKUP(I3491,Setup!$A$9:$B$11,2,0),"???")&amp;"-"&amp;G3491&amp;"-"&amp;TEXT(COUNTIFS(I$5:I3491,I3491,G$5:G3491,G3491),"0000"))</f>
        <v/>
      </c>
      <c r="C3491" s="26"/>
      <c r="D3491" s="26"/>
      <c r="E3491" s="27"/>
      <c r="F3491" s="27"/>
      <c r="G3491" s="24" t="str">
        <f aca="false">IF(F3491="","",IF(F3491&lt;=5,"A",IF(F3491&lt;=8,"B",IF(F3491&lt;=10,"C","D"))))</f>
        <v/>
      </c>
      <c r="H3491" s="28"/>
      <c r="I3491" s="27"/>
      <c r="J3491" s="26"/>
      <c r="K3491" s="27"/>
      <c r="L3491" s="27"/>
      <c r="M3491" s="27"/>
      <c r="N3491" s="27"/>
      <c r="O3491" s="24" t="str">
        <f aca="false">IF(G3491="","",VLOOKUP(G3491,Setup!$A$14:$C$17,3,0))</f>
        <v/>
      </c>
      <c r="P3491" s="27"/>
      <c r="Q3491" s="29" t="str">
        <f aca="false">IF(OR(P3491="",M3491&lt;&gt;"Paid",O3491=""),"",P3491/O3491)</f>
        <v/>
      </c>
      <c r="R3491" s="30" t="str">
        <f aca="false">IF(Q3491="","",Q3491+N(H3491)*0.000000001)</f>
        <v/>
      </c>
      <c r="S3491" s="25" t="str">
        <f aca="false">IF(R3491="","",SUMPRODUCT((I$5:I$4004=I3491)*ISNUMBER(R$5:R$4004)*(R$5:R$4004&gt;R3491))+1)</f>
        <v/>
      </c>
      <c r="T3491" s="25" t="str">
        <f aca="false">IF(S3491="","",IF(S3491&lt;=Setup!$B$5,"🏆 WINNER",""))</f>
        <v/>
      </c>
      <c r="U3491" s="24" t="str">
        <f aca="false">IF(S3491="","",I3491&amp;"|"&amp;S3491)</f>
        <v/>
      </c>
    </row>
    <row r="3492" customFormat="false" ht="15" hidden="false" customHeight="false" outlineLevel="0" collapsed="false">
      <c r="A3492" s="31" t="n">
        <v>3488</v>
      </c>
      <c r="B3492" s="32" t="str">
        <f aca="false">IF(OR(C3492="",I3492="",G3492=""),"",IFERROR(VLOOKUP(I3492,Setup!$A$9:$B$11,2,0),"???")&amp;"-"&amp;G3492&amp;"-"&amp;TEXT(COUNTIFS(I$5:I3492,I3492,G$5:G3492,G3492),"0000"))</f>
        <v/>
      </c>
      <c r="C3492" s="26"/>
      <c r="D3492" s="26"/>
      <c r="E3492" s="27"/>
      <c r="F3492" s="27"/>
      <c r="G3492" s="31" t="str">
        <f aca="false">IF(F3492="","",IF(F3492&lt;=5,"A",IF(F3492&lt;=8,"B",IF(F3492&lt;=10,"C","D"))))</f>
        <v/>
      </c>
      <c r="H3492" s="28"/>
      <c r="I3492" s="27"/>
      <c r="J3492" s="26"/>
      <c r="K3492" s="27"/>
      <c r="L3492" s="27"/>
      <c r="M3492" s="27"/>
      <c r="N3492" s="27"/>
      <c r="O3492" s="31" t="str">
        <f aca="false">IF(G3492="","",VLOOKUP(G3492,Setup!$A$14:$C$17,3,0))</f>
        <v/>
      </c>
      <c r="P3492" s="27"/>
      <c r="Q3492" s="33" t="str">
        <f aca="false">IF(OR(P3492="",M3492&lt;&gt;"Paid",O3492=""),"",P3492/O3492)</f>
        <v/>
      </c>
      <c r="R3492" s="34" t="str">
        <f aca="false">IF(Q3492="","",Q3492+N(H3492)*0.000000001)</f>
        <v/>
      </c>
      <c r="S3492" s="32" t="str">
        <f aca="false">IF(R3492="","",SUMPRODUCT((I$5:I$4004=I3492)*ISNUMBER(R$5:R$4004)*(R$5:R$4004&gt;R3492))+1)</f>
        <v/>
      </c>
      <c r="T3492" s="32" t="str">
        <f aca="false">IF(S3492="","",IF(S3492&lt;=Setup!$B$5,"🏆 WINNER",""))</f>
        <v/>
      </c>
      <c r="U3492" s="31" t="str">
        <f aca="false">IF(S3492="","",I3492&amp;"|"&amp;S3492)</f>
        <v/>
      </c>
    </row>
    <row r="3493" customFormat="false" ht="15" hidden="false" customHeight="false" outlineLevel="0" collapsed="false">
      <c r="A3493" s="24" t="n">
        <v>3489</v>
      </c>
      <c r="B3493" s="25" t="str">
        <f aca="false">IF(OR(C3493="",I3493="",G3493=""),"",IFERROR(VLOOKUP(I3493,Setup!$A$9:$B$11,2,0),"???")&amp;"-"&amp;G3493&amp;"-"&amp;TEXT(COUNTIFS(I$5:I3493,I3493,G$5:G3493,G3493),"0000"))</f>
        <v/>
      </c>
      <c r="C3493" s="26"/>
      <c r="D3493" s="26"/>
      <c r="E3493" s="27"/>
      <c r="F3493" s="27"/>
      <c r="G3493" s="24" t="str">
        <f aca="false">IF(F3493="","",IF(F3493&lt;=5,"A",IF(F3493&lt;=8,"B",IF(F3493&lt;=10,"C","D"))))</f>
        <v/>
      </c>
      <c r="H3493" s="28"/>
      <c r="I3493" s="27"/>
      <c r="J3493" s="26"/>
      <c r="K3493" s="27"/>
      <c r="L3493" s="27"/>
      <c r="M3493" s="27"/>
      <c r="N3493" s="27"/>
      <c r="O3493" s="24" t="str">
        <f aca="false">IF(G3493="","",VLOOKUP(G3493,Setup!$A$14:$C$17,3,0))</f>
        <v/>
      </c>
      <c r="P3493" s="27"/>
      <c r="Q3493" s="29" t="str">
        <f aca="false">IF(OR(P3493="",M3493&lt;&gt;"Paid",O3493=""),"",P3493/O3493)</f>
        <v/>
      </c>
      <c r="R3493" s="30" t="str">
        <f aca="false">IF(Q3493="","",Q3493+N(H3493)*0.000000001)</f>
        <v/>
      </c>
      <c r="S3493" s="25" t="str">
        <f aca="false">IF(R3493="","",SUMPRODUCT((I$5:I$4004=I3493)*ISNUMBER(R$5:R$4004)*(R$5:R$4004&gt;R3493))+1)</f>
        <v/>
      </c>
      <c r="T3493" s="25" t="str">
        <f aca="false">IF(S3493="","",IF(S3493&lt;=Setup!$B$5,"🏆 WINNER",""))</f>
        <v/>
      </c>
      <c r="U3493" s="24" t="str">
        <f aca="false">IF(S3493="","",I3493&amp;"|"&amp;S3493)</f>
        <v/>
      </c>
    </row>
    <row r="3494" customFormat="false" ht="15" hidden="false" customHeight="false" outlineLevel="0" collapsed="false">
      <c r="A3494" s="31" t="n">
        <v>3490</v>
      </c>
      <c r="B3494" s="32" t="str">
        <f aca="false">IF(OR(C3494="",I3494="",G3494=""),"",IFERROR(VLOOKUP(I3494,Setup!$A$9:$B$11,2,0),"???")&amp;"-"&amp;G3494&amp;"-"&amp;TEXT(COUNTIFS(I$5:I3494,I3494,G$5:G3494,G3494),"0000"))</f>
        <v/>
      </c>
      <c r="C3494" s="26"/>
      <c r="D3494" s="26"/>
      <c r="E3494" s="27"/>
      <c r="F3494" s="27"/>
      <c r="G3494" s="31" t="str">
        <f aca="false">IF(F3494="","",IF(F3494&lt;=5,"A",IF(F3494&lt;=8,"B",IF(F3494&lt;=10,"C","D"))))</f>
        <v/>
      </c>
      <c r="H3494" s="28"/>
      <c r="I3494" s="27"/>
      <c r="J3494" s="26"/>
      <c r="K3494" s="27"/>
      <c r="L3494" s="27"/>
      <c r="M3494" s="27"/>
      <c r="N3494" s="27"/>
      <c r="O3494" s="31" t="str">
        <f aca="false">IF(G3494="","",VLOOKUP(G3494,Setup!$A$14:$C$17,3,0))</f>
        <v/>
      </c>
      <c r="P3494" s="27"/>
      <c r="Q3494" s="33" t="str">
        <f aca="false">IF(OR(P3494="",M3494&lt;&gt;"Paid",O3494=""),"",P3494/O3494)</f>
        <v/>
      </c>
      <c r="R3494" s="34" t="str">
        <f aca="false">IF(Q3494="","",Q3494+N(H3494)*0.000000001)</f>
        <v/>
      </c>
      <c r="S3494" s="32" t="str">
        <f aca="false">IF(R3494="","",SUMPRODUCT((I$5:I$4004=I3494)*ISNUMBER(R$5:R$4004)*(R$5:R$4004&gt;R3494))+1)</f>
        <v/>
      </c>
      <c r="T3494" s="32" t="str">
        <f aca="false">IF(S3494="","",IF(S3494&lt;=Setup!$B$5,"🏆 WINNER",""))</f>
        <v/>
      </c>
      <c r="U3494" s="31" t="str">
        <f aca="false">IF(S3494="","",I3494&amp;"|"&amp;S3494)</f>
        <v/>
      </c>
    </row>
    <row r="3495" customFormat="false" ht="15" hidden="false" customHeight="false" outlineLevel="0" collapsed="false">
      <c r="A3495" s="24" t="n">
        <v>3491</v>
      </c>
      <c r="B3495" s="25" t="str">
        <f aca="false">IF(OR(C3495="",I3495="",G3495=""),"",IFERROR(VLOOKUP(I3495,Setup!$A$9:$B$11,2,0),"???")&amp;"-"&amp;G3495&amp;"-"&amp;TEXT(COUNTIFS(I$5:I3495,I3495,G$5:G3495,G3495),"0000"))</f>
        <v/>
      </c>
      <c r="C3495" s="26"/>
      <c r="D3495" s="26"/>
      <c r="E3495" s="27"/>
      <c r="F3495" s="27"/>
      <c r="G3495" s="24" t="str">
        <f aca="false">IF(F3495="","",IF(F3495&lt;=5,"A",IF(F3495&lt;=8,"B",IF(F3495&lt;=10,"C","D"))))</f>
        <v/>
      </c>
      <c r="H3495" s="28"/>
      <c r="I3495" s="27"/>
      <c r="J3495" s="26"/>
      <c r="K3495" s="27"/>
      <c r="L3495" s="27"/>
      <c r="M3495" s="27"/>
      <c r="N3495" s="27"/>
      <c r="O3495" s="24" t="str">
        <f aca="false">IF(G3495="","",VLOOKUP(G3495,Setup!$A$14:$C$17,3,0))</f>
        <v/>
      </c>
      <c r="P3495" s="27"/>
      <c r="Q3495" s="29" t="str">
        <f aca="false">IF(OR(P3495="",M3495&lt;&gt;"Paid",O3495=""),"",P3495/O3495)</f>
        <v/>
      </c>
      <c r="R3495" s="30" t="str">
        <f aca="false">IF(Q3495="","",Q3495+N(H3495)*0.000000001)</f>
        <v/>
      </c>
      <c r="S3495" s="25" t="str">
        <f aca="false">IF(R3495="","",SUMPRODUCT((I$5:I$4004=I3495)*ISNUMBER(R$5:R$4004)*(R$5:R$4004&gt;R3495))+1)</f>
        <v/>
      </c>
      <c r="T3495" s="25" t="str">
        <f aca="false">IF(S3495="","",IF(S3495&lt;=Setup!$B$5,"🏆 WINNER",""))</f>
        <v/>
      </c>
      <c r="U3495" s="24" t="str">
        <f aca="false">IF(S3495="","",I3495&amp;"|"&amp;S3495)</f>
        <v/>
      </c>
    </row>
    <row r="3496" customFormat="false" ht="15" hidden="false" customHeight="false" outlineLevel="0" collapsed="false">
      <c r="A3496" s="31" t="n">
        <v>3492</v>
      </c>
      <c r="B3496" s="32" t="str">
        <f aca="false">IF(OR(C3496="",I3496="",G3496=""),"",IFERROR(VLOOKUP(I3496,Setup!$A$9:$B$11,2,0),"???")&amp;"-"&amp;G3496&amp;"-"&amp;TEXT(COUNTIFS(I$5:I3496,I3496,G$5:G3496,G3496),"0000"))</f>
        <v/>
      </c>
      <c r="C3496" s="26"/>
      <c r="D3496" s="26"/>
      <c r="E3496" s="27"/>
      <c r="F3496" s="27"/>
      <c r="G3496" s="31" t="str">
        <f aca="false">IF(F3496="","",IF(F3496&lt;=5,"A",IF(F3496&lt;=8,"B",IF(F3496&lt;=10,"C","D"))))</f>
        <v/>
      </c>
      <c r="H3496" s="28"/>
      <c r="I3496" s="27"/>
      <c r="J3496" s="26"/>
      <c r="K3496" s="27"/>
      <c r="L3496" s="27"/>
      <c r="M3496" s="27"/>
      <c r="N3496" s="27"/>
      <c r="O3496" s="31" t="str">
        <f aca="false">IF(G3496="","",VLOOKUP(G3496,Setup!$A$14:$C$17,3,0))</f>
        <v/>
      </c>
      <c r="P3496" s="27"/>
      <c r="Q3496" s="33" t="str">
        <f aca="false">IF(OR(P3496="",M3496&lt;&gt;"Paid",O3496=""),"",P3496/O3496)</f>
        <v/>
      </c>
      <c r="R3496" s="34" t="str">
        <f aca="false">IF(Q3496="","",Q3496+N(H3496)*0.000000001)</f>
        <v/>
      </c>
      <c r="S3496" s="32" t="str">
        <f aca="false">IF(R3496="","",SUMPRODUCT((I$5:I$4004=I3496)*ISNUMBER(R$5:R$4004)*(R$5:R$4004&gt;R3496))+1)</f>
        <v/>
      </c>
      <c r="T3496" s="32" t="str">
        <f aca="false">IF(S3496="","",IF(S3496&lt;=Setup!$B$5,"🏆 WINNER",""))</f>
        <v/>
      </c>
      <c r="U3496" s="31" t="str">
        <f aca="false">IF(S3496="","",I3496&amp;"|"&amp;S3496)</f>
        <v/>
      </c>
    </row>
    <row r="3497" customFormat="false" ht="15" hidden="false" customHeight="false" outlineLevel="0" collapsed="false">
      <c r="A3497" s="24" t="n">
        <v>3493</v>
      </c>
      <c r="B3497" s="25" t="str">
        <f aca="false">IF(OR(C3497="",I3497="",G3497=""),"",IFERROR(VLOOKUP(I3497,Setup!$A$9:$B$11,2,0),"???")&amp;"-"&amp;G3497&amp;"-"&amp;TEXT(COUNTIFS(I$5:I3497,I3497,G$5:G3497,G3497),"0000"))</f>
        <v/>
      </c>
      <c r="C3497" s="26"/>
      <c r="D3497" s="26"/>
      <c r="E3497" s="27"/>
      <c r="F3497" s="27"/>
      <c r="G3497" s="24" t="str">
        <f aca="false">IF(F3497="","",IF(F3497&lt;=5,"A",IF(F3497&lt;=8,"B",IF(F3497&lt;=10,"C","D"))))</f>
        <v/>
      </c>
      <c r="H3497" s="28"/>
      <c r="I3497" s="27"/>
      <c r="J3497" s="26"/>
      <c r="K3497" s="27"/>
      <c r="L3497" s="27"/>
      <c r="M3497" s="27"/>
      <c r="N3497" s="27"/>
      <c r="O3497" s="24" t="str">
        <f aca="false">IF(G3497="","",VLOOKUP(G3497,Setup!$A$14:$C$17,3,0))</f>
        <v/>
      </c>
      <c r="P3497" s="27"/>
      <c r="Q3497" s="29" t="str">
        <f aca="false">IF(OR(P3497="",M3497&lt;&gt;"Paid",O3497=""),"",P3497/O3497)</f>
        <v/>
      </c>
      <c r="R3497" s="30" t="str">
        <f aca="false">IF(Q3497="","",Q3497+N(H3497)*0.000000001)</f>
        <v/>
      </c>
      <c r="S3497" s="25" t="str">
        <f aca="false">IF(R3497="","",SUMPRODUCT((I$5:I$4004=I3497)*ISNUMBER(R$5:R$4004)*(R$5:R$4004&gt;R3497))+1)</f>
        <v/>
      </c>
      <c r="T3497" s="25" t="str">
        <f aca="false">IF(S3497="","",IF(S3497&lt;=Setup!$B$5,"🏆 WINNER",""))</f>
        <v/>
      </c>
      <c r="U3497" s="24" t="str">
        <f aca="false">IF(S3497="","",I3497&amp;"|"&amp;S3497)</f>
        <v/>
      </c>
    </row>
    <row r="3498" customFormat="false" ht="15" hidden="false" customHeight="false" outlineLevel="0" collapsed="false">
      <c r="A3498" s="31" t="n">
        <v>3494</v>
      </c>
      <c r="B3498" s="32" t="str">
        <f aca="false">IF(OR(C3498="",I3498="",G3498=""),"",IFERROR(VLOOKUP(I3498,Setup!$A$9:$B$11,2,0),"???")&amp;"-"&amp;G3498&amp;"-"&amp;TEXT(COUNTIFS(I$5:I3498,I3498,G$5:G3498,G3498),"0000"))</f>
        <v/>
      </c>
      <c r="C3498" s="26"/>
      <c r="D3498" s="26"/>
      <c r="E3498" s="27"/>
      <c r="F3498" s="27"/>
      <c r="G3498" s="31" t="str">
        <f aca="false">IF(F3498="","",IF(F3498&lt;=5,"A",IF(F3498&lt;=8,"B",IF(F3498&lt;=10,"C","D"))))</f>
        <v/>
      </c>
      <c r="H3498" s="28"/>
      <c r="I3498" s="27"/>
      <c r="J3498" s="26"/>
      <c r="K3498" s="27"/>
      <c r="L3498" s="27"/>
      <c r="M3498" s="27"/>
      <c r="N3498" s="27"/>
      <c r="O3498" s="31" t="str">
        <f aca="false">IF(G3498="","",VLOOKUP(G3498,Setup!$A$14:$C$17,3,0))</f>
        <v/>
      </c>
      <c r="P3498" s="27"/>
      <c r="Q3498" s="33" t="str">
        <f aca="false">IF(OR(P3498="",M3498&lt;&gt;"Paid",O3498=""),"",P3498/O3498)</f>
        <v/>
      </c>
      <c r="R3498" s="34" t="str">
        <f aca="false">IF(Q3498="","",Q3498+N(H3498)*0.000000001)</f>
        <v/>
      </c>
      <c r="S3498" s="32" t="str">
        <f aca="false">IF(R3498="","",SUMPRODUCT((I$5:I$4004=I3498)*ISNUMBER(R$5:R$4004)*(R$5:R$4004&gt;R3498))+1)</f>
        <v/>
      </c>
      <c r="T3498" s="32" t="str">
        <f aca="false">IF(S3498="","",IF(S3498&lt;=Setup!$B$5,"🏆 WINNER",""))</f>
        <v/>
      </c>
      <c r="U3498" s="31" t="str">
        <f aca="false">IF(S3498="","",I3498&amp;"|"&amp;S3498)</f>
        <v/>
      </c>
    </row>
    <row r="3499" customFormat="false" ht="15" hidden="false" customHeight="false" outlineLevel="0" collapsed="false">
      <c r="A3499" s="24" t="n">
        <v>3495</v>
      </c>
      <c r="B3499" s="25" t="str">
        <f aca="false">IF(OR(C3499="",I3499="",G3499=""),"",IFERROR(VLOOKUP(I3499,Setup!$A$9:$B$11,2,0),"???")&amp;"-"&amp;G3499&amp;"-"&amp;TEXT(COUNTIFS(I$5:I3499,I3499,G$5:G3499,G3499),"0000"))</f>
        <v/>
      </c>
      <c r="C3499" s="26"/>
      <c r="D3499" s="26"/>
      <c r="E3499" s="27"/>
      <c r="F3499" s="27"/>
      <c r="G3499" s="24" t="str">
        <f aca="false">IF(F3499="","",IF(F3499&lt;=5,"A",IF(F3499&lt;=8,"B",IF(F3499&lt;=10,"C","D"))))</f>
        <v/>
      </c>
      <c r="H3499" s="28"/>
      <c r="I3499" s="27"/>
      <c r="J3499" s="26"/>
      <c r="K3499" s="27"/>
      <c r="L3499" s="27"/>
      <c r="M3499" s="27"/>
      <c r="N3499" s="27"/>
      <c r="O3499" s="24" t="str">
        <f aca="false">IF(G3499="","",VLOOKUP(G3499,Setup!$A$14:$C$17,3,0))</f>
        <v/>
      </c>
      <c r="P3499" s="27"/>
      <c r="Q3499" s="29" t="str">
        <f aca="false">IF(OR(P3499="",M3499&lt;&gt;"Paid",O3499=""),"",P3499/O3499)</f>
        <v/>
      </c>
      <c r="R3499" s="30" t="str">
        <f aca="false">IF(Q3499="","",Q3499+N(H3499)*0.000000001)</f>
        <v/>
      </c>
      <c r="S3499" s="25" t="str">
        <f aca="false">IF(R3499="","",SUMPRODUCT((I$5:I$4004=I3499)*ISNUMBER(R$5:R$4004)*(R$5:R$4004&gt;R3499))+1)</f>
        <v/>
      </c>
      <c r="T3499" s="25" t="str">
        <f aca="false">IF(S3499="","",IF(S3499&lt;=Setup!$B$5,"🏆 WINNER",""))</f>
        <v/>
      </c>
      <c r="U3499" s="24" t="str">
        <f aca="false">IF(S3499="","",I3499&amp;"|"&amp;S3499)</f>
        <v/>
      </c>
    </row>
    <row r="3500" customFormat="false" ht="15" hidden="false" customHeight="false" outlineLevel="0" collapsed="false">
      <c r="A3500" s="31" t="n">
        <v>3496</v>
      </c>
      <c r="B3500" s="32" t="str">
        <f aca="false">IF(OR(C3500="",I3500="",G3500=""),"",IFERROR(VLOOKUP(I3500,Setup!$A$9:$B$11,2,0),"???")&amp;"-"&amp;G3500&amp;"-"&amp;TEXT(COUNTIFS(I$5:I3500,I3500,G$5:G3500,G3500),"0000"))</f>
        <v/>
      </c>
      <c r="C3500" s="26"/>
      <c r="D3500" s="26"/>
      <c r="E3500" s="27"/>
      <c r="F3500" s="27"/>
      <c r="G3500" s="31" t="str">
        <f aca="false">IF(F3500="","",IF(F3500&lt;=5,"A",IF(F3500&lt;=8,"B",IF(F3500&lt;=10,"C","D"))))</f>
        <v/>
      </c>
      <c r="H3500" s="28"/>
      <c r="I3500" s="27"/>
      <c r="J3500" s="26"/>
      <c r="K3500" s="27"/>
      <c r="L3500" s="27"/>
      <c r="M3500" s="27"/>
      <c r="N3500" s="27"/>
      <c r="O3500" s="31" t="str">
        <f aca="false">IF(G3500="","",VLOOKUP(G3500,Setup!$A$14:$C$17,3,0))</f>
        <v/>
      </c>
      <c r="P3500" s="27"/>
      <c r="Q3500" s="33" t="str">
        <f aca="false">IF(OR(P3500="",M3500&lt;&gt;"Paid",O3500=""),"",P3500/O3500)</f>
        <v/>
      </c>
      <c r="R3500" s="34" t="str">
        <f aca="false">IF(Q3500="","",Q3500+N(H3500)*0.000000001)</f>
        <v/>
      </c>
      <c r="S3500" s="32" t="str">
        <f aca="false">IF(R3500="","",SUMPRODUCT((I$5:I$4004=I3500)*ISNUMBER(R$5:R$4004)*(R$5:R$4004&gt;R3500))+1)</f>
        <v/>
      </c>
      <c r="T3500" s="32" t="str">
        <f aca="false">IF(S3500="","",IF(S3500&lt;=Setup!$B$5,"🏆 WINNER",""))</f>
        <v/>
      </c>
      <c r="U3500" s="31" t="str">
        <f aca="false">IF(S3500="","",I3500&amp;"|"&amp;S3500)</f>
        <v/>
      </c>
    </row>
    <row r="3501" customFormat="false" ht="15" hidden="false" customHeight="false" outlineLevel="0" collapsed="false">
      <c r="A3501" s="24" t="n">
        <v>3497</v>
      </c>
      <c r="B3501" s="25" t="str">
        <f aca="false">IF(OR(C3501="",I3501="",G3501=""),"",IFERROR(VLOOKUP(I3501,Setup!$A$9:$B$11,2,0),"???")&amp;"-"&amp;G3501&amp;"-"&amp;TEXT(COUNTIFS(I$5:I3501,I3501,G$5:G3501,G3501),"0000"))</f>
        <v/>
      </c>
      <c r="C3501" s="26"/>
      <c r="D3501" s="26"/>
      <c r="E3501" s="27"/>
      <c r="F3501" s="27"/>
      <c r="G3501" s="24" t="str">
        <f aca="false">IF(F3501="","",IF(F3501&lt;=5,"A",IF(F3501&lt;=8,"B",IF(F3501&lt;=10,"C","D"))))</f>
        <v/>
      </c>
      <c r="H3501" s="28"/>
      <c r="I3501" s="27"/>
      <c r="J3501" s="26"/>
      <c r="K3501" s="27"/>
      <c r="L3501" s="27"/>
      <c r="M3501" s="27"/>
      <c r="N3501" s="27"/>
      <c r="O3501" s="24" t="str">
        <f aca="false">IF(G3501="","",VLOOKUP(G3501,Setup!$A$14:$C$17,3,0))</f>
        <v/>
      </c>
      <c r="P3501" s="27"/>
      <c r="Q3501" s="29" t="str">
        <f aca="false">IF(OR(P3501="",M3501&lt;&gt;"Paid",O3501=""),"",P3501/O3501)</f>
        <v/>
      </c>
      <c r="R3501" s="30" t="str">
        <f aca="false">IF(Q3501="","",Q3501+N(H3501)*0.000000001)</f>
        <v/>
      </c>
      <c r="S3501" s="25" t="str">
        <f aca="false">IF(R3501="","",SUMPRODUCT((I$5:I$4004=I3501)*ISNUMBER(R$5:R$4004)*(R$5:R$4004&gt;R3501))+1)</f>
        <v/>
      </c>
      <c r="T3501" s="25" t="str">
        <f aca="false">IF(S3501="","",IF(S3501&lt;=Setup!$B$5,"🏆 WINNER",""))</f>
        <v/>
      </c>
      <c r="U3501" s="24" t="str">
        <f aca="false">IF(S3501="","",I3501&amp;"|"&amp;S3501)</f>
        <v/>
      </c>
    </row>
    <row r="3502" customFormat="false" ht="15" hidden="false" customHeight="false" outlineLevel="0" collapsed="false">
      <c r="A3502" s="31" t="n">
        <v>3498</v>
      </c>
      <c r="B3502" s="32" t="str">
        <f aca="false">IF(OR(C3502="",I3502="",G3502=""),"",IFERROR(VLOOKUP(I3502,Setup!$A$9:$B$11,2,0),"???")&amp;"-"&amp;G3502&amp;"-"&amp;TEXT(COUNTIFS(I$5:I3502,I3502,G$5:G3502,G3502),"0000"))</f>
        <v/>
      </c>
      <c r="C3502" s="26"/>
      <c r="D3502" s="26"/>
      <c r="E3502" s="27"/>
      <c r="F3502" s="27"/>
      <c r="G3502" s="31" t="str">
        <f aca="false">IF(F3502="","",IF(F3502&lt;=5,"A",IF(F3502&lt;=8,"B",IF(F3502&lt;=10,"C","D"))))</f>
        <v/>
      </c>
      <c r="H3502" s="28"/>
      <c r="I3502" s="27"/>
      <c r="J3502" s="26"/>
      <c r="K3502" s="27"/>
      <c r="L3502" s="27"/>
      <c r="M3502" s="27"/>
      <c r="N3502" s="27"/>
      <c r="O3502" s="31" t="str">
        <f aca="false">IF(G3502="","",VLOOKUP(G3502,Setup!$A$14:$C$17,3,0))</f>
        <v/>
      </c>
      <c r="P3502" s="27"/>
      <c r="Q3502" s="33" t="str">
        <f aca="false">IF(OR(P3502="",M3502&lt;&gt;"Paid",O3502=""),"",P3502/O3502)</f>
        <v/>
      </c>
      <c r="R3502" s="34" t="str">
        <f aca="false">IF(Q3502="","",Q3502+N(H3502)*0.000000001)</f>
        <v/>
      </c>
      <c r="S3502" s="32" t="str">
        <f aca="false">IF(R3502="","",SUMPRODUCT((I$5:I$4004=I3502)*ISNUMBER(R$5:R$4004)*(R$5:R$4004&gt;R3502))+1)</f>
        <v/>
      </c>
      <c r="T3502" s="32" t="str">
        <f aca="false">IF(S3502="","",IF(S3502&lt;=Setup!$B$5,"🏆 WINNER",""))</f>
        <v/>
      </c>
      <c r="U3502" s="31" t="str">
        <f aca="false">IF(S3502="","",I3502&amp;"|"&amp;S3502)</f>
        <v/>
      </c>
    </row>
    <row r="3503" customFormat="false" ht="15" hidden="false" customHeight="false" outlineLevel="0" collapsed="false">
      <c r="A3503" s="24" t="n">
        <v>3499</v>
      </c>
      <c r="B3503" s="25" t="str">
        <f aca="false">IF(OR(C3503="",I3503="",G3503=""),"",IFERROR(VLOOKUP(I3503,Setup!$A$9:$B$11,2,0),"???")&amp;"-"&amp;G3503&amp;"-"&amp;TEXT(COUNTIFS(I$5:I3503,I3503,G$5:G3503,G3503),"0000"))</f>
        <v/>
      </c>
      <c r="C3503" s="26"/>
      <c r="D3503" s="26"/>
      <c r="E3503" s="27"/>
      <c r="F3503" s="27"/>
      <c r="G3503" s="24" t="str">
        <f aca="false">IF(F3503="","",IF(F3503&lt;=5,"A",IF(F3503&lt;=8,"B",IF(F3503&lt;=10,"C","D"))))</f>
        <v/>
      </c>
      <c r="H3503" s="28"/>
      <c r="I3503" s="27"/>
      <c r="J3503" s="26"/>
      <c r="K3503" s="27"/>
      <c r="L3503" s="27"/>
      <c r="M3503" s="27"/>
      <c r="N3503" s="27"/>
      <c r="O3503" s="24" t="str">
        <f aca="false">IF(G3503="","",VLOOKUP(G3503,Setup!$A$14:$C$17,3,0))</f>
        <v/>
      </c>
      <c r="P3503" s="27"/>
      <c r="Q3503" s="29" t="str">
        <f aca="false">IF(OR(P3503="",M3503&lt;&gt;"Paid",O3503=""),"",P3503/O3503)</f>
        <v/>
      </c>
      <c r="R3503" s="30" t="str">
        <f aca="false">IF(Q3503="","",Q3503+N(H3503)*0.000000001)</f>
        <v/>
      </c>
      <c r="S3503" s="25" t="str">
        <f aca="false">IF(R3503="","",SUMPRODUCT((I$5:I$4004=I3503)*ISNUMBER(R$5:R$4004)*(R$5:R$4004&gt;R3503))+1)</f>
        <v/>
      </c>
      <c r="T3503" s="25" t="str">
        <f aca="false">IF(S3503="","",IF(S3503&lt;=Setup!$B$5,"🏆 WINNER",""))</f>
        <v/>
      </c>
      <c r="U3503" s="24" t="str">
        <f aca="false">IF(S3503="","",I3503&amp;"|"&amp;S3503)</f>
        <v/>
      </c>
    </row>
    <row r="3504" customFormat="false" ht="15" hidden="false" customHeight="false" outlineLevel="0" collapsed="false">
      <c r="A3504" s="31" t="n">
        <v>3500</v>
      </c>
      <c r="B3504" s="32" t="str">
        <f aca="false">IF(OR(C3504="",I3504="",G3504=""),"",IFERROR(VLOOKUP(I3504,Setup!$A$9:$B$11,2,0),"???")&amp;"-"&amp;G3504&amp;"-"&amp;TEXT(COUNTIFS(I$5:I3504,I3504,G$5:G3504,G3504),"0000"))</f>
        <v/>
      </c>
      <c r="C3504" s="26"/>
      <c r="D3504" s="26"/>
      <c r="E3504" s="27"/>
      <c r="F3504" s="27"/>
      <c r="G3504" s="31" t="str">
        <f aca="false">IF(F3504="","",IF(F3504&lt;=5,"A",IF(F3504&lt;=8,"B",IF(F3504&lt;=10,"C","D"))))</f>
        <v/>
      </c>
      <c r="H3504" s="28"/>
      <c r="I3504" s="27"/>
      <c r="J3504" s="26"/>
      <c r="K3504" s="27"/>
      <c r="L3504" s="27"/>
      <c r="M3504" s="27"/>
      <c r="N3504" s="27"/>
      <c r="O3504" s="31" t="str">
        <f aca="false">IF(G3504="","",VLOOKUP(G3504,Setup!$A$14:$C$17,3,0))</f>
        <v/>
      </c>
      <c r="P3504" s="27"/>
      <c r="Q3504" s="33" t="str">
        <f aca="false">IF(OR(P3504="",M3504&lt;&gt;"Paid",O3504=""),"",P3504/O3504)</f>
        <v/>
      </c>
      <c r="R3504" s="34" t="str">
        <f aca="false">IF(Q3504="","",Q3504+N(H3504)*0.000000001)</f>
        <v/>
      </c>
      <c r="S3504" s="32" t="str">
        <f aca="false">IF(R3504="","",SUMPRODUCT((I$5:I$4004=I3504)*ISNUMBER(R$5:R$4004)*(R$5:R$4004&gt;R3504))+1)</f>
        <v/>
      </c>
      <c r="T3504" s="32" t="str">
        <f aca="false">IF(S3504="","",IF(S3504&lt;=Setup!$B$5,"🏆 WINNER",""))</f>
        <v/>
      </c>
      <c r="U3504" s="31" t="str">
        <f aca="false">IF(S3504="","",I3504&amp;"|"&amp;S3504)</f>
        <v/>
      </c>
    </row>
    <row r="3505" customFormat="false" ht="15" hidden="false" customHeight="false" outlineLevel="0" collapsed="false">
      <c r="A3505" s="24" t="n">
        <v>3501</v>
      </c>
      <c r="B3505" s="25" t="str">
        <f aca="false">IF(OR(C3505="",I3505="",G3505=""),"",IFERROR(VLOOKUP(I3505,Setup!$A$9:$B$11,2,0),"???")&amp;"-"&amp;G3505&amp;"-"&amp;TEXT(COUNTIFS(I$5:I3505,I3505,G$5:G3505,G3505),"0000"))</f>
        <v/>
      </c>
      <c r="C3505" s="26"/>
      <c r="D3505" s="26"/>
      <c r="E3505" s="27"/>
      <c r="F3505" s="27"/>
      <c r="G3505" s="24" t="str">
        <f aca="false">IF(F3505="","",IF(F3505&lt;=5,"A",IF(F3505&lt;=8,"B",IF(F3505&lt;=10,"C","D"))))</f>
        <v/>
      </c>
      <c r="H3505" s="28"/>
      <c r="I3505" s="27"/>
      <c r="J3505" s="26"/>
      <c r="K3505" s="27"/>
      <c r="L3505" s="27"/>
      <c r="M3505" s="27"/>
      <c r="N3505" s="27"/>
      <c r="O3505" s="24" t="str">
        <f aca="false">IF(G3505="","",VLOOKUP(G3505,Setup!$A$14:$C$17,3,0))</f>
        <v/>
      </c>
      <c r="P3505" s="27"/>
      <c r="Q3505" s="29" t="str">
        <f aca="false">IF(OR(P3505="",M3505&lt;&gt;"Paid",O3505=""),"",P3505/O3505)</f>
        <v/>
      </c>
      <c r="R3505" s="30" t="str">
        <f aca="false">IF(Q3505="","",Q3505+N(H3505)*0.000000001)</f>
        <v/>
      </c>
      <c r="S3505" s="25" t="str">
        <f aca="false">IF(R3505="","",SUMPRODUCT((I$5:I$4004=I3505)*ISNUMBER(R$5:R$4004)*(R$5:R$4004&gt;R3505))+1)</f>
        <v/>
      </c>
      <c r="T3505" s="25" t="str">
        <f aca="false">IF(S3505="","",IF(S3505&lt;=Setup!$B$5,"🏆 WINNER",""))</f>
        <v/>
      </c>
      <c r="U3505" s="24" t="str">
        <f aca="false">IF(S3505="","",I3505&amp;"|"&amp;S3505)</f>
        <v/>
      </c>
    </row>
    <row r="3506" customFormat="false" ht="15" hidden="false" customHeight="false" outlineLevel="0" collapsed="false">
      <c r="A3506" s="31" t="n">
        <v>3502</v>
      </c>
      <c r="B3506" s="32" t="str">
        <f aca="false">IF(OR(C3506="",I3506="",G3506=""),"",IFERROR(VLOOKUP(I3506,Setup!$A$9:$B$11,2,0),"???")&amp;"-"&amp;G3506&amp;"-"&amp;TEXT(COUNTIFS(I$5:I3506,I3506,G$5:G3506,G3506),"0000"))</f>
        <v/>
      </c>
      <c r="C3506" s="26"/>
      <c r="D3506" s="26"/>
      <c r="E3506" s="27"/>
      <c r="F3506" s="27"/>
      <c r="G3506" s="31" t="str">
        <f aca="false">IF(F3506="","",IF(F3506&lt;=5,"A",IF(F3506&lt;=8,"B",IF(F3506&lt;=10,"C","D"))))</f>
        <v/>
      </c>
      <c r="H3506" s="28"/>
      <c r="I3506" s="27"/>
      <c r="J3506" s="26"/>
      <c r="K3506" s="27"/>
      <c r="L3506" s="27"/>
      <c r="M3506" s="27"/>
      <c r="N3506" s="27"/>
      <c r="O3506" s="31" t="str">
        <f aca="false">IF(G3506="","",VLOOKUP(G3506,Setup!$A$14:$C$17,3,0))</f>
        <v/>
      </c>
      <c r="P3506" s="27"/>
      <c r="Q3506" s="33" t="str">
        <f aca="false">IF(OR(P3506="",M3506&lt;&gt;"Paid",O3506=""),"",P3506/O3506)</f>
        <v/>
      </c>
      <c r="R3506" s="34" t="str">
        <f aca="false">IF(Q3506="","",Q3506+N(H3506)*0.000000001)</f>
        <v/>
      </c>
      <c r="S3506" s="32" t="str">
        <f aca="false">IF(R3506="","",SUMPRODUCT((I$5:I$4004=I3506)*ISNUMBER(R$5:R$4004)*(R$5:R$4004&gt;R3506))+1)</f>
        <v/>
      </c>
      <c r="T3506" s="32" t="str">
        <f aca="false">IF(S3506="","",IF(S3506&lt;=Setup!$B$5,"🏆 WINNER",""))</f>
        <v/>
      </c>
      <c r="U3506" s="31" t="str">
        <f aca="false">IF(S3506="","",I3506&amp;"|"&amp;S3506)</f>
        <v/>
      </c>
    </row>
    <row r="3507" customFormat="false" ht="15" hidden="false" customHeight="false" outlineLevel="0" collapsed="false">
      <c r="A3507" s="24" t="n">
        <v>3503</v>
      </c>
      <c r="B3507" s="25" t="str">
        <f aca="false">IF(OR(C3507="",I3507="",G3507=""),"",IFERROR(VLOOKUP(I3507,Setup!$A$9:$B$11,2,0),"???")&amp;"-"&amp;G3507&amp;"-"&amp;TEXT(COUNTIFS(I$5:I3507,I3507,G$5:G3507,G3507),"0000"))</f>
        <v/>
      </c>
      <c r="C3507" s="26"/>
      <c r="D3507" s="26"/>
      <c r="E3507" s="27"/>
      <c r="F3507" s="27"/>
      <c r="G3507" s="24" t="str">
        <f aca="false">IF(F3507="","",IF(F3507&lt;=5,"A",IF(F3507&lt;=8,"B",IF(F3507&lt;=10,"C","D"))))</f>
        <v/>
      </c>
      <c r="H3507" s="28"/>
      <c r="I3507" s="27"/>
      <c r="J3507" s="26"/>
      <c r="K3507" s="27"/>
      <c r="L3507" s="27"/>
      <c r="M3507" s="27"/>
      <c r="N3507" s="27"/>
      <c r="O3507" s="24" t="str">
        <f aca="false">IF(G3507="","",VLOOKUP(G3507,Setup!$A$14:$C$17,3,0))</f>
        <v/>
      </c>
      <c r="P3507" s="27"/>
      <c r="Q3507" s="29" t="str">
        <f aca="false">IF(OR(P3507="",M3507&lt;&gt;"Paid",O3507=""),"",P3507/O3507)</f>
        <v/>
      </c>
      <c r="R3507" s="30" t="str">
        <f aca="false">IF(Q3507="","",Q3507+N(H3507)*0.000000001)</f>
        <v/>
      </c>
      <c r="S3507" s="25" t="str">
        <f aca="false">IF(R3507="","",SUMPRODUCT((I$5:I$4004=I3507)*ISNUMBER(R$5:R$4004)*(R$5:R$4004&gt;R3507))+1)</f>
        <v/>
      </c>
      <c r="T3507" s="25" t="str">
        <f aca="false">IF(S3507="","",IF(S3507&lt;=Setup!$B$5,"🏆 WINNER",""))</f>
        <v/>
      </c>
      <c r="U3507" s="24" t="str">
        <f aca="false">IF(S3507="","",I3507&amp;"|"&amp;S3507)</f>
        <v/>
      </c>
    </row>
    <row r="3508" customFormat="false" ht="15" hidden="false" customHeight="false" outlineLevel="0" collapsed="false">
      <c r="A3508" s="31" t="n">
        <v>3504</v>
      </c>
      <c r="B3508" s="32" t="str">
        <f aca="false">IF(OR(C3508="",I3508="",G3508=""),"",IFERROR(VLOOKUP(I3508,Setup!$A$9:$B$11,2,0),"???")&amp;"-"&amp;G3508&amp;"-"&amp;TEXT(COUNTIFS(I$5:I3508,I3508,G$5:G3508,G3508),"0000"))</f>
        <v/>
      </c>
      <c r="C3508" s="26"/>
      <c r="D3508" s="26"/>
      <c r="E3508" s="27"/>
      <c r="F3508" s="27"/>
      <c r="G3508" s="31" t="str">
        <f aca="false">IF(F3508="","",IF(F3508&lt;=5,"A",IF(F3508&lt;=8,"B",IF(F3508&lt;=10,"C","D"))))</f>
        <v/>
      </c>
      <c r="H3508" s="28"/>
      <c r="I3508" s="27"/>
      <c r="J3508" s="26"/>
      <c r="K3508" s="27"/>
      <c r="L3508" s="27"/>
      <c r="M3508" s="27"/>
      <c r="N3508" s="27"/>
      <c r="O3508" s="31" t="str">
        <f aca="false">IF(G3508="","",VLOOKUP(G3508,Setup!$A$14:$C$17,3,0))</f>
        <v/>
      </c>
      <c r="P3508" s="27"/>
      <c r="Q3508" s="33" t="str">
        <f aca="false">IF(OR(P3508="",M3508&lt;&gt;"Paid",O3508=""),"",P3508/O3508)</f>
        <v/>
      </c>
      <c r="R3508" s="34" t="str">
        <f aca="false">IF(Q3508="","",Q3508+N(H3508)*0.000000001)</f>
        <v/>
      </c>
      <c r="S3508" s="32" t="str">
        <f aca="false">IF(R3508="","",SUMPRODUCT((I$5:I$4004=I3508)*ISNUMBER(R$5:R$4004)*(R$5:R$4004&gt;R3508))+1)</f>
        <v/>
      </c>
      <c r="T3508" s="32" t="str">
        <f aca="false">IF(S3508="","",IF(S3508&lt;=Setup!$B$5,"🏆 WINNER",""))</f>
        <v/>
      </c>
      <c r="U3508" s="31" t="str">
        <f aca="false">IF(S3508="","",I3508&amp;"|"&amp;S3508)</f>
        <v/>
      </c>
    </row>
    <row r="3509" customFormat="false" ht="15" hidden="false" customHeight="false" outlineLevel="0" collapsed="false">
      <c r="A3509" s="24" t="n">
        <v>3505</v>
      </c>
      <c r="B3509" s="25" t="str">
        <f aca="false">IF(OR(C3509="",I3509="",G3509=""),"",IFERROR(VLOOKUP(I3509,Setup!$A$9:$B$11,2,0),"???")&amp;"-"&amp;G3509&amp;"-"&amp;TEXT(COUNTIFS(I$5:I3509,I3509,G$5:G3509,G3509),"0000"))</f>
        <v/>
      </c>
      <c r="C3509" s="26"/>
      <c r="D3509" s="26"/>
      <c r="E3509" s="27"/>
      <c r="F3509" s="27"/>
      <c r="G3509" s="24" t="str">
        <f aca="false">IF(F3509="","",IF(F3509&lt;=5,"A",IF(F3509&lt;=8,"B",IF(F3509&lt;=10,"C","D"))))</f>
        <v/>
      </c>
      <c r="H3509" s="28"/>
      <c r="I3509" s="27"/>
      <c r="J3509" s="26"/>
      <c r="K3509" s="27"/>
      <c r="L3509" s="27"/>
      <c r="M3509" s="27"/>
      <c r="N3509" s="27"/>
      <c r="O3509" s="24" t="str">
        <f aca="false">IF(G3509="","",VLOOKUP(G3509,Setup!$A$14:$C$17,3,0))</f>
        <v/>
      </c>
      <c r="P3509" s="27"/>
      <c r="Q3509" s="29" t="str">
        <f aca="false">IF(OR(P3509="",M3509&lt;&gt;"Paid",O3509=""),"",P3509/O3509)</f>
        <v/>
      </c>
      <c r="R3509" s="30" t="str">
        <f aca="false">IF(Q3509="","",Q3509+N(H3509)*0.000000001)</f>
        <v/>
      </c>
      <c r="S3509" s="25" t="str">
        <f aca="false">IF(R3509="","",SUMPRODUCT((I$5:I$4004=I3509)*ISNUMBER(R$5:R$4004)*(R$5:R$4004&gt;R3509))+1)</f>
        <v/>
      </c>
      <c r="T3509" s="25" t="str">
        <f aca="false">IF(S3509="","",IF(S3509&lt;=Setup!$B$5,"🏆 WINNER",""))</f>
        <v/>
      </c>
      <c r="U3509" s="24" t="str">
        <f aca="false">IF(S3509="","",I3509&amp;"|"&amp;S3509)</f>
        <v/>
      </c>
    </row>
    <row r="3510" customFormat="false" ht="15" hidden="false" customHeight="false" outlineLevel="0" collapsed="false">
      <c r="A3510" s="31" t="n">
        <v>3506</v>
      </c>
      <c r="B3510" s="32" t="str">
        <f aca="false">IF(OR(C3510="",I3510="",G3510=""),"",IFERROR(VLOOKUP(I3510,Setup!$A$9:$B$11,2,0),"???")&amp;"-"&amp;G3510&amp;"-"&amp;TEXT(COUNTIFS(I$5:I3510,I3510,G$5:G3510,G3510),"0000"))</f>
        <v/>
      </c>
      <c r="C3510" s="26"/>
      <c r="D3510" s="26"/>
      <c r="E3510" s="27"/>
      <c r="F3510" s="27"/>
      <c r="G3510" s="31" t="str">
        <f aca="false">IF(F3510="","",IF(F3510&lt;=5,"A",IF(F3510&lt;=8,"B",IF(F3510&lt;=10,"C","D"))))</f>
        <v/>
      </c>
      <c r="H3510" s="28"/>
      <c r="I3510" s="27"/>
      <c r="J3510" s="26"/>
      <c r="K3510" s="27"/>
      <c r="L3510" s="27"/>
      <c r="M3510" s="27"/>
      <c r="N3510" s="27"/>
      <c r="O3510" s="31" t="str">
        <f aca="false">IF(G3510="","",VLOOKUP(G3510,Setup!$A$14:$C$17,3,0))</f>
        <v/>
      </c>
      <c r="P3510" s="27"/>
      <c r="Q3510" s="33" t="str">
        <f aca="false">IF(OR(P3510="",M3510&lt;&gt;"Paid",O3510=""),"",P3510/O3510)</f>
        <v/>
      </c>
      <c r="R3510" s="34" t="str">
        <f aca="false">IF(Q3510="","",Q3510+N(H3510)*0.000000001)</f>
        <v/>
      </c>
      <c r="S3510" s="32" t="str">
        <f aca="false">IF(R3510="","",SUMPRODUCT((I$5:I$4004=I3510)*ISNUMBER(R$5:R$4004)*(R$5:R$4004&gt;R3510))+1)</f>
        <v/>
      </c>
      <c r="T3510" s="32" t="str">
        <f aca="false">IF(S3510="","",IF(S3510&lt;=Setup!$B$5,"🏆 WINNER",""))</f>
        <v/>
      </c>
      <c r="U3510" s="31" t="str">
        <f aca="false">IF(S3510="","",I3510&amp;"|"&amp;S3510)</f>
        <v/>
      </c>
    </row>
    <row r="3511" customFormat="false" ht="15" hidden="false" customHeight="false" outlineLevel="0" collapsed="false">
      <c r="A3511" s="24" t="n">
        <v>3507</v>
      </c>
      <c r="B3511" s="25" t="str">
        <f aca="false">IF(OR(C3511="",I3511="",G3511=""),"",IFERROR(VLOOKUP(I3511,Setup!$A$9:$B$11,2,0),"???")&amp;"-"&amp;G3511&amp;"-"&amp;TEXT(COUNTIFS(I$5:I3511,I3511,G$5:G3511,G3511),"0000"))</f>
        <v/>
      </c>
      <c r="C3511" s="26"/>
      <c r="D3511" s="26"/>
      <c r="E3511" s="27"/>
      <c r="F3511" s="27"/>
      <c r="G3511" s="24" t="str">
        <f aca="false">IF(F3511="","",IF(F3511&lt;=5,"A",IF(F3511&lt;=8,"B",IF(F3511&lt;=10,"C","D"))))</f>
        <v/>
      </c>
      <c r="H3511" s="28"/>
      <c r="I3511" s="27"/>
      <c r="J3511" s="26"/>
      <c r="K3511" s="27"/>
      <c r="L3511" s="27"/>
      <c r="M3511" s="27"/>
      <c r="N3511" s="27"/>
      <c r="O3511" s="24" t="str">
        <f aca="false">IF(G3511="","",VLOOKUP(G3511,Setup!$A$14:$C$17,3,0))</f>
        <v/>
      </c>
      <c r="P3511" s="27"/>
      <c r="Q3511" s="29" t="str">
        <f aca="false">IF(OR(P3511="",M3511&lt;&gt;"Paid",O3511=""),"",P3511/O3511)</f>
        <v/>
      </c>
      <c r="R3511" s="30" t="str">
        <f aca="false">IF(Q3511="","",Q3511+N(H3511)*0.000000001)</f>
        <v/>
      </c>
      <c r="S3511" s="25" t="str">
        <f aca="false">IF(R3511="","",SUMPRODUCT((I$5:I$4004=I3511)*ISNUMBER(R$5:R$4004)*(R$5:R$4004&gt;R3511))+1)</f>
        <v/>
      </c>
      <c r="T3511" s="25" t="str">
        <f aca="false">IF(S3511="","",IF(S3511&lt;=Setup!$B$5,"🏆 WINNER",""))</f>
        <v/>
      </c>
      <c r="U3511" s="24" t="str">
        <f aca="false">IF(S3511="","",I3511&amp;"|"&amp;S3511)</f>
        <v/>
      </c>
    </row>
    <row r="3512" customFormat="false" ht="15" hidden="false" customHeight="false" outlineLevel="0" collapsed="false">
      <c r="A3512" s="31" t="n">
        <v>3508</v>
      </c>
      <c r="B3512" s="32" t="str">
        <f aca="false">IF(OR(C3512="",I3512="",G3512=""),"",IFERROR(VLOOKUP(I3512,Setup!$A$9:$B$11,2,0),"???")&amp;"-"&amp;G3512&amp;"-"&amp;TEXT(COUNTIFS(I$5:I3512,I3512,G$5:G3512,G3512),"0000"))</f>
        <v/>
      </c>
      <c r="C3512" s="26"/>
      <c r="D3512" s="26"/>
      <c r="E3512" s="27"/>
      <c r="F3512" s="27"/>
      <c r="G3512" s="31" t="str">
        <f aca="false">IF(F3512="","",IF(F3512&lt;=5,"A",IF(F3512&lt;=8,"B",IF(F3512&lt;=10,"C","D"))))</f>
        <v/>
      </c>
      <c r="H3512" s="28"/>
      <c r="I3512" s="27"/>
      <c r="J3512" s="26"/>
      <c r="K3512" s="27"/>
      <c r="L3512" s="27"/>
      <c r="M3512" s="27"/>
      <c r="N3512" s="27"/>
      <c r="O3512" s="31" t="str">
        <f aca="false">IF(G3512="","",VLOOKUP(G3512,Setup!$A$14:$C$17,3,0))</f>
        <v/>
      </c>
      <c r="P3512" s="27"/>
      <c r="Q3512" s="33" t="str">
        <f aca="false">IF(OR(P3512="",M3512&lt;&gt;"Paid",O3512=""),"",P3512/O3512)</f>
        <v/>
      </c>
      <c r="R3512" s="34" t="str">
        <f aca="false">IF(Q3512="","",Q3512+N(H3512)*0.000000001)</f>
        <v/>
      </c>
      <c r="S3512" s="32" t="str">
        <f aca="false">IF(R3512="","",SUMPRODUCT((I$5:I$4004=I3512)*ISNUMBER(R$5:R$4004)*(R$5:R$4004&gt;R3512))+1)</f>
        <v/>
      </c>
      <c r="T3512" s="32" t="str">
        <f aca="false">IF(S3512="","",IF(S3512&lt;=Setup!$B$5,"🏆 WINNER",""))</f>
        <v/>
      </c>
      <c r="U3512" s="31" t="str">
        <f aca="false">IF(S3512="","",I3512&amp;"|"&amp;S3512)</f>
        <v/>
      </c>
    </row>
    <row r="3513" customFormat="false" ht="15" hidden="false" customHeight="false" outlineLevel="0" collapsed="false">
      <c r="A3513" s="24" t="n">
        <v>3509</v>
      </c>
      <c r="B3513" s="25" t="str">
        <f aca="false">IF(OR(C3513="",I3513="",G3513=""),"",IFERROR(VLOOKUP(I3513,Setup!$A$9:$B$11,2,0),"???")&amp;"-"&amp;G3513&amp;"-"&amp;TEXT(COUNTIFS(I$5:I3513,I3513,G$5:G3513,G3513),"0000"))</f>
        <v/>
      </c>
      <c r="C3513" s="26"/>
      <c r="D3513" s="26"/>
      <c r="E3513" s="27"/>
      <c r="F3513" s="27"/>
      <c r="G3513" s="24" t="str">
        <f aca="false">IF(F3513="","",IF(F3513&lt;=5,"A",IF(F3513&lt;=8,"B",IF(F3513&lt;=10,"C","D"))))</f>
        <v/>
      </c>
      <c r="H3513" s="28"/>
      <c r="I3513" s="27"/>
      <c r="J3513" s="26"/>
      <c r="K3513" s="27"/>
      <c r="L3513" s="27"/>
      <c r="M3513" s="27"/>
      <c r="N3513" s="27"/>
      <c r="O3513" s="24" t="str">
        <f aca="false">IF(G3513="","",VLOOKUP(G3513,Setup!$A$14:$C$17,3,0))</f>
        <v/>
      </c>
      <c r="P3513" s="27"/>
      <c r="Q3513" s="29" t="str">
        <f aca="false">IF(OR(P3513="",M3513&lt;&gt;"Paid",O3513=""),"",P3513/O3513)</f>
        <v/>
      </c>
      <c r="R3513" s="30" t="str">
        <f aca="false">IF(Q3513="","",Q3513+N(H3513)*0.000000001)</f>
        <v/>
      </c>
      <c r="S3513" s="25" t="str">
        <f aca="false">IF(R3513="","",SUMPRODUCT((I$5:I$4004=I3513)*ISNUMBER(R$5:R$4004)*(R$5:R$4004&gt;R3513))+1)</f>
        <v/>
      </c>
      <c r="T3513" s="25" t="str">
        <f aca="false">IF(S3513="","",IF(S3513&lt;=Setup!$B$5,"🏆 WINNER",""))</f>
        <v/>
      </c>
      <c r="U3513" s="24" t="str">
        <f aca="false">IF(S3513="","",I3513&amp;"|"&amp;S3513)</f>
        <v/>
      </c>
    </row>
    <row r="3514" customFormat="false" ht="15" hidden="false" customHeight="false" outlineLevel="0" collapsed="false">
      <c r="A3514" s="31" t="n">
        <v>3510</v>
      </c>
      <c r="B3514" s="32" t="str">
        <f aca="false">IF(OR(C3514="",I3514="",G3514=""),"",IFERROR(VLOOKUP(I3514,Setup!$A$9:$B$11,2,0),"???")&amp;"-"&amp;G3514&amp;"-"&amp;TEXT(COUNTIFS(I$5:I3514,I3514,G$5:G3514,G3514),"0000"))</f>
        <v/>
      </c>
      <c r="C3514" s="26"/>
      <c r="D3514" s="26"/>
      <c r="E3514" s="27"/>
      <c r="F3514" s="27"/>
      <c r="G3514" s="31" t="str">
        <f aca="false">IF(F3514="","",IF(F3514&lt;=5,"A",IF(F3514&lt;=8,"B",IF(F3514&lt;=10,"C","D"))))</f>
        <v/>
      </c>
      <c r="H3514" s="28"/>
      <c r="I3514" s="27"/>
      <c r="J3514" s="26"/>
      <c r="K3514" s="27"/>
      <c r="L3514" s="27"/>
      <c r="M3514" s="27"/>
      <c r="N3514" s="27"/>
      <c r="O3514" s="31" t="str">
        <f aca="false">IF(G3514="","",VLOOKUP(G3514,Setup!$A$14:$C$17,3,0))</f>
        <v/>
      </c>
      <c r="P3514" s="27"/>
      <c r="Q3514" s="33" t="str">
        <f aca="false">IF(OR(P3514="",M3514&lt;&gt;"Paid",O3514=""),"",P3514/O3514)</f>
        <v/>
      </c>
      <c r="R3514" s="34" t="str">
        <f aca="false">IF(Q3514="","",Q3514+N(H3514)*0.000000001)</f>
        <v/>
      </c>
      <c r="S3514" s="32" t="str">
        <f aca="false">IF(R3514="","",SUMPRODUCT((I$5:I$4004=I3514)*ISNUMBER(R$5:R$4004)*(R$5:R$4004&gt;R3514))+1)</f>
        <v/>
      </c>
      <c r="T3514" s="32" t="str">
        <f aca="false">IF(S3514="","",IF(S3514&lt;=Setup!$B$5,"🏆 WINNER",""))</f>
        <v/>
      </c>
      <c r="U3514" s="31" t="str">
        <f aca="false">IF(S3514="","",I3514&amp;"|"&amp;S3514)</f>
        <v/>
      </c>
    </row>
    <row r="3515" customFormat="false" ht="15" hidden="false" customHeight="false" outlineLevel="0" collapsed="false">
      <c r="A3515" s="24" t="n">
        <v>3511</v>
      </c>
      <c r="B3515" s="25" t="str">
        <f aca="false">IF(OR(C3515="",I3515="",G3515=""),"",IFERROR(VLOOKUP(I3515,Setup!$A$9:$B$11,2,0),"???")&amp;"-"&amp;G3515&amp;"-"&amp;TEXT(COUNTIFS(I$5:I3515,I3515,G$5:G3515,G3515),"0000"))</f>
        <v/>
      </c>
      <c r="C3515" s="26"/>
      <c r="D3515" s="26"/>
      <c r="E3515" s="27"/>
      <c r="F3515" s="27"/>
      <c r="G3515" s="24" t="str">
        <f aca="false">IF(F3515="","",IF(F3515&lt;=5,"A",IF(F3515&lt;=8,"B",IF(F3515&lt;=10,"C","D"))))</f>
        <v/>
      </c>
      <c r="H3515" s="28"/>
      <c r="I3515" s="27"/>
      <c r="J3515" s="26"/>
      <c r="K3515" s="27"/>
      <c r="L3515" s="27"/>
      <c r="M3515" s="27"/>
      <c r="N3515" s="27"/>
      <c r="O3515" s="24" t="str">
        <f aca="false">IF(G3515="","",VLOOKUP(G3515,Setup!$A$14:$C$17,3,0))</f>
        <v/>
      </c>
      <c r="P3515" s="27"/>
      <c r="Q3515" s="29" t="str">
        <f aca="false">IF(OR(P3515="",M3515&lt;&gt;"Paid",O3515=""),"",P3515/O3515)</f>
        <v/>
      </c>
      <c r="R3515" s="30" t="str">
        <f aca="false">IF(Q3515="","",Q3515+N(H3515)*0.000000001)</f>
        <v/>
      </c>
      <c r="S3515" s="25" t="str">
        <f aca="false">IF(R3515="","",SUMPRODUCT((I$5:I$4004=I3515)*ISNUMBER(R$5:R$4004)*(R$5:R$4004&gt;R3515))+1)</f>
        <v/>
      </c>
      <c r="T3515" s="25" t="str">
        <f aca="false">IF(S3515="","",IF(S3515&lt;=Setup!$B$5,"🏆 WINNER",""))</f>
        <v/>
      </c>
      <c r="U3515" s="24" t="str">
        <f aca="false">IF(S3515="","",I3515&amp;"|"&amp;S3515)</f>
        <v/>
      </c>
    </row>
    <row r="3516" customFormat="false" ht="15" hidden="false" customHeight="false" outlineLevel="0" collapsed="false">
      <c r="A3516" s="31" t="n">
        <v>3512</v>
      </c>
      <c r="B3516" s="32" t="str">
        <f aca="false">IF(OR(C3516="",I3516="",G3516=""),"",IFERROR(VLOOKUP(I3516,Setup!$A$9:$B$11,2,0),"???")&amp;"-"&amp;G3516&amp;"-"&amp;TEXT(COUNTIFS(I$5:I3516,I3516,G$5:G3516,G3516),"0000"))</f>
        <v/>
      </c>
      <c r="C3516" s="26"/>
      <c r="D3516" s="26"/>
      <c r="E3516" s="27"/>
      <c r="F3516" s="27"/>
      <c r="G3516" s="31" t="str">
        <f aca="false">IF(F3516="","",IF(F3516&lt;=5,"A",IF(F3516&lt;=8,"B",IF(F3516&lt;=10,"C","D"))))</f>
        <v/>
      </c>
      <c r="H3516" s="28"/>
      <c r="I3516" s="27"/>
      <c r="J3516" s="26"/>
      <c r="K3516" s="27"/>
      <c r="L3516" s="27"/>
      <c r="M3516" s="27"/>
      <c r="N3516" s="27"/>
      <c r="O3516" s="31" t="str">
        <f aca="false">IF(G3516="","",VLOOKUP(G3516,Setup!$A$14:$C$17,3,0))</f>
        <v/>
      </c>
      <c r="P3516" s="27"/>
      <c r="Q3516" s="33" t="str">
        <f aca="false">IF(OR(P3516="",M3516&lt;&gt;"Paid",O3516=""),"",P3516/O3516)</f>
        <v/>
      </c>
      <c r="R3516" s="34" t="str">
        <f aca="false">IF(Q3516="","",Q3516+N(H3516)*0.000000001)</f>
        <v/>
      </c>
      <c r="S3516" s="32" t="str">
        <f aca="false">IF(R3516="","",SUMPRODUCT((I$5:I$4004=I3516)*ISNUMBER(R$5:R$4004)*(R$5:R$4004&gt;R3516))+1)</f>
        <v/>
      </c>
      <c r="T3516" s="32" t="str">
        <f aca="false">IF(S3516="","",IF(S3516&lt;=Setup!$B$5,"🏆 WINNER",""))</f>
        <v/>
      </c>
      <c r="U3516" s="31" t="str">
        <f aca="false">IF(S3516="","",I3516&amp;"|"&amp;S3516)</f>
        <v/>
      </c>
    </row>
    <row r="3517" customFormat="false" ht="15" hidden="false" customHeight="false" outlineLevel="0" collapsed="false">
      <c r="A3517" s="24" t="n">
        <v>3513</v>
      </c>
      <c r="B3517" s="25" t="str">
        <f aca="false">IF(OR(C3517="",I3517="",G3517=""),"",IFERROR(VLOOKUP(I3517,Setup!$A$9:$B$11,2,0),"???")&amp;"-"&amp;G3517&amp;"-"&amp;TEXT(COUNTIFS(I$5:I3517,I3517,G$5:G3517,G3517),"0000"))</f>
        <v/>
      </c>
      <c r="C3517" s="26"/>
      <c r="D3517" s="26"/>
      <c r="E3517" s="27"/>
      <c r="F3517" s="27"/>
      <c r="G3517" s="24" t="str">
        <f aca="false">IF(F3517="","",IF(F3517&lt;=5,"A",IF(F3517&lt;=8,"B",IF(F3517&lt;=10,"C","D"))))</f>
        <v/>
      </c>
      <c r="H3517" s="28"/>
      <c r="I3517" s="27"/>
      <c r="J3517" s="26"/>
      <c r="K3517" s="27"/>
      <c r="L3517" s="27"/>
      <c r="M3517" s="27"/>
      <c r="N3517" s="27"/>
      <c r="O3517" s="24" t="str">
        <f aca="false">IF(G3517="","",VLOOKUP(G3517,Setup!$A$14:$C$17,3,0))</f>
        <v/>
      </c>
      <c r="P3517" s="27"/>
      <c r="Q3517" s="29" t="str">
        <f aca="false">IF(OR(P3517="",M3517&lt;&gt;"Paid",O3517=""),"",P3517/O3517)</f>
        <v/>
      </c>
      <c r="R3517" s="30" t="str">
        <f aca="false">IF(Q3517="","",Q3517+N(H3517)*0.000000001)</f>
        <v/>
      </c>
      <c r="S3517" s="25" t="str">
        <f aca="false">IF(R3517="","",SUMPRODUCT((I$5:I$4004=I3517)*ISNUMBER(R$5:R$4004)*(R$5:R$4004&gt;R3517))+1)</f>
        <v/>
      </c>
      <c r="T3517" s="25" t="str">
        <f aca="false">IF(S3517="","",IF(S3517&lt;=Setup!$B$5,"🏆 WINNER",""))</f>
        <v/>
      </c>
      <c r="U3517" s="24" t="str">
        <f aca="false">IF(S3517="","",I3517&amp;"|"&amp;S3517)</f>
        <v/>
      </c>
    </row>
    <row r="3518" customFormat="false" ht="15" hidden="false" customHeight="false" outlineLevel="0" collapsed="false">
      <c r="A3518" s="31" t="n">
        <v>3514</v>
      </c>
      <c r="B3518" s="32" t="str">
        <f aca="false">IF(OR(C3518="",I3518="",G3518=""),"",IFERROR(VLOOKUP(I3518,Setup!$A$9:$B$11,2,0),"???")&amp;"-"&amp;G3518&amp;"-"&amp;TEXT(COUNTIFS(I$5:I3518,I3518,G$5:G3518,G3518),"0000"))</f>
        <v/>
      </c>
      <c r="C3518" s="26"/>
      <c r="D3518" s="26"/>
      <c r="E3518" s="27"/>
      <c r="F3518" s="27"/>
      <c r="G3518" s="31" t="str">
        <f aca="false">IF(F3518="","",IF(F3518&lt;=5,"A",IF(F3518&lt;=8,"B",IF(F3518&lt;=10,"C","D"))))</f>
        <v/>
      </c>
      <c r="H3518" s="28"/>
      <c r="I3518" s="27"/>
      <c r="J3518" s="26"/>
      <c r="K3518" s="27"/>
      <c r="L3518" s="27"/>
      <c r="M3518" s="27"/>
      <c r="N3518" s="27"/>
      <c r="O3518" s="31" t="str">
        <f aca="false">IF(G3518="","",VLOOKUP(G3518,Setup!$A$14:$C$17,3,0))</f>
        <v/>
      </c>
      <c r="P3518" s="27"/>
      <c r="Q3518" s="33" t="str">
        <f aca="false">IF(OR(P3518="",M3518&lt;&gt;"Paid",O3518=""),"",P3518/O3518)</f>
        <v/>
      </c>
      <c r="R3518" s="34" t="str">
        <f aca="false">IF(Q3518="","",Q3518+N(H3518)*0.000000001)</f>
        <v/>
      </c>
      <c r="S3518" s="32" t="str">
        <f aca="false">IF(R3518="","",SUMPRODUCT((I$5:I$4004=I3518)*ISNUMBER(R$5:R$4004)*(R$5:R$4004&gt;R3518))+1)</f>
        <v/>
      </c>
      <c r="T3518" s="32" t="str">
        <f aca="false">IF(S3518="","",IF(S3518&lt;=Setup!$B$5,"🏆 WINNER",""))</f>
        <v/>
      </c>
      <c r="U3518" s="31" t="str">
        <f aca="false">IF(S3518="","",I3518&amp;"|"&amp;S3518)</f>
        <v/>
      </c>
    </row>
    <row r="3519" customFormat="false" ht="15" hidden="false" customHeight="false" outlineLevel="0" collapsed="false">
      <c r="A3519" s="24" t="n">
        <v>3515</v>
      </c>
      <c r="B3519" s="25" t="str">
        <f aca="false">IF(OR(C3519="",I3519="",G3519=""),"",IFERROR(VLOOKUP(I3519,Setup!$A$9:$B$11,2,0),"???")&amp;"-"&amp;G3519&amp;"-"&amp;TEXT(COUNTIFS(I$5:I3519,I3519,G$5:G3519,G3519),"0000"))</f>
        <v/>
      </c>
      <c r="C3519" s="26"/>
      <c r="D3519" s="26"/>
      <c r="E3519" s="27"/>
      <c r="F3519" s="27"/>
      <c r="G3519" s="24" t="str">
        <f aca="false">IF(F3519="","",IF(F3519&lt;=5,"A",IF(F3519&lt;=8,"B",IF(F3519&lt;=10,"C","D"))))</f>
        <v/>
      </c>
      <c r="H3519" s="28"/>
      <c r="I3519" s="27"/>
      <c r="J3519" s="26"/>
      <c r="K3519" s="27"/>
      <c r="L3519" s="27"/>
      <c r="M3519" s="27"/>
      <c r="N3519" s="27"/>
      <c r="O3519" s="24" t="str">
        <f aca="false">IF(G3519="","",VLOOKUP(G3519,Setup!$A$14:$C$17,3,0))</f>
        <v/>
      </c>
      <c r="P3519" s="27"/>
      <c r="Q3519" s="29" t="str">
        <f aca="false">IF(OR(P3519="",M3519&lt;&gt;"Paid",O3519=""),"",P3519/O3519)</f>
        <v/>
      </c>
      <c r="R3519" s="30" t="str">
        <f aca="false">IF(Q3519="","",Q3519+N(H3519)*0.000000001)</f>
        <v/>
      </c>
      <c r="S3519" s="25" t="str">
        <f aca="false">IF(R3519="","",SUMPRODUCT((I$5:I$4004=I3519)*ISNUMBER(R$5:R$4004)*(R$5:R$4004&gt;R3519))+1)</f>
        <v/>
      </c>
      <c r="T3519" s="25" t="str">
        <f aca="false">IF(S3519="","",IF(S3519&lt;=Setup!$B$5,"🏆 WINNER",""))</f>
        <v/>
      </c>
      <c r="U3519" s="24" t="str">
        <f aca="false">IF(S3519="","",I3519&amp;"|"&amp;S3519)</f>
        <v/>
      </c>
    </row>
    <row r="3520" customFormat="false" ht="15" hidden="false" customHeight="false" outlineLevel="0" collapsed="false">
      <c r="A3520" s="31" t="n">
        <v>3516</v>
      </c>
      <c r="B3520" s="32" t="str">
        <f aca="false">IF(OR(C3520="",I3520="",G3520=""),"",IFERROR(VLOOKUP(I3520,Setup!$A$9:$B$11,2,0),"???")&amp;"-"&amp;G3520&amp;"-"&amp;TEXT(COUNTIFS(I$5:I3520,I3520,G$5:G3520,G3520),"0000"))</f>
        <v/>
      </c>
      <c r="C3520" s="26"/>
      <c r="D3520" s="26"/>
      <c r="E3520" s="27"/>
      <c r="F3520" s="27"/>
      <c r="G3520" s="31" t="str">
        <f aca="false">IF(F3520="","",IF(F3520&lt;=5,"A",IF(F3520&lt;=8,"B",IF(F3520&lt;=10,"C","D"))))</f>
        <v/>
      </c>
      <c r="H3520" s="28"/>
      <c r="I3520" s="27"/>
      <c r="J3520" s="26"/>
      <c r="K3520" s="27"/>
      <c r="L3520" s="27"/>
      <c r="M3520" s="27"/>
      <c r="N3520" s="27"/>
      <c r="O3520" s="31" t="str">
        <f aca="false">IF(G3520="","",VLOOKUP(G3520,Setup!$A$14:$C$17,3,0))</f>
        <v/>
      </c>
      <c r="P3520" s="27"/>
      <c r="Q3520" s="33" t="str">
        <f aca="false">IF(OR(P3520="",M3520&lt;&gt;"Paid",O3520=""),"",P3520/O3520)</f>
        <v/>
      </c>
      <c r="R3520" s="34" t="str">
        <f aca="false">IF(Q3520="","",Q3520+N(H3520)*0.000000001)</f>
        <v/>
      </c>
      <c r="S3520" s="32" t="str">
        <f aca="false">IF(R3520="","",SUMPRODUCT((I$5:I$4004=I3520)*ISNUMBER(R$5:R$4004)*(R$5:R$4004&gt;R3520))+1)</f>
        <v/>
      </c>
      <c r="T3520" s="32" t="str">
        <f aca="false">IF(S3520="","",IF(S3520&lt;=Setup!$B$5,"🏆 WINNER",""))</f>
        <v/>
      </c>
      <c r="U3520" s="31" t="str">
        <f aca="false">IF(S3520="","",I3520&amp;"|"&amp;S3520)</f>
        <v/>
      </c>
    </row>
    <row r="3521" customFormat="false" ht="15" hidden="false" customHeight="false" outlineLevel="0" collapsed="false">
      <c r="A3521" s="24" t="n">
        <v>3517</v>
      </c>
      <c r="B3521" s="25" t="str">
        <f aca="false">IF(OR(C3521="",I3521="",G3521=""),"",IFERROR(VLOOKUP(I3521,Setup!$A$9:$B$11,2,0),"???")&amp;"-"&amp;G3521&amp;"-"&amp;TEXT(COUNTIFS(I$5:I3521,I3521,G$5:G3521,G3521),"0000"))</f>
        <v/>
      </c>
      <c r="C3521" s="26"/>
      <c r="D3521" s="26"/>
      <c r="E3521" s="27"/>
      <c r="F3521" s="27"/>
      <c r="G3521" s="24" t="str">
        <f aca="false">IF(F3521="","",IF(F3521&lt;=5,"A",IF(F3521&lt;=8,"B",IF(F3521&lt;=10,"C","D"))))</f>
        <v/>
      </c>
      <c r="H3521" s="28"/>
      <c r="I3521" s="27"/>
      <c r="J3521" s="26"/>
      <c r="K3521" s="27"/>
      <c r="L3521" s="27"/>
      <c r="M3521" s="27"/>
      <c r="N3521" s="27"/>
      <c r="O3521" s="24" t="str">
        <f aca="false">IF(G3521="","",VLOOKUP(G3521,Setup!$A$14:$C$17,3,0))</f>
        <v/>
      </c>
      <c r="P3521" s="27"/>
      <c r="Q3521" s="29" t="str">
        <f aca="false">IF(OR(P3521="",M3521&lt;&gt;"Paid",O3521=""),"",P3521/O3521)</f>
        <v/>
      </c>
      <c r="R3521" s="30" t="str">
        <f aca="false">IF(Q3521="","",Q3521+N(H3521)*0.000000001)</f>
        <v/>
      </c>
      <c r="S3521" s="25" t="str">
        <f aca="false">IF(R3521="","",SUMPRODUCT((I$5:I$4004=I3521)*ISNUMBER(R$5:R$4004)*(R$5:R$4004&gt;R3521))+1)</f>
        <v/>
      </c>
      <c r="T3521" s="25" t="str">
        <f aca="false">IF(S3521="","",IF(S3521&lt;=Setup!$B$5,"🏆 WINNER",""))</f>
        <v/>
      </c>
      <c r="U3521" s="24" t="str">
        <f aca="false">IF(S3521="","",I3521&amp;"|"&amp;S3521)</f>
        <v/>
      </c>
    </row>
    <row r="3522" customFormat="false" ht="15" hidden="false" customHeight="false" outlineLevel="0" collapsed="false">
      <c r="A3522" s="31" t="n">
        <v>3518</v>
      </c>
      <c r="B3522" s="32" t="str">
        <f aca="false">IF(OR(C3522="",I3522="",G3522=""),"",IFERROR(VLOOKUP(I3522,Setup!$A$9:$B$11,2,0),"???")&amp;"-"&amp;G3522&amp;"-"&amp;TEXT(COUNTIFS(I$5:I3522,I3522,G$5:G3522,G3522),"0000"))</f>
        <v/>
      </c>
      <c r="C3522" s="26"/>
      <c r="D3522" s="26"/>
      <c r="E3522" s="27"/>
      <c r="F3522" s="27"/>
      <c r="G3522" s="31" t="str">
        <f aca="false">IF(F3522="","",IF(F3522&lt;=5,"A",IF(F3522&lt;=8,"B",IF(F3522&lt;=10,"C","D"))))</f>
        <v/>
      </c>
      <c r="H3522" s="28"/>
      <c r="I3522" s="27"/>
      <c r="J3522" s="26"/>
      <c r="K3522" s="27"/>
      <c r="L3522" s="27"/>
      <c r="M3522" s="27"/>
      <c r="N3522" s="27"/>
      <c r="O3522" s="31" t="str">
        <f aca="false">IF(G3522="","",VLOOKUP(G3522,Setup!$A$14:$C$17,3,0))</f>
        <v/>
      </c>
      <c r="P3522" s="27"/>
      <c r="Q3522" s="33" t="str">
        <f aca="false">IF(OR(P3522="",M3522&lt;&gt;"Paid",O3522=""),"",P3522/O3522)</f>
        <v/>
      </c>
      <c r="R3522" s="34" t="str">
        <f aca="false">IF(Q3522="","",Q3522+N(H3522)*0.000000001)</f>
        <v/>
      </c>
      <c r="S3522" s="32" t="str">
        <f aca="false">IF(R3522="","",SUMPRODUCT((I$5:I$4004=I3522)*ISNUMBER(R$5:R$4004)*(R$5:R$4004&gt;R3522))+1)</f>
        <v/>
      </c>
      <c r="T3522" s="32" t="str">
        <f aca="false">IF(S3522="","",IF(S3522&lt;=Setup!$B$5,"🏆 WINNER",""))</f>
        <v/>
      </c>
      <c r="U3522" s="31" t="str">
        <f aca="false">IF(S3522="","",I3522&amp;"|"&amp;S3522)</f>
        <v/>
      </c>
    </row>
    <row r="3523" customFormat="false" ht="15" hidden="false" customHeight="false" outlineLevel="0" collapsed="false">
      <c r="A3523" s="24" t="n">
        <v>3519</v>
      </c>
      <c r="B3523" s="25" t="str">
        <f aca="false">IF(OR(C3523="",I3523="",G3523=""),"",IFERROR(VLOOKUP(I3523,Setup!$A$9:$B$11,2,0),"???")&amp;"-"&amp;G3523&amp;"-"&amp;TEXT(COUNTIFS(I$5:I3523,I3523,G$5:G3523,G3523),"0000"))</f>
        <v/>
      </c>
      <c r="C3523" s="26"/>
      <c r="D3523" s="26"/>
      <c r="E3523" s="27"/>
      <c r="F3523" s="27"/>
      <c r="G3523" s="24" t="str">
        <f aca="false">IF(F3523="","",IF(F3523&lt;=5,"A",IF(F3523&lt;=8,"B",IF(F3523&lt;=10,"C","D"))))</f>
        <v/>
      </c>
      <c r="H3523" s="28"/>
      <c r="I3523" s="27"/>
      <c r="J3523" s="26"/>
      <c r="K3523" s="27"/>
      <c r="L3523" s="27"/>
      <c r="M3523" s="27"/>
      <c r="N3523" s="27"/>
      <c r="O3523" s="24" t="str">
        <f aca="false">IF(G3523="","",VLOOKUP(G3523,Setup!$A$14:$C$17,3,0))</f>
        <v/>
      </c>
      <c r="P3523" s="27"/>
      <c r="Q3523" s="29" t="str">
        <f aca="false">IF(OR(P3523="",M3523&lt;&gt;"Paid",O3523=""),"",P3523/O3523)</f>
        <v/>
      </c>
      <c r="R3523" s="30" t="str">
        <f aca="false">IF(Q3523="","",Q3523+N(H3523)*0.000000001)</f>
        <v/>
      </c>
      <c r="S3523" s="25" t="str">
        <f aca="false">IF(R3523="","",SUMPRODUCT((I$5:I$4004=I3523)*ISNUMBER(R$5:R$4004)*(R$5:R$4004&gt;R3523))+1)</f>
        <v/>
      </c>
      <c r="T3523" s="25" t="str">
        <f aca="false">IF(S3523="","",IF(S3523&lt;=Setup!$B$5,"🏆 WINNER",""))</f>
        <v/>
      </c>
      <c r="U3523" s="24" t="str">
        <f aca="false">IF(S3523="","",I3523&amp;"|"&amp;S3523)</f>
        <v/>
      </c>
    </row>
    <row r="3524" customFormat="false" ht="15" hidden="false" customHeight="false" outlineLevel="0" collapsed="false">
      <c r="A3524" s="31" t="n">
        <v>3520</v>
      </c>
      <c r="B3524" s="32" t="str">
        <f aca="false">IF(OR(C3524="",I3524="",G3524=""),"",IFERROR(VLOOKUP(I3524,Setup!$A$9:$B$11,2,0),"???")&amp;"-"&amp;G3524&amp;"-"&amp;TEXT(COUNTIFS(I$5:I3524,I3524,G$5:G3524,G3524),"0000"))</f>
        <v/>
      </c>
      <c r="C3524" s="26"/>
      <c r="D3524" s="26"/>
      <c r="E3524" s="27"/>
      <c r="F3524" s="27"/>
      <c r="G3524" s="31" t="str">
        <f aca="false">IF(F3524="","",IF(F3524&lt;=5,"A",IF(F3524&lt;=8,"B",IF(F3524&lt;=10,"C","D"))))</f>
        <v/>
      </c>
      <c r="H3524" s="28"/>
      <c r="I3524" s="27"/>
      <c r="J3524" s="26"/>
      <c r="K3524" s="27"/>
      <c r="L3524" s="27"/>
      <c r="M3524" s="27"/>
      <c r="N3524" s="27"/>
      <c r="O3524" s="31" t="str">
        <f aca="false">IF(G3524="","",VLOOKUP(G3524,Setup!$A$14:$C$17,3,0))</f>
        <v/>
      </c>
      <c r="P3524" s="27"/>
      <c r="Q3524" s="33" t="str">
        <f aca="false">IF(OR(P3524="",M3524&lt;&gt;"Paid",O3524=""),"",P3524/O3524)</f>
        <v/>
      </c>
      <c r="R3524" s="34" t="str">
        <f aca="false">IF(Q3524="","",Q3524+N(H3524)*0.000000001)</f>
        <v/>
      </c>
      <c r="S3524" s="32" t="str">
        <f aca="false">IF(R3524="","",SUMPRODUCT((I$5:I$4004=I3524)*ISNUMBER(R$5:R$4004)*(R$5:R$4004&gt;R3524))+1)</f>
        <v/>
      </c>
      <c r="T3524" s="32" t="str">
        <f aca="false">IF(S3524="","",IF(S3524&lt;=Setup!$B$5,"🏆 WINNER",""))</f>
        <v/>
      </c>
      <c r="U3524" s="31" t="str">
        <f aca="false">IF(S3524="","",I3524&amp;"|"&amp;S3524)</f>
        <v/>
      </c>
    </row>
    <row r="3525" customFormat="false" ht="15" hidden="false" customHeight="false" outlineLevel="0" collapsed="false">
      <c r="A3525" s="24" t="n">
        <v>3521</v>
      </c>
      <c r="B3525" s="25" t="str">
        <f aca="false">IF(OR(C3525="",I3525="",G3525=""),"",IFERROR(VLOOKUP(I3525,Setup!$A$9:$B$11,2,0),"???")&amp;"-"&amp;G3525&amp;"-"&amp;TEXT(COUNTIFS(I$5:I3525,I3525,G$5:G3525,G3525),"0000"))</f>
        <v/>
      </c>
      <c r="C3525" s="26"/>
      <c r="D3525" s="26"/>
      <c r="E3525" s="27"/>
      <c r="F3525" s="27"/>
      <c r="G3525" s="24" t="str">
        <f aca="false">IF(F3525="","",IF(F3525&lt;=5,"A",IF(F3525&lt;=8,"B",IF(F3525&lt;=10,"C","D"))))</f>
        <v/>
      </c>
      <c r="H3525" s="28"/>
      <c r="I3525" s="27"/>
      <c r="J3525" s="26"/>
      <c r="K3525" s="27"/>
      <c r="L3525" s="27"/>
      <c r="M3525" s="27"/>
      <c r="N3525" s="27"/>
      <c r="O3525" s="24" t="str">
        <f aca="false">IF(G3525="","",VLOOKUP(G3525,Setup!$A$14:$C$17,3,0))</f>
        <v/>
      </c>
      <c r="P3525" s="27"/>
      <c r="Q3525" s="29" t="str">
        <f aca="false">IF(OR(P3525="",M3525&lt;&gt;"Paid",O3525=""),"",P3525/O3525)</f>
        <v/>
      </c>
      <c r="R3525" s="30" t="str">
        <f aca="false">IF(Q3525="","",Q3525+N(H3525)*0.000000001)</f>
        <v/>
      </c>
      <c r="S3525" s="25" t="str">
        <f aca="false">IF(R3525="","",SUMPRODUCT((I$5:I$4004=I3525)*ISNUMBER(R$5:R$4004)*(R$5:R$4004&gt;R3525))+1)</f>
        <v/>
      </c>
      <c r="T3525" s="25" t="str">
        <f aca="false">IF(S3525="","",IF(S3525&lt;=Setup!$B$5,"🏆 WINNER",""))</f>
        <v/>
      </c>
      <c r="U3525" s="24" t="str">
        <f aca="false">IF(S3525="","",I3525&amp;"|"&amp;S3525)</f>
        <v/>
      </c>
    </row>
    <row r="3526" customFormat="false" ht="15" hidden="false" customHeight="false" outlineLevel="0" collapsed="false">
      <c r="A3526" s="31" t="n">
        <v>3522</v>
      </c>
      <c r="B3526" s="32" t="str">
        <f aca="false">IF(OR(C3526="",I3526="",G3526=""),"",IFERROR(VLOOKUP(I3526,Setup!$A$9:$B$11,2,0),"???")&amp;"-"&amp;G3526&amp;"-"&amp;TEXT(COUNTIFS(I$5:I3526,I3526,G$5:G3526,G3526),"0000"))</f>
        <v/>
      </c>
      <c r="C3526" s="26"/>
      <c r="D3526" s="26"/>
      <c r="E3526" s="27"/>
      <c r="F3526" s="27"/>
      <c r="G3526" s="31" t="str">
        <f aca="false">IF(F3526="","",IF(F3526&lt;=5,"A",IF(F3526&lt;=8,"B",IF(F3526&lt;=10,"C","D"))))</f>
        <v/>
      </c>
      <c r="H3526" s="28"/>
      <c r="I3526" s="27"/>
      <c r="J3526" s="26"/>
      <c r="K3526" s="27"/>
      <c r="L3526" s="27"/>
      <c r="M3526" s="27"/>
      <c r="N3526" s="27"/>
      <c r="O3526" s="31" t="str">
        <f aca="false">IF(G3526="","",VLOOKUP(G3526,Setup!$A$14:$C$17,3,0))</f>
        <v/>
      </c>
      <c r="P3526" s="27"/>
      <c r="Q3526" s="33" t="str">
        <f aca="false">IF(OR(P3526="",M3526&lt;&gt;"Paid",O3526=""),"",P3526/O3526)</f>
        <v/>
      </c>
      <c r="R3526" s="34" t="str">
        <f aca="false">IF(Q3526="","",Q3526+N(H3526)*0.000000001)</f>
        <v/>
      </c>
      <c r="S3526" s="32" t="str">
        <f aca="false">IF(R3526="","",SUMPRODUCT((I$5:I$4004=I3526)*ISNUMBER(R$5:R$4004)*(R$5:R$4004&gt;R3526))+1)</f>
        <v/>
      </c>
      <c r="T3526" s="32" t="str">
        <f aca="false">IF(S3526="","",IF(S3526&lt;=Setup!$B$5,"🏆 WINNER",""))</f>
        <v/>
      </c>
      <c r="U3526" s="31" t="str">
        <f aca="false">IF(S3526="","",I3526&amp;"|"&amp;S3526)</f>
        <v/>
      </c>
    </row>
    <row r="3527" customFormat="false" ht="15" hidden="false" customHeight="false" outlineLevel="0" collapsed="false">
      <c r="A3527" s="24" t="n">
        <v>3523</v>
      </c>
      <c r="B3527" s="25" t="str">
        <f aca="false">IF(OR(C3527="",I3527="",G3527=""),"",IFERROR(VLOOKUP(I3527,Setup!$A$9:$B$11,2,0),"???")&amp;"-"&amp;G3527&amp;"-"&amp;TEXT(COUNTIFS(I$5:I3527,I3527,G$5:G3527,G3527),"0000"))</f>
        <v/>
      </c>
      <c r="C3527" s="26"/>
      <c r="D3527" s="26"/>
      <c r="E3527" s="27"/>
      <c r="F3527" s="27"/>
      <c r="G3527" s="24" t="str">
        <f aca="false">IF(F3527="","",IF(F3527&lt;=5,"A",IF(F3527&lt;=8,"B",IF(F3527&lt;=10,"C","D"))))</f>
        <v/>
      </c>
      <c r="H3527" s="28"/>
      <c r="I3527" s="27"/>
      <c r="J3527" s="26"/>
      <c r="K3527" s="27"/>
      <c r="L3527" s="27"/>
      <c r="M3527" s="27"/>
      <c r="N3527" s="27"/>
      <c r="O3527" s="24" t="str">
        <f aca="false">IF(G3527="","",VLOOKUP(G3527,Setup!$A$14:$C$17,3,0))</f>
        <v/>
      </c>
      <c r="P3527" s="27"/>
      <c r="Q3527" s="29" t="str">
        <f aca="false">IF(OR(P3527="",M3527&lt;&gt;"Paid",O3527=""),"",P3527/O3527)</f>
        <v/>
      </c>
      <c r="R3527" s="30" t="str">
        <f aca="false">IF(Q3527="","",Q3527+N(H3527)*0.000000001)</f>
        <v/>
      </c>
      <c r="S3527" s="25" t="str">
        <f aca="false">IF(R3527="","",SUMPRODUCT((I$5:I$4004=I3527)*ISNUMBER(R$5:R$4004)*(R$5:R$4004&gt;R3527))+1)</f>
        <v/>
      </c>
      <c r="T3527" s="25" t="str">
        <f aca="false">IF(S3527="","",IF(S3527&lt;=Setup!$B$5,"🏆 WINNER",""))</f>
        <v/>
      </c>
      <c r="U3527" s="24" t="str">
        <f aca="false">IF(S3527="","",I3527&amp;"|"&amp;S3527)</f>
        <v/>
      </c>
    </row>
    <row r="3528" customFormat="false" ht="15" hidden="false" customHeight="false" outlineLevel="0" collapsed="false">
      <c r="A3528" s="31" t="n">
        <v>3524</v>
      </c>
      <c r="B3528" s="32" t="str">
        <f aca="false">IF(OR(C3528="",I3528="",G3528=""),"",IFERROR(VLOOKUP(I3528,Setup!$A$9:$B$11,2,0),"???")&amp;"-"&amp;G3528&amp;"-"&amp;TEXT(COUNTIFS(I$5:I3528,I3528,G$5:G3528,G3528),"0000"))</f>
        <v/>
      </c>
      <c r="C3528" s="26"/>
      <c r="D3528" s="26"/>
      <c r="E3528" s="27"/>
      <c r="F3528" s="27"/>
      <c r="G3528" s="31" t="str">
        <f aca="false">IF(F3528="","",IF(F3528&lt;=5,"A",IF(F3528&lt;=8,"B",IF(F3528&lt;=10,"C","D"))))</f>
        <v/>
      </c>
      <c r="H3528" s="28"/>
      <c r="I3528" s="27"/>
      <c r="J3528" s="26"/>
      <c r="K3528" s="27"/>
      <c r="L3528" s="27"/>
      <c r="M3528" s="27"/>
      <c r="N3528" s="27"/>
      <c r="O3528" s="31" t="str">
        <f aca="false">IF(G3528="","",VLOOKUP(G3528,Setup!$A$14:$C$17,3,0))</f>
        <v/>
      </c>
      <c r="P3528" s="27"/>
      <c r="Q3528" s="33" t="str">
        <f aca="false">IF(OR(P3528="",M3528&lt;&gt;"Paid",O3528=""),"",P3528/O3528)</f>
        <v/>
      </c>
      <c r="R3528" s="34" t="str">
        <f aca="false">IF(Q3528="","",Q3528+N(H3528)*0.000000001)</f>
        <v/>
      </c>
      <c r="S3528" s="32" t="str">
        <f aca="false">IF(R3528="","",SUMPRODUCT((I$5:I$4004=I3528)*ISNUMBER(R$5:R$4004)*(R$5:R$4004&gt;R3528))+1)</f>
        <v/>
      </c>
      <c r="T3528" s="32" t="str">
        <f aca="false">IF(S3528="","",IF(S3528&lt;=Setup!$B$5,"🏆 WINNER",""))</f>
        <v/>
      </c>
      <c r="U3528" s="31" t="str">
        <f aca="false">IF(S3528="","",I3528&amp;"|"&amp;S3528)</f>
        <v/>
      </c>
    </row>
    <row r="3529" customFormat="false" ht="15" hidden="false" customHeight="false" outlineLevel="0" collapsed="false">
      <c r="A3529" s="24" t="n">
        <v>3525</v>
      </c>
      <c r="B3529" s="25" t="str">
        <f aca="false">IF(OR(C3529="",I3529="",G3529=""),"",IFERROR(VLOOKUP(I3529,Setup!$A$9:$B$11,2,0),"???")&amp;"-"&amp;G3529&amp;"-"&amp;TEXT(COUNTIFS(I$5:I3529,I3529,G$5:G3529,G3529),"0000"))</f>
        <v/>
      </c>
      <c r="C3529" s="26"/>
      <c r="D3529" s="26"/>
      <c r="E3529" s="27"/>
      <c r="F3529" s="27"/>
      <c r="G3529" s="24" t="str">
        <f aca="false">IF(F3529="","",IF(F3529&lt;=5,"A",IF(F3529&lt;=8,"B",IF(F3529&lt;=10,"C","D"))))</f>
        <v/>
      </c>
      <c r="H3529" s="28"/>
      <c r="I3529" s="27"/>
      <c r="J3529" s="26"/>
      <c r="K3529" s="27"/>
      <c r="L3529" s="27"/>
      <c r="M3529" s="27"/>
      <c r="N3529" s="27"/>
      <c r="O3529" s="24" t="str">
        <f aca="false">IF(G3529="","",VLOOKUP(G3529,Setup!$A$14:$C$17,3,0))</f>
        <v/>
      </c>
      <c r="P3529" s="27"/>
      <c r="Q3529" s="29" t="str">
        <f aca="false">IF(OR(P3529="",M3529&lt;&gt;"Paid",O3529=""),"",P3529/O3529)</f>
        <v/>
      </c>
      <c r="R3529" s="30" t="str">
        <f aca="false">IF(Q3529="","",Q3529+N(H3529)*0.000000001)</f>
        <v/>
      </c>
      <c r="S3529" s="25" t="str">
        <f aca="false">IF(R3529="","",SUMPRODUCT((I$5:I$4004=I3529)*ISNUMBER(R$5:R$4004)*(R$5:R$4004&gt;R3529))+1)</f>
        <v/>
      </c>
      <c r="T3529" s="25" t="str">
        <f aca="false">IF(S3529="","",IF(S3529&lt;=Setup!$B$5,"🏆 WINNER",""))</f>
        <v/>
      </c>
      <c r="U3529" s="24" t="str">
        <f aca="false">IF(S3529="","",I3529&amp;"|"&amp;S3529)</f>
        <v/>
      </c>
    </row>
    <row r="3530" customFormat="false" ht="15" hidden="false" customHeight="false" outlineLevel="0" collapsed="false">
      <c r="A3530" s="31" t="n">
        <v>3526</v>
      </c>
      <c r="B3530" s="32" t="str">
        <f aca="false">IF(OR(C3530="",I3530="",G3530=""),"",IFERROR(VLOOKUP(I3530,Setup!$A$9:$B$11,2,0),"???")&amp;"-"&amp;G3530&amp;"-"&amp;TEXT(COUNTIFS(I$5:I3530,I3530,G$5:G3530,G3530),"0000"))</f>
        <v/>
      </c>
      <c r="C3530" s="26"/>
      <c r="D3530" s="26"/>
      <c r="E3530" s="27"/>
      <c r="F3530" s="27"/>
      <c r="G3530" s="31" t="str">
        <f aca="false">IF(F3530="","",IF(F3530&lt;=5,"A",IF(F3530&lt;=8,"B",IF(F3530&lt;=10,"C","D"))))</f>
        <v/>
      </c>
      <c r="H3530" s="28"/>
      <c r="I3530" s="27"/>
      <c r="J3530" s="26"/>
      <c r="K3530" s="27"/>
      <c r="L3530" s="27"/>
      <c r="M3530" s="27"/>
      <c r="N3530" s="27"/>
      <c r="O3530" s="31" t="str">
        <f aca="false">IF(G3530="","",VLOOKUP(G3530,Setup!$A$14:$C$17,3,0))</f>
        <v/>
      </c>
      <c r="P3530" s="27"/>
      <c r="Q3530" s="33" t="str">
        <f aca="false">IF(OR(P3530="",M3530&lt;&gt;"Paid",O3530=""),"",P3530/O3530)</f>
        <v/>
      </c>
      <c r="R3530" s="34" t="str">
        <f aca="false">IF(Q3530="","",Q3530+N(H3530)*0.000000001)</f>
        <v/>
      </c>
      <c r="S3530" s="32" t="str">
        <f aca="false">IF(R3530="","",SUMPRODUCT((I$5:I$4004=I3530)*ISNUMBER(R$5:R$4004)*(R$5:R$4004&gt;R3530))+1)</f>
        <v/>
      </c>
      <c r="T3530" s="32" t="str">
        <f aca="false">IF(S3530="","",IF(S3530&lt;=Setup!$B$5,"🏆 WINNER",""))</f>
        <v/>
      </c>
      <c r="U3530" s="31" t="str">
        <f aca="false">IF(S3530="","",I3530&amp;"|"&amp;S3530)</f>
        <v/>
      </c>
    </row>
    <row r="3531" customFormat="false" ht="15" hidden="false" customHeight="false" outlineLevel="0" collapsed="false">
      <c r="A3531" s="24" t="n">
        <v>3527</v>
      </c>
      <c r="B3531" s="25" t="str">
        <f aca="false">IF(OR(C3531="",I3531="",G3531=""),"",IFERROR(VLOOKUP(I3531,Setup!$A$9:$B$11,2,0),"???")&amp;"-"&amp;G3531&amp;"-"&amp;TEXT(COUNTIFS(I$5:I3531,I3531,G$5:G3531,G3531),"0000"))</f>
        <v/>
      </c>
      <c r="C3531" s="26"/>
      <c r="D3531" s="26"/>
      <c r="E3531" s="27"/>
      <c r="F3531" s="27"/>
      <c r="G3531" s="24" t="str">
        <f aca="false">IF(F3531="","",IF(F3531&lt;=5,"A",IF(F3531&lt;=8,"B",IF(F3531&lt;=10,"C","D"))))</f>
        <v/>
      </c>
      <c r="H3531" s="28"/>
      <c r="I3531" s="27"/>
      <c r="J3531" s="26"/>
      <c r="K3531" s="27"/>
      <c r="L3531" s="27"/>
      <c r="M3531" s="27"/>
      <c r="N3531" s="27"/>
      <c r="O3531" s="24" t="str">
        <f aca="false">IF(G3531="","",VLOOKUP(G3531,Setup!$A$14:$C$17,3,0))</f>
        <v/>
      </c>
      <c r="P3531" s="27"/>
      <c r="Q3531" s="29" t="str">
        <f aca="false">IF(OR(P3531="",M3531&lt;&gt;"Paid",O3531=""),"",P3531/O3531)</f>
        <v/>
      </c>
      <c r="R3531" s="30" t="str">
        <f aca="false">IF(Q3531="","",Q3531+N(H3531)*0.000000001)</f>
        <v/>
      </c>
      <c r="S3531" s="25" t="str">
        <f aca="false">IF(R3531="","",SUMPRODUCT((I$5:I$4004=I3531)*ISNUMBER(R$5:R$4004)*(R$5:R$4004&gt;R3531))+1)</f>
        <v/>
      </c>
      <c r="T3531" s="25" t="str">
        <f aca="false">IF(S3531="","",IF(S3531&lt;=Setup!$B$5,"🏆 WINNER",""))</f>
        <v/>
      </c>
      <c r="U3531" s="24" t="str">
        <f aca="false">IF(S3531="","",I3531&amp;"|"&amp;S3531)</f>
        <v/>
      </c>
    </row>
    <row r="3532" customFormat="false" ht="15" hidden="false" customHeight="false" outlineLevel="0" collapsed="false">
      <c r="A3532" s="31" t="n">
        <v>3528</v>
      </c>
      <c r="B3532" s="32" t="str">
        <f aca="false">IF(OR(C3532="",I3532="",G3532=""),"",IFERROR(VLOOKUP(I3532,Setup!$A$9:$B$11,2,0),"???")&amp;"-"&amp;G3532&amp;"-"&amp;TEXT(COUNTIFS(I$5:I3532,I3532,G$5:G3532,G3532),"0000"))</f>
        <v/>
      </c>
      <c r="C3532" s="26"/>
      <c r="D3532" s="26"/>
      <c r="E3532" s="27"/>
      <c r="F3532" s="27"/>
      <c r="G3532" s="31" t="str">
        <f aca="false">IF(F3532="","",IF(F3532&lt;=5,"A",IF(F3532&lt;=8,"B",IF(F3532&lt;=10,"C","D"))))</f>
        <v/>
      </c>
      <c r="H3532" s="28"/>
      <c r="I3532" s="27"/>
      <c r="J3532" s="26"/>
      <c r="K3532" s="27"/>
      <c r="L3532" s="27"/>
      <c r="M3532" s="27"/>
      <c r="N3532" s="27"/>
      <c r="O3532" s="31" t="str">
        <f aca="false">IF(G3532="","",VLOOKUP(G3532,Setup!$A$14:$C$17,3,0))</f>
        <v/>
      </c>
      <c r="P3532" s="27"/>
      <c r="Q3532" s="33" t="str">
        <f aca="false">IF(OR(P3532="",M3532&lt;&gt;"Paid",O3532=""),"",P3532/O3532)</f>
        <v/>
      </c>
      <c r="R3532" s="34" t="str">
        <f aca="false">IF(Q3532="","",Q3532+N(H3532)*0.000000001)</f>
        <v/>
      </c>
      <c r="S3532" s="32" t="str">
        <f aca="false">IF(R3532="","",SUMPRODUCT((I$5:I$4004=I3532)*ISNUMBER(R$5:R$4004)*(R$5:R$4004&gt;R3532))+1)</f>
        <v/>
      </c>
      <c r="T3532" s="32" t="str">
        <f aca="false">IF(S3532="","",IF(S3532&lt;=Setup!$B$5,"🏆 WINNER",""))</f>
        <v/>
      </c>
      <c r="U3532" s="31" t="str">
        <f aca="false">IF(S3532="","",I3532&amp;"|"&amp;S3532)</f>
        <v/>
      </c>
    </row>
    <row r="3533" customFormat="false" ht="15" hidden="false" customHeight="false" outlineLevel="0" collapsed="false">
      <c r="A3533" s="24" t="n">
        <v>3529</v>
      </c>
      <c r="B3533" s="25" t="str">
        <f aca="false">IF(OR(C3533="",I3533="",G3533=""),"",IFERROR(VLOOKUP(I3533,Setup!$A$9:$B$11,2,0),"???")&amp;"-"&amp;G3533&amp;"-"&amp;TEXT(COUNTIFS(I$5:I3533,I3533,G$5:G3533,G3533),"0000"))</f>
        <v/>
      </c>
      <c r="C3533" s="26"/>
      <c r="D3533" s="26"/>
      <c r="E3533" s="27"/>
      <c r="F3533" s="27"/>
      <c r="G3533" s="24" t="str">
        <f aca="false">IF(F3533="","",IF(F3533&lt;=5,"A",IF(F3533&lt;=8,"B",IF(F3533&lt;=10,"C","D"))))</f>
        <v/>
      </c>
      <c r="H3533" s="28"/>
      <c r="I3533" s="27"/>
      <c r="J3533" s="26"/>
      <c r="K3533" s="27"/>
      <c r="L3533" s="27"/>
      <c r="M3533" s="27"/>
      <c r="N3533" s="27"/>
      <c r="O3533" s="24" t="str">
        <f aca="false">IF(G3533="","",VLOOKUP(G3533,Setup!$A$14:$C$17,3,0))</f>
        <v/>
      </c>
      <c r="P3533" s="27"/>
      <c r="Q3533" s="29" t="str">
        <f aca="false">IF(OR(P3533="",M3533&lt;&gt;"Paid",O3533=""),"",P3533/O3533)</f>
        <v/>
      </c>
      <c r="R3533" s="30" t="str">
        <f aca="false">IF(Q3533="","",Q3533+N(H3533)*0.000000001)</f>
        <v/>
      </c>
      <c r="S3533" s="25" t="str">
        <f aca="false">IF(R3533="","",SUMPRODUCT((I$5:I$4004=I3533)*ISNUMBER(R$5:R$4004)*(R$5:R$4004&gt;R3533))+1)</f>
        <v/>
      </c>
      <c r="T3533" s="25" t="str">
        <f aca="false">IF(S3533="","",IF(S3533&lt;=Setup!$B$5,"🏆 WINNER",""))</f>
        <v/>
      </c>
      <c r="U3533" s="24" t="str">
        <f aca="false">IF(S3533="","",I3533&amp;"|"&amp;S3533)</f>
        <v/>
      </c>
    </row>
    <row r="3534" customFormat="false" ht="15" hidden="false" customHeight="false" outlineLevel="0" collapsed="false">
      <c r="A3534" s="31" t="n">
        <v>3530</v>
      </c>
      <c r="B3534" s="32" t="str">
        <f aca="false">IF(OR(C3534="",I3534="",G3534=""),"",IFERROR(VLOOKUP(I3534,Setup!$A$9:$B$11,2,0),"???")&amp;"-"&amp;G3534&amp;"-"&amp;TEXT(COUNTIFS(I$5:I3534,I3534,G$5:G3534,G3534),"0000"))</f>
        <v/>
      </c>
      <c r="C3534" s="26"/>
      <c r="D3534" s="26"/>
      <c r="E3534" s="27"/>
      <c r="F3534" s="27"/>
      <c r="G3534" s="31" t="str">
        <f aca="false">IF(F3534="","",IF(F3534&lt;=5,"A",IF(F3534&lt;=8,"B",IF(F3534&lt;=10,"C","D"))))</f>
        <v/>
      </c>
      <c r="H3534" s="28"/>
      <c r="I3534" s="27"/>
      <c r="J3534" s="26"/>
      <c r="K3534" s="27"/>
      <c r="L3534" s="27"/>
      <c r="M3534" s="27"/>
      <c r="N3534" s="27"/>
      <c r="O3534" s="31" t="str">
        <f aca="false">IF(G3534="","",VLOOKUP(G3534,Setup!$A$14:$C$17,3,0))</f>
        <v/>
      </c>
      <c r="P3534" s="27"/>
      <c r="Q3534" s="33" t="str">
        <f aca="false">IF(OR(P3534="",M3534&lt;&gt;"Paid",O3534=""),"",P3534/O3534)</f>
        <v/>
      </c>
      <c r="R3534" s="34" t="str">
        <f aca="false">IF(Q3534="","",Q3534+N(H3534)*0.000000001)</f>
        <v/>
      </c>
      <c r="S3534" s="32" t="str">
        <f aca="false">IF(R3534="","",SUMPRODUCT((I$5:I$4004=I3534)*ISNUMBER(R$5:R$4004)*(R$5:R$4004&gt;R3534))+1)</f>
        <v/>
      </c>
      <c r="T3534" s="32" t="str">
        <f aca="false">IF(S3534="","",IF(S3534&lt;=Setup!$B$5,"🏆 WINNER",""))</f>
        <v/>
      </c>
      <c r="U3534" s="31" t="str">
        <f aca="false">IF(S3534="","",I3534&amp;"|"&amp;S3534)</f>
        <v/>
      </c>
    </row>
    <row r="3535" customFormat="false" ht="15" hidden="false" customHeight="false" outlineLevel="0" collapsed="false">
      <c r="A3535" s="24" t="n">
        <v>3531</v>
      </c>
      <c r="B3535" s="25" t="str">
        <f aca="false">IF(OR(C3535="",I3535="",G3535=""),"",IFERROR(VLOOKUP(I3535,Setup!$A$9:$B$11,2,0),"???")&amp;"-"&amp;G3535&amp;"-"&amp;TEXT(COUNTIFS(I$5:I3535,I3535,G$5:G3535,G3535),"0000"))</f>
        <v/>
      </c>
      <c r="C3535" s="26"/>
      <c r="D3535" s="26"/>
      <c r="E3535" s="27"/>
      <c r="F3535" s="27"/>
      <c r="G3535" s="24" t="str">
        <f aca="false">IF(F3535="","",IF(F3535&lt;=5,"A",IF(F3535&lt;=8,"B",IF(F3535&lt;=10,"C","D"))))</f>
        <v/>
      </c>
      <c r="H3535" s="28"/>
      <c r="I3535" s="27"/>
      <c r="J3535" s="26"/>
      <c r="K3535" s="27"/>
      <c r="L3535" s="27"/>
      <c r="M3535" s="27"/>
      <c r="N3535" s="27"/>
      <c r="O3535" s="24" t="str">
        <f aca="false">IF(G3535="","",VLOOKUP(G3535,Setup!$A$14:$C$17,3,0))</f>
        <v/>
      </c>
      <c r="P3535" s="27"/>
      <c r="Q3535" s="29" t="str">
        <f aca="false">IF(OR(P3535="",M3535&lt;&gt;"Paid",O3535=""),"",P3535/O3535)</f>
        <v/>
      </c>
      <c r="R3535" s="30" t="str">
        <f aca="false">IF(Q3535="","",Q3535+N(H3535)*0.000000001)</f>
        <v/>
      </c>
      <c r="S3535" s="25" t="str">
        <f aca="false">IF(R3535="","",SUMPRODUCT((I$5:I$4004=I3535)*ISNUMBER(R$5:R$4004)*(R$5:R$4004&gt;R3535))+1)</f>
        <v/>
      </c>
      <c r="T3535" s="25" t="str">
        <f aca="false">IF(S3535="","",IF(S3535&lt;=Setup!$B$5,"🏆 WINNER",""))</f>
        <v/>
      </c>
      <c r="U3535" s="24" t="str">
        <f aca="false">IF(S3535="","",I3535&amp;"|"&amp;S3535)</f>
        <v/>
      </c>
    </row>
    <row r="3536" customFormat="false" ht="15" hidden="false" customHeight="false" outlineLevel="0" collapsed="false">
      <c r="A3536" s="31" t="n">
        <v>3532</v>
      </c>
      <c r="B3536" s="32" t="str">
        <f aca="false">IF(OR(C3536="",I3536="",G3536=""),"",IFERROR(VLOOKUP(I3536,Setup!$A$9:$B$11,2,0),"???")&amp;"-"&amp;G3536&amp;"-"&amp;TEXT(COUNTIFS(I$5:I3536,I3536,G$5:G3536,G3536),"0000"))</f>
        <v/>
      </c>
      <c r="C3536" s="26"/>
      <c r="D3536" s="26"/>
      <c r="E3536" s="27"/>
      <c r="F3536" s="27"/>
      <c r="G3536" s="31" t="str">
        <f aca="false">IF(F3536="","",IF(F3536&lt;=5,"A",IF(F3536&lt;=8,"B",IF(F3536&lt;=10,"C","D"))))</f>
        <v/>
      </c>
      <c r="H3536" s="28"/>
      <c r="I3536" s="27"/>
      <c r="J3536" s="26"/>
      <c r="K3536" s="27"/>
      <c r="L3536" s="27"/>
      <c r="M3536" s="27"/>
      <c r="N3536" s="27"/>
      <c r="O3536" s="31" t="str">
        <f aca="false">IF(G3536="","",VLOOKUP(G3536,Setup!$A$14:$C$17,3,0))</f>
        <v/>
      </c>
      <c r="P3536" s="27"/>
      <c r="Q3536" s="33" t="str">
        <f aca="false">IF(OR(P3536="",M3536&lt;&gt;"Paid",O3536=""),"",P3536/O3536)</f>
        <v/>
      </c>
      <c r="R3536" s="34" t="str">
        <f aca="false">IF(Q3536="","",Q3536+N(H3536)*0.000000001)</f>
        <v/>
      </c>
      <c r="S3536" s="32" t="str">
        <f aca="false">IF(R3536="","",SUMPRODUCT((I$5:I$4004=I3536)*ISNUMBER(R$5:R$4004)*(R$5:R$4004&gt;R3536))+1)</f>
        <v/>
      </c>
      <c r="T3536" s="32" t="str">
        <f aca="false">IF(S3536="","",IF(S3536&lt;=Setup!$B$5,"🏆 WINNER",""))</f>
        <v/>
      </c>
      <c r="U3536" s="31" t="str">
        <f aca="false">IF(S3536="","",I3536&amp;"|"&amp;S3536)</f>
        <v/>
      </c>
    </row>
    <row r="3537" customFormat="false" ht="15" hidden="false" customHeight="false" outlineLevel="0" collapsed="false">
      <c r="A3537" s="24" t="n">
        <v>3533</v>
      </c>
      <c r="B3537" s="25" t="str">
        <f aca="false">IF(OR(C3537="",I3537="",G3537=""),"",IFERROR(VLOOKUP(I3537,Setup!$A$9:$B$11,2,0),"???")&amp;"-"&amp;G3537&amp;"-"&amp;TEXT(COUNTIFS(I$5:I3537,I3537,G$5:G3537,G3537),"0000"))</f>
        <v/>
      </c>
      <c r="C3537" s="26"/>
      <c r="D3537" s="26"/>
      <c r="E3537" s="27"/>
      <c r="F3537" s="27"/>
      <c r="G3537" s="24" t="str">
        <f aca="false">IF(F3537="","",IF(F3537&lt;=5,"A",IF(F3537&lt;=8,"B",IF(F3537&lt;=10,"C","D"))))</f>
        <v/>
      </c>
      <c r="H3537" s="28"/>
      <c r="I3537" s="27"/>
      <c r="J3537" s="26"/>
      <c r="K3537" s="27"/>
      <c r="L3537" s="27"/>
      <c r="M3537" s="27"/>
      <c r="N3537" s="27"/>
      <c r="O3537" s="24" t="str">
        <f aca="false">IF(G3537="","",VLOOKUP(G3537,Setup!$A$14:$C$17,3,0))</f>
        <v/>
      </c>
      <c r="P3537" s="27"/>
      <c r="Q3537" s="29" t="str">
        <f aca="false">IF(OR(P3537="",M3537&lt;&gt;"Paid",O3537=""),"",P3537/O3537)</f>
        <v/>
      </c>
      <c r="R3537" s="30" t="str">
        <f aca="false">IF(Q3537="","",Q3537+N(H3537)*0.000000001)</f>
        <v/>
      </c>
      <c r="S3537" s="25" t="str">
        <f aca="false">IF(R3537="","",SUMPRODUCT((I$5:I$4004=I3537)*ISNUMBER(R$5:R$4004)*(R$5:R$4004&gt;R3537))+1)</f>
        <v/>
      </c>
      <c r="T3537" s="25" t="str">
        <f aca="false">IF(S3537="","",IF(S3537&lt;=Setup!$B$5,"🏆 WINNER",""))</f>
        <v/>
      </c>
      <c r="U3537" s="24" t="str">
        <f aca="false">IF(S3537="","",I3537&amp;"|"&amp;S3537)</f>
        <v/>
      </c>
    </row>
    <row r="3538" customFormat="false" ht="15" hidden="false" customHeight="false" outlineLevel="0" collapsed="false">
      <c r="A3538" s="31" t="n">
        <v>3534</v>
      </c>
      <c r="B3538" s="32" t="str">
        <f aca="false">IF(OR(C3538="",I3538="",G3538=""),"",IFERROR(VLOOKUP(I3538,Setup!$A$9:$B$11,2,0),"???")&amp;"-"&amp;G3538&amp;"-"&amp;TEXT(COUNTIFS(I$5:I3538,I3538,G$5:G3538,G3538),"0000"))</f>
        <v/>
      </c>
      <c r="C3538" s="26"/>
      <c r="D3538" s="26"/>
      <c r="E3538" s="27"/>
      <c r="F3538" s="27"/>
      <c r="G3538" s="31" t="str">
        <f aca="false">IF(F3538="","",IF(F3538&lt;=5,"A",IF(F3538&lt;=8,"B",IF(F3538&lt;=10,"C","D"))))</f>
        <v/>
      </c>
      <c r="H3538" s="28"/>
      <c r="I3538" s="27"/>
      <c r="J3538" s="26"/>
      <c r="K3538" s="27"/>
      <c r="L3538" s="27"/>
      <c r="M3538" s="27"/>
      <c r="N3538" s="27"/>
      <c r="O3538" s="31" t="str">
        <f aca="false">IF(G3538="","",VLOOKUP(G3538,Setup!$A$14:$C$17,3,0))</f>
        <v/>
      </c>
      <c r="P3538" s="27"/>
      <c r="Q3538" s="33" t="str">
        <f aca="false">IF(OR(P3538="",M3538&lt;&gt;"Paid",O3538=""),"",P3538/O3538)</f>
        <v/>
      </c>
      <c r="R3538" s="34" t="str">
        <f aca="false">IF(Q3538="","",Q3538+N(H3538)*0.000000001)</f>
        <v/>
      </c>
      <c r="S3538" s="32" t="str">
        <f aca="false">IF(R3538="","",SUMPRODUCT((I$5:I$4004=I3538)*ISNUMBER(R$5:R$4004)*(R$5:R$4004&gt;R3538))+1)</f>
        <v/>
      </c>
      <c r="T3538" s="32" t="str">
        <f aca="false">IF(S3538="","",IF(S3538&lt;=Setup!$B$5,"🏆 WINNER",""))</f>
        <v/>
      </c>
      <c r="U3538" s="31" t="str">
        <f aca="false">IF(S3538="","",I3538&amp;"|"&amp;S3538)</f>
        <v/>
      </c>
    </row>
    <row r="3539" customFormat="false" ht="15" hidden="false" customHeight="false" outlineLevel="0" collapsed="false">
      <c r="A3539" s="24" t="n">
        <v>3535</v>
      </c>
      <c r="B3539" s="25" t="str">
        <f aca="false">IF(OR(C3539="",I3539="",G3539=""),"",IFERROR(VLOOKUP(I3539,Setup!$A$9:$B$11,2,0),"???")&amp;"-"&amp;G3539&amp;"-"&amp;TEXT(COUNTIFS(I$5:I3539,I3539,G$5:G3539,G3539),"0000"))</f>
        <v/>
      </c>
      <c r="C3539" s="26"/>
      <c r="D3539" s="26"/>
      <c r="E3539" s="27"/>
      <c r="F3539" s="27"/>
      <c r="G3539" s="24" t="str">
        <f aca="false">IF(F3539="","",IF(F3539&lt;=5,"A",IF(F3539&lt;=8,"B",IF(F3539&lt;=10,"C","D"))))</f>
        <v/>
      </c>
      <c r="H3539" s="28"/>
      <c r="I3539" s="27"/>
      <c r="J3539" s="26"/>
      <c r="K3539" s="27"/>
      <c r="L3539" s="27"/>
      <c r="M3539" s="27"/>
      <c r="N3539" s="27"/>
      <c r="O3539" s="24" t="str">
        <f aca="false">IF(G3539="","",VLOOKUP(G3539,Setup!$A$14:$C$17,3,0))</f>
        <v/>
      </c>
      <c r="P3539" s="27"/>
      <c r="Q3539" s="29" t="str">
        <f aca="false">IF(OR(P3539="",M3539&lt;&gt;"Paid",O3539=""),"",P3539/O3539)</f>
        <v/>
      </c>
      <c r="R3539" s="30" t="str">
        <f aca="false">IF(Q3539="","",Q3539+N(H3539)*0.000000001)</f>
        <v/>
      </c>
      <c r="S3539" s="25" t="str">
        <f aca="false">IF(R3539="","",SUMPRODUCT((I$5:I$4004=I3539)*ISNUMBER(R$5:R$4004)*(R$5:R$4004&gt;R3539))+1)</f>
        <v/>
      </c>
      <c r="T3539" s="25" t="str">
        <f aca="false">IF(S3539="","",IF(S3539&lt;=Setup!$B$5,"🏆 WINNER",""))</f>
        <v/>
      </c>
      <c r="U3539" s="24" t="str">
        <f aca="false">IF(S3539="","",I3539&amp;"|"&amp;S3539)</f>
        <v/>
      </c>
    </row>
    <row r="3540" customFormat="false" ht="15" hidden="false" customHeight="false" outlineLevel="0" collapsed="false">
      <c r="A3540" s="31" t="n">
        <v>3536</v>
      </c>
      <c r="B3540" s="32" t="str">
        <f aca="false">IF(OR(C3540="",I3540="",G3540=""),"",IFERROR(VLOOKUP(I3540,Setup!$A$9:$B$11,2,0),"???")&amp;"-"&amp;G3540&amp;"-"&amp;TEXT(COUNTIFS(I$5:I3540,I3540,G$5:G3540,G3540),"0000"))</f>
        <v/>
      </c>
      <c r="C3540" s="26"/>
      <c r="D3540" s="26"/>
      <c r="E3540" s="27"/>
      <c r="F3540" s="27"/>
      <c r="G3540" s="31" t="str">
        <f aca="false">IF(F3540="","",IF(F3540&lt;=5,"A",IF(F3540&lt;=8,"B",IF(F3540&lt;=10,"C","D"))))</f>
        <v/>
      </c>
      <c r="H3540" s="28"/>
      <c r="I3540" s="27"/>
      <c r="J3540" s="26"/>
      <c r="K3540" s="27"/>
      <c r="L3540" s="27"/>
      <c r="M3540" s="27"/>
      <c r="N3540" s="27"/>
      <c r="O3540" s="31" t="str">
        <f aca="false">IF(G3540="","",VLOOKUP(G3540,Setup!$A$14:$C$17,3,0))</f>
        <v/>
      </c>
      <c r="P3540" s="27"/>
      <c r="Q3540" s="33" t="str">
        <f aca="false">IF(OR(P3540="",M3540&lt;&gt;"Paid",O3540=""),"",P3540/O3540)</f>
        <v/>
      </c>
      <c r="R3540" s="34" t="str">
        <f aca="false">IF(Q3540="","",Q3540+N(H3540)*0.000000001)</f>
        <v/>
      </c>
      <c r="S3540" s="32" t="str">
        <f aca="false">IF(R3540="","",SUMPRODUCT((I$5:I$4004=I3540)*ISNUMBER(R$5:R$4004)*(R$5:R$4004&gt;R3540))+1)</f>
        <v/>
      </c>
      <c r="T3540" s="32" t="str">
        <f aca="false">IF(S3540="","",IF(S3540&lt;=Setup!$B$5,"🏆 WINNER",""))</f>
        <v/>
      </c>
      <c r="U3540" s="31" t="str">
        <f aca="false">IF(S3540="","",I3540&amp;"|"&amp;S3540)</f>
        <v/>
      </c>
    </row>
    <row r="3541" customFormat="false" ht="15" hidden="false" customHeight="false" outlineLevel="0" collapsed="false">
      <c r="A3541" s="24" t="n">
        <v>3537</v>
      </c>
      <c r="B3541" s="25" t="str">
        <f aca="false">IF(OR(C3541="",I3541="",G3541=""),"",IFERROR(VLOOKUP(I3541,Setup!$A$9:$B$11,2,0),"???")&amp;"-"&amp;G3541&amp;"-"&amp;TEXT(COUNTIFS(I$5:I3541,I3541,G$5:G3541,G3541),"0000"))</f>
        <v/>
      </c>
      <c r="C3541" s="26"/>
      <c r="D3541" s="26"/>
      <c r="E3541" s="27"/>
      <c r="F3541" s="27"/>
      <c r="G3541" s="24" t="str">
        <f aca="false">IF(F3541="","",IF(F3541&lt;=5,"A",IF(F3541&lt;=8,"B",IF(F3541&lt;=10,"C","D"))))</f>
        <v/>
      </c>
      <c r="H3541" s="28"/>
      <c r="I3541" s="27"/>
      <c r="J3541" s="26"/>
      <c r="K3541" s="27"/>
      <c r="L3541" s="27"/>
      <c r="M3541" s="27"/>
      <c r="N3541" s="27"/>
      <c r="O3541" s="24" t="str">
        <f aca="false">IF(G3541="","",VLOOKUP(G3541,Setup!$A$14:$C$17,3,0))</f>
        <v/>
      </c>
      <c r="P3541" s="27"/>
      <c r="Q3541" s="29" t="str">
        <f aca="false">IF(OR(P3541="",M3541&lt;&gt;"Paid",O3541=""),"",P3541/O3541)</f>
        <v/>
      </c>
      <c r="R3541" s="30" t="str">
        <f aca="false">IF(Q3541="","",Q3541+N(H3541)*0.000000001)</f>
        <v/>
      </c>
      <c r="S3541" s="25" t="str">
        <f aca="false">IF(R3541="","",SUMPRODUCT((I$5:I$4004=I3541)*ISNUMBER(R$5:R$4004)*(R$5:R$4004&gt;R3541))+1)</f>
        <v/>
      </c>
      <c r="T3541" s="25" t="str">
        <f aca="false">IF(S3541="","",IF(S3541&lt;=Setup!$B$5,"🏆 WINNER",""))</f>
        <v/>
      </c>
      <c r="U3541" s="24" t="str">
        <f aca="false">IF(S3541="","",I3541&amp;"|"&amp;S3541)</f>
        <v/>
      </c>
    </row>
    <row r="3542" customFormat="false" ht="15" hidden="false" customHeight="false" outlineLevel="0" collapsed="false">
      <c r="A3542" s="31" t="n">
        <v>3538</v>
      </c>
      <c r="B3542" s="32" t="str">
        <f aca="false">IF(OR(C3542="",I3542="",G3542=""),"",IFERROR(VLOOKUP(I3542,Setup!$A$9:$B$11,2,0),"???")&amp;"-"&amp;G3542&amp;"-"&amp;TEXT(COUNTIFS(I$5:I3542,I3542,G$5:G3542,G3542),"0000"))</f>
        <v/>
      </c>
      <c r="C3542" s="26"/>
      <c r="D3542" s="26"/>
      <c r="E3542" s="27"/>
      <c r="F3542" s="27"/>
      <c r="G3542" s="31" t="str">
        <f aca="false">IF(F3542="","",IF(F3542&lt;=5,"A",IF(F3542&lt;=8,"B",IF(F3542&lt;=10,"C","D"))))</f>
        <v/>
      </c>
      <c r="H3542" s="28"/>
      <c r="I3542" s="27"/>
      <c r="J3542" s="26"/>
      <c r="K3542" s="27"/>
      <c r="L3542" s="27"/>
      <c r="M3542" s="27"/>
      <c r="N3542" s="27"/>
      <c r="O3542" s="31" t="str">
        <f aca="false">IF(G3542="","",VLOOKUP(G3542,Setup!$A$14:$C$17,3,0))</f>
        <v/>
      </c>
      <c r="P3542" s="27"/>
      <c r="Q3542" s="33" t="str">
        <f aca="false">IF(OR(P3542="",M3542&lt;&gt;"Paid",O3542=""),"",P3542/O3542)</f>
        <v/>
      </c>
      <c r="R3542" s="34" t="str">
        <f aca="false">IF(Q3542="","",Q3542+N(H3542)*0.000000001)</f>
        <v/>
      </c>
      <c r="S3542" s="32" t="str">
        <f aca="false">IF(R3542="","",SUMPRODUCT((I$5:I$4004=I3542)*ISNUMBER(R$5:R$4004)*(R$5:R$4004&gt;R3542))+1)</f>
        <v/>
      </c>
      <c r="T3542" s="32" t="str">
        <f aca="false">IF(S3542="","",IF(S3542&lt;=Setup!$B$5,"🏆 WINNER",""))</f>
        <v/>
      </c>
      <c r="U3542" s="31" t="str">
        <f aca="false">IF(S3542="","",I3542&amp;"|"&amp;S3542)</f>
        <v/>
      </c>
    </row>
    <row r="3543" customFormat="false" ht="15" hidden="false" customHeight="false" outlineLevel="0" collapsed="false">
      <c r="A3543" s="24" t="n">
        <v>3539</v>
      </c>
      <c r="B3543" s="25" t="str">
        <f aca="false">IF(OR(C3543="",I3543="",G3543=""),"",IFERROR(VLOOKUP(I3543,Setup!$A$9:$B$11,2,0),"???")&amp;"-"&amp;G3543&amp;"-"&amp;TEXT(COUNTIFS(I$5:I3543,I3543,G$5:G3543,G3543),"0000"))</f>
        <v/>
      </c>
      <c r="C3543" s="26"/>
      <c r="D3543" s="26"/>
      <c r="E3543" s="27"/>
      <c r="F3543" s="27"/>
      <c r="G3543" s="24" t="str">
        <f aca="false">IF(F3543="","",IF(F3543&lt;=5,"A",IF(F3543&lt;=8,"B",IF(F3543&lt;=10,"C","D"))))</f>
        <v/>
      </c>
      <c r="H3543" s="28"/>
      <c r="I3543" s="27"/>
      <c r="J3543" s="26"/>
      <c r="K3543" s="27"/>
      <c r="L3543" s="27"/>
      <c r="M3543" s="27"/>
      <c r="N3543" s="27"/>
      <c r="O3543" s="24" t="str">
        <f aca="false">IF(G3543="","",VLOOKUP(G3543,Setup!$A$14:$C$17,3,0))</f>
        <v/>
      </c>
      <c r="P3543" s="27"/>
      <c r="Q3543" s="29" t="str">
        <f aca="false">IF(OR(P3543="",M3543&lt;&gt;"Paid",O3543=""),"",P3543/O3543)</f>
        <v/>
      </c>
      <c r="R3543" s="30" t="str">
        <f aca="false">IF(Q3543="","",Q3543+N(H3543)*0.000000001)</f>
        <v/>
      </c>
      <c r="S3543" s="25" t="str">
        <f aca="false">IF(R3543="","",SUMPRODUCT((I$5:I$4004=I3543)*ISNUMBER(R$5:R$4004)*(R$5:R$4004&gt;R3543))+1)</f>
        <v/>
      </c>
      <c r="T3543" s="25" t="str">
        <f aca="false">IF(S3543="","",IF(S3543&lt;=Setup!$B$5,"🏆 WINNER",""))</f>
        <v/>
      </c>
      <c r="U3543" s="24" t="str">
        <f aca="false">IF(S3543="","",I3543&amp;"|"&amp;S3543)</f>
        <v/>
      </c>
    </row>
    <row r="3544" customFormat="false" ht="15" hidden="false" customHeight="false" outlineLevel="0" collapsed="false">
      <c r="A3544" s="31" t="n">
        <v>3540</v>
      </c>
      <c r="B3544" s="32" t="str">
        <f aca="false">IF(OR(C3544="",I3544="",G3544=""),"",IFERROR(VLOOKUP(I3544,Setup!$A$9:$B$11,2,0),"???")&amp;"-"&amp;G3544&amp;"-"&amp;TEXT(COUNTIFS(I$5:I3544,I3544,G$5:G3544,G3544),"0000"))</f>
        <v/>
      </c>
      <c r="C3544" s="26"/>
      <c r="D3544" s="26"/>
      <c r="E3544" s="27"/>
      <c r="F3544" s="27"/>
      <c r="G3544" s="31" t="str">
        <f aca="false">IF(F3544="","",IF(F3544&lt;=5,"A",IF(F3544&lt;=8,"B",IF(F3544&lt;=10,"C","D"))))</f>
        <v/>
      </c>
      <c r="H3544" s="28"/>
      <c r="I3544" s="27"/>
      <c r="J3544" s="26"/>
      <c r="K3544" s="27"/>
      <c r="L3544" s="27"/>
      <c r="M3544" s="27"/>
      <c r="N3544" s="27"/>
      <c r="O3544" s="31" t="str">
        <f aca="false">IF(G3544="","",VLOOKUP(G3544,Setup!$A$14:$C$17,3,0))</f>
        <v/>
      </c>
      <c r="P3544" s="27"/>
      <c r="Q3544" s="33" t="str">
        <f aca="false">IF(OR(P3544="",M3544&lt;&gt;"Paid",O3544=""),"",P3544/O3544)</f>
        <v/>
      </c>
      <c r="R3544" s="34" t="str">
        <f aca="false">IF(Q3544="","",Q3544+N(H3544)*0.000000001)</f>
        <v/>
      </c>
      <c r="S3544" s="32" t="str">
        <f aca="false">IF(R3544="","",SUMPRODUCT((I$5:I$4004=I3544)*ISNUMBER(R$5:R$4004)*(R$5:R$4004&gt;R3544))+1)</f>
        <v/>
      </c>
      <c r="T3544" s="32" t="str">
        <f aca="false">IF(S3544="","",IF(S3544&lt;=Setup!$B$5,"🏆 WINNER",""))</f>
        <v/>
      </c>
      <c r="U3544" s="31" t="str">
        <f aca="false">IF(S3544="","",I3544&amp;"|"&amp;S3544)</f>
        <v/>
      </c>
    </row>
    <row r="3545" customFormat="false" ht="15" hidden="false" customHeight="false" outlineLevel="0" collapsed="false">
      <c r="A3545" s="24" t="n">
        <v>3541</v>
      </c>
      <c r="B3545" s="25" t="str">
        <f aca="false">IF(OR(C3545="",I3545="",G3545=""),"",IFERROR(VLOOKUP(I3545,Setup!$A$9:$B$11,2,0),"???")&amp;"-"&amp;G3545&amp;"-"&amp;TEXT(COUNTIFS(I$5:I3545,I3545,G$5:G3545,G3545),"0000"))</f>
        <v/>
      </c>
      <c r="C3545" s="26"/>
      <c r="D3545" s="26"/>
      <c r="E3545" s="27"/>
      <c r="F3545" s="27"/>
      <c r="G3545" s="24" t="str">
        <f aca="false">IF(F3545="","",IF(F3545&lt;=5,"A",IF(F3545&lt;=8,"B",IF(F3545&lt;=10,"C","D"))))</f>
        <v/>
      </c>
      <c r="H3545" s="28"/>
      <c r="I3545" s="27"/>
      <c r="J3545" s="26"/>
      <c r="K3545" s="27"/>
      <c r="L3545" s="27"/>
      <c r="M3545" s="27"/>
      <c r="N3545" s="27"/>
      <c r="O3545" s="24" t="str">
        <f aca="false">IF(G3545="","",VLOOKUP(G3545,Setup!$A$14:$C$17,3,0))</f>
        <v/>
      </c>
      <c r="P3545" s="27"/>
      <c r="Q3545" s="29" t="str">
        <f aca="false">IF(OR(P3545="",M3545&lt;&gt;"Paid",O3545=""),"",P3545/O3545)</f>
        <v/>
      </c>
      <c r="R3545" s="30" t="str">
        <f aca="false">IF(Q3545="","",Q3545+N(H3545)*0.000000001)</f>
        <v/>
      </c>
      <c r="S3545" s="25" t="str">
        <f aca="false">IF(R3545="","",SUMPRODUCT((I$5:I$4004=I3545)*ISNUMBER(R$5:R$4004)*(R$5:R$4004&gt;R3545))+1)</f>
        <v/>
      </c>
      <c r="T3545" s="25" t="str">
        <f aca="false">IF(S3545="","",IF(S3545&lt;=Setup!$B$5,"🏆 WINNER",""))</f>
        <v/>
      </c>
      <c r="U3545" s="24" t="str">
        <f aca="false">IF(S3545="","",I3545&amp;"|"&amp;S3545)</f>
        <v/>
      </c>
    </row>
    <row r="3546" customFormat="false" ht="15" hidden="false" customHeight="false" outlineLevel="0" collapsed="false">
      <c r="A3546" s="31" t="n">
        <v>3542</v>
      </c>
      <c r="B3546" s="32" t="str">
        <f aca="false">IF(OR(C3546="",I3546="",G3546=""),"",IFERROR(VLOOKUP(I3546,Setup!$A$9:$B$11,2,0),"???")&amp;"-"&amp;G3546&amp;"-"&amp;TEXT(COUNTIFS(I$5:I3546,I3546,G$5:G3546,G3546),"0000"))</f>
        <v/>
      </c>
      <c r="C3546" s="26"/>
      <c r="D3546" s="26"/>
      <c r="E3546" s="27"/>
      <c r="F3546" s="27"/>
      <c r="G3546" s="31" t="str">
        <f aca="false">IF(F3546="","",IF(F3546&lt;=5,"A",IF(F3546&lt;=8,"B",IF(F3546&lt;=10,"C","D"))))</f>
        <v/>
      </c>
      <c r="H3546" s="28"/>
      <c r="I3546" s="27"/>
      <c r="J3546" s="26"/>
      <c r="K3546" s="27"/>
      <c r="L3546" s="27"/>
      <c r="M3546" s="27"/>
      <c r="N3546" s="27"/>
      <c r="O3546" s="31" t="str">
        <f aca="false">IF(G3546="","",VLOOKUP(G3546,Setup!$A$14:$C$17,3,0))</f>
        <v/>
      </c>
      <c r="P3546" s="27"/>
      <c r="Q3546" s="33" t="str">
        <f aca="false">IF(OR(P3546="",M3546&lt;&gt;"Paid",O3546=""),"",P3546/O3546)</f>
        <v/>
      </c>
      <c r="R3546" s="34" t="str">
        <f aca="false">IF(Q3546="","",Q3546+N(H3546)*0.000000001)</f>
        <v/>
      </c>
      <c r="S3546" s="32" t="str">
        <f aca="false">IF(R3546="","",SUMPRODUCT((I$5:I$4004=I3546)*ISNUMBER(R$5:R$4004)*(R$5:R$4004&gt;R3546))+1)</f>
        <v/>
      </c>
      <c r="T3546" s="32" t="str">
        <f aca="false">IF(S3546="","",IF(S3546&lt;=Setup!$B$5,"🏆 WINNER",""))</f>
        <v/>
      </c>
      <c r="U3546" s="31" t="str">
        <f aca="false">IF(S3546="","",I3546&amp;"|"&amp;S3546)</f>
        <v/>
      </c>
    </row>
    <row r="3547" customFormat="false" ht="15" hidden="false" customHeight="false" outlineLevel="0" collapsed="false">
      <c r="A3547" s="24" t="n">
        <v>3543</v>
      </c>
      <c r="B3547" s="25" t="str">
        <f aca="false">IF(OR(C3547="",I3547="",G3547=""),"",IFERROR(VLOOKUP(I3547,Setup!$A$9:$B$11,2,0),"???")&amp;"-"&amp;G3547&amp;"-"&amp;TEXT(COUNTIFS(I$5:I3547,I3547,G$5:G3547,G3547),"0000"))</f>
        <v/>
      </c>
      <c r="C3547" s="26"/>
      <c r="D3547" s="26"/>
      <c r="E3547" s="27"/>
      <c r="F3547" s="27"/>
      <c r="G3547" s="24" t="str">
        <f aca="false">IF(F3547="","",IF(F3547&lt;=5,"A",IF(F3547&lt;=8,"B",IF(F3547&lt;=10,"C","D"))))</f>
        <v/>
      </c>
      <c r="H3547" s="28"/>
      <c r="I3547" s="27"/>
      <c r="J3547" s="26"/>
      <c r="K3547" s="27"/>
      <c r="L3547" s="27"/>
      <c r="M3547" s="27"/>
      <c r="N3547" s="27"/>
      <c r="O3547" s="24" t="str">
        <f aca="false">IF(G3547="","",VLOOKUP(G3547,Setup!$A$14:$C$17,3,0))</f>
        <v/>
      </c>
      <c r="P3547" s="27"/>
      <c r="Q3547" s="29" t="str">
        <f aca="false">IF(OR(P3547="",M3547&lt;&gt;"Paid",O3547=""),"",P3547/O3547)</f>
        <v/>
      </c>
      <c r="R3547" s="30" t="str">
        <f aca="false">IF(Q3547="","",Q3547+N(H3547)*0.000000001)</f>
        <v/>
      </c>
      <c r="S3547" s="25" t="str">
        <f aca="false">IF(R3547="","",SUMPRODUCT((I$5:I$4004=I3547)*ISNUMBER(R$5:R$4004)*(R$5:R$4004&gt;R3547))+1)</f>
        <v/>
      </c>
      <c r="T3547" s="25" t="str">
        <f aca="false">IF(S3547="","",IF(S3547&lt;=Setup!$B$5,"🏆 WINNER",""))</f>
        <v/>
      </c>
      <c r="U3547" s="24" t="str">
        <f aca="false">IF(S3547="","",I3547&amp;"|"&amp;S3547)</f>
        <v/>
      </c>
    </row>
    <row r="3548" customFormat="false" ht="15" hidden="false" customHeight="false" outlineLevel="0" collapsed="false">
      <c r="A3548" s="31" t="n">
        <v>3544</v>
      </c>
      <c r="B3548" s="32" t="str">
        <f aca="false">IF(OR(C3548="",I3548="",G3548=""),"",IFERROR(VLOOKUP(I3548,Setup!$A$9:$B$11,2,0),"???")&amp;"-"&amp;G3548&amp;"-"&amp;TEXT(COUNTIFS(I$5:I3548,I3548,G$5:G3548,G3548),"0000"))</f>
        <v/>
      </c>
      <c r="C3548" s="26"/>
      <c r="D3548" s="26"/>
      <c r="E3548" s="27"/>
      <c r="F3548" s="27"/>
      <c r="G3548" s="31" t="str">
        <f aca="false">IF(F3548="","",IF(F3548&lt;=5,"A",IF(F3548&lt;=8,"B",IF(F3548&lt;=10,"C","D"))))</f>
        <v/>
      </c>
      <c r="H3548" s="28"/>
      <c r="I3548" s="27"/>
      <c r="J3548" s="26"/>
      <c r="K3548" s="27"/>
      <c r="L3548" s="27"/>
      <c r="M3548" s="27"/>
      <c r="N3548" s="27"/>
      <c r="O3548" s="31" t="str">
        <f aca="false">IF(G3548="","",VLOOKUP(G3548,Setup!$A$14:$C$17,3,0))</f>
        <v/>
      </c>
      <c r="P3548" s="27"/>
      <c r="Q3548" s="33" t="str">
        <f aca="false">IF(OR(P3548="",M3548&lt;&gt;"Paid",O3548=""),"",P3548/O3548)</f>
        <v/>
      </c>
      <c r="R3548" s="34" t="str">
        <f aca="false">IF(Q3548="","",Q3548+N(H3548)*0.000000001)</f>
        <v/>
      </c>
      <c r="S3548" s="32" t="str">
        <f aca="false">IF(R3548="","",SUMPRODUCT((I$5:I$4004=I3548)*ISNUMBER(R$5:R$4004)*(R$5:R$4004&gt;R3548))+1)</f>
        <v/>
      </c>
      <c r="T3548" s="32" t="str">
        <f aca="false">IF(S3548="","",IF(S3548&lt;=Setup!$B$5,"🏆 WINNER",""))</f>
        <v/>
      </c>
      <c r="U3548" s="31" t="str">
        <f aca="false">IF(S3548="","",I3548&amp;"|"&amp;S3548)</f>
        <v/>
      </c>
    </row>
    <row r="3549" customFormat="false" ht="15" hidden="false" customHeight="false" outlineLevel="0" collapsed="false">
      <c r="A3549" s="24" t="n">
        <v>3545</v>
      </c>
      <c r="B3549" s="25" t="str">
        <f aca="false">IF(OR(C3549="",I3549="",G3549=""),"",IFERROR(VLOOKUP(I3549,Setup!$A$9:$B$11,2,0),"???")&amp;"-"&amp;G3549&amp;"-"&amp;TEXT(COUNTIFS(I$5:I3549,I3549,G$5:G3549,G3549),"0000"))</f>
        <v/>
      </c>
      <c r="C3549" s="26"/>
      <c r="D3549" s="26"/>
      <c r="E3549" s="27"/>
      <c r="F3549" s="27"/>
      <c r="G3549" s="24" t="str">
        <f aca="false">IF(F3549="","",IF(F3549&lt;=5,"A",IF(F3549&lt;=8,"B",IF(F3549&lt;=10,"C","D"))))</f>
        <v/>
      </c>
      <c r="H3549" s="28"/>
      <c r="I3549" s="27"/>
      <c r="J3549" s="26"/>
      <c r="K3549" s="27"/>
      <c r="L3549" s="27"/>
      <c r="M3549" s="27"/>
      <c r="N3549" s="27"/>
      <c r="O3549" s="24" t="str">
        <f aca="false">IF(G3549="","",VLOOKUP(G3549,Setup!$A$14:$C$17,3,0))</f>
        <v/>
      </c>
      <c r="P3549" s="27"/>
      <c r="Q3549" s="29" t="str">
        <f aca="false">IF(OR(P3549="",M3549&lt;&gt;"Paid",O3549=""),"",P3549/O3549)</f>
        <v/>
      </c>
      <c r="R3549" s="30" t="str">
        <f aca="false">IF(Q3549="","",Q3549+N(H3549)*0.000000001)</f>
        <v/>
      </c>
      <c r="S3549" s="25" t="str">
        <f aca="false">IF(R3549="","",SUMPRODUCT((I$5:I$4004=I3549)*ISNUMBER(R$5:R$4004)*(R$5:R$4004&gt;R3549))+1)</f>
        <v/>
      </c>
      <c r="T3549" s="25" t="str">
        <f aca="false">IF(S3549="","",IF(S3549&lt;=Setup!$B$5,"🏆 WINNER",""))</f>
        <v/>
      </c>
      <c r="U3549" s="24" t="str">
        <f aca="false">IF(S3549="","",I3549&amp;"|"&amp;S3549)</f>
        <v/>
      </c>
    </row>
    <row r="3550" customFormat="false" ht="15" hidden="false" customHeight="false" outlineLevel="0" collapsed="false">
      <c r="A3550" s="31" t="n">
        <v>3546</v>
      </c>
      <c r="B3550" s="32" t="str">
        <f aca="false">IF(OR(C3550="",I3550="",G3550=""),"",IFERROR(VLOOKUP(I3550,Setup!$A$9:$B$11,2,0),"???")&amp;"-"&amp;G3550&amp;"-"&amp;TEXT(COUNTIFS(I$5:I3550,I3550,G$5:G3550,G3550),"0000"))</f>
        <v/>
      </c>
      <c r="C3550" s="26"/>
      <c r="D3550" s="26"/>
      <c r="E3550" s="27"/>
      <c r="F3550" s="27"/>
      <c r="G3550" s="31" t="str">
        <f aca="false">IF(F3550="","",IF(F3550&lt;=5,"A",IF(F3550&lt;=8,"B",IF(F3550&lt;=10,"C","D"))))</f>
        <v/>
      </c>
      <c r="H3550" s="28"/>
      <c r="I3550" s="27"/>
      <c r="J3550" s="26"/>
      <c r="K3550" s="27"/>
      <c r="L3550" s="27"/>
      <c r="M3550" s="27"/>
      <c r="N3550" s="27"/>
      <c r="O3550" s="31" t="str">
        <f aca="false">IF(G3550="","",VLOOKUP(G3550,Setup!$A$14:$C$17,3,0))</f>
        <v/>
      </c>
      <c r="P3550" s="27"/>
      <c r="Q3550" s="33" t="str">
        <f aca="false">IF(OR(P3550="",M3550&lt;&gt;"Paid",O3550=""),"",P3550/O3550)</f>
        <v/>
      </c>
      <c r="R3550" s="34" t="str">
        <f aca="false">IF(Q3550="","",Q3550+N(H3550)*0.000000001)</f>
        <v/>
      </c>
      <c r="S3550" s="32" t="str">
        <f aca="false">IF(R3550="","",SUMPRODUCT((I$5:I$4004=I3550)*ISNUMBER(R$5:R$4004)*(R$5:R$4004&gt;R3550))+1)</f>
        <v/>
      </c>
      <c r="T3550" s="32" t="str">
        <f aca="false">IF(S3550="","",IF(S3550&lt;=Setup!$B$5,"🏆 WINNER",""))</f>
        <v/>
      </c>
      <c r="U3550" s="31" t="str">
        <f aca="false">IF(S3550="","",I3550&amp;"|"&amp;S3550)</f>
        <v/>
      </c>
    </row>
    <row r="3551" customFormat="false" ht="15" hidden="false" customHeight="false" outlineLevel="0" collapsed="false">
      <c r="A3551" s="24" t="n">
        <v>3547</v>
      </c>
      <c r="B3551" s="25" t="str">
        <f aca="false">IF(OR(C3551="",I3551="",G3551=""),"",IFERROR(VLOOKUP(I3551,Setup!$A$9:$B$11,2,0),"???")&amp;"-"&amp;G3551&amp;"-"&amp;TEXT(COUNTIFS(I$5:I3551,I3551,G$5:G3551,G3551),"0000"))</f>
        <v/>
      </c>
      <c r="C3551" s="26"/>
      <c r="D3551" s="26"/>
      <c r="E3551" s="27"/>
      <c r="F3551" s="27"/>
      <c r="G3551" s="24" t="str">
        <f aca="false">IF(F3551="","",IF(F3551&lt;=5,"A",IF(F3551&lt;=8,"B",IF(F3551&lt;=10,"C","D"))))</f>
        <v/>
      </c>
      <c r="H3551" s="28"/>
      <c r="I3551" s="27"/>
      <c r="J3551" s="26"/>
      <c r="K3551" s="27"/>
      <c r="L3551" s="27"/>
      <c r="M3551" s="27"/>
      <c r="N3551" s="27"/>
      <c r="O3551" s="24" t="str">
        <f aca="false">IF(G3551="","",VLOOKUP(G3551,Setup!$A$14:$C$17,3,0))</f>
        <v/>
      </c>
      <c r="P3551" s="27"/>
      <c r="Q3551" s="29" t="str">
        <f aca="false">IF(OR(P3551="",M3551&lt;&gt;"Paid",O3551=""),"",P3551/O3551)</f>
        <v/>
      </c>
      <c r="R3551" s="30" t="str">
        <f aca="false">IF(Q3551="","",Q3551+N(H3551)*0.000000001)</f>
        <v/>
      </c>
      <c r="S3551" s="25" t="str">
        <f aca="false">IF(R3551="","",SUMPRODUCT((I$5:I$4004=I3551)*ISNUMBER(R$5:R$4004)*(R$5:R$4004&gt;R3551))+1)</f>
        <v/>
      </c>
      <c r="T3551" s="25" t="str">
        <f aca="false">IF(S3551="","",IF(S3551&lt;=Setup!$B$5,"🏆 WINNER",""))</f>
        <v/>
      </c>
      <c r="U3551" s="24" t="str">
        <f aca="false">IF(S3551="","",I3551&amp;"|"&amp;S3551)</f>
        <v/>
      </c>
    </row>
    <row r="3552" customFormat="false" ht="15" hidden="false" customHeight="false" outlineLevel="0" collapsed="false">
      <c r="A3552" s="31" t="n">
        <v>3548</v>
      </c>
      <c r="B3552" s="32" t="str">
        <f aca="false">IF(OR(C3552="",I3552="",G3552=""),"",IFERROR(VLOOKUP(I3552,Setup!$A$9:$B$11,2,0),"???")&amp;"-"&amp;G3552&amp;"-"&amp;TEXT(COUNTIFS(I$5:I3552,I3552,G$5:G3552,G3552),"0000"))</f>
        <v/>
      </c>
      <c r="C3552" s="26"/>
      <c r="D3552" s="26"/>
      <c r="E3552" s="27"/>
      <c r="F3552" s="27"/>
      <c r="G3552" s="31" t="str">
        <f aca="false">IF(F3552="","",IF(F3552&lt;=5,"A",IF(F3552&lt;=8,"B",IF(F3552&lt;=10,"C","D"))))</f>
        <v/>
      </c>
      <c r="H3552" s="28"/>
      <c r="I3552" s="27"/>
      <c r="J3552" s="26"/>
      <c r="K3552" s="27"/>
      <c r="L3552" s="27"/>
      <c r="M3552" s="27"/>
      <c r="N3552" s="27"/>
      <c r="O3552" s="31" t="str">
        <f aca="false">IF(G3552="","",VLOOKUP(G3552,Setup!$A$14:$C$17,3,0))</f>
        <v/>
      </c>
      <c r="P3552" s="27"/>
      <c r="Q3552" s="33" t="str">
        <f aca="false">IF(OR(P3552="",M3552&lt;&gt;"Paid",O3552=""),"",P3552/O3552)</f>
        <v/>
      </c>
      <c r="R3552" s="34" t="str">
        <f aca="false">IF(Q3552="","",Q3552+N(H3552)*0.000000001)</f>
        <v/>
      </c>
      <c r="S3552" s="32" t="str">
        <f aca="false">IF(R3552="","",SUMPRODUCT((I$5:I$4004=I3552)*ISNUMBER(R$5:R$4004)*(R$5:R$4004&gt;R3552))+1)</f>
        <v/>
      </c>
      <c r="T3552" s="32" t="str">
        <f aca="false">IF(S3552="","",IF(S3552&lt;=Setup!$B$5,"🏆 WINNER",""))</f>
        <v/>
      </c>
      <c r="U3552" s="31" t="str">
        <f aca="false">IF(S3552="","",I3552&amp;"|"&amp;S3552)</f>
        <v/>
      </c>
    </row>
    <row r="3553" customFormat="false" ht="15" hidden="false" customHeight="false" outlineLevel="0" collapsed="false">
      <c r="A3553" s="24" t="n">
        <v>3549</v>
      </c>
      <c r="B3553" s="25" t="str">
        <f aca="false">IF(OR(C3553="",I3553="",G3553=""),"",IFERROR(VLOOKUP(I3553,Setup!$A$9:$B$11,2,0),"???")&amp;"-"&amp;G3553&amp;"-"&amp;TEXT(COUNTIFS(I$5:I3553,I3553,G$5:G3553,G3553),"0000"))</f>
        <v/>
      </c>
      <c r="C3553" s="26"/>
      <c r="D3553" s="26"/>
      <c r="E3553" s="27"/>
      <c r="F3553" s="27"/>
      <c r="G3553" s="24" t="str">
        <f aca="false">IF(F3553="","",IF(F3553&lt;=5,"A",IF(F3553&lt;=8,"B",IF(F3553&lt;=10,"C","D"))))</f>
        <v/>
      </c>
      <c r="H3553" s="28"/>
      <c r="I3553" s="27"/>
      <c r="J3553" s="26"/>
      <c r="K3553" s="27"/>
      <c r="L3553" s="27"/>
      <c r="M3553" s="27"/>
      <c r="N3553" s="27"/>
      <c r="O3553" s="24" t="str">
        <f aca="false">IF(G3553="","",VLOOKUP(G3553,Setup!$A$14:$C$17,3,0))</f>
        <v/>
      </c>
      <c r="P3553" s="27"/>
      <c r="Q3553" s="29" t="str">
        <f aca="false">IF(OR(P3553="",M3553&lt;&gt;"Paid",O3553=""),"",P3553/O3553)</f>
        <v/>
      </c>
      <c r="R3553" s="30" t="str">
        <f aca="false">IF(Q3553="","",Q3553+N(H3553)*0.000000001)</f>
        <v/>
      </c>
      <c r="S3553" s="25" t="str">
        <f aca="false">IF(R3553="","",SUMPRODUCT((I$5:I$4004=I3553)*ISNUMBER(R$5:R$4004)*(R$5:R$4004&gt;R3553))+1)</f>
        <v/>
      </c>
      <c r="T3553" s="25" t="str">
        <f aca="false">IF(S3553="","",IF(S3553&lt;=Setup!$B$5,"🏆 WINNER",""))</f>
        <v/>
      </c>
      <c r="U3553" s="24" t="str">
        <f aca="false">IF(S3553="","",I3553&amp;"|"&amp;S3553)</f>
        <v/>
      </c>
    </row>
    <row r="3554" customFormat="false" ht="15" hidden="false" customHeight="false" outlineLevel="0" collapsed="false">
      <c r="A3554" s="31" t="n">
        <v>3550</v>
      </c>
      <c r="B3554" s="32" t="str">
        <f aca="false">IF(OR(C3554="",I3554="",G3554=""),"",IFERROR(VLOOKUP(I3554,Setup!$A$9:$B$11,2,0),"???")&amp;"-"&amp;G3554&amp;"-"&amp;TEXT(COUNTIFS(I$5:I3554,I3554,G$5:G3554,G3554),"0000"))</f>
        <v/>
      </c>
      <c r="C3554" s="26"/>
      <c r="D3554" s="26"/>
      <c r="E3554" s="27"/>
      <c r="F3554" s="27"/>
      <c r="G3554" s="31" t="str">
        <f aca="false">IF(F3554="","",IF(F3554&lt;=5,"A",IF(F3554&lt;=8,"B",IF(F3554&lt;=10,"C","D"))))</f>
        <v/>
      </c>
      <c r="H3554" s="28"/>
      <c r="I3554" s="27"/>
      <c r="J3554" s="26"/>
      <c r="K3554" s="27"/>
      <c r="L3554" s="27"/>
      <c r="M3554" s="27"/>
      <c r="N3554" s="27"/>
      <c r="O3554" s="31" t="str">
        <f aca="false">IF(G3554="","",VLOOKUP(G3554,Setup!$A$14:$C$17,3,0))</f>
        <v/>
      </c>
      <c r="P3554" s="27"/>
      <c r="Q3554" s="33" t="str">
        <f aca="false">IF(OR(P3554="",M3554&lt;&gt;"Paid",O3554=""),"",P3554/O3554)</f>
        <v/>
      </c>
      <c r="R3554" s="34" t="str">
        <f aca="false">IF(Q3554="","",Q3554+N(H3554)*0.000000001)</f>
        <v/>
      </c>
      <c r="S3554" s="32" t="str">
        <f aca="false">IF(R3554="","",SUMPRODUCT((I$5:I$4004=I3554)*ISNUMBER(R$5:R$4004)*(R$5:R$4004&gt;R3554))+1)</f>
        <v/>
      </c>
      <c r="T3554" s="32" t="str">
        <f aca="false">IF(S3554="","",IF(S3554&lt;=Setup!$B$5,"🏆 WINNER",""))</f>
        <v/>
      </c>
      <c r="U3554" s="31" t="str">
        <f aca="false">IF(S3554="","",I3554&amp;"|"&amp;S3554)</f>
        <v/>
      </c>
    </row>
    <row r="3555" customFormat="false" ht="15" hidden="false" customHeight="false" outlineLevel="0" collapsed="false">
      <c r="A3555" s="24" t="n">
        <v>3551</v>
      </c>
      <c r="B3555" s="25" t="str">
        <f aca="false">IF(OR(C3555="",I3555="",G3555=""),"",IFERROR(VLOOKUP(I3555,Setup!$A$9:$B$11,2,0),"???")&amp;"-"&amp;G3555&amp;"-"&amp;TEXT(COUNTIFS(I$5:I3555,I3555,G$5:G3555,G3555),"0000"))</f>
        <v/>
      </c>
      <c r="C3555" s="26"/>
      <c r="D3555" s="26"/>
      <c r="E3555" s="27"/>
      <c r="F3555" s="27"/>
      <c r="G3555" s="24" t="str">
        <f aca="false">IF(F3555="","",IF(F3555&lt;=5,"A",IF(F3555&lt;=8,"B",IF(F3555&lt;=10,"C","D"))))</f>
        <v/>
      </c>
      <c r="H3555" s="28"/>
      <c r="I3555" s="27"/>
      <c r="J3555" s="26"/>
      <c r="K3555" s="27"/>
      <c r="L3555" s="27"/>
      <c r="M3555" s="27"/>
      <c r="N3555" s="27"/>
      <c r="O3555" s="24" t="str">
        <f aca="false">IF(G3555="","",VLOOKUP(G3555,Setup!$A$14:$C$17,3,0))</f>
        <v/>
      </c>
      <c r="P3555" s="27"/>
      <c r="Q3555" s="29" t="str">
        <f aca="false">IF(OR(P3555="",M3555&lt;&gt;"Paid",O3555=""),"",P3555/O3555)</f>
        <v/>
      </c>
      <c r="R3555" s="30" t="str">
        <f aca="false">IF(Q3555="","",Q3555+N(H3555)*0.000000001)</f>
        <v/>
      </c>
      <c r="S3555" s="25" t="str">
        <f aca="false">IF(R3555="","",SUMPRODUCT((I$5:I$4004=I3555)*ISNUMBER(R$5:R$4004)*(R$5:R$4004&gt;R3555))+1)</f>
        <v/>
      </c>
      <c r="T3555" s="25" t="str">
        <f aca="false">IF(S3555="","",IF(S3555&lt;=Setup!$B$5,"🏆 WINNER",""))</f>
        <v/>
      </c>
      <c r="U3555" s="24" t="str">
        <f aca="false">IF(S3555="","",I3555&amp;"|"&amp;S3555)</f>
        <v/>
      </c>
    </row>
    <row r="3556" customFormat="false" ht="15" hidden="false" customHeight="false" outlineLevel="0" collapsed="false">
      <c r="A3556" s="31" t="n">
        <v>3552</v>
      </c>
      <c r="B3556" s="32" t="str">
        <f aca="false">IF(OR(C3556="",I3556="",G3556=""),"",IFERROR(VLOOKUP(I3556,Setup!$A$9:$B$11,2,0),"???")&amp;"-"&amp;G3556&amp;"-"&amp;TEXT(COUNTIFS(I$5:I3556,I3556,G$5:G3556,G3556),"0000"))</f>
        <v/>
      </c>
      <c r="C3556" s="26"/>
      <c r="D3556" s="26"/>
      <c r="E3556" s="27"/>
      <c r="F3556" s="27"/>
      <c r="G3556" s="31" t="str">
        <f aca="false">IF(F3556="","",IF(F3556&lt;=5,"A",IF(F3556&lt;=8,"B",IF(F3556&lt;=10,"C","D"))))</f>
        <v/>
      </c>
      <c r="H3556" s="28"/>
      <c r="I3556" s="27"/>
      <c r="J3556" s="26"/>
      <c r="K3556" s="27"/>
      <c r="L3556" s="27"/>
      <c r="M3556" s="27"/>
      <c r="N3556" s="27"/>
      <c r="O3556" s="31" t="str">
        <f aca="false">IF(G3556="","",VLOOKUP(G3556,Setup!$A$14:$C$17,3,0))</f>
        <v/>
      </c>
      <c r="P3556" s="27"/>
      <c r="Q3556" s="33" t="str">
        <f aca="false">IF(OR(P3556="",M3556&lt;&gt;"Paid",O3556=""),"",P3556/O3556)</f>
        <v/>
      </c>
      <c r="R3556" s="34" t="str">
        <f aca="false">IF(Q3556="","",Q3556+N(H3556)*0.000000001)</f>
        <v/>
      </c>
      <c r="S3556" s="32" t="str">
        <f aca="false">IF(R3556="","",SUMPRODUCT((I$5:I$4004=I3556)*ISNUMBER(R$5:R$4004)*(R$5:R$4004&gt;R3556))+1)</f>
        <v/>
      </c>
      <c r="T3556" s="32" t="str">
        <f aca="false">IF(S3556="","",IF(S3556&lt;=Setup!$B$5,"🏆 WINNER",""))</f>
        <v/>
      </c>
      <c r="U3556" s="31" t="str">
        <f aca="false">IF(S3556="","",I3556&amp;"|"&amp;S3556)</f>
        <v/>
      </c>
    </row>
    <row r="3557" customFormat="false" ht="15" hidden="false" customHeight="false" outlineLevel="0" collapsed="false">
      <c r="A3557" s="24" t="n">
        <v>3553</v>
      </c>
      <c r="B3557" s="25" t="str">
        <f aca="false">IF(OR(C3557="",I3557="",G3557=""),"",IFERROR(VLOOKUP(I3557,Setup!$A$9:$B$11,2,0),"???")&amp;"-"&amp;G3557&amp;"-"&amp;TEXT(COUNTIFS(I$5:I3557,I3557,G$5:G3557,G3557),"0000"))</f>
        <v/>
      </c>
      <c r="C3557" s="26"/>
      <c r="D3557" s="26"/>
      <c r="E3557" s="27"/>
      <c r="F3557" s="27"/>
      <c r="G3557" s="24" t="str">
        <f aca="false">IF(F3557="","",IF(F3557&lt;=5,"A",IF(F3557&lt;=8,"B",IF(F3557&lt;=10,"C","D"))))</f>
        <v/>
      </c>
      <c r="H3557" s="28"/>
      <c r="I3557" s="27"/>
      <c r="J3557" s="26"/>
      <c r="K3557" s="27"/>
      <c r="L3557" s="27"/>
      <c r="M3557" s="27"/>
      <c r="N3557" s="27"/>
      <c r="O3557" s="24" t="str">
        <f aca="false">IF(G3557="","",VLOOKUP(G3557,Setup!$A$14:$C$17,3,0))</f>
        <v/>
      </c>
      <c r="P3557" s="27"/>
      <c r="Q3557" s="29" t="str">
        <f aca="false">IF(OR(P3557="",M3557&lt;&gt;"Paid",O3557=""),"",P3557/O3557)</f>
        <v/>
      </c>
      <c r="R3557" s="30" t="str">
        <f aca="false">IF(Q3557="","",Q3557+N(H3557)*0.000000001)</f>
        <v/>
      </c>
      <c r="S3557" s="25" t="str">
        <f aca="false">IF(R3557="","",SUMPRODUCT((I$5:I$4004=I3557)*ISNUMBER(R$5:R$4004)*(R$5:R$4004&gt;R3557))+1)</f>
        <v/>
      </c>
      <c r="T3557" s="25" t="str">
        <f aca="false">IF(S3557="","",IF(S3557&lt;=Setup!$B$5,"🏆 WINNER",""))</f>
        <v/>
      </c>
      <c r="U3557" s="24" t="str">
        <f aca="false">IF(S3557="","",I3557&amp;"|"&amp;S3557)</f>
        <v/>
      </c>
    </row>
    <row r="3558" customFormat="false" ht="15" hidden="false" customHeight="false" outlineLevel="0" collapsed="false">
      <c r="A3558" s="31" t="n">
        <v>3554</v>
      </c>
      <c r="B3558" s="32" t="str">
        <f aca="false">IF(OR(C3558="",I3558="",G3558=""),"",IFERROR(VLOOKUP(I3558,Setup!$A$9:$B$11,2,0),"???")&amp;"-"&amp;G3558&amp;"-"&amp;TEXT(COUNTIFS(I$5:I3558,I3558,G$5:G3558,G3558),"0000"))</f>
        <v/>
      </c>
      <c r="C3558" s="26"/>
      <c r="D3558" s="26"/>
      <c r="E3558" s="27"/>
      <c r="F3558" s="27"/>
      <c r="G3558" s="31" t="str">
        <f aca="false">IF(F3558="","",IF(F3558&lt;=5,"A",IF(F3558&lt;=8,"B",IF(F3558&lt;=10,"C","D"))))</f>
        <v/>
      </c>
      <c r="H3558" s="28"/>
      <c r="I3558" s="27"/>
      <c r="J3558" s="26"/>
      <c r="K3558" s="27"/>
      <c r="L3558" s="27"/>
      <c r="M3558" s="27"/>
      <c r="N3558" s="27"/>
      <c r="O3558" s="31" t="str">
        <f aca="false">IF(G3558="","",VLOOKUP(G3558,Setup!$A$14:$C$17,3,0))</f>
        <v/>
      </c>
      <c r="P3558" s="27"/>
      <c r="Q3558" s="33" t="str">
        <f aca="false">IF(OR(P3558="",M3558&lt;&gt;"Paid",O3558=""),"",P3558/O3558)</f>
        <v/>
      </c>
      <c r="R3558" s="34" t="str">
        <f aca="false">IF(Q3558="","",Q3558+N(H3558)*0.000000001)</f>
        <v/>
      </c>
      <c r="S3558" s="32" t="str">
        <f aca="false">IF(R3558="","",SUMPRODUCT((I$5:I$4004=I3558)*ISNUMBER(R$5:R$4004)*(R$5:R$4004&gt;R3558))+1)</f>
        <v/>
      </c>
      <c r="T3558" s="32" t="str">
        <f aca="false">IF(S3558="","",IF(S3558&lt;=Setup!$B$5,"🏆 WINNER",""))</f>
        <v/>
      </c>
      <c r="U3558" s="31" t="str">
        <f aca="false">IF(S3558="","",I3558&amp;"|"&amp;S3558)</f>
        <v/>
      </c>
    </row>
    <row r="3559" customFormat="false" ht="15" hidden="false" customHeight="false" outlineLevel="0" collapsed="false">
      <c r="A3559" s="24" t="n">
        <v>3555</v>
      </c>
      <c r="B3559" s="25" t="str">
        <f aca="false">IF(OR(C3559="",I3559="",G3559=""),"",IFERROR(VLOOKUP(I3559,Setup!$A$9:$B$11,2,0),"???")&amp;"-"&amp;G3559&amp;"-"&amp;TEXT(COUNTIFS(I$5:I3559,I3559,G$5:G3559,G3559),"0000"))</f>
        <v/>
      </c>
      <c r="C3559" s="26"/>
      <c r="D3559" s="26"/>
      <c r="E3559" s="27"/>
      <c r="F3559" s="27"/>
      <c r="G3559" s="24" t="str">
        <f aca="false">IF(F3559="","",IF(F3559&lt;=5,"A",IF(F3559&lt;=8,"B",IF(F3559&lt;=10,"C","D"))))</f>
        <v/>
      </c>
      <c r="H3559" s="28"/>
      <c r="I3559" s="27"/>
      <c r="J3559" s="26"/>
      <c r="K3559" s="27"/>
      <c r="L3559" s="27"/>
      <c r="M3559" s="27"/>
      <c r="N3559" s="27"/>
      <c r="O3559" s="24" t="str">
        <f aca="false">IF(G3559="","",VLOOKUP(G3559,Setup!$A$14:$C$17,3,0))</f>
        <v/>
      </c>
      <c r="P3559" s="27"/>
      <c r="Q3559" s="29" t="str">
        <f aca="false">IF(OR(P3559="",M3559&lt;&gt;"Paid",O3559=""),"",P3559/O3559)</f>
        <v/>
      </c>
      <c r="R3559" s="30" t="str">
        <f aca="false">IF(Q3559="","",Q3559+N(H3559)*0.000000001)</f>
        <v/>
      </c>
      <c r="S3559" s="25" t="str">
        <f aca="false">IF(R3559="","",SUMPRODUCT((I$5:I$4004=I3559)*ISNUMBER(R$5:R$4004)*(R$5:R$4004&gt;R3559))+1)</f>
        <v/>
      </c>
      <c r="T3559" s="25" t="str">
        <f aca="false">IF(S3559="","",IF(S3559&lt;=Setup!$B$5,"🏆 WINNER",""))</f>
        <v/>
      </c>
      <c r="U3559" s="24" t="str">
        <f aca="false">IF(S3559="","",I3559&amp;"|"&amp;S3559)</f>
        <v/>
      </c>
    </row>
    <row r="3560" customFormat="false" ht="15" hidden="false" customHeight="false" outlineLevel="0" collapsed="false">
      <c r="A3560" s="31" t="n">
        <v>3556</v>
      </c>
      <c r="B3560" s="32" t="str">
        <f aca="false">IF(OR(C3560="",I3560="",G3560=""),"",IFERROR(VLOOKUP(I3560,Setup!$A$9:$B$11,2,0),"???")&amp;"-"&amp;G3560&amp;"-"&amp;TEXT(COUNTIFS(I$5:I3560,I3560,G$5:G3560,G3560),"0000"))</f>
        <v/>
      </c>
      <c r="C3560" s="26"/>
      <c r="D3560" s="26"/>
      <c r="E3560" s="27"/>
      <c r="F3560" s="27"/>
      <c r="G3560" s="31" t="str">
        <f aca="false">IF(F3560="","",IF(F3560&lt;=5,"A",IF(F3560&lt;=8,"B",IF(F3560&lt;=10,"C","D"))))</f>
        <v/>
      </c>
      <c r="H3560" s="28"/>
      <c r="I3560" s="27"/>
      <c r="J3560" s="26"/>
      <c r="K3560" s="27"/>
      <c r="L3560" s="27"/>
      <c r="M3560" s="27"/>
      <c r="N3560" s="27"/>
      <c r="O3560" s="31" t="str">
        <f aca="false">IF(G3560="","",VLOOKUP(G3560,Setup!$A$14:$C$17,3,0))</f>
        <v/>
      </c>
      <c r="P3560" s="27"/>
      <c r="Q3560" s="33" t="str">
        <f aca="false">IF(OR(P3560="",M3560&lt;&gt;"Paid",O3560=""),"",P3560/O3560)</f>
        <v/>
      </c>
      <c r="R3560" s="34" t="str">
        <f aca="false">IF(Q3560="","",Q3560+N(H3560)*0.000000001)</f>
        <v/>
      </c>
      <c r="S3560" s="32" t="str">
        <f aca="false">IF(R3560="","",SUMPRODUCT((I$5:I$4004=I3560)*ISNUMBER(R$5:R$4004)*(R$5:R$4004&gt;R3560))+1)</f>
        <v/>
      </c>
      <c r="T3560" s="32" t="str">
        <f aca="false">IF(S3560="","",IF(S3560&lt;=Setup!$B$5,"🏆 WINNER",""))</f>
        <v/>
      </c>
      <c r="U3560" s="31" t="str">
        <f aca="false">IF(S3560="","",I3560&amp;"|"&amp;S3560)</f>
        <v/>
      </c>
    </row>
    <row r="3561" customFormat="false" ht="15" hidden="false" customHeight="false" outlineLevel="0" collapsed="false">
      <c r="A3561" s="24" t="n">
        <v>3557</v>
      </c>
      <c r="B3561" s="25" t="str">
        <f aca="false">IF(OR(C3561="",I3561="",G3561=""),"",IFERROR(VLOOKUP(I3561,Setup!$A$9:$B$11,2,0),"???")&amp;"-"&amp;G3561&amp;"-"&amp;TEXT(COUNTIFS(I$5:I3561,I3561,G$5:G3561,G3561),"0000"))</f>
        <v/>
      </c>
      <c r="C3561" s="26"/>
      <c r="D3561" s="26"/>
      <c r="E3561" s="27"/>
      <c r="F3561" s="27"/>
      <c r="G3561" s="24" t="str">
        <f aca="false">IF(F3561="","",IF(F3561&lt;=5,"A",IF(F3561&lt;=8,"B",IF(F3561&lt;=10,"C","D"))))</f>
        <v/>
      </c>
      <c r="H3561" s="28"/>
      <c r="I3561" s="27"/>
      <c r="J3561" s="26"/>
      <c r="K3561" s="27"/>
      <c r="L3561" s="27"/>
      <c r="M3561" s="27"/>
      <c r="N3561" s="27"/>
      <c r="O3561" s="24" t="str">
        <f aca="false">IF(G3561="","",VLOOKUP(G3561,Setup!$A$14:$C$17,3,0))</f>
        <v/>
      </c>
      <c r="P3561" s="27"/>
      <c r="Q3561" s="29" t="str">
        <f aca="false">IF(OR(P3561="",M3561&lt;&gt;"Paid",O3561=""),"",P3561/O3561)</f>
        <v/>
      </c>
      <c r="R3561" s="30" t="str">
        <f aca="false">IF(Q3561="","",Q3561+N(H3561)*0.000000001)</f>
        <v/>
      </c>
      <c r="S3561" s="25" t="str">
        <f aca="false">IF(R3561="","",SUMPRODUCT((I$5:I$4004=I3561)*ISNUMBER(R$5:R$4004)*(R$5:R$4004&gt;R3561))+1)</f>
        <v/>
      </c>
      <c r="T3561" s="25" t="str">
        <f aca="false">IF(S3561="","",IF(S3561&lt;=Setup!$B$5,"🏆 WINNER",""))</f>
        <v/>
      </c>
      <c r="U3561" s="24" t="str">
        <f aca="false">IF(S3561="","",I3561&amp;"|"&amp;S3561)</f>
        <v/>
      </c>
    </row>
    <row r="3562" customFormat="false" ht="15" hidden="false" customHeight="false" outlineLevel="0" collapsed="false">
      <c r="A3562" s="31" t="n">
        <v>3558</v>
      </c>
      <c r="B3562" s="32" t="str">
        <f aca="false">IF(OR(C3562="",I3562="",G3562=""),"",IFERROR(VLOOKUP(I3562,Setup!$A$9:$B$11,2,0),"???")&amp;"-"&amp;G3562&amp;"-"&amp;TEXT(COUNTIFS(I$5:I3562,I3562,G$5:G3562,G3562),"0000"))</f>
        <v/>
      </c>
      <c r="C3562" s="26"/>
      <c r="D3562" s="26"/>
      <c r="E3562" s="27"/>
      <c r="F3562" s="27"/>
      <c r="G3562" s="31" t="str">
        <f aca="false">IF(F3562="","",IF(F3562&lt;=5,"A",IF(F3562&lt;=8,"B",IF(F3562&lt;=10,"C","D"))))</f>
        <v/>
      </c>
      <c r="H3562" s="28"/>
      <c r="I3562" s="27"/>
      <c r="J3562" s="26"/>
      <c r="K3562" s="27"/>
      <c r="L3562" s="27"/>
      <c r="M3562" s="27"/>
      <c r="N3562" s="27"/>
      <c r="O3562" s="31" t="str">
        <f aca="false">IF(G3562="","",VLOOKUP(G3562,Setup!$A$14:$C$17,3,0))</f>
        <v/>
      </c>
      <c r="P3562" s="27"/>
      <c r="Q3562" s="33" t="str">
        <f aca="false">IF(OR(P3562="",M3562&lt;&gt;"Paid",O3562=""),"",P3562/O3562)</f>
        <v/>
      </c>
      <c r="R3562" s="34" t="str">
        <f aca="false">IF(Q3562="","",Q3562+N(H3562)*0.000000001)</f>
        <v/>
      </c>
      <c r="S3562" s="32" t="str">
        <f aca="false">IF(R3562="","",SUMPRODUCT((I$5:I$4004=I3562)*ISNUMBER(R$5:R$4004)*(R$5:R$4004&gt;R3562))+1)</f>
        <v/>
      </c>
      <c r="T3562" s="32" t="str">
        <f aca="false">IF(S3562="","",IF(S3562&lt;=Setup!$B$5,"🏆 WINNER",""))</f>
        <v/>
      </c>
      <c r="U3562" s="31" t="str">
        <f aca="false">IF(S3562="","",I3562&amp;"|"&amp;S3562)</f>
        <v/>
      </c>
    </row>
    <row r="3563" customFormat="false" ht="15" hidden="false" customHeight="false" outlineLevel="0" collapsed="false">
      <c r="A3563" s="24" t="n">
        <v>3559</v>
      </c>
      <c r="B3563" s="25" t="str">
        <f aca="false">IF(OR(C3563="",I3563="",G3563=""),"",IFERROR(VLOOKUP(I3563,Setup!$A$9:$B$11,2,0),"???")&amp;"-"&amp;G3563&amp;"-"&amp;TEXT(COUNTIFS(I$5:I3563,I3563,G$5:G3563,G3563),"0000"))</f>
        <v/>
      </c>
      <c r="C3563" s="26"/>
      <c r="D3563" s="26"/>
      <c r="E3563" s="27"/>
      <c r="F3563" s="27"/>
      <c r="G3563" s="24" t="str">
        <f aca="false">IF(F3563="","",IF(F3563&lt;=5,"A",IF(F3563&lt;=8,"B",IF(F3563&lt;=10,"C","D"))))</f>
        <v/>
      </c>
      <c r="H3563" s="28"/>
      <c r="I3563" s="27"/>
      <c r="J3563" s="26"/>
      <c r="K3563" s="27"/>
      <c r="L3563" s="27"/>
      <c r="M3563" s="27"/>
      <c r="N3563" s="27"/>
      <c r="O3563" s="24" t="str">
        <f aca="false">IF(G3563="","",VLOOKUP(G3563,Setup!$A$14:$C$17,3,0))</f>
        <v/>
      </c>
      <c r="P3563" s="27"/>
      <c r="Q3563" s="29" t="str">
        <f aca="false">IF(OR(P3563="",M3563&lt;&gt;"Paid",O3563=""),"",P3563/O3563)</f>
        <v/>
      </c>
      <c r="R3563" s="30" t="str">
        <f aca="false">IF(Q3563="","",Q3563+N(H3563)*0.000000001)</f>
        <v/>
      </c>
      <c r="S3563" s="25" t="str">
        <f aca="false">IF(R3563="","",SUMPRODUCT((I$5:I$4004=I3563)*ISNUMBER(R$5:R$4004)*(R$5:R$4004&gt;R3563))+1)</f>
        <v/>
      </c>
      <c r="T3563" s="25" t="str">
        <f aca="false">IF(S3563="","",IF(S3563&lt;=Setup!$B$5,"🏆 WINNER",""))</f>
        <v/>
      </c>
      <c r="U3563" s="24" t="str">
        <f aca="false">IF(S3563="","",I3563&amp;"|"&amp;S3563)</f>
        <v/>
      </c>
    </row>
    <row r="3564" customFormat="false" ht="15" hidden="false" customHeight="false" outlineLevel="0" collapsed="false">
      <c r="A3564" s="31" t="n">
        <v>3560</v>
      </c>
      <c r="B3564" s="32" t="str">
        <f aca="false">IF(OR(C3564="",I3564="",G3564=""),"",IFERROR(VLOOKUP(I3564,Setup!$A$9:$B$11,2,0),"???")&amp;"-"&amp;G3564&amp;"-"&amp;TEXT(COUNTIFS(I$5:I3564,I3564,G$5:G3564,G3564),"0000"))</f>
        <v/>
      </c>
      <c r="C3564" s="26"/>
      <c r="D3564" s="26"/>
      <c r="E3564" s="27"/>
      <c r="F3564" s="27"/>
      <c r="G3564" s="31" t="str">
        <f aca="false">IF(F3564="","",IF(F3564&lt;=5,"A",IF(F3564&lt;=8,"B",IF(F3564&lt;=10,"C","D"))))</f>
        <v/>
      </c>
      <c r="H3564" s="28"/>
      <c r="I3564" s="27"/>
      <c r="J3564" s="26"/>
      <c r="K3564" s="27"/>
      <c r="L3564" s="27"/>
      <c r="M3564" s="27"/>
      <c r="N3564" s="27"/>
      <c r="O3564" s="31" t="str">
        <f aca="false">IF(G3564="","",VLOOKUP(G3564,Setup!$A$14:$C$17,3,0))</f>
        <v/>
      </c>
      <c r="P3564" s="27"/>
      <c r="Q3564" s="33" t="str">
        <f aca="false">IF(OR(P3564="",M3564&lt;&gt;"Paid",O3564=""),"",P3564/O3564)</f>
        <v/>
      </c>
      <c r="R3564" s="34" t="str">
        <f aca="false">IF(Q3564="","",Q3564+N(H3564)*0.000000001)</f>
        <v/>
      </c>
      <c r="S3564" s="32" t="str">
        <f aca="false">IF(R3564="","",SUMPRODUCT((I$5:I$4004=I3564)*ISNUMBER(R$5:R$4004)*(R$5:R$4004&gt;R3564))+1)</f>
        <v/>
      </c>
      <c r="T3564" s="32" t="str">
        <f aca="false">IF(S3564="","",IF(S3564&lt;=Setup!$B$5,"🏆 WINNER",""))</f>
        <v/>
      </c>
      <c r="U3564" s="31" t="str">
        <f aca="false">IF(S3564="","",I3564&amp;"|"&amp;S3564)</f>
        <v/>
      </c>
    </row>
    <row r="3565" customFormat="false" ht="15" hidden="false" customHeight="false" outlineLevel="0" collapsed="false">
      <c r="A3565" s="24" t="n">
        <v>3561</v>
      </c>
      <c r="B3565" s="25" t="str">
        <f aca="false">IF(OR(C3565="",I3565="",G3565=""),"",IFERROR(VLOOKUP(I3565,Setup!$A$9:$B$11,2,0),"???")&amp;"-"&amp;G3565&amp;"-"&amp;TEXT(COUNTIFS(I$5:I3565,I3565,G$5:G3565,G3565),"0000"))</f>
        <v/>
      </c>
      <c r="C3565" s="26"/>
      <c r="D3565" s="26"/>
      <c r="E3565" s="27"/>
      <c r="F3565" s="27"/>
      <c r="G3565" s="24" t="str">
        <f aca="false">IF(F3565="","",IF(F3565&lt;=5,"A",IF(F3565&lt;=8,"B",IF(F3565&lt;=10,"C","D"))))</f>
        <v/>
      </c>
      <c r="H3565" s="28"/>
      <c r="I3565" s="27"/>
      <c r="J3565" s="26"/>
      <c r="K3565" s="27"/>
      <c r="L3565" s="27"/>
      <c r="M3565" s="27"/>
      <c r="N3565" s="27"/>
      <c r="O3565" s="24" t="str">
        <f aca="false">IF(G3565="","",VLOOKUP(G3565,Setup!$A$14:$C$17,3,0))</f>
        <v/>
      </c>
      <c r="P3565" s="27"/>
      <c r="Q3565" s="29" t="str">
        <f aca="false">IF(OR(P3565="",M3565&lt;&gt;"Paid",O3565=""),"",P3565/O3565)</f>
        <v/>
      </c>
      <c r="R3565" s="30" t="str">
        <f aca="false">IF(Q3565="","",Q3565+N(H3565)*0.000000001)</f>
        <v/>
      </c>
      <c r="S3565" s="25" t="str">
        <f aca="false">IF(R3565="","",SUMPRODUCT((I$5:I$4004=I3565)*ISNUMBER(R$5:R$4004)*(R$5:R$4004&gt;R3565))+1)</f>
        <v/>
      </c>
      <c r="T3565" s="25" t="str">
        <f aca="false">IF(S3565="","",IF(S3565&lt;=Setup!$B$5,"🏆 WINNER",""))</f>
        <v/>
      </c>
      <c r="U3565" s="24" t="str">
        <f aca="false">IF(S3565="","",I3565&amp;"|"&amp;S3565)</f>
        <v/>
      </c>
    </row>
    <row r="3566" customFormat="false" ht="15" hidden="false" customHeight="false" outlineLevel="0" collapsed="false">
      <c r="A3566" s="31" t="n">
        <v>3562</v>
      </c>
      <c r="B3566" s="32" t="str">
        <f aca="false">IF(OR(C3566="",I3566="",G3566=""),"",IFERROR(VLOOKUP(I3566,Setup!$A$9:$B$11,2,0),"???")&amp;"-"&amp;G3566&amp;"-"&amp;TEXT(COUNTIFS(I$5:I3566,I3566,G$5:G3566,G3566),"0000"))</f>
        <v/>
      </c>
      <c r="C3566" s="26"/>
      <c r="D3566" s="26"/>
      <c r="E3566" s="27"/>
      <c r="F3566" s="27"/>
      <c r="G3566" s="31" t="str">
        <f aca="false">IF(F3566="","",IF(F3566&lt;=5,"A",IF(F3566&lt;=8,"B",IF(F3566&lt;=10,"C","D"))))</f>
        <v/>
      </c>
      <c r="H3566" s="28"/>
      <c r="I3566" s="27"/>
      <c r="J3566" s="26"/>
      <c r="K3566" s="27"/>
      <c r="L3566" s="27"/>
      <c r="M3566" s="27"/>
      <c r="N3566" s="27"/>
      <c r="O3566" s="31" t="str">
        <f aca="false">IF(G3566="","",VLOOKUP(G3566,Setup!$A$14:$C$17,3,0))</f>
        <v/>
      </c>
      <c r="P3566" s="27"/>
      <c r="Q3566" s="33" t="str">
        <f aca="false">IF(OR(P3566="",M3566&lt;&gt;"Paid",O3566=""),"",P3566/O3566)</f>
        <v/>
      </c>
      <c r="R3566" s="34" t="str">
        <f aca="false">IF(Q3566="","",Q3566+N(H3566)*0.000000001)</f>
        <v/>
      </c>
      <c r="S3566" s="32" t="str">
        <f aca="false">IF(R3566="","",SUMPRODUCT((I$5:I$4004=I3566)*ISNUMBER(R$5:R$4004)*(R$5:R$4004&gt;R3566))+1)</f>
        <v/>
      </c>
      <c r="T3566" s="32" t="str">
        <f aca="false">IF(S3566="","",IF(S3566&lt;=Setup!$B$5,"🏆 WINNER",""))</f>
        <v/>
      </c>
      <c r="U3566" s="31" t="str">
        <f aca="false">IF(S3566="","",I3566&amp;"|"&amp;S3566)</f>
        <v/>
      </c>
    </row>
    <row r="3567" customFormat="false" ht="15" hidden="false" customHeight="false" outlineLevel="0" collapsed="false">
      <c r="A3567" s="24" t="n">
        <v>3563</v>
      </c>
      <c r="B3567" s="25" t="str">
        <f aca="false">IF(OR(C3567="",I3567="",G3567=""),"",IFERROR(VLOOKUP(I3567,Setup!$A$9:$B$11,2,0),"???")&amp;"-"&amp;G3567&amp;"-"&amp;TEXT(COUNTIFS(I$5:I3567,I3567,G$5:G3567,G3567),"0000"))</f>
        <v/>
      </c>
      <c r="C3567" s="26"/>
      <c r="D3567" s="26"/>
      <c r="E3567" s="27"/>
      <c r="F3567" s="27"/>
      <c r="G3567" s="24" t="str">
        <f aca="false">IF(F3567="","",IF(F3567&lt;=5,"A",IF(F3567&lt;=8,"B",IF(F3567&lt;=10,"C","D"))))</f>
        <v/>
      </c>
      <c r="H3567" s="28"/>
      <c r="I3567" s="27"/>
      <c r="J3567" s="26"/>
      <c r="K3567" s="27"/>
      <c r="L3567" s="27"/>
      <c r="M3567" s="27"/>
      <c r="N3567" s="27"/>
      <c r="O3567" s="24" t="str">
        <f aca="false">IF(G3567="","",VLOOKUP(G3567,Setup!$A$14:$C$17,3,0))</f>
        <v/>
      </c>
      <c r="P3567" s="27"/>
      <c r="Q3567" s="29" t="str">
        <f aca="false">IF(OR(P3567="",M3567&lt;&gt;"Paid",O3567=""),"",P3567/O3567)</f>
        <v/>
      </c>
      <c r="R3567" s="30" t="str">
        <f aca="false">IF(Q3567="","",Q3567+N(H3567)*0.000000001)</f>
        <v/>
      </c>
      <c r="S3567" s="25" t="str">
        <f aca="false">IF(R3567="","",SUMPRODUCT((I$5:I$4004=I3567)*ISNUMBER(R$5:R$4004)*(R$5:R$4004&gt;R3567))+1)</f>
        <v/>
      </c>
      <c r="T3567" s="25" t="str">
        <f aca="false">IF(S3567="","",IF(S3567&lt;=Setup!$B$5,"🏆 WINNER",""))</f>
        <v/>
      </c>
      <c r="U3567" s="24" t="str">
        <f aca="false">IF(S3567="","",I3567&amp;"|"&amp;S3567)</f>
        <v/>
      </c>
    </row>
    <row r="3568" customFormat="false" ht="15" hidden="false" customHeight="false" outlineLevel="0" collapsed="false">
      <c r="A3568" s="31" t="n">
        <v>3564</v>
      </c>
      <c r="B3568" s="32" t="str">
        <f aca="false">IF(OR(C3568="",I3568="",G3568=""),"",IFERROR(VLOOKUP(I3568,Setup!$A$9:$B$11,2,0),"???")&amp;"-"&amp;G3568&amp;"-"&amp;TEXT(COUNTIFS(I$5:I3568,I3568,G$5:G3568,G3568),"0000"))</f>
        <v/>
      </c>
      <c r="C3568" s="26"/>
      <c r="D3568" s="26"/>
      <c r="E3568" s="27"/>
      <c r="F3568" s="27"/>
      <c r="G3568" s="31" t="str">
        <f aca="false">IF(F3568="","",IF(F3568&lt;=5,"A",IF(F3568&lt;=8,"B",IF(F3568&lt;=10,"C","D"))))</f>
        <v/>
      </c>
      <c r="H3568" s="28"/>
      <c r="I3568" s="27"/>
      <c r="J3568" s="26"/>
      <c r="K3568" s="27"/>
      <c r="L3568" s="27"/>
      <c r="M3568" s="27"/>
      <c r="N3568" s="27"/>
      <c r="O3568" s="31" t="str">
        <f aca="false">IF(G3568="","",VLOOKUP(G3568,Setup!$A$14:$C$17,3,0))</f>
        <v/>
      </c>
      <c r="P3568" s="27"/>
      <c r="Q3568" s="33" t="str">
        <f aca="false">IF(OR(P3568="",M3568&lt;&gt;"Paid",O3568=""),"",P3568/O3568)</f>
        <v/>
      </c>
      <c r="R3568" s="34" t="str">
        <f aca="false">IF(Q3568="","",Q3568+N(H3568)*0.000000001)</f>
        <v/>
      </c>
      <c r="S3568" s="32" t="str">
        <f aca="false">IF(R3568="","",SUMPRODUCT((I$5:I$4004=I3568)*ISNUMBER(R$5:R$4004)*(R$5:R$4004&gt;R3568))+1)</f>
        <v/>
      </c>
      <c r="T3568" s="32" t="str">
        <f aca="false">IF(S3568="","",IF(S3568&lt;=Setup!$B$5,"🏆 WINNER",""))</f>
        <v/>
      </c>
      <c r="U3568" s="31" t="str">
        <f aca="false">IF(S3568="","",I3568&amp;"|"&amp;S3568)</f>
        <v/>
      </c>
    </row>
    <row r="3569" customFormat="false" ht="15" hidden="false" customHeight="false" outlineLevel="0" collapsed="false">
      <c r="A3569" s="24" t="n">
        <v>3565</v>
      </c>
      <c r="B3569" s="25" t="str">
        <f aca="false">IF(OR(C3569="",I3569="",G3569=""),"",IFERROR(VLOOKUP(I3569,Setup!$A$9:$B$11,2,0),"???")&amp;"-"&amp;G3569&amp;"-"&amp;TEXT(COUNTIFS(I$5:I3569,I3569,G$5:G3569,G3569),"0000"))</f>
        <v/>
      </c>
      <c r="C3569" s="26"/>
      <c r="D3569" s="26"/>
      <c r="E3569" s="27"/>
      <c r="F3569" s="27"/>
      <c r="G3569" s="24" t="str">
        <f aca="false">IF(F3569="","",IF(F3569&lt;=5,"A",IF(F3569&lt;=8,"B",IF(F3569&lt;=10,"C","D"))))</f>
        <v/>
      </c>
      <c r="H3569" s="28"/>
      <c r="I3569" s="27"/>
      <c r="J3569" s="26"/>
      <c r="K3569" s="27"/>
      <c r="L3569" s="27"/>
      <c r="M3569" s="27"/>
      <c r="N3569" s="27"/>
      <c r="O3569" s="24" t="str">
        <f aca="false">IF(G3569="","",VLOOKUP(G3569,Setup!$A$14:$C$17,3,0))</f>
        <v/>
      </c>
      <c r="P3569" s="27"/>
      <c r="Q3569" s="29" t="str">
        <f aca="false">IF(OR(P3569="",M3569&lt;&gt;"Paid",O3569=""),"",P3569/O3569)</f>
        <v/>
      </c>
      <c r="R3569" s="30" t="str">
        <f aca="false">IF(Q3569="","",Q3569+N(H3569)*0.000000001)</f>
        <v/>
      </c>
      <c r="S3569" s="25" t="str">
        <f aca="false">IF(R3569="","",SUMPRODUCT((I$5:I$4004=I3569)*ISNUMBER(R$5:R$4004)*(R$5:R$4004&gt;R3569))+1)</f>
        <v/>
      </c>
      <c r="T3569" s="25" t="str">
        <f aca="false">IF(S3569="","",IF(S3569&lt;=Setup!$B$5,"🏆 WINNER",""))</f>
        <v/>
      </c>
      <c r="U3569" s="24" t="str">
        <f aca="false">IF(S3569="","",I3569&amp;"|"&amp;S3569)</f>
        <v/>
      </c>
    </row>
    <row r="3570" customFormat="false" ht="15" hidden="false" customHeight="false" outlineLevel="0" collapsed="false">
      <c r="A3570" s="31" t="n">
        <v>3566</v>
      </c>
      <c r="B3570" s="32" t="str">
        <f aca="false">IF(OR(C3570="",I3570="",G3570=""),"",IFERROR(VLOOKUP(I3570,Setup!$A$9:$B$11,2,0),"???")&amp;"-"&amp;G3570&amp;"-"&amp;TEXT(COUNTIFS(I$5:I3570,I3570,G$5:G3570,G3570),"0000"))</f>
        <v/>
      </c>
      <c r="C3570" s="26"/>
      <c r="D3570" s="26"/>
      <c r="E3570" s="27"/>
      <c r="F3570" s="27"/>
      <c r="G3570" s="31" t="str">
        <f aca="false">IF(F3570="","",IF(F3570&lt;=5,"A",IF(F3570&lt;=8,"B",IF(F3570&lt;=10,"C","D"))))</f>
        <v/>
      </c>
      <c r="H3570" s="28"/>
      <c r="I3570" s="27"/>
      <c r="J3570" s="26"/>
      <c r="K3570" s="27"/>
      <c r="L3570" s="27"/>
      <c r="M3570" s="27"/>
      <c r="N3570" s="27"/>
      <c r="O3570" s="31" t="str">
        <f aca="false">IF(G3570="","",VLOOKUP(G3570,Setup!$A$14:$C$17,3,0))</f>
        <v/>
      </c>
      <c r="P3570" s="27"/>
      <c r="Q3570" s="33" t="str">
        <f aca="false">IF(OR(P3570="",M3570&lt;&gt;"Paid",O3570=""),"",P3570/O3570)</f>
        <v/>
      </c>
      <c r="R3570" s="34" t="str">
        <f aca="false">IF(Q3570="","",Q3570+N(H3570)*0.000000001)</f>
        <v/>
      </c>
      <c r="S3570" s="32" t="str">
        <f aca="false">IF(R3570="","",SUMPRODUCT((I$5:I$4004=I3570)*ISNUMBER(R$5:R$4004)*(R$5:R$4004&gt;R3570))+1)</f>
        <v/>
      </c>
      <c r="T3570" s="32" t="str">
        <f aca="false">IF(S3570="","",IF(S3570&lt;=Setup!$B$5,"🏆 WINNER",""))</f>
        <v/>
      </c>
      <c r="U3570" s="31" t="str">
        <f aca="false">IF(S3570="","",I3570&amp;"|"&amp;S3570)</f>
        <v/>
      </c>
    </row>
    <row r="3571" customFormat="false" ht="15" hidden="false" customHeight="false" outlineLevel="0" collapsed="false">
      <c r="A3571" s="24" t="n">
        <v>3567</v>
      </c>
      <c r="B3571" s="25" t="str">
        <f aca="false">IF(OR(C3571="",I3571="",G3571=""),"",IFERROR(VLOOKUP(I3571,Setup!$A$9:$B$11,2,0),"???")&amp;"-"&amp;G3571&amp;"-"&amp;TEXT(COUNTIFS(I$5:I3571,I3571,G$5:G3571,G3571),"0000"))</f>
        <v/>
      </c>
      <c r="C3571" s="26"/>
      <c r="D3571" s="26"/>
      <c r="E3571" s="27"/>
      <c r="F3571" s="27"/>
      <c r="G3571" s="24" t="str">
        <f aca="false">IF(F3571="","",IF(F3571&lt;=5,"A",IF(F3571&lt;=8,"B",IF(F3571&lt;=10,"C","D"))))</f>
        <v/>
      </c>
      <c r="H3571" s="28"/>
      <c r="I3571" s="27"/>
      <c r="J3571" s="26"/>
      <c r="K3571" s="27"/>
      <c r="L3571" s="27"/>
      <c r="M3571" s="27"/>
      <c r="N3571" s="27"/>
      <c r="O3571" s="24" t="str">
        <f aca="false">IF(G3571="","",VLOOKUP(G3571,Setup!$A$14:$C$17,3,0))</f>
        <v/>
      </c>
      <c r="P3571" s="27"/>
      <c r="Q3571" s="29" t="str">
        <f aca="false">IF(OR(P3571="",M3571&lt;&gt;"Paid",O3571=""),"",P3571/O3571)</f>
        <v/>
      </c>
      <c r="R3571" s="30" t="str">
        <f aca="false">IF(Q3571="","",Q3571+N(H3571)*0.000000001)</f>
        <v/>
      </c>
      <c r="S3571" s="25" t="str">
        <f aca="false">IF(R3571="","",SUMPRODUCT((I$5:I$4004=I3571)*ISNUMBER(R$5:R$4004)*(R$5:R$4004&gt;R3571))+1)</f>
        <v/>
      </c>
      <c r="T3571" s="25" t="str">
        <f aca="false">IF(S3571="","",IF(S3571&lt;=Setup!$B$5,"🏆 WINNER",""))</f>
        <v/>
      </c>
      <c r="U3571" s="24" t="str">
        <f aca="false">IF(S3571="","",I3571&amp;"|"&amp;S3571)</f>
        <v/>
      </c>
    </row>
    <row r="3572" customFormat="false" ht="15" hidden="false" customHeight="false" outlineLevel="0" collapsed="false">
      <c r="A3572" s="31" t="n">
        <v>3568</v>
      </c>
      <c r="B3572" s="32" t="str">
        <f aca="false">IF(OR(C3572="",I3572="",G3572=""),"",IFERROR(VLOOKUP(I3572,Setup!$A$9:$B$11,2,0),"???")&amp;"-"&amp;G3572&amp;"-"&amp;TEXT(COUNTIFS(I$5:I3572,I3572,G$5:G3572,G3572),"0000"))</f>
        <v/>
      </c>
      <c r="C3572" s="26"/>
      <c r="D3572" s="26"/>
      <c r="E3572" s="27"/>
      <c r="F3572" s="27"/>
      <c r="G3572" s="31" t="str">
        <f aca="false">IF(F3572="","",IF(F3572&lt;=5,"A",IF(F3572&lt;=8,"B",IF(F3572&lt;=10,"C","D"))))</f>
        <v/>
      </c>
      <c r="H3572" s="28"/>
      <c r="I3572" s="27"/>
      <c r="J3572" s="26"/>
      <c r="K3572" s="27"/>
      <c r="L3572" s="27"/>
      <c r="M3572" s="27"/>
      <c r="N3572" s="27"/>
      <c r="O3572" s="31" t="str">
        <f aca="false">IF(G3572="","",VLOOKUP(G3572,Setup!$A$14:$C$17,3,0))</f>
        <v/>
      </c>
      <c r="P3572" s="27"/>
      <c r="Q3572" s="33" t="str">
        <f aca="false">IF(OR(P3572="",M3572&lt;&gt;"Paid",O3572=""),"",P3572/O3572)</f>
        <v/>
      </c>
      <c r="R3572" s="34" t="str">
        <f aca="false">IF(Q3572="","",Q3572+N(H3572)*0.000000001)</f>
        <v/>
      </c>
      <c r="S3572" s="32" t="str">
        <f aca="false">IF(R3572="","",SUMPRODUCT((I$5:I$4004=I3572)*ISNUMBER(R$5:R$4004)*(R$5:R$4004&gt;R3572))+1)</f>
        <v/>
      </c>
      <c r="T3572" s="32" t="str">
        <f aca="false">IF(S3572="","",IF(S3572&lt;=Setup!$B$5,"🏆 WINNER",""))</f>
        <v/>
      </c>
      <c r="U3572" s="31" t="str">
        <f aca="false">IF(S3572="","",I3572&amp;"|"&amp;S3572)</f>
        <v/>
      </c>
    </row>
    <row r="3573" customFormat="false" ht="15" hidden="false" customHeight="false" outlineLevel="0" collapsed="false">
      <c r="A3573" s="24" t="n">
        <v>3569</v>
      </c>
      <c r="B3573" s="25" t="str">
        <f aca="false">IF(OR(C3573="",I3573="",G3573=""),"",IFERROR(VLOOKUP(I3573,Setup!$A$9:$B$11,2,0),"???")&amp;"-"&amp;G3573&amp;"-"&amp;TEXT(COUNTIFS(I$5:I3573,I3573,G$5:G3573,G3573),"0000"))</f>
        <v/>
      </c>
      <c r="C3573" s="26"/>
      <c r="D3573" s="26"/>
      <c r="E3573" s="27"/>
      <c r="F3573" s="27"/>
      <c r="G3573" s="24" t="str">
        <f aca="false">IF(F3573="","",IF(F3573&lt;=5,"A",IF(F3573&lt;=8,"B",IF(F3573&lt;=10,"C","D"))))</f>
        <v/>
      </c>
      <c r="H3573" s="28"/>
      <c r="I3573" s="27"/>
      <c r="J3573" s="26"/>
      <c r="K3573" s="27"/>
      <c r="L3573" s="27"/>
      <c r="M3573" s="27"/>
      <c r="N3573" s="27"/>
      <c r="O3573" s="24" t="str">
        <f aca="false">IF(G3573="","",VLOOKUP(G3573,Setup!$A$14:$C$17,3,0))</f>
        <v/>
      </c>
      <c r="P3573" s="27"/>
      <c r="Q3573" s="29" t="str">
        <f aca="false">IF(OR(P3573="",M3573&lt;&gt;"Paid",O3573=""),"",P3573/O3573)</f>
        <v/>
      </c>
      <c r="R3573" s="30" t="str">
        <f aca="false">IF(Q3573="","",Q3573+N(H3573)*0.000000001)</f>
        <v/>
      </c>
      <c r="S3573" s="25" t="str">
        <f aca="false">IF(R3573="","",SUMPRODUCT((I$5:I$4004=I3573)*ISNUMBER(R$5:R$4004)*(R$5:R$4004&gt;R3573))+1)</f>
        <v/>
      </c>
      <c r="T3573" s="25" t="str">
        <f aca="false">IF(S3573="","",IF(S3573&lt;=Setup!$B$5,"🏆 WINNER",""))</f>
        <v/>
      </c>
      <c r="U3573" s="24" t="str">
        <f aca="false">IF(S3573="","",I3573&amp;"|"&amp;S3573)</f>
        <v/>
      </c>
    </row>
    <row r="3574" customFormat="false" ht="15" hidden="false" customHeight="false" outlineLevel="0" collapsed="false">
      <c r="A3574" s="31" t="n">
        <v>3570</v>
      </c>
      <c r="B3574" s="32" t="str">
        <f aca="false">IF(OR(C3574="",I3574="",G3574=""),"",IFERROR(VLOOKUP(I3574,Setup!$A$9:$B$11,2,0),"???")&amp;"-"&amp;G3574&amp;"-"&amp;TEXT(COUNTIFS(I$5:I3574,I3574,G$5:G3574,G3574),"0000"))</f>
        <v/>
      </c>
      <c r="C3574" s="26"/>
      <c r="D3574" s="26"/>
      <c r="E3574" s="27"/>
      <c r="F3574" s="27"/>
      <c r="G3574" s="31" t="str">
        <f aca="false">IF(F3574="","",IF(F3574&lt;=5,"A",IF(F3574&lt;=8,"B",IF(F3574&lt;=10,"C","D"))))</f>
        <v/>
      </c>
      <c r="H3574" s="28"/>
      <c r="I3574" s="27"/>
      <c r="J3574" s="26"/>
      <c r="K3574" s="27"/>
      <c r="L3574" s="27"/>
      <c r="M3574" s="27"/>
      <c r="N3574" s="27"/>
      <c r="O3574" s="31" t="str">
        <f aca="false">IF(G3574="","",VLOOKUP(G3574,Setup!$A$14:$C$17,3,0))</f>
        <v/>
      </c>
      <c r="P3574" s="27"/>
      <c r="Q3574" s="33" t="str">
        <f aca="false">IF(OR(P3574="",M3574&lt;&gt;"Paid",O3574=""),"",P3574/O3574)</f>
        <v/>
      </c>
      <c r="R3574" s="34" t="str">
        <f aca="false">IF(Q3574="","",Q3574+N(H3574)*0.000000001)</f>
        <v/>
      </c>
      <c r="S3574" s="32" t="str">
        <f aca="false">IF(R3574="","",SUMPRODUCT((I$5:I$4004=I3574)*ISNUMBER(R$5:R$4004)*(R$5:R$4004&gt;R3574))+1)</f>
        <v/>
      </c>
      <c r="T3574" s="32" t="str">
        <f aca="false">IF(S3574="","",IF(S3574&lt;=Setup!$B$5,"🏆 WINNER",""))</f>
        <v/>
      </c>
      <c r="U3574" s="31" t="str">
        <f aca="false">IF(S3574="","",I3574&amp;"|"&amp;S3574)</f>
        <v/>
      </c>
    </row>
    <row r="3575" customFormat="false" ht="15" hidden="false" customHeight="false" outlineLevel="0" collapsed="false">
      <c r="A3575" s="24" t="n">
        <v>3571</v>
      </c>
      <c r="B3575" s="25" t="str">
        <f aca="false">IF(OR(C3575="",I3575="",G3575=""),"",IFERROR(VLOOKUP(I3575,Setup!$A$9:$B$11,2,0),"???")&amp;"-"&amp;G3575&amp;"-"&amp;TEXT(COUNTIFS(I$5:I3575,I3575,G$5:G3575,G3575),"0000"))</f>
        <v/>
      </c>
      <c r="C3575" s="26"/>
      <c r="D3575" s="26"/>
      <c r="E3575" s="27"/>
      <c r="F3575" s="27"/>
      <c r="G3575" s="24" t="str">
        <f aca="false">IF(F3575="","",IF(F3575&lt;=5,"A",IF(F3575&lt;=8,"B",IF(F3575&lt;=10,"C","D"))))</f>
        <v/>
      </c>
      <c r="H3575" s="28"/>
      <c r="I3575" s="27"/>
      <c r="J3575" s="26"/>
      <c r="K3575" s="27"/>
      <c r="L3575" s="27"/>
      <c r="M3575" s="27"/>
      <c r="N3575" s="27"/>
      <c r="O3575" s="24" t="str">
        <f aca="false">IF(G3575="","",VLOOKUP(G3575,Setup!$A$14:$C$17,3,0))</f>
        <v/>
      </c>
      <c r="P3575" s="27"/>
      <c r="Q3575" s="29" t="str">
        <f aca="false">IF(OR(P3575="",M3575&lt;&gt;"Paid",O3575=""),"",P3575/O3575)</f>
        <v/>
      </c>
      <c r="R3575" s="30" t="str">
        <f aca="false">IF(Q3575="","",Q3575+N(H3575)*0.000000001)</f>
        <v/>
      </c>
      <c r="S3575" s="25" t="str">
        <f aca="false">IF(R3575="","",SUMPRODUCT((I$5:I$4004=I3575)*ISNUMBER(R$5:R$4004)*(R$5:R$4004&gt;R3575))+1)</f>
        <v/>
      </c>
      <c r="T3575" s="25" t="str">
        <f aca="false">IF(S3575="","",IF(S3575&lt;=Setup!$B$5,"🏆 WINNER",""))</f>
        <v/>
      </c>
      <c r="U3575" s="24" t="str">
        <f aca="false">IF(S3575="","",I3575&amp;"|"&amp;S3575)</f>
        <v/>
      </c>
    </row>
    <row r="3576" customFormat="false" ht="15" hidden="false" customHeight="false" outlineLevel="0" collapsed="false">
      <c r="A3576" s="31" t="n">
        <v>3572</v>
      </c>
      <c r="B3576" s="32" t="str">
        <f aca="false">IF(OR(C3576="",I3576="",G3576=""),"",IFERROR(VLOOKUP(I3576,Setup!$A$9:$B$11,2,0),"???")&amp;"-"&amp;G3576&amp;"-"&amp;TEXT(COUNTIFS(I$5:I3576,I3576,G$5:G3576,G3576),"0000"))</f>
        <v/>
      </c>
      <c r="C3576" s="26"/>
      <c r="D3576" s="26"/>
      <c r="E3576" s="27"/>
      <c r="F3576" s="27"/>
      <c r="G3576" s="31" t="str">
        <f aca="false">IF(F3576="","",IF(F3576&lt;=5,"A",IF(F3576&lt;=8,"B",IF(F3576&lt;=10,"C","D"))))</f>
        <v/>
      </c>
      <c r="H3576" s="28"/>
      <c r="I3576" s="27"/>
      <c r="J3576" s="26"/>
      <c r="K3576" s="27"/>
      <c r="L3576" s="27"/>
      <c r="M3576" s="27"/>
      <c r="N3576" s="27"/>
      <c r="O3576" s="31" t="str">
        <f aca="false">IF(G3576="","",VLOOKUP(G3576,Setup!$A$14:$C$17,3,0))</f>
        <v/>
      </c>
      <c r="P3576" s="27"/>
      <c r="Q3576" s="33" t="str">
        <f aca="false">IF(OR(P3576="",M3576&lt;&gt;"Paid",O3576=""),"",P3576/O3576)</f>
        <v/>
      </c>
      <c r="R3576" s="34" t="str">
        <f aca="false">IF(Q3576="","",Q3576+N(H3576)*0.000000001)</f>
        <v/>
      </c>
      <c r="S3576" s="32" t="str">
        <f aca="false">IF(R3576="","",SUMPRODUCT((I$5:I$4004=I3576)*ISNUMBER(R$5:R$4004)*(R$5:R$4004&gt;R3576))+1)</f>
        <v/>
      </c>
      <c r="T3576" s="32" t="str">
        <f aca="false">IF(S3576="","",IF(S3576&lt;=Setup!$B$5,"🏆 WINNER",""))</f>
        <v/>
      </c>
      <c r="U3576" s="31" t="str">
        <f aca="false">IF(S3576="","",I3576&amp;"|"&amp;S3576)</f>
        <v/>
      </c>
    </row>
    <row r="3577" customFormat="false" ht="15" hidden="false" customHeight="false" outlineLevel="0" collapsed="false">
      <c r="A3577" s="24" t="n">
        <v>3573</v>
      </c>
      <c r="B3577" s="25" t="str">
        <f aca="false">IF(OR(C3577="",I3577="",G3577=""),"",IFERROR(VLOOKUP(I3577,Setup!$A$9:$B$11,2,0),"???")&amp;"-"&amp;G3577&amp;"-"&amp;TEXT(COUNTIFS(I$5:I3577,I3577,G$5:G3577,G3577),"0000"))</f>
        <v/>
      </c>
      <c r="C3577" s="26"/>
      <c r="D3577" s="26"/>
      <c r="E3577" s="27"/>
      <c r="F3577" s="27"/>
      <c r="G3577" s="24" t="str">
        <f aca="false">IF(F3577="","",IF(F3577&lt;=5,"A",IF(F3577&lt;=8,"B",IF(F3577&lt;=10,"C","D"))))</f>
        <v/>
      </c>
      <c r="H3577" s="28"/>
      <c r="I3577" s="27"/>
      <c r="J3577" s="26"/>
      <c r="K3577" s="27"/>
      <c r="L3577" s="27"/>
      <c r="M3577" s="27"/>
      <c r="N3577" s="27"/>
      <c r="O3577" s="24" t="str">
        <f aca="false">IF(G3577="","",VLOOKUP(G3577,Setup!$A$14:$C$17,3,0))</f>
        <v/>
      </c>
      <c r="P3577" s="27"/>
      <c r="Q3577" s="29" t="str">
        <f aca="false">IF(OR(P3577="",M3577&lt;&gt;"Paid",O3577=""),"",P3577/O3577)</f>
        <v/>
      </c>
      <c r="R3577" s="30" t="str">
        <f aca="false">IF(Q3577="","",Q3577+N(H3577)*0.000000001)</f>
        <v/>
      </c>
      <c r="S3577" s="25" t="str">
        <f aca="false">IF(R3577="","",SUMPRODUCT((I$5:I$4004=I3577)*ISNUMBER(R$5:R$4004)*(R$5:R$4004&gt;R3577))+1)</f>
        <v/>
      </c>
      <c r="T3577" s="25" t="str">
        <f aca="false">IF(S3577="","",IF(S3577&lt;=Setup!$B$5,"🏆 WINNER",""))</f>
        <v/>
      </c>
      <c r="U3577" s="24" t="str">
        <f aca="false">IF(S3577="","",I3577&amp;"|"&amp;S3577)</f>
        <v/>
      </c>
    </row>
    <row r="3578" customFormat="false" ht="15" hidden="false" customHeight="false" outlineLevel="0" collapsed="false">
      <c r="A3578" s="31" t="n">
        <v>3574</v>
      </c>
      <c r="B3578" s="32" t="str">
        <f aca="false">IF(OR(C3578="",I3578="",G3578=""),"",IFERROR(VLOOKUP(I3578,Setup!$A$9:$B$11,2,0),"???")&amp;"-"&amp;G3578&amp;"-"&amp;TEXT(COUNTIFS(I$5:I3578,I3578,G$5:G3578,G3578),"0000"))</f>
        <v/>
      </c>
      <c r="C3578" s="26"/>
      <c r="D3578" s="26"/>
      <c r="E3578" s="27"/>
      <c r="F3578" s="27"/>
      <c r="G3578" s="31" t="str">
        <f aca="false">IF(F3578="","",IF(F3578&lt;=5,"A",IF(F3578&lt;=8,"B",IF(F3578&lt;=10,"C","D"))))</f>
        <v/>
      </c>
      <c r="H3578" s="28"/>
      <c r="I3578" s="27"/>
      <c r="J3578" s="26"/>
      <c r="K3578" s="27"/>
      <c r="L3578" s="27"/>
      <c r="M3578" s="27"/>
      <c r="N3578" s="27"/>
      <c r="O3578" s="31" t="str">
        <f aca="false">IF(G3578="","",VLOOKUP(G3578,Setup!$A$14:$C$17,3,0))</f>
        <v/>
      </c>
      <c r="P3578" s="27"/>
      <c r="Q3578" s="33" t="str">
        <f aca="false">IF(OR(P3578="",M3578&lt;&gt;"Paid",O3578=""),"",P3578/O3578)</f>
        <v/>
      </c>
      <c r="R3578" s="34" t="str">
        <f aca="false">IF(Q3578="","",Q3578+N(H3578)*0.000000001)</f>
        <v/>
      </c>
      <c r="S3578" s="32" t="str">
        <f aca="false">IF(R3578="","",SUMPRODUCT((I$5:I$4004=I3578)*ISNUMBER(R$5:R$4004)*(R$5:R$4004&gt;R3578))+1)</f>
        <v/>
      </c>
      <c r="T3578" s="32" t="str">
        <f aca="false">IF(S3578="","",IF(S3578&lt;=Setup!$B$5,"🏆 WINNER",""))</f>
        <v/>
      </c>
      <c r="U3578" s="31" t="str">
        <f aca="false">IF(S3578="","",I3578&amp;"|"&amp;S3578)</f>
        <v/>
      </c>
    </row>
    <row r="3579" customFormat="false" ht="15" hidden="false" customHeight="false" outlineLevel="0" collapsed="false">
      <c r="A3579" s="24" t="n">
        <v>3575</v>
      </c>
      <c r="B3579" s="25" t="str">
        <f aca="false">IF(OR(C3579="",I3579="",G3579=""),"",IFERROR(VLOOKUP(I3579,Setup!$A$9:$B$11,2,0),"???")&amp;"-"&amp;G3579&amp;"-"&amp;TEXT(COUNTIFS(I$5:I3579,I3579,G$5:G3579,G3579),"0000"))</f>
        <v/>
      </c>
      <c r="C3579" s="26"/>
      <c r="D3579" s="26"/>
      <c r="E3579" s="27"/>
      <c r="F3579" s="27"/>
      <c r="G3579" s="24" t="str">
        <f aca="false">IF(F3579="","",IF(F3579&lt;=5,"A",IF(F3579&lt;=8,"B",IF(F3579&lt;=10,"C","D"))))</f>
        <v/>
      </c>
      <c r="H3579" s="28"/>
      <c r="I3579" s="27"/>
      <c r="J3579" s="26"/>
      <c r="K3579" s="27"/>
      <c r="L3579" s="27"/>
      <c r="M3579" s="27"/>
      <c r="N3579" s="27"/>
      <c r="O3579" s="24" t="str">
        <f aca="false">IF(G3579="","",VLOOKUP(G3579,Setup!$A$14:$C$17,3,0))</f>
        <v/>
      </c>
      <c r="P3579" s="27"/>
      <c r="Q3579" s="29" t="str">
        <f aca="false">IF(OR(P3579="",M3579&lt;&gt;"Paid",O3579=""),"",P3579/O3579)</f>
        <v/>
      </c>
      <c r="R3579" s="30" t="str">
        <f aca="false">IF(Q3579="","",Q3579+N(H3579)*0.000000001)</f>
        <v/>
      </c>
      <c r="S3579" s="25" t="str">
        <f aca="false">IF(R3579="","",SUMPRODUCT((I$5:I$4004=I3579)*ISNUMBER(R$5:R$4004)*(R$5:R$4004&gt;R3579))+1)</f>
        <v/>
      </c>
      <c r="T3579" s="25" t="str">
        <f aca="false">IF(S3579="","",IF(S3579&lt;=Setup!$B$5,"🏆 WINNER",""))</f>
        <v/>
      </c>
      <c r="U3579" s="24" t="str">
        <f aca="false">IF(S3579="","",I3579&amp;"|"&amp;S3579)</f>
        <v/>
      </c>
    </row>
    <row r="3580" customFormat="false" ht="15" hidden="false" customHeight="false" outlineLevel="0" collapsed="false">
      <c r="A3580" s="31" t="n">
        <v>3576</v>
      </c>
      <c r="B3580" s="32" t="str">
        <f aca="false">IF(OR(C3580="",I3580="",G3580=""),"",IFERROR(VLOOKUP(I3580,Setup!$A$9:$B$11,2,0),"???")&amp;"-"&amp;G3580&amp;"-"&amp;TEXT(COUNTIFS(I$5:I3580,I3580,G$5:G3580,G3580),"0000"))</f>
        <v/>
      </c>
      <c r="C3580" s="26"/>
      <c r="D3580" s="26"/>
      <c r="E3580" s="27"/>
      <c r="F3580" s="27"/>
      <c r="G3580" s="31" t="str">
        <f aca="false">IF(F3580="","",IF(F3580&lt;=5,"A",IF(F3580&lt;=8,"B",IF(F3580&lt;=10,"C","D"))))</f>
        <v/>
      </c>
      <c r="H3580" s="28"/>
      <c r="I3580" s="27"/>
      <c r="J3580" s="26"/>
      <c r="K3580" s="27"/>
      <c r="L3580" s="27"/>
      <c r="M3580" s="27"/>
      <c r="N3580" s="27"/>
      <c r="O3580" s="31" t="str">
        <f aca="false">IF(G3580="","",VLOOKUP(G3580,Setup!$A$14:$C$17,3,0))</f>
        <v/>
      </c>
      <c r="P3580" s="27"/>
      <c r="Q3580" s="33" t="str">
        <f aca="false">IF(OR(P3580="",M3580&lt;&gt;"Paid",O3580=""),"",P3580/O3580)</f>
        <v/>
      </c>
      <c r="R3580" s="34" t="str">
        <f aca="false">IF(Q3580="","",Q3580+N(H3580)*0.000000001)</f>
        <v/>
      </c>
      <c r="S3580" s="32" t="str">
        <f aca="false">IF(R3580="","",SUMPRODUCT((I$5:I$4004=I3580)*ISNUMBER(R$5:R$4004)*(R$5:R$4004&gt;R3580))+1)</f>
        <v/>
      </c>
      <c r="T3580" s="32" t="str">
        <f aca="false">IF(S3580="","",IF(S3580&lt;=Setup!$B$5,"🏆 WINNER",""))</f>
        <v/>
      </c>
      <c r="U3580" s="31" t="str">
        <f aca="false">IF(S3580="","",I3580&amp;"|"&amp;S3580)</f>
        <v/>
      </c>
    </row>
    <row r="3581" customFormat="false" ht="15" hidden="false" customHeight="false" outlineLevel="0" collapsed="false">
      <c r="A3581" s="24" t="n">
        <v>3577</v>
      </c>
      <c r="B3581" s="25" t="str">
        <f aca="false">IF(OR(C3581="",I3581="",G3581=""),"",IFERROR(VLOOKUP(I3581,Setup!$A$9:$B$11,2,0),"???")&amp;"-"&amp;G3581&amp;"-"&amp;TEXT(COUNTIFS(I$5:I3581,I3581,G$5:G3581,G3581),"0000"))</f>
        <v/>
      </c>
      <c r="C3581" s="26"/>
      <c r="D3581" s="26"/>
      <c r="E3581" s="27"/>
      <c r="F3581" s="27"/>
      <c r="G3581" s="24" t="str">
        <f aca="false">IF(F3581="","",IF(F3581&lt;=5,"A",IF(F3581&lt;=8,"B",IF(F3581&lt;=10,"C","D"))))</f>
        <v/>
      </c>
      <c r="H3581" s="28"/>
      <c r="I3581" s="27"/>
      <c r="J3581" s="26"/>
      <c r="K3581" s="27"/>
      <c r="L3581" s="27"/>
      <c r="M3581" s="27"/>
      <c r="N3581" s="27"/>
      <c r="O3581" s="24" t="str">
        <f aca="false">IF(G3581="","",VLOOKUP(G3581,Setup!$A$14:$C$17,3,0))</f>
        <v/>
      </c>
      <c r="P3581" s="27"/>
      <c r="Q3581" s="29" t="str">
        <f aca="false">IF(OR(P3581="",M3581&lt;&gt;"Paid",O3581=""),"",P3581/O3581)</f>
        <v/>
      </c>
      <c r="R3581" s="30" t="str">
        <f aca="false">IF(Q3581="","",Q3581+N(H3581)*0.000000001)</f>
        <v/>
      </c>
      <c r="S3581" s="25" t="str">
        <f aca="false">IF(R3581="","",SUMPRODUCT((I$5:I$4004=I3581)*ISNUMBER(R$5:R$4004)*(R$5:R$4004&gt;R3581))+1)</f>
        <v/>
      </c>
      <c r="T3581" s="25" t="str">
        <f aca="false">IF(S3581="","",IF(S3581&lt;=Setup!$B$5,"🏆 WINNER",""))</f>
        <v/>
      </c>
      <c r="U3581" s="24" t="str">
        <f aca="false">IF(S3581="","",I3581&amp;"|"&amp;S3581)</f>
        <v/>
      </c>
    </row>
    <row r="3582" customFormat="false" ht="15" hidden="false" customHeight="false" outlineLevel="0" collapsed="false">
      <c r="A3582" s="31" t="n">
        <v>3578</v>
      </c>
      <c r="B3582" s="32" t="str">
        <f aca="false">IF(OR(C3582="",I3582="",G3582=""),"",IFERROR(VLOOKUP(I3582,Setup!$A$9:$B$11,2,0),"???")&amp;"-"&amp;G3582&amp;"-"&amp;TEXT(COUNTIFS(I$5:I3582,I3582,G$5:G3582,G3582),"0000"))</f>
        <v/>
      </c>
      <c r="C3582" s="26"/>
      <c r="D3582" s="26"/>
      <c r="E3582" s="27"/>
      <c r="F3582" s="27"/>
      <c r="G3582" s="31" t="str">
        <f aca="false">IF(F3582="","",IF(F3582&lt;=5,"A",IF(F3582&lt;=8,"B",IF(F3582&lt;=10,"C","D"))))</f>
        <v/>
      </c>
      <c r="H3582" s="28"/>
      <c r="I3582" s="27"/>
      <c r="J3582" s="26"/>
      <c r="K3582" s="27"/>
      <c r="L3582" s="27"/>
      <c r="M3582" s="27"/>
      <c r="N3582" s="27"/>
      <c r="O3582" s="31" t="str">
        <f aca="false">IF(G3582="","",VLOOKUP(G3582,Setup!$A$14:$C$17,3,0))</f>
        <v/>
      </c>
      <c r="P3582" s="27"/>
      <c r="Q3582" s="33" t="str">
        <f aca="false">IF(OR(P3582="",M3582&lt;&gt;"Paid",O3582=""),"",P3582/O3582)</f>
        <v/>
      </c>
      <c r="R3582" s="34" t="str">
        <f aca="false">IF(Q3582="","",Q3582+N(H3582)*0.000000001)</f>
        <v/>
      </c>
      <c r="S3582" s="32" t="str">
        <f aca="false">IF(R3582="","",SUMPRODUCT((I$5:I$4004=I3582)*ISNUMBER(R$5:R$4004)*(R$5:R$4004&gt;R3582))+1)</f>
        <v/>
      </c>
      <c r="T3582" s="32" t="str">
        <f aca="false">IF(S3582="","",IF(S3582&lt;=Setup!$B$5,"🏆 WINNER",""))</f>
        <v/>
      </c>
      <c r="U3582" s="31" t="str">
        <f aca="false">IF(S3582="","",I3582&amp;"|"&amp;S3582)</f>
        <v/>
      </c>
    </row>
    <row r="3583" customFormat="false" ht="15" hidden="false" customHeight="false" outlineLevel="0" collapsed="false">
      <c r="A3583" s="24" t="n">
        <v>3579</v>
      </c>
      <c r="B3583" s="25" t="str">
        <f aca="false">IF(OR(C3583="",I3583="",G3583=""),"",IFERROR(VLOOKUP(I3583,Setup!$A$9:$B$11,2,0),"???")&amp;"-"&amp;G3583&amp;"-"&amp;TEXT(COUNTIFS(I$5:I3583,I3583,G$5:G3583,G3583),"0000"))</f>
        <v/>
      </c>
      <c r="C3583" s="26"/>
      <c r="D3583" s="26"/>
      <c r="E3583" s="27"/>
      <c r="F3583" s="27"/>
      <c r="G3583" s="24" t="str">
        <f aca="false">IF(F3583="","",IF(F3583&lt;=5,"A",IF(F3583&lt;=8,"B",IF(F3583&lt;=10,"C","D"))))</f>
        <v/>
      </c>
      <c r="H3583" s="28"/>
      <c r="I3583" s="27"/>
      <c r="J3583" s="26"/>
      <c r="K3583" s="27"/>
      <c r="L3583" s="27"/>
      <c r="M3583" s="27"/>
      <c r="N3583" s="27"/>
      <c r="O3583" s="24" t="str">
        <f aca="false">IF(G3583="","",VLOOKUP(G3583,Setup!$A$14:$C$17,3,0))</f>
        <v/>
      </c>
      <c r="P3583" s="27"/>
      <c r="Q3583" s="29" t="str">
        <f aca="false">IF(OR(P3583="",M3583&lt;&gt;"Paid",O3583=""),"",P3583/O3583)</f>
        <v/>
      </c>
      <c r="R3583" s="30" t="str">
        <f aca="false">IF(Q3583="","",Q3583+N(H3583)*0.000000001)</f>
        <v/>
      </c>
      <c r="S3583" s="25" t="str">
        <f aca="false">IF(R3583="","",SUMPRODUCT((I$5:I$4004=I3583)*ISNUMBER(R$5:R$4004)*(R$5:R$4004&gt;R3583))+1)</f>
        <v/>
      </c>
      <c r="T3583" s="25" t="str">
        <f aca="false">IF(S3583="","",IF(S3583&lt;=Setup!$B$5,"🏆 WINNER",""))</f>
        <v/>
      </c>
      <c r="U3583" s="24" t="str">
        <f aca="false">IF(S3583="","",I3583&amp;"|"&amp;S3583)</f>
        <v/>
      </c>
    </row>
    <row r="3584" customFormat="false" ht="15" hidden="false" customHeight="false" outlineLevel="0" collapsed="false">
      <c r="A3584" s="31" t="n">
        <v>3580</v>
      </c>
      <c r="B3584" s="32" t="str">
        <f aca="false">IF(OR(C3584="",I3584="",G3584=""),"",IFERROR(VLOOKUP(I3584,Setup!$A$9:$B$11,2,0),"???")&amp;"-"&amp;G3584&amp;"-"&amp;TEXT(COUNTIFS(I$5:I3584,I3584,G$5:G3584,G3584),"0000"))</f>
        <v/>
      </c>
      <c r="C3584" s="26"/>
      <c r="D3584" s="26"/>
      <c r="E3584" s="27"/>
      <c r="F3584" s="27"/>
      <c r="G3584" s="31" t="str">
        <f aca="false">IF(F3584="","",IF(F3584&lt;=5,"A",IF(F3584&lt;=8,"B",IF(F3584&lt;=10,"C","D"))))</f>
        <v/>
      </c>
      <c r="H3584" s="28"/>
      <c r="I3584" s="27"/>
      <c r="J3584" s="26"/>
      <c r="K3584" s="27"/>
      <c r="L3584" s="27"/>
      <c r="M3584" s="27"/>
      <c r="N3584" s="27"/>
      <c r="O3584" s="31" t="str">
        <f aca="false">IF(G3584="","",VLOOKUP(G3584,Setup!$A$14:$C$17,3,0))</f>
        <v/>
      </c>
      <c r="P3584" s="27"/>
      <c r="Q3584" s="33" t="str">
        <f aca="false">IF(OR(P3584="",M3584&lt;&gt;"Paid",O3584=""),"",P3584/O3584)</f>
        <v/>
      </c>
      <c r="R3584" s="34" t="str">
        <f aca="false">IF(Q3584="","",Q3584+N(H3584)*0.000000001)</f>
        <v/>
      </c>
      <c r="S3584" s="32" t="str">
        <f aca="false">IF(R3584="","",SUMPRODUCT((I$5:I$4004=I3584)*ISNUMBER(R$5:R$4004)*(R$5:R$4004&gt;R3584))+1)</f>
        <v/>
      </c>
      <c r="T3584" s="32" t="str">
        <f aca="false">IF(S3584="","",IF(S3584&lt;=Setup!$B$5,"🏆 WINNER",""))</f>
        <v/>
      </c>
      <c r="U3584" s="31" t="str">
        <f aca="false">IF(S3584="","",I3584&amp;"|"&amp;S3584)</f>
        <v/>
      </c>
    </row>
    <row r="3585" customFormat="false" ht="15" hidden="false" customHeight="false" outlineLevel="0" collapsed="false">
      <c r="A3585" s="24" t="n">
        <v>3581</v>
      </c>
      <c r="B3585" s="25" t="str">
        <f aca="false">IF(OR(C3585="",I3585="",G3585=""),"",IFERROR(VLOOKUP(I3585,Setup!$A$9:$B$11,2,0),"???")&amp;"-"&amp;G3585&amp;"-"&amp;TEXT(COUNTIFS(I$5:I3585,I3585,G$5:G3585,G3585),"0000"))</f>
        <v/>
      </c>
      <c r="C3585" s="26"/>
      <c r="D3585" s="26"/>
      <c r="E3585" s="27"/>
      <c r="F3585" s="27"/>
      <c r="G3585" s="24" t="str">
        <f aca="false">IF(F3585="","",IF(F3585&lt;=5,"A",IF(F3585&lt;=8,"B",IF(F3585&lt;=10,"C","D"))))</f>
        <v/>
      </c>
      <c r="H3585" s="28"/>
      <c r="I3585" s="27"/>
      <c r="J3585" s="26"/>
      <c r="K3585" s="27"/>
      <c r="L3585" s="27"/>
      <c r="M3585" s="27"/>
      <c r="N3585" s="27"/>
      <c r="O3585" s="24" t="str">
        <f aca="false">IF(G3585="","",VLOOKUP(G3585,Setup!$A$14:$C$17,3,0))</f>
        <v/>
      </c>
      <c r="P3585" s="27"/>
      <c r="Q3585" s="29" t="str">
        <f aca="false">IF(OR(P3585="",M3585&lt;&gt;"Paid",O3585=""),"",P3585/O3585)</f>
        <v/>
      </c>
      <c r="R3585" s="30" t="str">
        <f aca="false">IF(Q3585="","",Q3585+N(H3585)*0.000000001)</f>
        <v/>
      </c>
      <c r="S3585" s="25" t="str">
        <f aca="false">IF(R3585="","",SUMPRODUCT((I$5:I$4004=I3585)*ISNUMBER(R$5:R$4004)*(R$5:R$4004&gt;R3585))+1)</f>
        <v/>
      </c>
      <c r="T3585" s="25" t="str">
        <f aca="false">IF(S3585="","",IF(S3585&lt;=Setup!$B$5,"🏆 WINNER",""))</f>
        <v/>
      </c>
      <c r="U3585" s="24" t="str">
        <f aca="false">IF(S3585="","",I3585&amp;"|"&amp;S3585)</f>
        <v/>
      </c>
    </row>
    <row r="3586" customFormat="false" ht="15" hidden="false" customHeight="false" outlineLevel="0" collapsed="false">
      <c r="A3586" s="31" t="n">
        <v>3582</v>
      </c>
      <c r="B3586" s="32" t="str">
        <f aca="false">IF(OR(C3586="",I3586="",G3586=""),"",IFERROR(VLOOKUP(I3586,Setup!$A$9:$B$11,2,0),"???")&amp;"-"&amp;G3586&amp;"-"&amp;TEXT(COUNTIFS(I$5:I3586,I3586,G$5:G3586,G3586),"0000"))</f>
        <v/>
      </c>
      <c r="C3586" s="26"/>
      <c r="D3586" s="26"/>
      <c r="E3586" s="27"/>
      <c r="F3586" s="27"/>
      <c r="G3586" s="31" t="str">
        <f aca="false">IF(F3586="","",IF(F3586&lt;=5,"A",IF(F3586&lt;=8,"B",IF(F3586&lt;=10,"C","D"))))</f>
        <v/>
      </c>
      <c r="H3586" s="28"/>
      <c r="I3586" s="27"/>
      <c r="J3586" s="26"/>
      <c r="K3586" s="27"/>
      <c r="L3586" s="27"/>
      <c r="M3586" s="27"/>
      <c r="N3586" s="27"/>
      <c r="O3586" s="31" t="str">
        <f aca="false">IF(G3586="","",VLOOKUP(G3586,Setup!$A$14:$C$17,3,0))</f>
        <v/>
      </c>
      <c r="P3586" s="27"/>
      <c r="Q3586" s="33" t="str">
        <f aca="false">IF(OR(P3586="",M3586&lt;&gt;"Paid",O3586=""),"",P3586/O3586)</f>
        <v/>
      </c>
      <c r="R3586" s="34" t="str">
        <f aca="false">IF(Q3586="","",Q3586+N(H3586)*0.000000001)</f>
        <v/>
      </c>
      <c r="S3586" s="32" t="str">
        <f aca="false">IF(R3586="","",SUMPRODUCT((I$5:I$4004=I3586)*ISNUMBER(R$5:R$4004)*(R$5:R$4004&gt;R3586))+1)</f>
        <v/>
      </c>
      <c r="T3586" s="32" t="str">
        <f aca="false">IF(S3586="","",IF(S3586&lt;=Setup!$B$5,"🏆 WINNER",""))</f>
        <v/>
      </c>
      <c r="U3586" s="31" t="str">
        <f aca="false">IF(S3586="","",I3586&amp;"|"&amp;S3586)</f>
        <v/>
      </c>
    </row>
    <row r="3587" customFormat="false" ht="15" hidden="false" customHeight="false" outlineLevel="0" collapsed="false">
      <c r="A3587" s="24" t="n">
        <v>3583</v>
      </c>
      <c r="B3587" s="25" t="str">
        <f aca="false">IF(OR(C3587="",I3587="",G3587=""),"",IFERROR(VLOOKUP(I3587,Setup!$A$9:$B$11,2,0),"???")&amp;"-"&amp;G3587&amp;"-"&amp;TEXT(COUNTIFS(I$5:I3587,I3587,G$5:G3587,G3587),"0000"))</f>
        <v/>
      </c>
      <c r="C3587" s="26"/>
      <c r="D3587" s="26"/>
      <c r="E3587" s="27"/>
      <c r="F3587" s="27"/>
      <c r="G3587" s="24" t="str">
        <f aca="false">IF(F3587="","",IF(F3587&lt;=5,"A",IF(F3587&lt;=8,"B",IF(F3587&lt;=10,"C","D"))))</f>
        <v/>
      </c>
      <c r="H3587" s="28"/>
      <c r="I3587" s="27"/>
      <c r="J3587" s="26"/>
      <c r="K3587" s="27"/>
      <c r="L3587" s="27"/>
      <c r="M3587" s="27"/>
      <c r="N3587" s="27"/>
      <c r="O3587" s="24" t="str">
        <f aca="false">IF(G3587="","",VLOOKUP(G3587,Setup!$A$14:$C$17,3,0))</f>
        <v/>
      </c>
      <c r="P3587" s="27"/>
      <c r="Q3587" s="29" t="str">
        <f aca="false">IF(OR(P3587="",M3587&lt;&gt;"Paid",O3587=""),"",P3587/O3587)</f>
        <v/>
      </c>
      <c r="R3587" s="30" t="str">
        <f aca="false">IF(Q3587="","",Q3587+N(H3587)*0.000000001)</f>
        <v/>
      </c>
      <c r="S3587" s="25" t="str">
        <f aca="false">IF(R3587="","",SUMPRODUCT((I$5:I$4004=I3587)*ISNUMBER(R$5:R$4004)*(R$5:R$4004&gt;R3587))+1)</f>
        <v/>
      </c>
      <c r="T3587" s="25" t="str">
        <f aca="false">IF(S3587="","",IF(S3587&lt;=Setup!$B$5,"🏆 WINNER",""))</f>
        <v/>
      </c>
      <c r="U3587" s="24" t="str">
        <f aca="false">IF(S3587="","",I3587&amp;"|"&amp;S3587)</f>
        <v/>
      </c>
    </row>
    <row r="3588" customFormat="false" ht="15" hidden="false" customHeight="false" outlineLevel="0" collapsed="false">
      <c r="A3588" s="31" t="n">
        <v>3584</v>
      </c>
      <c r="B3588" s="32" t="str">
        <f aca="false">IF(OR(C3588="",I3588="",G3588=""),"",IFERROR(VLOOKUP(I3588,Setup!$A$9:$B$11,2,0),"???")&amp;"-"&amp;G3588&amp;"-"&amp;TEXT(COUNTIFS(I$5:I3588,I3588,G$5:G3588,G3588),"0000"))</f>
        <v/>
      </c>
      <c r="C3588" s="26"/>
      <c r="D3588" s="26"/>
      <c r="E3588" s="27"/>
      <c r="F3588" s="27"/>
      <c r="G3588" s="31" t="str">
        <f aca="false">IF(F3588="","",IF(F3588&lt;=5,"A",IF(F3588&lt;=8,"B",IF(F3588&lt;=10,"C","D"))))</f>
        <v/>
      </c>
      <c r="H3588" s="28"/>
      <c r="I3588" s="27"/>
      <c r="J3588" s="26"/>
      <c r="K3588" s="27"/>
      <c r="L3588" s="27"/>
      <c r="M3588" s="27"/>
      <c r="N3588" s="27"/>
      <c r="O3588" s="31" t="str">
        <f aca="false">IF(G3588="","",VLOOKUP(G3588,Setup!$A$14:$C$17,3,0))</f>
        <v/>
      </c>
      <c r="P3588" s="27"/>
      <c r="Q3588" s="33" t="str">
        <f aca="false">IF(OR(P3588="",M3588&lt;&gt;"Paid",O3588=""),"",P3588/O3588)</f>
        <v/>
      </c>
      <c r="R3588" s="34" t="str">
        <f aca="false">IF(Q3588="","",Q3588+N(H3588)*0.000000001)</f>
        <v/>
      </c>
      <c r="S3588" s="32" t="str">
        <f aca="false">IF(R3588="","",SUMPRODUCT((I$5:I$4004=I3588)*ISNUMBER(R$5:R$4004)*(R$5:R$4004&gt;R3588))+1)</f>
        <v/>
      </c>
      <c r="T3588" s="32" t="str">
        <f aca="false">IF(S3588="","",IF(S3588&lt;=Setup!$B$5,"🏆 WINNER",""))</f>
        <v/>
      </c>
      <c r="U3588" s="31" t="str">
        <f aca="false">IF(S3588="","",I3588&amp;"|"&amp;S3588)</f>
        <v/>
      </c>
    </row>
    <row r="3589" customFormat="false" ht="15" hidden="false" customHeight="false" outlineLevel="0" collapsed="false">
      <c r="A3589" s="24" t="n">
        <v>3585</v>
      </c>
      <c r="B3589" s="25" t="str">
        <f aca="false">IF(OR(C3589="",I3589="",G3589=""),"",IFERROR(VLOOKUP(I3589,Setup!$A$9:$B$11,2,0),"???")&amp;"-"&amp;G3589&amp;"-"&amp;TEXT(COUNTIFS(I$5:I3589,I3589,G$5:G3589,G3589),"0000"))</f>
        <v/>
      </c>
      <c r="C3589" s="26"/>
      <c r="D3589" s="26"/>
      <c r="E3589" s="27"/>
      <c r="F3589" s="27"/>
      <c r="G3589" s="24" t="str">
        <f aca="false">IF(F3589="","",IF(F3589&lt;=5,"A",IF(F3589&lt;=8,"B",IF(F3589&lt;=10,"C","D"))))</f>
        <v/>
      </c>
      <c r="H3589" s="28"/>
      <c r="I3589" s="27"/>
      <c r="J3589" s="26"/>
      <c r="K3589" s="27"/>
      <c r="L3589" s="27"/>
      <c r="M3589" s="27"/>
      <c r="N3589" s="27"/>
      <c r="O3589" s="24" t="str">
        <f aca="false">IF(G3589="","",VLOOKUP(G3589,Setup!$A$14:$C$17,3,0))</f>
        <v/>
      </c>
      <c r="P3589" s="27"/>
      <c r="Q3589" s="29" t="str">
        <f aca="false">IF(OR(P3589="",M3589&lt;&gt;"Paid",O3589=""),"",P3589/O3589)</f>
        <v/>
      </c>
      <c r="R3589" s="30" t="str">
        <f aca="false">IF(Q3589="","",Q3589+N(H3589)*0.000000001)</f>
        <v/>
      </c>
      <c r="S3589" s="25" t="str">
        <f aca="false">IF(R3589="","",SUMPRODUCT((I$5:I$4004=I3589)*ISNUMBER(R$5:R$4004)*(R$5:R$4004&gt;R3589))+1)</f>
        <v/>
      </c>
      <c r="T3589" s="25" t="str">
        <f aca="false">IF(S3589="","",IF(S3589&lt;=Setup!$B$5,"🏆 WINNER",""))</f>
        <v/>
      </c>
      <c r="U3589" s="24" t="str">
        <f aca="false">IF(S3589="","",I3589&amp;"|"&amp;S3589)</f>
        <v/>
      </c>
    </row>
    <row r="3590" customFormat="false" ht="15" hidden="false" customHeight="false" outlineLevel="0" collapsed="false">
      <c r="A3590" s="31" t="n">
        <v>3586</v>
      </c>
      <c r="B3590" s="32" t="str">
        <f aca="false">IF(OR(C3590="",I3590="",G3590=""),"",IFERROR(VLOOKUP(I3590,Setup!$A$9:$B$11,2,0),"???")&amp;"-"&amp;G3590&amp;"-"&amp;TEXT(COUNTIFS(I$5:I3590,I3590,G$5:G3590,G3590),"0000"))</f>
        <v/>
      </c>
      <c r="C3590" s="26"/>
      <c r="D3590" s="26"/>
      <c r="E3590" s="27"/>
      <c r="F3590" s="27"/>
      <c r="G3590" s="31" t="str">
        <f aca="false">IF(F3590="","",IF(F3590&lt;=5,"A",IF(F3590&lt;=8,"B",IF(F3590&lt;=10,"C","D"))))</f>
        <v/>
      </c>
      <c r="H3590" s="28"/>
      <c r="I3590" s="27"/>
      <c r="J3590" s="26"/>
      <c r="K3590" s="27"/>
      <c r="L3590" s="27"/>
      <c r="M3590" s="27"/>
      <c r="N3590" s="27"/>
      <c r="O3590" s="31" t="str">
        <f aca="false">IF(G3590="","",VLOOKUP(G3590,Setup!$A$14:$C$17,3,0))</f>
        <v/>
      </c>
      <c r="P3590" s="27"/>
      <c r="Q3590" s="33" t="str">
        <f aca="false">IF(OR(P3590="",M3590&lt;&gt;"Paid",O3590=""),"",P3590/O3590)</f>
        <v/>
      </c>
      <c r="R3590" s="34" t="str">
        <f aca="false">IF(Q3590="","",Q3590+N(H3590)*0.000000001)</f>
        <v/>
      </c>
      <c r="S3590" s="32" t="str">
        <f aca="false">IF(R3590="","",SUMPRODUCT((I$5:I$4004=I3590)*ISNUMBER(R$5:R$4004)*(R$5:R$4004&gt;R3590))+1)</f>
        <v/>
      </c>
      <c r="T3590" s="32" t="str">
        <f aca="false">IF(S3590="","",IF(S3590&lt;=Setup!$B$5,"🏆 WINNER",""))</f>
        <v/>
      </c>
      <c r="U3590" s="31" t="str">
        <f aca="false">IF(S3590="","",I3590&amp;"|"&amp;S3590)</f>
        <v/>
      </c>
    </row>
    <row r="3591" customFormat="false" ht="15" hidden="false" customHeight="false" outlineLevel="0" collapsed="false">
      <c r="A3591" s="24" t="n">
        <v>3587</v>
      </c>
      <c r="B3591" s="25" t="str">
        <f aca="false">IF(OR(C3591="",I3591="",G3591=""),"",IFERROR(VLOOKUP(I3591,Setup!$A$9:$B$11,2,0),"???")&amp;"-"&amp;G3591&amp;"-"&amp;TEXT(COUNTIFS(I$5:I3591,I3591,G$5:G3591,G3591),"0000"))</f>
        <v/>
      </c>
      <c r="C3591" s="26"/>
      <c r="D3591" s="26"/>
      <c r="E3591" s="27"/>
      <c r="F3591" s="27"/>
      <c r="G3591" s="24" t="str">
        <f aca="false">IF(F3591="","",IF(F3591&lt;=5,"A",IF(F3591&lt;=8,"B",IF(F3591&lt;=10,"C","D"))))</f>
        <v/>
      </c>
      <c r="H3591" s="28"/>
      <c r="I3591" s="27"/>
      <c r="J3591" s="26"/>
      <c r="K3591" s="27"/>
      <c r="L3591" s="27"/>
      <c r="M3591" s="27"/>
      <c r="N3591" s="27"/>
      <c r="O3591" s="24" t="str">
        <f aca="false">IF(G3591="","",VLOOKUP(G3591,Setup!$A$14:$C$17,3,0))</f>
        <v/>
      </c>
      <c r="P3591" s="27"/>
      <c r="Q3591" s="29" t="str">
        <f aca="false">IF(OR(P3591="",M3591&lt;&gt;"Paid",O3591=""),"",P3591/O3591)</f>
        <v/>
      </c>
      <c r="R3591" s="30" t="str">
        <f aca="false">IF(Q3591="","",Q3591+N(H3591)*0.000000001)</f>
        <v/>
      </c>
      <c r="S3591" s="25" t="str">
        <f aca="false">IF(R3591="","",SUMPRODUCT((I$5:I$4004=I3591)*ISNUMBER(R$5:R$4004)*(R$5:R$4004&gt;R3591))+1)</f>
        <v/>
      </c>
      <c r="T3591" s="25" t="str">
        <f aca="false">IF(S3591="","",IF(S3591&lt;=Setup!$B$5,"🏆 WINNER",""))</f>
        <v/>
      </c>
      <c r="U3591" s="24" t="str">
        <f aca="false">IF(S3591="","",I3591&amp;"|"&amp;S3591)</f>
        <v/>
      </c>
    </row>
    <row r="3592" customFormat="false" ht="15" hidden="false" customHeight="false" outlineLevel="0" collapsed="false">
      <c r="A3592" s="31" t="n">
        <v>3588</v>
      </c>
      <c r="B3592" s="32" t="str">
        <f aca="false">IF(OR(C3592="",I3592="",G3592=""),"",IFERROR(VLOOKUP(I3592,Setup!$A$9:$B$11,2,0),"???")&amp;"-"&amp;G3592&amp;"-"&amp;TEXT(COUNTIFS(I$5:I3592,I3592,G$5:G3592,G3592),"0000"))</f>
        <v/>
      </c>
      <c r="C3592" s="26"/>
      <c r="D3592" s="26"/>
      <c r="E3592" s="27"/>
      <c r="F3592" s="27"/>
      <c r="G3592" s="31" t="str">
        <f aca="false">IF(F3592="","",IF(F3592&lt;=5,"A",IF(F3592&lt;=8,"B",IF(F3592&lt;=10,"C","D"))))</f>
        <v/>
      </c>
      <c r="H3592" s="28"/>
      <c r="I3592" s="27"/>
      <c r="J3592" s="26"/>
      <c r="K3592" s="27"/>
      <c r="L3592" s="27"/>
      <c r="M3592" s="27"/>
      <c r="N3592" s="27"/>
      <c r="O3592" s="31" t="str">
        <f aca="false">IF(G3592="","",VLOOKUP(G3592,Setup!$A$14:$C$17,3,0))</f>
        <v/>
      </c>
      <c r="P3592" s="27"/>
      <c r="Q3592" s="33" t="str">
        <f aca="false">IF(OR(P3592="",M3592&lt;&gt;"Paid",O3592=""),"",P3592/O3592)</f>
        <v/>
      </c>
      <c r="R3592" s="34" t="str">
        <f aca="false">IF(Q3592="","",Q3592+N(H3592)*0.000000001)</f>
        <v/>
      </c>
      <c r="S3592" s="32" t="str">
        <f aca="false">IF(R3592="","",SUMPRODUCT((I$5:I$4004=I3592)*ISNUMBER(R$5:R$4004)*(R$5:R$4004&gt;R3592))+1)</f>
        <v/>
      </c>
      <c r="T3592" s="32" t="str">
        <f aca="false">IF(S3592="","",IF(S3592&lt;=Setup!$B$5,"🏆 WINNER",""))</f>
        <v/>
      </c>
      <c r="U3592" s="31" t="str">
        <f aca="false">IF(S3592="","",I3592&amp;"|"&amp;S3592)</f>
        <v/>
      </c>
    </row>
    <row r="3593" customFormat="false" ht="15" hidden="false" customHeight="false" outlineLevel="0" collapsed="false">
      <c r="A3593" s="24" t="n">
        <v>3589</v>
      </c>
      <c r="B3593" s="25" t="str">
        <f aca="false">IF(OR(C3593="",I3593="",G3593=""),"",IFERROR(VLOOKUP(I3593,Setup!$A$9:$B$11,2,0),"???")&amp;"-"&amp;G3593&amp;"-"&amp;TEXT(COUNTIFS(I$5:I3593,I3593,G$5:G3593,G3593),"0000"))</f>
        <v/>
      </c>
      <c r="C3593" s="26"/>
      <c r="D3593" s="26"/>
      <c r="E3593" s="27"/>
      <c r="F3593" s="27"/>
      <c r="G3593" s="24" t="str">
        <f aca="false">IF(F3593="","",IF(F3593&lt;=5,"A",IF(F3593&lt;=8,"B",IF(F3593&lt;=10,"C","D"))))</f>
        <v/>
      </c>
      <c r="H3593" s="28"/>
      <c r="I3593" s="27"/>
      <c r="J3593" s="26"/>
      <c r="K3593" s="27"/>
      <c r="L3593" s="27"/>
      <c r="M3593" s="27"/>
      <c r="N3593" s="27"/>
      <c r="O3593" s="24" t="str">
        <f aca="false">IF(G3593="","",VLOOKUP(G3593,Setup!$A$14:$C$17,3,0))</f>
        <v/>
      </c>
      <c r="P3593" s="27"/>
      <c r="Q3593" s="29" t="str">
        <f aca="false">IF(OR(P3593="",M3593&lt;&gt;"Paid",O3593=""),"",P3593/O3593)</f>
        <v/>
      </c>
      <c r="R3593" s="30" t="str">
        <f aca="false">IF(Q3593="","",Q3593+N(H3593)*0.000000001)</f>
        <v/>
      </c>
      <c r="S3593" s="25" t="str">
        <f aca="false">IF(R3593="","",SUMPRODUCT((I$5:I$4004=I3593)*ISNUMBER(R$5:R$4004)*(R$5:R$4004&gt;R3593))+1)</f>
        <v/>
      </c>
      <c r="T3593" s="25" t="str">
        <f aca="false">IF(S3593="","",IF(S3593&lt;=Setup!$B$5,"🏆 WINNER",""))</f>
        <v/>
      </c>
      <c r="U3593" s="24" t="str">
        <f aca="false">IF(S3593="","",I3593&amp;"|"&amp;S3593)</f>
        <v/>
      </c>
    </row>
    <row r="3594" customFormat="false" ht="15" hidden="false" customHeight="false" outlineLevel="0" collapsed="false">
      <c r="A3594" s="31" t="n">
        <v>3590</v>
      </c>
      <c r="B3594" s="32" t="str">
        <f aca="false">IF(OR(C3594="",I3594="",G3594=""),"",IFERROR(VLOOKUP(I3594,Setup!$A$9:$B$11,2,0),"???")&amp;"-"&amp;G3594&amp;"-"&amp;TEXT(COUNTIFS(I$5:I3594,I3594,G$5:G3594,G3594),"0000"))</f>
        <v/>
      </c>
      <c r="C3594" s="26"/>
      <c r="D3594" s="26"/>
      <c r="E3594" s="27"/>
      <c r="F3594" s="27"/>
      <c r="G3594" s="31" t="str">
        <f aca="false">IF(F3594="","",IF(F3594&lt;=5,"A",IF(F3594&lt;=8,"B",IF(F3594&lt;=10,"C","D"))))</f>
        <v/>
      </c>
      <c r="H3594" s="28"/>
      <c r="I3594" s="27"/>
      <c r="J3594" s="26"/>
      <c r="K3594" s="27"/>
      <c r="L3594" s="27"/>
      <c r="M3594" s="27"/>
      <c r="N3594" s="27"/>
      <c r="O3594" s="31" t="str">
        <f aca="false">IF(G3594="","",VLOOKUP(G3594,Setup!$A$14:$C$17,3,0))</f>
        <v/>
      </c>
      <c r="P3594" s="27"/>
      <c r="Q3594" s="33" t="str">
        <f aca="false">IF(OR(P3594="",M3594&lt;&gt;"Paid",O3594=""),"",P3594/O3594)</f>
        <v/>
      </c>
      <c r="R3594" s="34" t="str">
        <f aca="false">IF(Q3594="","",Q3594+N(H3594)*0.000000001)</f>
        <v/>
      </c>
      <c r="S3594" s="32" t="str">
        <f aca="false">IF(R3594="","",SUMPRODUCT((I$5:I$4004=I3594)*ISNUMBER(R$5:R$4004)*(R$5:R$4004&gt;R3594))+1)</f>
        <v/>
      </c>
      <c r="T3594" s="32" t="str">
        <f aca="false">IF(S3594="","",IF(S3594&lt;=Setup!$B$5,"🏆 WINNER",""))</f>
        <v/>
      </c>
      <c r="U3594" s="31" t="str">
        <f aca="false">IF(S3594="","",I3594&amp;"|"&amp;S3594)</f>
        <v/>
      </c>
    </row>
    <row r="3595" customFormat="false" ht="15" hidden="false" customHeight="false" outlineLevel="0" collapsed="false">
      <c r="A3595" s="24" t="n">
        <v>3591</v>
      </c>
      <c r="B3595" s="25" t="str">
        <f aca="false">IF(OR(C3595="",I3595="",G3595=""),"",IFERROR(VLOOKUP(I3595,Setup!$A$9:$B$11,2,0),"???")&amp;"-"&amp;G3595&amp;"-"&amp;TEXT(COUNTIFS(I$5:I3595,I3595,G$5:G3595,G3595),"0000"))</f>
        <v/>
      </c>
      <c r="C3595" s="26"/>
      <c r="D3595" s="26"/>
      <c r="E3595" s="27"/>
      <c r="F3595" s="27"/>
      <c r="G3595" s="24" t="str">
        <f aca="false">IF(F3595="","",IF(F3595&lt;=5,"A",IF(F3595&lt;=8,"B",IF(F3595&lt;=10,"C","D"))))</f>
        <v/>
      </c>
      <c r="H3595" s="28"/>
      <c r="I3595" s="27"/>
      <c r="J3595" s="26"/>
      <c r="K3595" s="27"/>
      <c r="L3595" s="27"/>
      <c r="M3595" s="27"/>
      <c r="N3595" s="27"/>
      <c r="O3595" s="24" t="str">
        <f aca="false">IF(G3595="","",VLOOKUP(G3595,Setup!$A$14:$C$17,3,0))</f>
        <v/>
      </c>
      <c r="P3595" s="27"/>
      <c r="Q3595" s="29" t="str">
        <f aca="false">IF(OR(P3595="",M3595&lt;&gt;"Paid",O3595=""),"",P3595/O3595)</f>
        <v/>
      </c>
      <c r="R3595" s="30" t="str">
        <f aca="false">IF(Q3595="","",Q3595+N(H3595)*0.000000001)</f>
        <v/>
      </c>
      <c r="S3595" s="25" t="str">
        <f aca="false">IF(R3595="","",SUMPRODUCT((I$5:I$4004=I3595)*ISNUMBER(R$5:R$4004)*(R$5:R$4004&gt;R3595))+1)</f>
        <v/>
      </c>
      <c r="T3595" s="25" t="str">
        <f aca="false">IF(S3595="","",IF(S3595&lt;=Setup!$B$5,"🏆 WINNER",""))</f>
        <v/>
      </c>
      <c r="U3595" s="24" t="str">
        <f aca="false">IF(S3595="","",I3595&amp;"|"&amp;S3595)</f>
        <v/>
      </c>
    </row>
    <row r="3596" customFormat="false" ht="15" hidden="false" customHeight="false" outlineLevel="0" collapsed="false">
      <c r="A3596" s="31" t="n">
        <v>3592</v>
      </c>
      <c r="B3596" s="32" t="str">
        <f aca="false">IF(OR(C3596="",I3596="",G3596=""),"",IFERROR(VLOOKUP(I3596,Setup!$A$9:$B$11,2,0),"???")&amp;"-"&amp;G3596&amp;"-"&amp;TEXT(COUNTIFS(I$5:I3596,I3596,G$5:G3596,G3596),"0000"))</f>
        <v/>
      </c>
      <c r="C3596" s="26"/>
      <c r="D3596" s="26"/>
      <c r="E3596" s="27"/>
      <c r="F3596" s="27"/>
      <c r="G3596" s="31" t="str">
        <f aca="false">IF(F3596="","",IF(F3596&lt;=5,"A",IF(F3596&lt;=8,"B",IF(F3596&lt;=10,"C","D"))))</f>
        <v/>
      </c>
      <c r="H3596" s="28"/>
      <c r="I3596" s="27"/>
      <c r="J3596" s="26"/>
      <c r="K3596" s="27"/>
      <c r="L3596" s="27"/>
      <c r="M3596" s="27"/>
      <c r="N3596" s="27"/>
      <c r="O3596" s="31" t="str">
        <f aca="false">IF(G3596="","",VLOOKUP(G3596,Setup!$A$14:$C$17,3,0))</f>
        <v/>
      </c>
      <c r="P3596" s="27"/>
      <c r="Q3596" s="33" t="str">
        <f aca="false">IF(OR(P3596="",M3596&lt;&gt;"Paid",O3596=""),"",P3596/O3596)</f>
        <v/>
      </c>
      <c r="R3596" s="34" t="str">
        <f aca="false">IF(Q3596="","",Q3596+N(H3596)*0.000000001)</f>
        <v/>
      </c>
      <c r="S3596" s="32" t="str">
        <f aca="false">IF(R3596="","",SUMPRODUCT((I$5:I$4004=I3596)*ISNUMBER(R$5:R$4004)*(R$5:R$4004&gt;R3596))+1)</f>
        <v/>
      </c>
      <c r="T3596" s="32" t="str">
        <f aca="false">IF(S3596="","",IF(S3596&lt;=Setup!$B$5,"🏆 WINNER",""))</f>
        <v/>
      </c>
      <c r="U3596" s="31" t="str">
        <f aca="false">IF(S3596="","",I3596&amp;"|"&amp;S3596)</f>
        <v/>
      </c>
    </row>
    <row r="3597" customFormat="false" ht="15" hidden="false" customHeight="false" outlineLevel="0" collapsed="false">
      <c r="A3597" s="24" t="n">
        <v>3593</v>
      </c>
      <c r="B3597" s="25" t="str">
        <f aca="false">IF(OR(C3597="",I3597="",G3597=""),"",IFERROR(VLOOKUP(I3597,Setup!$A$9:$B$11,2,0),"???")&amp;"-"&amp;G3597&amp;"-"&amp;TEXT(COUNTIFS(I$5:I3597,I3597,G$5:G3597,G3597),"0000"))</f>
        <v/>
      </c>
      <c r="C3597" s="26"/>
      <c r="D3597" s="26"/>
      <c r="E3597" s="27"/>
      <c r="F3597" s="27"/>
      <c r="G3597" s="24" t="str">
        <f aca="false">IF(F3597="","",IF(F3597&lt;=5,"A",IF(F3597&lt;=8,"B",IF(F3597&lt;=10,"C","D"))))</f>
        <v/>
      </c>
      <c r="H3597" s="28"/>
      <c r="I3597" s="27"/>
      <c r="J3597" s="26"/>
      <c r="K3597" s="27"/>
      <c r="L3597" s="27"/>
      <c r="M3597" s="27"/>
      <c r="N3597" s="27"/>
      <c r="O3597" s="24" t="str">
        <f aca="false">IF(G3597="","",VLOOKUP(G3597,Setup!$A$14:$C$17,3,0))</f>
        <v/>
      </c>
      <c r="P3597" s="27"/>
      <c r="Q3597" s="29" t="str">
        <f aca="false">IF(OR(P3597="",M3597&lt;&gt;"Paid",O3597=""),"",P3597/O3597)</f>
        <v/>
      </c>
      <c r="R3597" s="30" t="str">
        <f aca="false">IF(Q3597="","",Q3597+N(H3597)*0.000000001)</f>
        <v/>
      </c>
      <c r="S3597" s="25" t="str">
        <f aca="false">IF(R3597="","",SUMPRODUCT((I$5:I$4004=I3597)*ISNUMBER(R$5:R$4004)*(R$5:R$4004&gt;R3597))+1)</f>
        <v/>
      </c>
      <c r="T3597" s="25" t="str">
        <f aca="false">IF(S3597="","",IF(S3597&lt;=Setup!$B$5,"🏆 WINNER",""))</f>
        <v/>
      </c>
      <c r="U3597" s="24" t="str">
        <f aca="false">IF(S3597="","",I3597&amp;"|"&amp;S3597)</f>
        <v/>
      </c>
    </row>
    <row r="3598" customFormat="false" ht="15" hidden="false" customHeight="false" outlineLevel="0" collapsed="false">
      <c r="A3598" s="31" t="n">
        <v>3594</v>
      </c>
      <c r="B3598" s="32" t="str">
        <f aca="false">IF(OR(C3598="",I3598="",G3598=""),"",IFERROR(VLOOKUP(I3598,Setup!$A$9:$B$11,2,0),"???")&amp;"-"&amp;G3598&amp;"-"&amp;TEXT(COUNTIFS(I$5:I3598,I3598,G$5:G3598,G3598),"0000"))</f>
        <v/>
      </c>
      <c r="C3598" s="26"/>
      <c r="D3598" s="26"/>
      <c r="E3598" s="27"/>
      <c r="F3598" s="27"/>
      <c r="G3598" s="31" t="str">
        <f aca="false">IF(F3598="","",IF(F3598&lt;=5,"A",IF(F3598&lt;=8,"B",IF(F3598&lt;=10,"C","D"))))</f>
        <v/>
      </c>
      <c r="H3598" s="28"/>
      <c r="I3598" s="27"/>
      <c r="J3598" s="26"/>
      <c r="K3598" s="27"/>
      <c r="L3598" s="27"/>
      <c r="M3598" s="27"/>
      <c r="N3598" s="27"/>
      <c r="O3598" s="31" t="str">
        <f aca="false">IF(G3598="","",VLOOKUP(G3598,Setup!$A$14:$C$17,3,0))</f>
        <v/>
      </c>
      <c r="P3598" s="27"/>
      <c r="Q3598" s="33" t="str">
        <f aca="false">IF(OR(P3598="",M3598&lt;&gt;"Paid",O3598=""),"",P3598/O3598)</f>
        <v/>
      </c>
      <c r="R3598" s="34" t="str">
        <f aca="false">IF(Q3598="","",Q3598+N(H3598)*0.000000001)</f>
        <v/>
      </c>
      <c r="S3598" s="32" t="str">
        <f aca="false">IF(R3598="","",SUMPRODUCT((I$5:I$4004=I3598)*ISNUMBER(R$5:R$4004)*(R$5:R$4004&gt;R3598))+1)</f>
        <v/>
      </c>
      <c r="T3598" s="32" t="str">
        <f aca="false">IF(S3598="","",IF(S3598&lt;=Setup!$B$5,"🏆 WINNER",""))</f>
        <v/>
      </c>
      <c r="U3598" s="31" t="str">
        <f aca="false">IF(S3598="","",I3598&amp;"|"&amp;S3598)</f>
        <v/>
      </c>
    </row>
    <row r="3599" customFormat="false" ht="15" hidden="false" customHeight="false" outlineLevel="0" collapsed="false">
      <c r="A3599" s="24" t="n">
        <v>3595</v>
      </c>
      <c r="B3599" s="25" t="str">
        <f aca="false">IF(OR(C3599="",I3599="",G3599=""),"",IFERROR(VLOOKUP(I3599,Setup!$A$9:$B$11,2,0),"???")&amp;"-"&amp;G3599&amp;"-"&amp;TEXT(COUNTIFS(I$5:I3599,I3599,G$5:G3599,G3599),"0000"))</f>
        <v/>
      </c>
      <c r="C3599" s="26"/>
      <c r="D3599" s="26"/>
      <c r="E3599" s="27"/>
      <c r="F3599" s="27"/>
      <c r="G3599" s="24" t="str">
        <f aca="false">IF(F3599="","",IF(F3599&lt;=5,"A",IF(F3599&lt;=8,"B",IF(F3599&lt;=10,"C","D"))))</f>
        <v/>
      </c>
      <c r="H3599" s="28"/>
      <c r="I3599" s="27"/>
      <c r="J3599" s="26"/>
      <c r="K3599" s="27"/>
      <c r="L3599" s="27"/>
      <c r="M3599" s="27"/>
      <c r="N3599" s="27"/>
      <c r="O3599" s="24" t="str">
        <f aca="false">IF(G3599="","",VLOOKUP(G3599,Setup!$A$14:$C$17,3,0))</f>
        <v/>
      </c>
      <c r="P3599" s="27"/>
      <c r="Q3599" s="29" t="str">
        <f aca="false">IF(OR(P3599="",M3599&lt;&gt;"Paid",O3599=""),"",P3599/O3599)</f>
        <v/>
      </c>
      <c r="R3599" s="30" t="str">
        <f aca="false">IF(Q3599="","",Q3599+N(H3599)*0.000000001)</f>
        <v/>
      </c>
      <c r="S3599" s="25" t="str">
        <f aca="false">IF(R3599="","",SUMPRODUCT((I$5:I$4004=I3599)*ISNUMBER(R$5:R$4004)*(R$5:R$4004&gt;R3599))+1)</f>
        <v/>
      </c>
      <c r="T3599" s="25" t="str">
        <f aca="false">IF(S3599="","",IF(S3599&lt;=Setup!$B$5,"🏆 WINNER",""))</f>
        <v/>
      </c>
      <c r="U3599" s="24" t="str">
        <f aca="false">IF(S3599="","",I3599&amp;"|"&amp;S3599)</f>
        <v/>
      </c>
    </row>
    <row r="3600" customFormat="false" ht="15" hidden="false" customHeight="false" outlineLevel="0" collapsed="false">
      <c r="A3600" s="31" t="n">
        <v>3596</v>
      </c>
      <c r="B3600" s="32" t="str">
        <f aca="false">IF(OR(C3600="",I3600="",G3600=""),"",IFERROR(VLOOKUP(I3600,Setup!$A$9:$B$11,2,0),"???")&amp;"-"&amp;G3600&amp;"-"&amp;TEXT(COUNTIFS(I$5:I3600,I3600,G$5:G3600,G3600),"0000"))</f>
        <v/>
      </c>
      <c r="C3600" s="26"/>
      <c r="D3600" s="26"/>
      <c r="E3600" s="27"/>
      <c r="F3600" s="27"/>
      <c r="G3600" s="31" t="str">
        <f aca="false">IF(F3600="","",IF(F3600&lt;=5,"A",IF(F3600&lt;=8,"B",IF(F3600&lt;=10,"C","D"))))</f>
        <v/>
      </c>
      <c r="H3600" s="28"/>
      <c r="I3600" s="27"/>
      <c r="J3600" s="26"/>
      <c r="K3600" s="27"/>
      <c r="L3600" s="27"/>
      <c r="M3600" s="27"/>
      <c r="N3600" s="27"/>
      <c r="O3600" s="31" t="str">
        <f aca="false">IF(G3600="","",VLOOKUP(G3600,Setup!$A$14:$C$17,3,0))</f>
        <v/>
      </c>
      <c r="P3600" s="27"/>
      <c r="Q3600" s="33" t="str">
        <f aca="false">IF(OR(P3600="",M3600&lt;&gt;"Paid",O3600=""),"",P3600/O3600)</f>
        <v/>
      </c>
      <c r="R3600" s="34" t="str">
        <f aca="false">IF(Q3600="","",Q3600+N(H3600)*0.000000001)</f>
        <v/>
      </c>
      <c r="S3600" s="32" t="str">
        <f aca="false">IF(R3600="","",SUMPRODUCT((I$5:I$4004=I3600)*ISNUMBER(R$5:R$4004)*(R$5:R$4004&gt;R3600))+1)</f>
        <v/>
      </c>
      <c r="T3600" s="32" t="str">
        <f aca="false">IF(S3600="","",IF(S3600&lt;=Setup!$B$5,"🏆 WINNER",""))</f>
        <v/>
      </c>
      <c r="U3600" s="31" t="str">
        <f aca="false">IF(S3600="","",I3600&amp;"|"&amp;S3600)</f>
        <v/>
      </c>
    </row>
    <row r="3601" customFormat="false" ht="15" hidden="false" customHeight="false" outlineLevel="0" collapsed="false">
      <c r="A3601" s="24" t="n">
        <v>3597</v>
      </c>
      <c r="B3601" s="25" t="str">
        <f aca="false">IF(OR(C3601="",I3601="",G3601=""),"",IFERROR(VLOOKUP(I3601,Setup!$A$9:$B$11,2,0),"???")&amp;"-"&amp;G3601&amp;"-"&amp;TEXT(COUNTIFS(I$5:I3601,I3601,G$5:G3601,G3601),"0000"))</f>
        <v/>
      </c>
      <c r="C3601" s="26"/>
      <c r="D3601" s="26"/>
      <c r="E3601" s="27"/>
      <c r="F3601" s="27"/>
      <c r="G3601" s="24" t="str">
        <f aca="false">IF(F3601="","",IF(F3601&lt;=5,"A",IF(F3601&lt;=8,"B",IF(F3601&lt;=10,"C","D"))))</f>
        <v/>
      </c>
      <c r="H3601" s="28"/>
      <c r="I3601" s="27"/>
      <c r="J3601" s="26"/>
      <c r="K3601" s="27"/>
      <c r="L3601" s="27"/>
      <c r="M3601" s="27"/>
      <c r="N3601" s="27"/>
      <c r="O3601" s="24" t="str">
        <f aca="false">IF(G3601="","",VLOOKUP(G3601,Setup!$A$14:$C$17,3,0))</f>
        <v/>
      </c>
      <c r="P3601" s="27"/>
      <c r="Q3601" s="29" t="str">
        <f aca="false">IF(OR(P3601="",M3601&lt;&gt;"Paid",O3601=""),"",P3601/O3601)</f>
        <v/>
      </c>
      <c r="R3601" s="30" t="str">
        <f aca="false">IF(Q3601="","",Q3601+N(H3601)*0.000000001)</f>
        <v/>
      </c>
      <c r="S3601" s="25" t="str">
        <f aca="false">IF(R3601="","",SUMPRODUCT((I$5:I$4004=I3601)*ISNUMBER(R$5:R$4004)*(R$5:R$4004&gt;R3601))+1)</f>
        <v/>
      </c>
      <c r="T3601" s="25" t="str">
        <f aca="false">IF(S3601="","",IF(S3601&lt;=Setup!$B$5,"🏆 WINNER",""))</f>
        <v/>
      </c>
      <c r="U3601" s="24" t="str">
        <f aca="false">IF(S3601="","",I3601&amp;"|"&amp;S3601)</f>
        <v/>
      </c>
    </row>
    <row r="3602" customFormat="false" ht="15" hidden="false" customHeight="false" outlineLevel="0" collapsed="false">
      <c r="A3602" s="31" t="n">
        <v>3598</v>
      </c>
      <c r="B3602" s="32" t="str">
        <f aca="false">IF(OR(C3602="",I3602="",G3602=""),"",IFERROR(VLOOKUP(I3602,Setup!$A$9:$B$11,2,0),"???")&amp;"-"&amp;G3602&amp;"-"&amp;TEXT(COUNTIFS(I$5:I3602,I3602,G$5:G3602,G3602),"0000"))</f>
        <v/>
      </c>
      <c r="C3602" s="26"/>
      <c r="D3602" s="26"/>
      <c r="E3602" s="27"/>
      <c r="F3602" s="27"/>
      <c r="G3602" s="31" t="str">
        <f aca="false">IF(F3602="","",IF(F3602&lt;=5,"A",IF(F3602&lt;=8,"B",IF(F3602&lt;=10,"C","D"))))</f>
        <v/>
      </c>
      <c r="H3602" s="28"/>
      <c r="I3602" s="27"/>
      <c r="J3602" s="26"/>
      <c r="K3602" s="27"/>
      <c r="L3602" s="27"/>
      <c r="M3602" s="27"/>
      <c r="N3602" s="27"/>
      <c r="O3602" s="31" t="str">
        <f aca="false">IF(G3602="","",VLOOKUP(G3602,Setup!$A$14:$C$17,3,0))</f>
        <v/>
      </c>
      <c r="P3602" s="27"/>
      <c r="Q3602" s="33" t="str">
        <f aca="false">IF(OR(P3602="",M3602&lt;&gt;"Paid",O3602=""),"",P3602/O3602)</f>
        <v/>
      </c>
      <c r="R3602" s="34" t="str">
        <f aca="false">IF(Q3602="","",Q3602+N(H3602)*0.000000001)</f>
        <v/>
      </c>
      <c r="S3602" s="32" t="str">
        <f aca="false">IF(R3602="","",SUMPRODUCT((I$5:I$4004=I3602)*ISNUMBER(R$5:R$4004)*(R$5:R$4004&gt;R3602))+1)</f>
        <v/>
      </c>
      <c r="T3602" s="32" t="str">
        <f aca="false">IF(S3602="","",IF(S3602&lt;=Setup!$B$5,"🏆 WINNER",""))</f>
        <v/>
      </c>
      <c r="U3602" s="31" t="str">
        <f aca="false">IF(S3602="","",I3602&amp;"|"&amp;S3602)</f>
        <v/>
      </c>
    </row>
    <row r="3603" customFormat="false" ht="15" hidden="false" customHeight="false" outlineLevel="0" collapsed="false">
      <c r="A3603" s="24" t="n">
        <v>3599</v>
      </c>
      <c r="B3603" s="25" t="str">
        <f aca="false">IF(OR(C3603="",I3603="",G3603=""),"",IFERROR(VLOOKUP(I3603,Setup!$A$9:$B$11,2,0),"???")&amp;"-"&amp;G3603&amp;"-"&amp;TEXT(COUNTIFS(I$5:I3603,I3603,G$5:G3603,G3603),"0000"))</f>
        <v/>
      </c>
      <c r="C3603" s="26"/>
      <c r="D3603" s="26"/>
      <c r="E3603" s="27"/>
      <c r="F3603" s="27"/>
      <c r="G3603" s="24" t="str">
        <f aca="false">IF(F3603="","",IF(F3603&lt;=5,"A",IF(F3603&lt;=8,"B",IF(F3603&lt;=10,"C","D"))))</f>
        <v/>
      </c>
      <c r="H3603" s="28"/>
      <c r="I3603" s="27"/>
      <c r="J3603" s="26"/>
      <c r="K3603" s="27"/>
      <c r="L3603" s="27"/>
      <c r="M3603" s="27"/>
      <c r="N3603" s="27"/>
      <c r="O3603" s="24" t="str">
        <f aca="false">IF(G3603="","",VLOOKUP(G3603,Setup!$A$14:$C$17,3,0))</f>
        <v/>
      </c>
      <c r="P3603" s="27"/>
      <c r="Q3603" s="29" t="str">
        <f aca="false">IF(OR(P3603="",M3603&lt;&gt;"Paid",O3603=""),"",P3603/O3603)</f>
        <v/>
      </c>
      <c r="R3603" s="30" t="str">
        <f aca="false">IF(Q3603="","",Q3603+N(H3603)*0.000000001)</f>
        <v/>
      </c>
      <c r="S3603" s="25" t="str">
        <f aca="false">IF(R3603="","",SUMPRODUCT((I$5:I$4004=I3603)*ISNUMBER(R$5:R$4004)*(R$5:R$4004&gt;R3603))+1)</f>
        <v/>
      </c>
      <c r="T3603" s="25" t="str">
        <f aca="false">IF(S3603="","",IF(S3603&lt;=Setup!$B$5,"🏆 WINNER",""))</f>
        <v/>
      </c>
      <c r="U3603" s="24" t="str">
        <f aca="false">IF(S3603="","",I3603&amp;"|"&amp;S3603)</f>
        <v/>
      </c>
    </row>
    <row r="3604" customFormat="false" ht="15" hidden="false" customHeight="false" outlineLevel="0" collapsed="false">
      <c r="A3604" s="31" t="n">
        <v>3600</v>
      </c>
      <c r="B3604" s="32" t="str">
        <f aca="false">IF(OR(C3604="",I3604="",G3604=""),"",IFERROR(VLOOKUP(I3604,Setup!$A$9:$B$11,2,0),"???")&amp;"-"&amp;G3604&amp;"-"&amp;TEXT(COUNTIFS(I$5:I3604,I3604,G$5:G3604,G3604),"0000"))</f>
        <v/>
      </c>
      <c r="C3604" s="26"/>
      <c r="D3604" s="26"/>
      <c r="E3604" s="27"/>
      <c r="F3604" s="27"/>
      <c r="G3604" s="31" t="str">
        <f aca="false">IF(F3604="","",IF(F3604&lt;=5,"A",IF(F3604&lt;=8,"B",IF(F3604&lt;=10,"C","D"))))</f>
        <v/>
      </c>
      <c r="H3604" s="28"/>
      <c r="I3604" s="27"/>
      <c r="J3604" s="26"/>
      <c r="K3604" s="27"/>
      <c r="L3604" s="27"/>
      <c r="M3604" s="27"/>
      <c r="N3604" s="27"/>
      <c r="O3604" s="31" t="str">
        <f aca="false">IF(G3604="","",VLOOKUP(G3604,Setup!$A$14:$C$17,3,0))</f>
        <v/>
      </c>
      <c r="P3604" s="27"/>
      <c r="Q3604" s="33" t="str">
        <f aca="false">IF(OR(P3604="",M3604&lt;&gt;"Paid",O3604=""),"",P3604/O3604)</f>
        <v/>
      </c>
      <c r="R3604" s="34" t="str">
        <f aca="false">IF(Q3604="","",Q3604+N(H3604)*0.000000001)</f>
        <v/>
      </c>
      <c r="S3604" s="32" t="str">
        <f aca="false">IF(R3604="","",SUMPRODUCT((I$5:I$4004=I3604)*ISNUMBER(R$5:R$4004)*(R$5:R$4004&gt;R3604))+1)</f>
        <v/>
      </c>
      <c r="T3604" s="32" t="str">
        <f aca="false">IF(S3604="","",IF(S3604&lt;=Setup!$B$5,"🏆 WINNER",""))</f>
        <v/>
      </c>
      <c r="U3604" s="31" t="str">
        <f aca="false">IF(S3604="","",I3604&amp;"|"&amp;S3604)</f>
        <v/>
      </c>
    </row>
    <row r="3605" customFormat="false" ht="15" hidden="false" customHeight="false" outlineLevel="0" collapsed="false">
      <c r="A3605" s="24" t="n">
        <v>3601</v>
      </c>
      <c r="B3605" s="25" t="str">
        <f aca="false">IF(OR(C3605="",I3605="",G3605=""),"",IFERROR(VLOOKUP(I3605,Setup!$A$9:$B$11,2,0),"???")&amp;"-"&amp;G3605&amp;"-"&amp;TEXT(COUNTIFS(I$5:I3605,I3605,G$5:G3605,G3605),"0000"))</f>
        <v/>
      </c>
      <c r="C3605" s="26"/>
      <c r="D3605" s="26"/>
      <c r="E3605" s="27"/>
      <c r="F3605" s="27"/>
      <c r="G3605" s="24" t="str">
        <f aca="false">IF(F3605="","",IF(F3605&lt;=5,"A",IF(F3605&lt;=8,"B",IF(F3605&lt;=10,"C","D"))))</f>
        <v/>
      </c>
      <c r="H3605" s="28"/>
      <c r="I3605" s="27"/>
      <c r="J3605" s="26"/>
      <c r="K3605" s="27"/>
      <c r="L3605" s="27"/>
      <c r="M3605" s="27"/>
      <c r="N3605" s="27"/>
      <c r="O3605" s="24" t="str">
        <f aca="false">IF(G3605="","",VLOOKUP(G3605,Setup!$A$14:$C$17,3,0))</f>
        <v/>
      </c>
      <c r="P3605" s="27"/>
      <c r="Q3605" s="29" t="str">
        <f aca="false">IF(OR(P3605="",M3605&lt;&gt;"Paid",O3605=""),"",P3605/O3605)</f>
        <v/>
      </c>
      <c r="R3605" s="30" t="str">
        <f aca="false">IF(Q3605="","",Q3605+N(H3605)*0.000000001)</f>
        <v/>
      </c>
      <c r="S3605" s="25" t="str">
        <f aca="false">IF(R3605="","",SUMPRODUCT((I$5:I$4004=I3605)*ISNUMBER(R$5:R$4004)*(R$5:R$4004&gt;R3605))+1)</f>
        <v/>
      </c>
      <c r="T3605" s="25" t="str">
        <f aca="false">IF(S3605="","",IF(S3605&lt;=Setup!$B$5,"🏆 WINNER",""))</f>
        <v/>
      </c>
      <c r="U3605" s="24" t="str">
        <f aca="false">IF(S3605="","",I3605&amp;"|"&amp;S3605)</f>
        <v/>
      </c>
    </row>
    <row r="3606" customFormat="false" ht="15" hidden="false" customHeight="false" outlineLevel="0" collapsed="false">
      <c r="A3606" s="31" t="n">
        <v>3602</v>
      </c>
      <c r="B3606" s="32" t="str">
        <f aca="false">IF(OR(C3606="",I3606="",G3606=""),"",IFERROR(VLOOKUP(I3606,Setup!$A$9:$B$11,2,0),"???")&amp;"-"&amp;G3606&amp;"-"&amp;TEXT(COUNTIFS(I$5:I3606,I3606,G$5:G3606,G3606),"0000"))</f>
        <v/>
      </c>
      <c r="C3606" s="26"/>
      <c r="D3606" s="26"/>
      <c r="E3606" s="27"/>
      <c r="F3606" s="27"/>
      <c r="G3606" s="31" t="str">
        <f aca="false">IF(F3606="","",IF(F3606&lt;=5,"A",IF(F3606&lt;=8,"B",IF(F3606&lt;=10,"C","D"))))</f>
        <v/>
      </c>
      <c r="H3606" s="28"/>
      <c r="I3606" s="27"/>
      <c r="J3606" s="26"/>
      <c r="K3606" s="27"/>
      <c r="L3606" s="27"/>
      <c r="M3606" s="27"/>
      <c r="N3606" s="27"/>
      <c r="O3606" s="31" t="str">
        <f aca="false">IF(G3606="","",VLOOKUP(G3606,Setup!$A$14:$C$17,3,0))</f>
        <v/>
      </c>
      <c r="P3606" s="27"/>
      <c r="Q3606" s="33" t="str">
        <f aca="false">IF(OR(P3606="",M3606&lt;&gt;"Paid",O3606=""),"",P3606/O3606)</f>
        <v/>
      </c>
      <c r="R3606" s="34" t="str">
        <f aca="false">IF(Q3606="","",Q3606+N(H3606)*0.000000001)</f>
        <v/>
      </c>
      <c r="S3606" s="32" t="str">
        <f aca="false">IF(R3606="","",SUMPRODUCT((I$5:I$4004=I3606)*ISNUMBER(R$5:R$4004)*(R$5:R$4004&gt;R3606))+1)</f>
        <v/>
      </c>
      <c r="T3606" s="32" t="str">
        <f aca="false">IF(S3606="","",IF(S3606&lt;=Setup!$B$5,"🏆 WINNER",""))</f>
        <v/>
      </c>
      <c r="U3606" s="31" t="str">
        <f aca="false">IF(S3606="","",I3606&amp;"|"&amp;S3606)</f>
        <v/>
      </c>
    </row>
    <row r="3607" customFormat="false" ht="15" hidden="false" customHeight="false" outlineLevel="0" collapsed="false">
      <c r="A3607" s="24" t="n">
        <v>3603</v>
      </c>
      <c r="B3607" s="25" t="str">
        <f aca="false">IF(OR(C3607="",I3607="",G3607=""),"",IFERROR(VLOOKUP(I3607,Setup!$A$9:$B$11,2,0),"???")&amp;"-"&amp;G3607&amp;"-"&amp;TEXT(COUNTIFS(I$5:I3607,I3607,G$5:G3607,G3607),"0000"))</f>
        <v/>
      </c>
      <c r="C3607" s="26"/>
      <c r="D3607" s="26"/>
      <c r="E3607" s="27"/>
      <c r="F3607" s="27"/>
      <c r="G3607" s="24" t="str">
        <f aca="false">IF(F3607="","",IF(F3607&lt;=5,"A",IF(F3607&lt;=8,"B",IF(F3607&lt;=10,"C","D"))))</f>
        <v/>
      </c>
      <c r="H3607" s="28"/>
      <c r="I3607" s="27"/>
      <c r="J3607" s="26"/>
      <c r="K3607" s="27"/>
      <c r="L3607" s="27"/>
      <c r="M3607" s="27"/>
      <c r="N3607" s="27"/>
      <c r="O3607" s="24" t="str">
        <f aca="false">IF(G3607="","",VLOOKUP(G3607,Setup!$A$14:$C$17,3,0))</f>
        <v/>
      </c>
      <c r="P3607" s="27"/>
      <c r="Q3607" s="29" t="str">
        <f aca="false">IF(OR(P3607="",M3607&lt;&gt;"Paid",O3607=""),"",P3607/O3607)</f>
        <v/>
      </c>
      <c r="R3607" s="30" t="str">
        <f aca="false">IF(Q3607="","",Q3607+N(H3607)*0.000000001)</f>
        <v/>
      </c>
      <c r="S3607" s="25" t="str">
        <f aca="false">IF(R3607="","",SUMPRODUCT((I$5:I$4004=I3607)*ISNUMBER(R$5:R$4004)*(R$5:R$4004&gt;R3607))+1)</f>
        <v/>
      </c>
      <c r="T3607" s="25" t="str">
        <f aca="false">IF(S3607="","",IF(S3607&lt;=Setup!$B$5,"🏆 WINNER",""))</f>
        <v/>
      </c>
      <c r="U3607" s="24" t="str">
        <f aca="false">IF(S3607="","",I3607&amp;"|"&amp;S3607)</f>
        <v/>
      </c>
    </row>
    <row r="3608" customFormat="false" ht="15" hidden="false" customHeight="false" outlineLevel="0" collapsed="false">
      <c r="A3608" s="31" t="n">
        <v>3604</v>
      </c>
      <c r="B3608" s="32" t="str">
        <f aca="false">IF(OR(C3608="",I3608="",G3608=""),"",IFERROR(VLOOKUP(I3608,Setup!$A$9:$B$11,2,0),"???")&amp;"-"&amp;G3608&amp;"-"&amp;TEXT(COUNTIFS(I$5:I3608,I3608,G$5:G3608,G3608),"0000"))</f>
        <v/>
      </c>
      <c r="C3608" s="26"/>
      <c r="D3608" s="26"/>
      <c r="E3608" s="27"/>
      <c r="F3608" s="27"/>
      <c r="G3608" s="31" t="str">
        <f aca="false">IF(F3608="","",IF(F3608&lt;=5,"A",IF(F3608&lt;=8,"B",IF(F3608&lt;=10,"C","D"))))</f>
        <v/>
      </c>
      <c r="H3608" s="28"/>
      <c r="I3608" s="27"/>
      <c r="J3608" s="26"/>
      <c r="K3608" s="27"/>
      <c r="L3608" s="27"/>
      <c r="M3608" s="27"/>
      <c r="N3608" s="27"/>
      <c r="O3608" s="31" t="str">
        <f aca="false">IF(G3608="","",VLOOKUP(G3608,Setup!$A$14:$C$17,3,0))</f>
        <v/>
      </c>
      <c r="P3608" s="27"/>
      <c r="Q3608" s="33" t="str">
        <f aca="false">IF(OR(P3608="",M3608&lt;&gt;"Paid",O3608=""),"",P3608/O3608)</f>
        <v/>
      </c>
      <c r="R3608" s="34" t="str">
        <f aca="false">IF(Q3608="","",Q3608+N(H3608)*0.000000001)</f>
        <v/>
      </c>
      <c r="S3608" s="32" t="str">
        <f aca="false">IF(R3608="","",SUMPRODUCT((I$5:I$4004=I3608)*ISNUMBER(R$5:R$4004)*(R$5:R$4004&gt;R3608))+1)</f>
        <v/>
      </c>
      <c r="T3608" s="32" t="str">
        <f aca="false">IF(S3608="","",IF(S3608&lt;=Setup!$B$5,"🏆 WINNER",""))</f>
        <v/>
      </c>
      <c r="U3608" s="31" t="str">
        <f aca="false">IF(S3608="","",I3608&amp;"|"&amp;S3608)</f>
        <v/>
      </c>
    </row>
    <row r="3609" customFormat="false" ht="15" hidden="false" customHeight="false" outlineLevel="0" collapsed="false">
      <c r="A3609" s="24" t="n">
        <v>3605</v>
      </c>
      <c r="B3609" s="25" t="str">
        <f aca="false">IF(OR(C3609="",I3609="",G3609=""),"",IFERROR(VLOOKUP(I3609,Setup!$A$9:$B$11,2,0),"???")&amp;"-"&amp;G3609&amp;"-"&amp;TEXT(COUNTIFS(I$5:I3609,I3609,G$5:G3609,G3609),"0000"))</f>
        <v/>
      </c>
      <c r="C3609" s="26"/>
      <c r="D3609" s="26"/>
      <c r="E3609" s="27"/>
      <c r="F3609" s="27"/>
      <c r="G3609" s="24" t="str">
        <f aca="false">IF(F3609="","",IF(F3609&lt;=5,"A",IF(F3609&lt;=8,"B",IF(F3609&lt;=10,"C","D"))))</f>
        <v/>
      </c>
      <c r="H3609" s="28"/>
      <c r="I3609" s="27"/>
      <c r="J3609" s="26"/>
      <c r="K3609" s="27"/>
      <c r="L3609" s="27"/>
      <c r="M3609" s="27"/>
      <c r="N3609" s="27"/>
      <c r="O3609" s="24" t="str">
        <f aca="false">IF(G3609="","",VLOOKUP(G3609,Setup!$A$14:$C$17,3,0))</f>
        <v/>
      </c>
      <c r="P3609" s="27"/>
      <c r="Q3609" s="29" t="str">
        <f aca="false">IF(OR(P3609="",M3609&lt;&gt;"Paid",O3609=""),"",P3609/O3609)</f>
        <v/>
      </c>
      <c r="R3609" s="30" t="str">
        <f aca="false">IF(Q3609="","",Q3609+N(H3609)*0.000000001)</f>
        <v/>
      </c>
      <c r="S3609" s="25" t="str">
        <f aca="false">IF(R3609="","",SUMPRODUCT((I$5:I$4004=I3609)*ISNUMBER(R$5:R$4004)*(R$5:R$4004&gt;R3609))+1)</f>
        <v/>
      </c>
      <c r="T3609" s="25" t="str">
        <f aca="false">IF(S3609="","",IF(S3609&lt;=Setup!$B$5,"🏆 WINNER",""))</f>
        <v/>
      </c>
      <c r="U3609" s="24" t="str">
        <f aca="false">IF(S3609="","",I3609&amp;"|"&amp;S3609)</f>
        <v/>
      </c>
    </row>
    <row r="3610" customFormat="false" ht="15" hidden="false" customHeight="false" outlineLevel="0" collapsed="false">
      <c r="A3610" s="31" t="n">
        <v>3606</v>
      </c>
      <c r="B3610" s="32" t="str">
        <f aca="false">IF(OR(C3610="",I3610="",G3610=""),"",IFERROR(VLOOKUP(I3610,Setup!$A$9:$B$11,2,0),"???")&amp;"-"&amp;G3610&amp;"-"&amp;TEXT(COUNTIFS(I$5:I3610,I3610,G$5:G3610,G3610),"0000"))</f>
        <v/>
      </c>
      <c r="C3610" s="26"/>
      <c r="D3610" s="26"/>
      <c r="E3610" s="27"/>
      <c r="F3610" s="27"/>
      <c r="G3610" s="31" t="str">
        <f aca="false">IF(F3610="","",IF(F3610&lt;=5,"A",IF(F3610&lt;=8,"B",IF(F3610&lt;=10,"C","D"))))</f>
        <v/>
      </c>
      <c r="H3610" s="28"/>
      <c r="I3610" s="27"/>
      <c r="J3610" s="26"/>
      <c r="K3610" s="27"/>
      <c r="L3610" s="27"/>
      <c r="M3610" s="27"/>
      <c r="N3610" s="27"/>
      <c r="O3610" s="31" t="str">
        <f aca="false">IF(G3610="","",VLOOKUP(G3610,Setup!$A$14:$C$17,3,0))</f>
        <v/>
      </c>
      <c r="P3610" s="27"/>
      <c r="Q3610" s="33" t="str">
        <f aca="false">IF(OR(P3610="",M3610&lt;&gt;"Paid",O3610=""),"",P3610/O3610)</f>
        <v/>
      </c>
      <c r="R3610" s="34" t="str">
        <f aca="false">IF(Q3610="","",Q3610+N(H3610)*0.000000001)</f>
        <v/>
      </c>
      <c r="S3610" s="32" t="str">
        <f aca="false">IF(R3610="","",SUMPRODUCT((I$5:I$4004=I3610)*ISNUMBER(R$5:R$4004)*(R$5:R$4004&gt;R3610))+1)</f>
        <v/>
      </c>
      <c r="T3610" s="32" t="str">
        <f aca="false">IF(S3610="","",IF(S3610&lt;=Setup!$B$5,"🏆 WINNER",""))</f>
        <v/>
      </c>
      <c r="U3610" s="31" t="str">
        <f aca="false">IF(S3610="","",I3610&amp;"|"&amp;S3610)</f>
        <v/>
      </c>
    </row>
    <row r="3611" customFormat="false" ht="15" hidden="false" customHeight="false" outlineLevel="0" collapsed="false">
      <c r="A3611" s="24" t="n">
        <v>3607</v>
      </c>
      <c r="B3611" s="25" t="str">
        <f aca="false">IF(OR(C3611="",I3611="",G3611=""),"",IFERROR(VLOOKUP(I3611,Setup!$A$9:$B$11,2,0),"???")&amp;"-"&amp;G3611&amp;"-"&amp;TEXT(COUNTIFS(I$5:I3611,I3611,G$5:G3611,G3611),"0000"))</f>
        <v/>
      </c>
      <c r="C3611" s="26"/>
      <c r="D3611" s="26"/>
      <c r="E3611" s="27"/>
      <c r="F3611" s="27"/>
      <c r="G3611" s="24" t="str">
        <f aca="false">IF(F3611="","",IF(F3611&lt;=5,"A",IF(F3611&lt;=8,"B",IF(F3611&lt;=10,"C","D"))))</f>
        <v/>
      </c>
      <c r="H3611" s="28"/>
      <c r="I3611" s="27"/>
      <c r="J3611" s="26"/>
      <c r="K3611" s="27"/>
      <c r="L3611" s="27"/>
      <c r="M3611" s="27"/>
      <c r="N3611" s="27"/>
      <c r="O3611" s="24" t="str">
        <f aca="false">IF(G3611="","",VLOOKUP(G3611,Setup!$A$14:$C$17,3,0))</f>
        <v/>
      </c>
      <c r="P3611" s="27"/>
      <c r="Q3611" s="29" t="str">
        <f aca="false">IF(OR(P3611="",M3611&lt;&gt;"Paid",O3611=""),"",P3611/O3611)</f>
        <v/>
      </c>
      <c r="R3611" s="30" t="str">
        <f aca="false">IF(Q3611="","",Q3611+N(H3611)*0.000000001)</f>
        <v/>
      </c>
      <c r="S3611" s="25" t="str">
        <f aca="false">IF(R3611="","",SUMPRODUCT((I$5:I$4004=I3611)*ISNUMBER(R$5:R$4004)*(R$5:R$4004&gt;R3611))+1)</f>
        <v/>
      </c>
      <c r="T3611" s="25" t="str">
        <f aca="false">IF(S3611="","",IF(S3611&lt;=Setup!$B$5,"🏆 WINNER",""))</f>
        <v/>
      </c>
      <c r="U3611" s="24" t="str">
        <f aca="false">IF(S3611="","",I3611&amp;"|"&amp;S3611)</f>
        <v/>
      </c>
    </row>
    <row r="3612" customFormat="false" ht="15" hidden="false" customHeight="false" outlineLevel="0" collapsed="false">
      <c r="A3612" s="31" t="n">
        <v>3608</v>
      </c>
      <c r="B3612" s="32" t="str">
        <f aca="false">IF(OR(C3612="",I3612="",G3612=""),"",IFERROR(VLOOKUP(I3612,Setup!$A$9:$B$11,2,0),"???")&amp;"-"&amp;G3612&amp;"-"&amp;TEXT(COUNTIFS(I$5:I3612,I3612,G$5:G3612,G3612),"0000"))</f>
        <v/>
      </c>
      <c r="C3612" s="26"/>
      <c r="D3612" s="26"/>
      <c r="E3612" s="27"/>
      <c r="F3612" s="27"/>
      <c r="G3612" s="31" t="str">
        <f aca="false">IF(F3612="","",IF(F3612&lt;=5,"A",IF(F3612&lt;=8,"B",IF(F3612&lt;=10,"C","D"))))</f>
        <v/>
      </c>
      <c r="H3612" s="28"/>
      <c r="I3612" s="27"/>
      <c r="J3612" s="26"/>
      <c r="K3612" s="27"/>
      <c r="L3612" s="27"/>
      <c r="M3612" s="27"/>
      <c r="N3612" s="27"/>
      <c r="O3612" s="31" t="str">
        <f aca="false">IF(G3612="","",VLOOKUP(G3612,Setup!$A$14:$C$17,3,0))</f>
        <v/>
      </c>
      <c r="P3612" s="27"/>
      <c r="Q3612" s="33" t="str">
        <f aca="false">IF(OR(P3612="",M3612&lt;&gt;"Paid",O3612=""),"",P3612/O3612)</f>
        <v/>
      </c>
      <c r="R3612" s="34" t="str">
        <f aca="false">IF(Q3612="","",Q3612+N(H3612)*0.000000001)</f>
        <v/>
      </c>
      <c r="S3612" s="32" t="str">
        <f aca="false">IF(R3612="","",SUMPRODUCT((I$5:I$4004=I3612)*ISNUMBER(R$5:R$4004)*(R$5:R$4004&gt;R3612))+1)</f>
        <v/>
      </c>
      <c r="T3612" s="32" t="str">
        <f aca="false">IF(S3612="","",IF(S3612&lt;=Setup!$B$5,"🏆 WINNER",""))</f>
        <v/>
      </c>
      <c r="U3612" s="31" t="str">
        <f aca="false">IF(S3612="","",I3612&amp;"|"&amp;S3612)</f>
        <v/>
      </c>
    </row>
    <row r="3613" customFormat="false" ht="15" hidden="false" customHeight="false" outlineLevel="0" collapsed="false">
      <c r="A3613" s="24" t="n">
        <v>3609</v>
      </c>
      <c r="B3613" s="25" t="str">
        <f aca="false">IF(OR(C3613="",I3613="",G3613=""),"",IFERROR(VLOOKUP(I3613,Setup!$A$9:$B$11,2,0),"???")&amp;"-"&amp;G3613&amp;"-"&amp;TEXT(COUNTIFS(I$5:I3613,I3613,G$5:G3613,G3613),"0000"))</f>
        <v/>
      </c>
      <c r="C3613" s="26"/>
      <c r="D3613" s="26"/>
      <c r="E3613" s="27"/>
      <c r="F3613" s="27"/>
      <c r="G3613" s="24" t="str">
        <f aca="false">IF(F3613="","",IF(F3613&lt;=5,"A",IF(F3613&lt;=8,"B",IF(F3613&lt;=10,"C","D"))))</f>
        <v/>
      </c>
      <c r="H3613" s="28"/>
      <c r="I3613" s="27"/>
      <c r="J3613" s="26"/>
      <c r="K3613" s="27"/>
      <c r="L3613" s="27"/>
      <c r="M3613" s="27"/>
      <c r="N3613" s="27"/>
      <c r="O3613" s="24" t="str">
        <f aca="false">IF(G3613="","",VLOOKUP(G3613,Setup!$A$14:$C$17,3,0))</f>
        <v/>
      </c>
      <c r="P3613" s="27"/>
      <c r="Q3613" s="29" t="str">
        <f aca="false">IF(OR(P3613="",M3613&lt;&gt;"Paid",O3613=""),"",P3613/O3613)</f>
        <v/>
      </c>
      <c r="R3613" s="30" t="str">
        <f aca="false">IF(Q3613="","",Q3613+N(H3613)*0.000000001)</f>
        <v/>
      </c>
      <c r="S3613" s="25" t="str">
        <f aca="false">IF(R3613="","",SUMPRODUCT((I$5:I$4004=I3613)*ISNUMBER(R$5:R$4004)*(R$5:R$4004&gt;R3613))+1)</f>
        <v/>
      </c>
      <c r="T3613" s="25" t="str">
        <f aca="false">IF(S3613="","",IF(S3613&lt;=Setup!$B$5,"🏆 WINNER",""))</f>
        <v/>
      </c>
      <c r="U3613" s="24" t="str">
        <f aca="false">IF(S3613="","",I3613&amp;"|"&amp;S3613)</f>
        <v/>
      </c>
    </row>
    <row r="3614" customFormat="false" ht="15" hidden="false" customHeight="false" outlineLevel="0" collapsed="false">
      <c r="A3614" s="31" t="n">
        <v>3610</v>
      </c>
      <c r="B3614" s="32" t="str">
        <f aca="false">IF(OR(C3614="",I3614="",G3614=""),"",IFERROR(VLOOKUP(I3614,Setup!$A$9:$B$11,2,0),"???")&amp;"-"&amp;G3614&amp;"-"&amp;TEXT(COUNTIFS(I$5:I3614,I3614,G$5:G3614,G3614),"0000"))</f>
        <v/>
      </c>
      <c r="C3614" s="26"/>
      <c r="D3614" s="26"/>
      <c r="E3614" s="27"/>
      <c r="F3614" s="27"/>
      <c r="G3614" s="31" t="str">
        <f aca="false">IF(F3614="","",IF(F3614&lt;=5,"A",IF(F3614&lt;=8,"B",IF(F3614&lt;=10,"C","D"))))</f>
        <v/>
      </c>
      <c r="H3614" s="28"/>
      <c r="I3614" s="27"/>
      <c r="J3614" s="26"/>
      <c r="K3614" s="27"/>
      <c r="L3614" s="27"/>
      <c r="M3614" s="27"/>
      <c r="N3614" s="27"/>
      <c r="O3614" s="31" t="str">
        <f aca="false">IF(G3614="","",VLOOKUP(G3614,Setup!$A$14:$C$17,3,0))</f>
        <v/>
      </c>
      <c r="P3614" s="27"/>
      <c r="Q3614" s="33" t="str">
        <f aca="false">IF(OR(P3614="",M3614&lt;&gt;"Paid",O3614=""),"",P3614/O3614)</f>
        <v/>
      </c>
      <c r="R3614" s="34" t="str">
        <f aca="false">IF(Q3614="","",Q3614+N(H3614)*0.000000001)</f>
        <v/>
      </c>
      <c r="S3614" s="32" t="str">
        <f aca="false">IF(R3614="","",SUMPRODUCT((I$5:I$4004=I3614)*ISNUMBER(R$5:R$4004)*(R$5:R$4004&gt;R3614))+1)</f>
        <v/>
      </c>
      <c r="T3614" s="32" t="str">
        <f aca="false">IF(S3614="","",IF(S3614&lt;=Setup!$B$5,"🏆 WINNER",""))</f>
        <v/>
      </c>
      <c r="U3614" s="31" t="str">
        <f aca="false">IF(S3614="","",I3614&amp;"|"&amp;S3614)</f>
        <v/>
      </c>
    </row>
    <row r="3615" customFormat="false" ht="15" hidden="false" customHeight="false" outlineLevel="0" collapsed="false">
      <c r="A3615" s="24" t="n">
        <v>3611</v>
      </c>
      <c r="B3615" s="25" t="str">
        <f aca="false">IF(OR(C3615="",I3615="",G3615=""),"",IFERROR(VLOOKUP(I3615,Setup!$A$9:$B$11,2,0),"???")&amp;"-"&amp;G3615&amp;"-"&amp;TEXT(COUNTIFS(I$5:I3615,I3615,G$5:G3615,G3615),"0000"))</f>
        <v/>
      </c>
      <c r="C3615" s="26"/>
      <c r="D3615" s="26"/>
      <c r="E3615" s="27"/>
      <c r="F3615" s="27"/>
      <c r="G3615" s="24" t="str">
        <f aca="false">IF(F3615="","",IF(F3615&lt;=5,"A",IF(F3615&lt;=8,"B",IF(F3615&lt;=10,"C","D"))))</f>
        <v/>
      </c>
      <c r="H3615" s="28"/>
      <c r="I3615" s="27"/>
      <c r="J3615" s="26"/>
      <c r="K3615" s="27"/>
      <c r="L3615" s="27"/>
      <c r="M3615" s="27"/>
      <c r="N3615" s="27"/>
      <c r="O3615" s="24" t="str">
        <f aca="false">IF(G3615="","",VLOOKUP(G3615,Setup!$A$14:$C$17,3,0))</f>
        <v/>
      </c>
      <c r="P3615" s="27"/>
      <c r="Q3615" s="29" t="str">
        <f aca="false">IF(OR(P3615="",M3615&lt;&gt;"Paid",O3615=""),"",P3615/O3615)</f>
        <v/>
      </c>
      <c r="R3615" s="30" t="str">
        <f aca="false">IF(Q3615="","",Q3615+N(H3615)*0.000000001)</f>
        <v/>
      </c>
      <c r="S3615" s="25" t="str">
        <f aca="false">IF(R3615="","",SUMPRODUCT((I$5:I$4004=I3615)*ISNUMBER(R$5:R$4004)*(R$5:R$4004&gt;R3615))+1)</f>
        <v/>
      </c>
      <c r="T3615" s="25" t="str">
        <f aca="false">IF(S3615="","",IF(S3615&lt;=Setup!$B$5,"🏆 WINNER",""))</f>
        <v/>
      </c>
      <c r="U3615" s="24" t="str">
        <f aca="false">IF(S3615="","",I3615&amp;"|"&amp;S3615)</f>
        <v/>
      </c>
    </row>
    <row r="3616" customFormat="false" ht="15" hidden="false" customHeight="false" outlineLevel="0" collapsed="false">
      <c r="A3616" s="31" t="n">
        <v>3612</v>
      </c>
      <c r="B3616" s="32" t="str">
        <f aca="false">IF(OR(C3616="",I3616="",G3616=""),"",IFERROR(VLOOKUP(I3616,Setup!$A$9:$B$11,2,0),"???")&amp;"-"&amp;G3616&amp;"-"&amp;TEXT(COUNTIFS(I$5:I3616,I3616,G$5:G3616,G3616),"0000"))</f>
        <v/>
      </c>
      <c r="C3616" s="26"/>
      <c r="D3616" s="26"/>
      <c r="E3616" s="27"/>
      <c r="F3616" s="27"/>
      <c r="G3616" s="31" t="str">
        <f aca="false">IF(F3616="","",IF(F3616&lt;=5,"A",IF(F3616&lt;=8,"B",IF(F3616&lt;=10,"C","D"))))</f>
        <v/>
      </c>
      <c r="H3616" s="28"/>
      <c r="I3616" s="27"/>
      <c r="J3616" s="26"/>
      <c r="K3616" s="27"/>
      <c r="L3616" s="27"/>
      <c r="M3616" s="27"/>
      <c r="N3616" s="27"/>
      <c r="O3616" s="31" t="str">
        <f aca="false">IF(G3616="","",VLOOKUP(G3616,Setup!$A$14:$C$17,3,0))</f>
        <v/>
      </c>
      <c r="P3616" s="27"/>
      <c r="Q3616" s="33" t="str">
        <f aca="false">IF(OR(P3616="",M3616&lt;&gt;"Paid",O3616=""),"",P3616/O3616)</f>
        <v/>
      </c>
      <c r="R3616" s="34" t="str">
        <f aca="false">IF(Q3616="","",Q3616+N(H3616)*0.000000001)</f>
        <v/>
      </c>
      <c r="S3616" s="32" t="str">
        <f aca="false">IF(R3616="","",SUMPRODUCT((I$5:I$4004=I3616)*ISNUMBER(R$5:R$4004)*(R$5:R$4004&gt;R3616))+1)</f>
        <v/>
      </c>
      <c r="T3616" s="32" t="str">
        <f aca="false">IF(S3616="","",IF(S3616&lt;=Setup!$B$5,"🏆 WINNER",""))</f>
        <v/>
      </c>
      <c r="U3616" s="31" t="str">
        <f aca="false">IF(S3616="","",I3616&amp;"|"&amp;S3616)</f>
        <v/>
      </c>
    </row>
    <row r="3617" customFormat="false" ht="15" hidden="false" customHeight="false" outlineLevel="0" collapsed="false">
      <c r="A3617" s="24" t="n">
        <v>3613</v>
      </c>
      <c r="B3617" s="25" t="str">
        <f aca="false">IF(OR(C3617="",I3617="",G3617=""),"",IFERROR(VLOOKUP(I3617,Setup!$A$9:$B$11,2,0),"???")&amp;"-"&amp;G3617&amp;"-"&amp;TEXT(COUNTIFS(I$5:I3617,I3617,G$5:G3617,G3617),"0000"))</f>
        <v/>
      </c>
      <c r="C3617" s="26"/>
      <c r="D3617" s="26"/>
      <c r="E3617" s="27"/>
      <c r="F3617" s="27"/>
      <c r="G3617" s="24" t="str">
        <f aca="false">IF(F3617="","",IF(F3617&lt;=5,"A",IF(F3617&lt;=8,"B",IF(F3617&lt;=10,"C","D"))))</f>
        <v/>
      </c>
      <c r="H3617" s="28"/>
      <c r="I3617" s="27"/>
      <c r="J3617" s="26"/>
      <c r="K3617" s="27"/>
      <c r="L3617" s="27"/>
      <c r="M3617" s="27"/>
      <c r="N3617" s="27"/>
      <c r="O3617" s="24" t="str">
        <f aca="false">IF(G3617="","",VLOOKUP(G3617,Setup!$A$14:$C$17,3,0))</f>
        <v/>
      </c>
      <c r="P3617" s="27"/>
      <c r="Q3617" s="29" t="str">
        <f aca="false">IF(OR(P3617="",M3617&lt;&gt;"Paid",O3617=""),"",P3617/O3617)</f>
        <v/>
      </c>
      <c r="R3617" s="30" t="str">
        <f aca="false">IF(Q3617="","",Q3617+N(H3617)*0.000000001)</f>
        <v/>
      </c>
      <c r="S3617" s="25" t="str">
        <f aca="false">IF(R3617="","",SUMPRODUCT((I$5:I$4004=I3617)*ISNUMBER(R$5:R$4004)*(R$5:R$4004&gt;R3617))+1)</f>
        <v/>
      </c>
      <c r="T3617" s="25" t="str">
        <f aca="false">IF(S3617="","",IF(S3617&lt;=Setup!$B$5,"🏆 WINNER",""))</f>
        <v/>
      </c>
      <c r="U3617" s="24" t="str">
        <f aca="false">IF(S3617="","",I3617&amp;"|"&amp;S3617)</f>
        <v/>
      </c>
    </row>
    <row r="3618" customFormat="false" ht="15" hidden="false" customHeight="false" outlineLevel="0" collapsed="false">
      <c r="A3618" s="31" t="n">
        <v>3614</v>
      </c>
      <c r="B3618" s="32" t="str">
        <f aca="false">IF(OR(C3618="",I3618="",G3618=""),"",IFERROR(VLOOKUP(I3618,Setup!$A$9:$B$11,2,0),"???")&amp;"-"&amp;G3618&amp;"-"&amp;TEXT(COUNTIFS(I$5:I3618,I3618,G$5:G3618,G3618),"0000"))</f>
        <v/>
      </c>
      <c r="C3618" s="26"/>
      <c r="D3618" s="26"/>
      <c r="E3618" s="27"/>
      <c r="F3618" s="27"/>
      <c r="G3618" s="31" t="str">
        <f aca="false">IF(F3618="","",IF(F3618&lt;=5,"A",IF(F3618&lt;=8,"B",IF(F3618&lt;=10,"C","D"))))</f>
        <v/>
      </c>
      <c r="H3618" s="28"/>
      <c r="I3618" s="27"/>
      <c r="J3618" s="26"/>
      <c r="K3618" s="27"/>
      <c r="L3618" s="27"/>
      <c r="M3618" s="27"/>
      <c r="N3618" s="27"/>
      <c r="O3618" s="31" t="str">
        <f aca="false">IF(G3618="","",VLOOKUP(G3618,Setup!$A$14:$C$17,3,0))</f>
        <v/>
      </c>
      <c r="P3618" s="27"/>
      <c r="Q3618" s="33" t="str">
        <f aca="false">IF(OR(P3618="",M3618&lt;&gt;"Paid",O3618=""),"",P3618/O3618)</f>
        <v/>
      </c>
      <c r="R3618" s="34" t="str">
        <f aca="false">IF(Q3618="","",Q3618+N(H3618)*0.000000001)</f>
        <v/>
      </c>
      <c r="S3618" s="32" t="str">
        <f aca="false">IF(R3618="","",SUMPRODUCT((I$5:I$4004=I3618)*ISNUMBER(R$5:R$4004)*(R$5:R$4004&gt;R3618))+1)</f>
        <v/>
      </c>
      <c r="T3618" s="32" t="str">
        <f aca="false">IF(S3618="","",IF(S3618&lt;=Setup!$B$5,"🏆 WINNER",""))</f>
        <v/>
      </c>
      <c r="U3618" s="31" t="str">
        <f aca="false">IF(S3618="","",I3618&amp;"|"&amp;S3618)</f>
        <v/>
      </c>
    </row>
    <row r="3619" customFormat="false" ht="15" hidden="false" customHeight="false" outlineLevel="0" collapsed="false">
      <c r="A3619" s="24" t="n">
        <v>3615</v>
      </c>
      <c r="B3619" s="25" t="str">
        <f aca="false">IF(OR(C3619="",I3619="",G3619=""),"",IFERROR(VLOOKUP(I3619,Setup!$A$9:$B$11,2,0),"???")&amp;"-"&amp;G3619&amp;"-"&amp;TEXT(COUNTIFS(I$5:I3619,I3619,G$5:G3619,G3619),"0000"))</f>
        <v/>
      </c>
      <c r="C3619" s="26"/>
      <c r="D3619" s="26"/>
      <c r="E3619" s="27"/>
      <c r="F3619" s="27"/>
      <c r="G3619" s="24" t="str">
        <f aca="false">IF(F3619="","",IF(F3619&lt;=5,"A",IF(F3619&lt;=8,"B",IF(F3619&lt;=10,"C","D"))))</f>
        <v/>
      </c>
      <c r="H3619" s="28"/>
      <c r="I3619" s="27"/>
      <c r="J3619" s="26"/>
      <c r="K3619" s="27"/>
      <c r="L3619" s="27"/>
      <c r="M3619" s="27"/>
      <c r="N3619" s="27"/>
      <c r="O3619" s="24" t="str">
        <f aca="false">IF(G3619="","",VLOOKUP(G3619,Setup!$A$14:$C$17,3,0))</f>
        <v/>
      </c>
      <c r="P3619" s="27"/>
      <c r="Q3619" s="29" t="str">
        <f aca="false">IF(OR(P3619="",M3619&lt;&gt;"Paid",O3619=""),"",P3619/O3619)</f>
        <v/>
      </c>
      <c r="R3619" s="30" t="str">
        <f aca="false">IF(Q3619="","",Q3619+N(H3619)*0.000000001)</f>
        <v/>
      </c>
      <c r="S3619" s="25" t="str">
        <f aca="false">IF(R3619="","",SUMPRODUCT((I$5:I$4004=I3619)*ISNUMBER(R$5:R$4004)*(R$5:R$4004&gt;R3619))+1)</f>
        <v/>
      </c>
      <c r="T3619" s="25" t="str">
        <f aca="false">IF(S3619="","",IF(S3619&lt;=Setup!$B$5,"🏆 WINNER",""))</f>
        <v/>
      </c>
      <c r="U3619" s="24" t="str">
        <f aca="false">IF(S3619="","",I3619&amp;"|"&amp;S3619)</f>
        <v/>
      </c>
    </row>
    <row r="3620" customFormat="false" ht="15" hidden="false" customHeight="false" outlineLevel="0" collapsed="false">
      <c r="A3620" s="31" t="n">
        <v>3616</v>
      </c>
      <c r="B3620" s="32" t="str">
        <f aca="false">IF(OR(C3620="",I3620="",G3620=""),"",IFERROR(VLOOKUP(I3620,Setup!$A$9:$B$11,2,0),"???")&amp;"-"&amp;G3620&amp;"-"&amp;TEXT(COUNTIFS(I$5:I3620,I3620,G$5:G3620,G3620),"0000"))</f>
        <v/>
      </c>
      <c r="C3620" s="26"/>
      <c r="D3620" s="26"/>
      <c r="E3620" s="27"/>
      <c r="F3620" s="27"/>
      <c r="G3620" s="31" t="str">
        <f aca="false">IF(F3620="","",IF(F3620&lt;=5,"A",IF(F3620&lt;=8,"B",IF(F3620&lt;=10,"C","D"))))</f>
        <v/>
      </c>
      <c r="H3620" s="28"/>
      <c r="I3620" s="27"/>
      <c r="J3620" s="26"/>
      <c r="K3620" s="27"/>
      <c r="L3620" s="27"/>
      <c r="M3620" s="27"/>
      <c r="N3620" s="27"/>
      <c r="O3620" s="31" t="str">
        <f aca="false">IF(G3620="","",VLOOKUP(G3620,Setup!$A$14:$C$17,3,0))</f>
        <v/>
      </c>
      <c r="P3620" s="27"/>
      <c r="Q3620" s="33" t="str">
        <f aca="false">IF(OR(P3620="",M3620&lt;&gt;"Paid",O3620=""),"",P3620/O3620)</f>
        <v/>
      </c>
      <c r="R3620" s="34" t="str">
        <f aca="false">IF(Q3620="","",Q3620+N(H3620)*0.000000001)</f>
        <v/>
      </c>
      <c r="S3620" s="32" t="str">
        <f aca="false">IF(R3620="","",SUMPRODUCT((I$5:I$4004=I3620)*ISNUMBER(R$5:R$4004)*(R$5:R$4004&gt;R3620))+1)</f>
        <v/>
      </c>
      <c r="T3620" s="32" t="str">
        <f aca="false">IF(S3620="","",IF(S3620&lt;=Setup!$B$5,"🏆 WINNER",""))</f>
        <v/>
      </c>
      <c r="U3620" s="31" t="str">
        <f aca="false">IF(S3620="","",I3620&amp;"|"&amp;S3620)</f>
        <v/>
      </c>
    </row>
    <row r="3621" customFormat="false" ht="15" hidden="false" customHeight="false" outlineLevel="0" collapsed="false">
      <c r="A3621" s="24" t="n">
        <v>3617</v>
      </c>
      <c r="B3621" s="25" t="str">
        <f aca="false">IF(OR(C3621="",I3621="",G3621=""),"",IFERROR(VLOOKUP(I3621,Setup!$A$9:$B$11,2,0),"???")&amp;"-"&amp;G3621&amp;"-"&amp;TEXT(COUNTIFS(I$5:I3621,I3621,G$5:G3621,G3621),"0000"))</f>
        <v/>
      </c>
      <c r="C3621" s="26"/>
      <c r="D3621" s="26"/>
      <c r="E3621" s="27"/>
      <c r="F3621" s="27"/>
      <c r="G3621" s="24" t="str">
        <f aca="false">IF(F3621="","",IF(F3621&lt;=5,"A",IF(F3621&lt;=8,"B",IF(F3621&lt;=10,"C","D"))))</f>
        <v/>
      </c>
      <c r="H3621" s="28"/>
      <c r="I3621" s="27"/>
      <c r="J3621" s="26"/>
      <c r="K3621" s="27"/>
      <c r="L3621" s="27"/>
      <c r="M3621" s="27"/>
      <c r="N3621" s="27"/>
      <c r="O3621" s="24" t="str">
        <f aca="false">IF(G3621="","",VLOOKUP(G3621,Setup!$A$14:$C$17,3,0))</f>
        <v/>
      </c>
      <c r="P3621" s="27"/>
      <c r="Q3621" s="29" t="str">
        <f aca="false">IF(OR(P3621="",M3621&lt;&gt;"Paid",O3621=""),"",P3621/O3621)</f>
        <v/>
      </c>
      <c r="R3621" s="30" t="str">
        <f aca="false">IF(Q3621="","",Q3621+N(H3621)*0.000000001)</f>
        <v/>
      </c>
      <c r="S3621" s="25" t="str">
        <f aca="false">IF(R3621="","",SUMPRODUCT((I$5:I$4004=I3621)*ISNUMBER(R$5:R$4004)*(R$5:R$4004&gt;R3621))+1)</f>
        <v/>
      </c>
      <c r="T3621" s="25" t="str">
        <f aca="false">IF(S3621="","",IF(S3621&lt;=Setup!$B$5,"🏆 WINNER",""))</f>
        <v/>
      </c>
      <c r="U3621" s="24" t="str">
        <f aca="false">IF(S3621="","",I3621&amp;"|"&amp;S3621)</f>
        <v/>
      </c>
    </row>
    <row r="3622" customFormat="false" ht="15" hidden="false" customHeight="false" outlineLevel="0" collapsed="false">
      <c r="A3622" s="31" t="n">
        <v>3618</v>
      </c>
      <c r="B3622" s="32" t="str">
        <f aca="false">IF(OR(C3622="",I3622="",G3622=""),"",IFERROR(VLOOKUP(I3622,Setup!$A$9:$B$11,2,0),"???")&amp;"-"&amp;G3622&amp;"-"&amp;TEXT(COUNTIFS(I$5:I3622,I3622,G$5:G3622,G3622),"0000"))</f>
        <v/>
      </c>
      <c r="C3622" s="26"/>
      <c r="D3622" s="26"/>
      <c r="E3622" s="27"/>
      <c r="F3622" s="27"/>
      <c r="G3622" s="31" t="str">
        <f aca="false">IF(F3622="","",IF(F3622&lt;=5,"A",IF(F3622&lt;=8,"B",IF(F3622&lt;=10,"C","D"))))</f>
        <v/>
      </c>
      <c r="H3622" s="28"/>
      <c r="I3622" s="27"/>
      <c r="J3622" s="26"/>
      <c r="K3622" s="27"/>
      <c r="L3622" s="27"/>
      <c r="M3622" s="27"/>
      <c r="N3622" s="27"/>
      <c r="O3622" s="31" t="str">
        <f aca="false">IF(G3622="","",VLOOKUP(G3622,Setup!$A$14:$C$17,3,0))</f>
        <v/>
      </c>
      <c r="P3622" s="27"/>
      <c r="Q3622" s="33" t="str">
        <f aca="false">IF(OR(P3622="",M3622&lt;&gt;"Paid",O3622=""),"",P3622/O3622)</f>
        <v/>
      </c>
      <c r="R3622" s="34" t="str">
        <f aca="false">IF(Q3622="","",Q3622+N(H3622)*0.000000001)</f>
        <v/>
      </c>
      <c r="S3622" s="32" t="str">
        <f aca="false">IF(R3622="","",SUMPRODUCT((I$5:I$4004=I3622)*ISNUMBER(R$5:R$4004)*(R$5:R$4004&gt;R3622))+1)</f>
        <v/>
      </c>
      <c r="T3622" s="32" t="str">
        <f aca="false">IF(S3622="","",IF(S3622&lt;=Setup!$B$5,"🏆 WINNER",""))</f>
        <v/>
      </c>
      <c r="U3622" s="31" t="str">
        <f aca="false">IF(S3622="","",I3622&amp;"|"&amp;S3622)</f>
        <v/>
      </c>
    </row>
    <row r="3623" customFormat="false" ht="15" hidden="false" customHeight="false" outlineLevel="0" collapsed="false">
      <c r="A3623" s="24" t="n">
        <v>3619</v>
      </c>
      <c r="B3623" s="25" t="str">
        <f aca="false">IF(OR(C3623="",I3623="",G3623=""),"",IFERROR(VLOOKUP(I3623,Setup!$A$9:$B$11,2,0),"???")&amp;"-"&amp;G3623&amp;"-"&amp;TEXT(COUNTIFS(I$5:I3623,I3623,G$5:G3623,G3623),"0000"))</f>
        <v/>
      </c>
      <c r="C3623" s="26"/>
      <c r="D3623" s="26"/>
      <c r="E3623" s="27"/>
      <c r="F3623" s="27"/>
      <c r="G3623" s="24" t="str">
        <f aca="false">IF(F3623="","",IF(F3623&lt;=5,"A",IF(F3623&lt;=8,"B",IF(F3623&lt;=10,"C","D"))))</f>
        <v/>
      </c>
      <c r="H3623" s="28"/>
      <c r="I3623" s="27"/>
      <c r="J3623" s="26"/>
      <c r="K3623" s="27"/>
      <c r="L3623" s="27"/>
      <c r="M3623" s="27"/>
      <c r="N3623" s="27"/>
      <c r="O3623" s="24" t="str">
        <f aca="false">IF(G3623="","",VLOOKUP(G3623,Setup!$A$14:$C$17,3,0))</f>
        <v/>
      </c>
      <c r="P3623" s="27"/>
      <c r="Q3623" s="29" t="str">
        <f aca="false">IF(OR(P3623="",M3623&lt;&gt;"Paid",O3623=""),"",P3623/O3623)</f>
        <v/>
      </c>
      <c r="R3623" s="30" t="str">
        <f aca="false">IF(Q3623="","",Q3623+N(H3623)*0.000000001)</f>
        <v/>
      </c>
      <c r="S3623" s="25" t="str">
        <f aca="false">IF(R3623="","",SUMPRODUCT((I$5:I$4004=I3623)*ISNUMBER(R$5:R$4004)*(R$5:R$4004&gt;R3623))+1)</f>
        <v/>
      </c>
      <c r="T3623" s="25" t="str">
        <f aca="false">IF(S3623="","",IF(S3623&lt;=Setup!$B$5,"🏆 WINNER",""))</f>
        <v/>
      </c>
      <c r="U3623" s="24" t="str">
        <f aca="false">IF(S3623="","",I3623&amp;"|"&amp;S3623)</f>
        <v/>
      </c>
    </row>
    <row r="3624" customFormat="false" ht="15" hidden="false" customHeight="false" outlineLevel="0" collapsed="false">
      <c r="A3624" s="31" t="n">
        <v>3620</v>
      </c>
      <c r="B3624" s="32" t="str">
        <f aca="false">IF(OR(C3624="",I3624="",G3624=""),"",IFERROR(VLOOKUP(I3624,Setup!$A$9:$B$11,2,0),"???")&amp;"-"&amp;G3624&amp;"-"&amp;TEXT(COUNTIFS(I$5:I3624,I3624,G$5:G3624,G3624),"0000"))</f>
        <v/>
      </c>
      <c r="C3624" s="26"/>
      <c r="D3624" s="26"/>
      <c r="E3624" s="27"/>
      <c r="F3624" s="27"/>
      <c r="G3624" s="31" t="str">
        <f aca="false">IF(F3624="","",IF(F3624&lt;=5,"A",IF(F3624&lt;=8,"B",IF(F3624&lt;=10,"C","D"))))</f>
        <v/>
      </c>
      <c r="H3624" s="28"/>
      <c r="I3624" s="27"/>
      <c r="J3624" s="26"/>
      <c r="K3624" s="27"/>
      <c r="L3624" s="27"/>
      <c r="M3624" s="27"/>
      <c r="N3624" s="27"/>
      <c r="O3624" s="31" t="str">
        <f aca="false">IF(G3624="","",VLOOKUP(G3624,Setup!$A$14:$C$17,3,0))</f>
        <v/>
      </c>
      <c r="P3624" s="27"/>
      <c r="Q3624" s="33" t="str">
        <f aca="false">IF(OR(P3624="",M3624&lt;&gt;"Paid",O3624=""),"",P3624/O3624)</f>
        <v/>
      </c>
      <c r="R3624" s="34" t="str">
        <f aca="false">IF(Q3624="","",Q3624+N(H3624)*0.000000001)</f>
        <v/>
      </c>
      <c r="S3624" s="32" t="str">
        <f aca="false">IF(R3624="","",SUMPRODUCT((I$5:I$4004=I3624)*ISNUMBER(R$5:R$4004)*(R$5:R$4004&gt;R3624))+1)</f>
        <v/>
      </c>
      <c r="T3624" s="32" t="str">
        <f aca="false">IF(S3624="","",IF(S3624&lt;=Setup!$B$5,"🏆 WINNER",""))</f>
        <v/>
      </c>
      <c r="U3624" s="31" t="str">
        <f aca="false">IF(S3624="","",I3624&amp;"|"&amp;S3624)</f>
        <v/>
      </c>
    </row>
    <row r="3625" customFormat="false" ht="15" hidden="false" customHeight="false" outlineLevel="0" collapsed="false">
      <c r="A3625" s="24" t="n">
        <v>3621</v>
      </c>
      <c r="B3625" s="25" t="str">
        <f aca="false">IF(OR(C3625="",I3625="",G3625=""),"",IFERROR(VLOOKUP(I3625,Setup!$A$9:$B$11,2,0),"???")&amp;"-"&amp;G3625&amp;"-"&amp;TEXT(COUNTIFS(I$5:I3625,I3625,G$5:G3625,G3625),"0000"))</f>
        <v/>
      </c>
      <c r="C3625" s="26"/>
      <c r="D3625" s="26"/>
      <c r="E3625" s="27"/>
      <c r="F3625" s="27"/>
      <c r="G3625" s="24" t="str">
        <f aca="false">IF(F3625="","",IF(F3625&lt;=5,"A",IF(F3625&lt;=8,"B",IF(F3625&lt;=10,"C","D"))))</f>
        <v/>
      </c>
      <c r="H3625" s="28"/>
      <c r="I3625" s="27"/>
      <c r="J3625" s="26"/>
      <c r="K3625" s="27"/>
      <c r="L3625" s="27"/>
      <c r="M3625" s="27"/>
      <c r="N3625" s="27"/>
      <c r="O3625" s="24" t="str">
        <f aca="false">IF(G3625="","",VLOOKUP(G3625,Setup!$A$14:$C$17,3,0))</f>
        <v/>
      </c>
      <c r="P3625" s="27"/>
      <c r="Q3625" s="29" t="str">
        <f aca="false">IF(OR(P3625="",M3625&lt;&gt;"Paid",O3625=""),"",P3625/O3625)</f>
        <v/>
      </c>
      <c r="R3625" s="30" t="str">
        <f aca="false">IF(Q3625="","",Q3625+N(H3625)*0.000000001)</f>
        <v/>
      </c>
      <c r="S3625" s="25" t="str">
        <f aca="false">IF(R3625="","",SUMPRODUCT((I$5:I$4004=I3625)*ISNUMBER(R$5:R$4004)*(R$5:R$4004&gt;R3625))+1)</f>
        <v/>
      </c>
      <c r="T3625" s="25" t="str">
        <f aca="false">IF(S3625="","",IF(S3625&lt;=Setup!$B$5,"🏆 WINNER",""))</f>
        <v/>
      </c>
      <c r="U3625" s="24" t="str">
        <f aca="false">IF(S3625="","",I3625&amp;"|"&amp;S3625)</f>
        <v/>
      </c>
    </row>
    <row r="3626" customFormat="false" ht="15" hidden="false" customHeight="false" outlineLevel="0" collapsed="false">
      <c r="A3626" s="31" t="n">
        <v>3622</v>
      </c>
      <c r="B3626" s="32" t="str">
        <f aca="false">IF(OR(C3626="",I3626="",G3626=""),"",IFERROR(VLOOKUP(I3626,Setup!$A$9:$B$11,2,0),"???")&amp;"-"&amp;G3626&amp;"-"&amp;TEXT(COUNTIFS(I$5:I3626,I3626,G$5:G3626,G3626),"0000"))</f>
        <v/>
      </c>
      <c r="C3626" s="26"/>
      <c r="D3626" s="26"/>
      <c r="E3626" s="27"/>
      <c r="F3626" s="27"/>
      <c r="G3626" s="31" t="str">
        <f aca="false">IF(F3626="","",IF(F3626&lt;=5,"A",IF(F3626&lt;=8,"B",IF(F3626&lt;=10,"C","D"))))</f>
        <v/>
      </c>
      <c r="H3626" s="28"/>
      <c r="I3626" s="27"/>
      <c r="J3626" s="26"/>
      <c r="K3626" s="27"/>
      <c r="L3626" s="27"/>
      <c r="M3626" s="27"/>
      <c r="N3626" s="27"/>
      <c r="O3626" s="31" t="str">
        <f aca="false">IF(G3626="","",VLOOKUP(G3626,Setup!$A$14:$C$17,3,0))</f>
        <v/>
      </c>
      <c r="P3626" s="27"/>
      <c r="Q3626" s="33" t="str">
        <f aca="false">IF(OR(P3626="",M3626&lt;&gt;"Paid",O3626=""),"",P3626/O3626)</f>
        <v/>
      </c>
      <c r="R3626" s="34" t="str">
        <f aca="false">IF(Q3626="","",Q3626+N(H3626)*0.000000001)</f>
        <v/>
      </c>
      <c r="S3626" s="32" t="str">
        <f aca="false">IF(R3626="","",SUMPRODUCT((I$5:I$4004=I3626)*ISNUMBER(R$5:R$4004)*(R$5:R$4004&gt;R3626))+1)</f>
        <v/>
      </c>
      <c r="T3626" s="32" t="str">
        <f aca="false">IF(S3626="","",IF(S3626&lt;=Setup!$B$5,"🏆 WINNER",""))</f>
        <v/>
      </c>
      <c r="U3626" s="31" t="str">
        <f aca="false">IF(S3626="","",I3626&amp;"|"&amp;S3626)</f>
        <v/>
      </c>
    </row>
    <row r="3627" customFormat="false" ht="15" hidden="false" customHeight="false" outlineLevel="0" collapsed="false">
      <c r="A3627" s="24" t="n">
        <v>3623</v>
      </c>
      <c r="B3627" s="25" t="str">
        <f aca="false">IF(OR(C3627="",I3627="",G3627=""),"",IFERROR(VLOOKUP(I3627,Setup!$A$9:$B$11,2,0),"???")&amp;"-"&amp;G3627&amp;"-"&amp;TEXT(COUNTIFS(I$5:I3627,I3627,G$5:G3627,G3627),"0000"))</f>
        <v/>
      </c>
      <c r="C3627" s="26"/>
      <c r="D3627" s="26"/>
      <c r="E3627" s="27"/>
      <c r="F3627" s="27"/>
      <c r="G3627" s="24" t="str">
        <f aca="false">IF(F3627="","",IF(F3627&lt;=5,"A",IF(F3627&lt;=8,"B",IF(F3627&lt;=10,"C","D"))))</f>
        <v/>
      </c>
      <c r="H3627" s="28"/>
      <c r="I3627" s="27"/>
      <c r="J3627" s="26"/>
      <c r="K3627" s="27"/>
      <c r="L3627" s="27"/>
      <c r="M3627" s="27"/>
      <c r="N3627" s="27"/>
      <c r="O3627" s="24" t="str">
        <f aca="false">IF(G3627="","",VLOOKUP(G3627,Setup!$A$14:$C$17,3,0))</f>
        <v/>
      </c>
      <c r="P3627" s="27"/>
      <c r="Q3627" s="29" t="str">
        <f aca="false">IF(OR(P3627="",M3627&lt;&gt;"Paid",O3627=""),"",P3627/O3627)</f>
        <v/>
      </c>
      <c r="R3627" s="30" t="str">
        <f aca="false">IF(Q3627="","",Q3627+N(H3627)*0.000000001)</f>
        <v/>
      </c>
      <c r="S3627" s="25" t="str">
        <f aca="false">IF(R3627="","",SUMPRODUCT((I$5:I$4004=I3627)*ISNUMBER(R$5:R$4004)*(R$5:R$4004&gt;R3627))+1)</f>
        <v/>
      </c>
      <c r="T3627" s="25" t="str">
        <f aca="false">IF(S3627="","",IF(S3627&lt;=Setup!$B$5,"🏆 WINNER",""))</f>
        <v/>
      </c>
      <c r="U3627" s="24" t="str">
        <f aca="false">IF(S3627="","",I3627&amp;"|"&amp;S3627)</f>
        <v/>
      </c>
    </row>
    <row r="3628" customFormat="false" ht="15" hidden="false" customHeight="false" outlineLevel="0" collapsed="false">
      <c r="A3628" s="31" t="n">
        <v>3624</v>
      </c>
      <c r="B3628" s="32" t="str">
        <f aca="false">IF(OR(C3628="",I3628="",G3628=""),"",IFERROR(VLOOKUP(I3628,Setup!$A$9:$B$11,2,0),"???")&amp;"-"&amp;G3628&amp;"-"&amp;TEXT(COUNTIFS(I$5:I3628,I3628,G$5:G3628,G3628),"0000"))</f>
        <v/>
      </c>
      <c r="C3628" s="26"/>
      <c r="D3628" s="26"/>
      <c r="E3628" s="27"/>
      <c r="F3628" s="27"/>
      <c r="G3628" s="31" t="str">
        <f aca="false">IF(F3628="","",IF(F3628&lt;=5,"A",IF(F3628&lt;=8,"B",IF(F3628&lt;=10,"C","D"))))</f>
        <v/>
      </c>
      <c r="H3628" s="28"/>
      <c r="I3628" s="27"/>
      <c r="J3628" s="26"/>
      <c r="K3628" s="27"/>
      <c r="L3628" s="27"/>
      <c r="M3628" s="27"/>
      <c r="N3628" s="27"/>
      <c r="O3628" s="31" t="str">
        <f aca="false">IF(G3628="","",VLOOKUP(G3628,Setup!$A$14:$C$17,3,0))</f>
        <v/>
      </c>
      <c r="P3628" s="27"/>
      <c r="Q3628" s="33" t="str">
        <f aca="false">IF(OR(P3628="",M3628&lt;&gt;"Paid",O3628=""),"",P3628/O3628)</f>
        <v/>
      </c>
      <c r="R3628" s="34" t="str">
        <f aca="false">IF(Q3628="","",Q3628+N(H3628)*0.000000001)</f>
        <v/>
      </c>
      <c r="S3628" s="32" t="str">
        <f aca="false">IF(R3628="","",SUMPRODUCT((I$5:I$4004=I3628)*ISNUMBER(R$5:R$4004)*(R$5:R$4004&gt;R3628))+1)</f>
        <v/>
      </c>
      <c r="T3628" s="32" t="str">
        <f aca="false">IF(S3628="","",IF(S3628&lt;=Setup!$B$5,"🏆 WINNER",""))</f>
        <v/>
      </c>
      <c r="U3628" s="31" t="str">
        <f aca="false">IF(S3628="","",I3628&amp;"|"&amp;S3628)</f>
        <v/>
      </c>
    </row>
    <row r="3629" customFormat="false" ht="15" hidden="false" customHeight="false" outlineLevel="0" collapsed="false">
      <c r="A3629" s="24" t="n">
        <v>3625</v>
      </c>
      <c r="B3629" s="25" t="str">
        <f aca="false">IF(OR(C3629="",I3629="",G3629=""),"",IFERROR(VLOOKUP(I3629,Setup!$A$9:$B$11,2,0),"???")&amp;"-"&amp;G3629&amp;"-"&amp;TEXT(COUNTIFS(I$5:I3629,I3629,G$5:G3629,G3629),"0000"))</f>
        <v/>
      </c>
      <c r="C3629" s="26"/>
      <c r="D3629" s="26"/>
      <c r="E3629" s="27"/>
      <c r="F3629" s="27"/>
      <c r="G3629" s="24" t="str">
        <f aca="false">IF(F3629="","",IF(F3629&lt;=5,"A",IF(F3629&lt;=8,"B",IF(F3629&lt;=10,"C","D"))))</f>
        <v/>
      </c>
      <c r="H3629" s="28"/>
      <c r="I3629" s="27"/>
      <c r="J3629" s="26"/>
      <c r="K3629" s="27"/>
      <c r="L3629" s="27"/>
      <c r="M3629" s="27"/>
      <c r="N3629" s="27"/>
      <c r="O3629" s="24" t="str">
        <f aca="false">IF(G3629="","",VLOOKUP(G3629,Setup!$A$14:$C$17,3,0))</f>
        <v/>
      </c>
      <c r="P3629" s="27"/>
      <c r="Q3629" s="29" t="str">
        <f aca="false">IF(OR(P3629="",M3629&lt;&gt;"Paid",O3629=""),"",P3629/O3629)</f>
        <v/>
      </c>
      <c r="R3629" s="30" t="str">
        <f aca="false">IF(Q3629="","",Q3629+N(H3629)*0.000000001)</f>
        <v/>
      </c>
      <c r="S3629" s="25" t="str">
        <f aca="false">IF(R3629="","",SUMPRODUCT((I$5:I$4004=I3629)*ISNUMBER(R$5:R$4004)*(R$5:R$4004&gt;R3629))+1)</f>
        <v/>
      </c>
      <c r="T3629" s="25" t="str">
        <f aca="false">IF(S3629="","",IF(S3629&lt;=Setup!$B$5,"🏆 WINNER",""))</f>
        <v/>
      </c>
      <c r="U3629" s="24" t="str">
        <f aca="false">IF(S3629="","",I3629&amp;"|"&amp;S3629)</f>
        <v/>
      </c>
    </row>
    <row r="3630" customFormat="false" ht="15" hidden="false" customHeight="false" outlineLevel="0" collapsed="false">
      <c r="A3630" s="31" t="n">
        <v>3626</v>
      </c>
      <c r="B3630" s="32" t="str">
        <f aca="false">IF(OR(C3630="",I3630="",G3630=""),"",IFERROR(VLOOKUP(I3630,Setup!$A$9:$B$11,2,0),"???")&amp;"-"&amp;G3630&amp;"-"&amp;TEXT(COUNTIFS(I$5:I3630,I3630,G$5:G3630,G3630),"0000"))</f>
        <v/>
      </c>
      <c r="C3630" s="26"/>
      <c r="D3630" s="26"/>
      <c r="E3630" s="27"/>
      <c r="F3630" s="27"/>
      <c r="G3630" s="31" t="str">
        <f aca="false">IF(F3630="","",IF(F3630&lt;=5,"A",IF(F3630&lt;=8,"B",IF(F3630&lt;=10,"C","D"))))</f>
        <v/>
      </c>
      <c r="H3630" s="28"/>
      <c r="I3630" s="27"/>
      <c r="J3630" s="26"/>
      <c r="K3630" s="27"/>
      <c r="L3630" s="27"/>
      <c r="M3630" s="27"/>
      <c r="N3630" s="27"/>
      <c r="O3630" s="31" t="str">
        <f aca="false">IF(G3630="","",VLOOKUP(G3630,Setup!$A$14:$C$17,3,0))</f>
        <v/>
      </c>
      <c r="P3630" s="27"/>
      <c r="Q3630" s="33" t="str">
        <f aca="false">IF(OR(P3630="",M3630&lt;&gt;"Paid",O3630=""),"",P3630/O3630)</f>
        <v/>
      </c>
      <c r="R3630" s="34" t="str">
        <f aca="false">IF(Q3630="","",Q3630+N(H3630)*0.000000001)</f>
        <v/>
      </c>
      <c r="S3630" s="32" t="str">
        <f aca="false">IF(R3630="","",SUMPRODUCT((I$5:I$4004=I3630)*ISNUMBER(R$5:R$4004)*(R$5:R$4004&gt;R3630))+1)</f>
        <v/>
      </c>
      <c r="T3630" s="32" t="str">
        <f aca="false">IF(S3630="","",IF(S3630&lt;=Setup!$B$5,"🏆 WINNER",""))</f>
        <v/>
      </c>
      <c r="U3630" s="31" t="str">
        <f aca="false">IF(S3630="","",I3630&amp;"|"&amp;S3630)</f>
        <v/>
      </c>
    </row>
    <row r="3631" customFormat="false" ht="15" hidden="false" customHeight="false" outlineLevel="0" collapsed="false">
      <c r="A3631" s="24" t="n">
        <v>3627</v>
      </c>
      <c r="B3631" s="25" t="str">
        <f aca="false">IF(OR(C3631="",I3631="",G3631=""),"",IFERROR(VLOOKUP(I3631,Setup!$A$9:$B$11,2,0),"???")&amp;"-"&amp;G3631&amp;"-"&amp;TEXT(COUNTIFS(I$5:I3631,I3631,G$5:G3631,G3631),"0000"))</f>
        <v/>
      </c>
      <c r="C3631" s="26"/>
      <c r="D3631" s="26"/>
      <c r="E3631" s="27"/>
      <c r="F3631" s="27"/>
      <c r="G3631" s="24" t="str">
        <f aca="false">IF(F3631="","",IF(F3631&lt;=5,"A",IF(F3631&lt;=8,"B",IF(F3631&lt;=10,"C","D"))))</f>
        <v/>
      </c>
      <c r="H3631" s="28"/>
      <c r="I3631" s="27"/>
      <c r="J3631" s="26"/>
      <c r="K3631" s="27"/>
      <c r="L3631" s="27"/>
      <c r="M3631" s="27"/>
      <c r="N3631" s="27"/>
      <c r="O3631" s="24" t="str">
        <f aca="false">IF(G3631="","",VLOOKUP(G3631,Setup!$A$14:$C$17,3,0))</f>
        <v/>
      </c>
      <c r="P3631" s="27"/>
      <c r="Q3631" s="29" t="str">
        <f aca="false">IF(OR(P3631="",M3631&lt;&gt;"Paid",O3631=""),"",P3631/O3631)</f>
        <v/>
      </c>
      <c r="R3631" s="30" t="str">
        <f aca="false">IF(Q3631="","",Q3631+N(H3631)*0.000000001)</f>
        <v/>
      </c>
      <c r="S3631" s="25" t="str">
        <f aca="false">IF(R3631="","",SUMPRODUCT((I$5:I$4004=I3631)*ISNUMBER(R$5:R$4004)*(R$5:R$4004&gt;R3631))+1)</f>
        <v/>
      </c>
      <c r="T3631" s="25" t="str">
        <f aca="false">IF(S3631="","",IF(S3631&lt;=Setup!$B$5,"🏆 WINNER",""))</f>
        <v/>
      </c>
      <c r="U3631" s="24" t="str">
        <f aca="false">IF(S3631="","",I3631&amp;"|"&amp;S3631)</f>
        <v/>
      </c>
    </row>
    <row r="3632" customFormat="false" ht="15" hidden="false" customHeight="false" outlineLevel="0" collapsed="false">
      <c r="A3632" s="31" t="n">
        <v>3628</v>
      </c>
      <c r="B3632" s="32" t="str">
        <f aca="false">IF(OR(C3632="",I3632="",G3632=""),"",IFERROR(VLOOKUP(I3632,Setup!$A$9:$B$11,2,0),"???")&amp;"-"&amp;G3632&amp;"-"&amp;TEXT(COUNTIFS(I$5:I3632,I3632,G$5:G3632,G3632),"0000"))</f>
        <v/>
      </c>
      <c r="C3632" s="26"/>
      <c r="D3632" s="26"/>
      <c r="E3632" s="27"/>
      <c r="F3632" s="27"/>
      <c r="G3632" s="31" t="str">
        <f aca="false">IF(F3632="","",IF(F3632&lt;=5,"A",IF(F3632&lt;=8,"B",IF(F3632&lt;=10,"C","D"))))</f>
        <v/>
      </c>
      <c r="H3632" s="28"/>
      <c r="I3632" s="27"/>
      <c r="J3632" s="26"/>
      <c r="K3632" s="27"/>
      <c r="L3632" s="27"/>
      <c r="M3632" s="27"/>
      <c r="N3632" s="27"/>
      <c r="O3632" s="31" t="str">
        <f aca="false">IF(G3632="","",VLOOKUP(G3632,Setup!$A$14:$C$17,3,0))</f>
        <v/>
      </c>
      <c r="P3632" s="27"/>
      <c r="Q3632" s="33" t="str">
        <f aca="false">IF(OR(P3632="",M3632&lt;&gt;"Paid",O3632=""),"",P3632/O3632)</f>
        <v/>
      </c>
      <c r="R3632" s="34" t="str">
        <f aca="false">IF(Q3632="","",Q3632+N(H3632)*0.000000001)</f>
        <v/>
      </c>
      <c r="S3632" s="32" t="str">
        <f aca="false">IF(R3632="","",SUMPRODUCT((I$5:I$4004=I3632)*ISNUMBER(R$5:R$4004)*(R$5:R$4004&gt;R3632))+1)</f>
        <v/>
      </c>
      <c r="T3632" s="32" t="str">
        <f aca="false">IF(S3632="","",IF(S3632&lt;=Setup!$B$5,"🏆 WINNER",""))</f>
        <v/>
      </c>
      <c r="U3632" s="31" t="str">
        <f aca="false">IF(S3632="","",I3632&amp;"|"&amp;S3632)</f>
        <v/>
      </c>
    </row>
    <row r="3633" customFormat="false" ht="15" hidden="false" customHeight="false" outlineLevel="0" collapsed="false">
      <c r="A3633" s="24" t="n">
        <v>3629</v>
      </c>
      <c r="B3633" s="25" t="str">
        <f aca="false">IF(OR(C3633="",I3633="",G3633=""),"",IFERROR(VLOOKUP(I3633,Setup!$A$9:$B$11,2,0),"???")&amp;"-"&amp;G3633&amp;"-"&amp;TEXT(COUNTIFS(I$5:I3633,I3633,G$5:G3633,G3633),"0000"))</f>
        <v/>
      </c>
      <c r="C3633" s="26"/>
      <c r="D3633" s="26"/>
      <c r="E3633" s="27"/>
      <c r="F3633" s="27"/>
      <c r="G3633" s="24" t="str">
        <f aca="false">IF(F3633="","",IF(F3633&lt;=5,"A",IF(F3633&lt;=8,"B",IF(F3633&lt;=10,"C","D"))))</f>
        <v/>
      </c>
      <c r="H3633" s="28"/>
      <c r="I3633" s="27"/>
      <c r="J3633" s="26"/>
      <c r="K3633" s="27"/>
      <c r="L3633" s="27"/>
      <c r="M3633" s="27"/>
      <c r="N3633" s="27"/>
      <c r="O3633" s="24" t="str">
        <f aca="false">IF(G3633="","",VLOOKUP(G3633,Setup!$A$14:$C$17,3,0))</f>
        <v/>
      </c>
      <c r="P3633" s="27"/>
      <c r="Q3633" s="29" t="str">
        <f aca="false">IF(OR(P3633="",M3633&lt;&gt;"Paid",O3633=""),"",P3633/O3633)</f>
        <v/>
      </c>
      <c r="R3633" s="30" t="str">
        <f aca="false">IF(Q3633="","",Q3633+N(H3633)*0.000000001)</f>
        <v/>
      </c>
      <c r="S3633" s="25" t="str">
        <f aca="false">IF(R3633="","",SUMPRODUCT((I$5:I$4004=I3633)*ISNUMBER(R$5:R$4004)*(R$5:R$4004&gt;R3633))+1)</f>
        <v/>
      </c>
      <c r="T3633" s="25" t="str">
        <f aca="false">IF(S3633="","",IF(S3633&lt;=Setup!$B$5,"🏆 WINNER",""))</f>
        <v/>
      </c>
      <c r="U3633" s="24" t="str">
        <f aca="false">IF(S3633="","",I3633&amp;"|"&amp;S3633)</f>
        <v/>
      </c>
    </row>
    <row r="3634" customFormat="false" ht="15" hidden="false" customHeight="false" outlineLevel="0" collapsed="false">
      <c r="A3634" s="31" t="n">
        <v>3630</v>
      </c>
      <c r="B3634" s="32" t="str">
        <f aca="false">IF(OR(C3634="",I3634="",G3634=""),"",IFERROR(VLOOKUP(I3634,Setup!$A$9:$B$11,2,0),"???")&amp;"-"&amp;G3634&amp;"-"&amp;TEXT(COUNTIFS(I$5:I3634,I3634,G$5:G3634,G3634),"0000"))</f>
        <v/>
      </c>
      <c r="C3634" s="26"/>
      <c r="D3634" s="26"/>
      <c r="E3634" s="27"/>
      <c r="F3634" s="27"/>
      <c r="G3634" s="31" t="str">
        <f aca="false">IF(F3634="","",IF(F3634&lt;=5,"A",IF(F3634&lt;=8,"B",IF(F3634&lt;=10,"C","D"))))</f>
        <v/>
      </c>
      <c r="H3634" s="28"/>
      <c r="I3634" s="27"/>
      <c r="J3634" s="26"/>
      <c r="K3634" s="27"/>
      <c r="L3634" s="27"/>
      <c r="M3634" s="27"/>
      <c r="N3634" s="27"/>
      <c r="O3634" s="31" t="str">
        <f aca="false">IF(G3634="","",VLOOKUP(G3634,Setup!$A$14:$C$17,3,0))</f>
        <v/>
      </c>
      <c r="P3634" s="27"/>
      <c r="Q3634" s="33" t="str">
        <f aca="false">IF(OR(P3634="",M3634&lt;&gt;"Paid",O3634=""),"",P3634/O3634)</f>
        <v/>
      </c>
      <c r="R3634" s="34" t="str">
        <f aca="false">IF(Q3634="","",Q3634+N(H3634)*0.000000001)</f>
        <v/>
      </c>
      <c r="S3634" s="32" t="str">
        <f aca="false">IF(R3634="","",SUMPRODUCT((I$5:I$4004=I3634)*ISNUMBER(R$5:R$4004)*(R$5:R$4004&gt;R3634))+1)</f>
        <v/>
      </c>
      <c r="T3634" s="32" t="str">
        <f aca="false">IF(S3634="","",IF(S3634&lt;=Setup!$B$5,"🏆 WINNER",""))</f>
        <v/>
      </c>
      <c r="U3634" s="31" t="str">
        <f aca="false">IF(S3634="","",I3634&amp;"|"&amp;S3634)</f>
        <v/>
      </c>
    </row>
    <row r="3635" customFormat="false" ht="15" hidden="false" customHeight="false" outlineLevel="0" collapsed="false">
      <c r="A3635" s="24" t="n">
        <v>3631</v>
      </c>
      <c r="B3635" s="25" t="str">
        <f aca="false">IF(OR(C3635="",I3635="",G3635=""),"",IFERROR(VLOOKUP(I3635,Setup!$A$9:$B$11,2,0),"???")&amp;"-"&amp;G3635&amp;"-"&amp;TEXT(COUNTIFS(I$5:I3635,I3635,G$5:G3635,G3635),"0000"))</f>
        <v/>
      </c>
      <c r="C3635" s="26"/>
      <c r="D3635" s="26"/>
      <c r="E3635" s="27"/>
      <c r="F3635" s="27"/>
      <c r="G3635" s="24" t="str">
        <f aca="false">IF(F3635="","",IF(F3635&lt;=5,"A",IF(F3635&lt;=8,"B",IF(F3635&lt;=10,"C","D"))))</f>
        <v/>
      </c>
      <c r="H3635" s="28"/>
      <c r="I3635" s="27"/>
      <c r="J3635" s="26"/>
      <c r="K3635" s="27"/>
      <c r="L3635" s="27"/>
      <c r="M3635" s="27"/>
      <c r="N3635" s="27"/>
      <c r="O3635" s="24" t="str">
        <f aca="false">IF(G3635="","",VLOOKUP(G3635,Setup!$A$14:$C$17,3,0))</f>
        <v/>
      </c>
      <c r="P3635" s="27"/>
      <c r="Q3635" s="29" t="str">
        <f aca="false">IF(OR(P3635="",M3635&lt;&gt;"Paid",O3635=""),"",P3635/O3635)</f>
        <v/>
      </c>
      <c r="R3635" s="30" t="str">
        <f aca="false">IF(Q3635="","",Q3635+N(H3635)*0.000000001)</f>
        <v/>
      </c>
      <c r="S3635" s="25" t="str">
        <f aca="false">IF(R3635="","",SUMPRODUCT((I$5:I$4004=I3635)*ISNUMBER(R$5:R$4004)*(R$5:R$4004&gt;R3635))+1)</f>
        <v/>
      </c>
      <c r="T3635" s="25" t="str">
        <f aca="false">IF(S3635="","",IF(S3635&lt;=Setup!$B$5,"🏆 WINNER",""))</f>
        <v/>
      </c>
      <c r="U3635" s="24" t="str">
        <f aca="false">IF(S3635="","",I3635&amp;"|"&amp;S3635)</f>
        <v/>
      </c>
    </row>
    <row r="3636" customFormat="false" ht="15" hidden="false" customHeight="false" outlineLevel="0" collapsed="false">
      <c r="A3636" s="31" t="n">
        <v>3632</v>
      </c>
      <c r="B3636" s="32" t="str">
        <f aca="false">IF(OR(C3636="",I3636="",G3636=""),"",IFERROR(VLOOKUP(I3636,Setup!$A$9:$B$11,2,0),"???")&amp;"-"&amp;G3636&amp;"-"&amp;TEXT(COUNTIFS(I$5:I3636,I3636,G$5:G3636,G3636),"0000"))</f>
        <v/>
      </c>
      <c r="C3636" s="26"/>
      <c r="D3636" s="26"/>
      <c r="E3636" s="27"/>
      <c r="F3636" s="27"/>
      <c r="G3636" s="31" t="str">
        <f aca="false">IF(F3636="","",IF(F3636&lt;=5,"A",IF(F3636&lt;=8,"B",IF(F3636&lt;=10,"C","D"))))</f>
        <v/>
      </c>
      <c r="H3636" s="28"/>
      <c r="I3636" s="27"/>
      <c r="J3636" s="26"/>
      <c r="K3636" s="27"/>
      <c r="L3636" s="27"/>
      <c r="M3636" s="27"/>
      <c r="N3636" s="27"/>
      <c r="O3636" s="31" t="str">
        <f aca="false">IF(G3636="","",VLOOKUP(G3636,Setup!$A$14:$C$17,3,0))</f>
        <v/>
      </c>
      <c r="P3636" s="27"/>
      <c r="Q3636" s="33" t="str">
        <f aca="false">IF(OR(P3636="",M3636&lt;&gt;"Paid",O3636=""),"",P3636/O3636)</f>
        <v/>
      </c>
      <c r="R3636" s="34" t="str">
        <f aca="false">IF(Q3636="","",Q3636+N(H3636)*0.000000001)</f>
        <v/>
      </c>
      <c r="S3636" s="32" t="str">
        <f aca="false">IF(R3636="","",SUMPRODUCT((I$5:I$4004=I3636)*ISNUMBER(R$5:R$4004)*(R$5:R$4004&gt;R3636))+1)</f>
        <v/>
      </c>
      <c r="T3636" s="32" t="str">
        <f aca="false">IF(S3636="","",IF(S3636&lt;=Setup!$B$5,"🏆 WINNER",""))</f>
        <v/>
      </c>
      <c r="U3636" s="31" t="str">
        <f aca="false">IF(S3636="","",I3636&amp;"|"&amp;S3636)</f>
        <v/>
      </c>
    </row>
    <row r="3637" customFormat="false" ht="15" hidden="false" customHeight="false" outlineLevel="0" collapsed="false">
      <c r="A3637" s="24" t="n">
        <v>3633</v>
      </c>
      <c r="B3637" s="25" t="str">
        <f aca="false">IF(OR(C3637="",I3637="",G3637=""),"",IFERROR(VLOOKUP(I3637,Setup!$A$9:$B$11,2,0),"???")&amp;"-"&amp;G3637&amp;"-"&amp;TEXT(COUNTIFS(I$5:I3637,I3637,G$5:G3637,G3637),"0000"))</f>
        <v/>
      </c>
      <c r="C3637" s="26"/>
      <c r="D3637" s="26"/>
      <c r="E3637" s="27"/>
      <c r="F3637" s="27"/>
      <c r="G3637" s="24" t="str">
        <f aca="false">IF(F3637="","",IF(F3637&lt;=5,"A",IF(F3637&lt;=8,"B",IF(F3637&lt;=10,"C","D"))))</f>
        <v/>
      </c>
      <c r="H3637" s="28"/>
      <c r="I3637" s="27"/>
      <c r="J3637" s="26"/>
      <c r="K3637" s="27"/>
      <c r="L3637" s="27"/>
      <c r="M3637" s="27"/>
      <c r="N3637" s="27"/>
      <c r="O3637" s="24" t="str">
        <f aca="false">IF(G3637="","",VLOOKUP(G3637,Setup!$A$14:$C$17,3,0))</f>
        <v/>
      </c>
      <c r="P3637" s="27"/>
      <c r="Q3637" s="29" t="str">
        <f aca="false">IF(OR(P3637="",M3637&lt;&gt;"Paid",O3637=""),"",P3637/O3637)</f>
        <v/>
      </c>
      <c r="R3637" s="30" t="str">
        <f aca="false">IF(Q3637="","",Q3637+N(H3637)*0.000000001)</f>
        <v/>
      </c>
      <c r="S3637" s="25" t="str">
        <f aca="false">IF(R3637="","",SUMPRODUCT((I$5:I$4004=I3637)*ISNUMBER(R$5:R$4004)*(R$5:R$4004&gt;R3637))+1)</f>
        <v/>
      </c>
      <c r="T3637" s="25" t="str">
        <f aca="false">IF(S3637="","",IF(S3637&lt;=Setup!$B$5,"🏆 WINNER",""))</f>
        <v/>
      </c>
      <c r="U3637" s="24" t="str">
        <f aca="false">IF(S3637="","",I3637&amp;"|"&amp;S3637)</f>
        <v/>
      </c>
    </row>
    <row r="3638" customFormat="false" ht="15" hidden="false" customHeight="false" outlineLevel="0" collapsed="false">
      <c r="A3638" s="31" t="n">
        <v>3634</v>
      </c>
      <c r="B3638" s="32" t="str">
        <f aca="false">IF(OR(C3638="",I3638="",G3638=""),"",IFERROR(VLOOKUP(I3638,Setup!$A$9:$B$11,2,0),"???")&amp;"-"&amp;G3638&amp;"-"&amp;TEXT(COUNTIFS(I$5:I3638,I3638,G$5:G3638,G3638),"0000"))</f>
        <v/>
      </c>
      <c r="C3638" s="26"/>
      <c r="D3638" s="26"/>
      <c r="E3638" s="27"/>
      <c r="F3638" s="27"/>
      <c r="G3638" s="31" t="str">
        <f aca="false">IF(F3638="","",IF(F3638&lt;=5,"A",IF(F3638&lt;=8,"B",IF(F3638&lt;=10,"C","D"))))</f>
        <v/>
      </c>
      <c r="H3638" s="28"/>
      <c r="I3638" s="27"/>
      <c r="J3638" s="26"/>
      <c r="K3638" s="27"/>
      <c r="L3638" s="27"/>
      <c r="M3638" s="27"/>
      <c r="N3638" s="27"/>
      <c r="O3638" s="31" t="str">
        <f aca="false">IF(G3638="","",VLOOKUP(G3638,Setup!$A$14:$C$17,3,0))</f>
        <v/>
      </c>
      <c r="P3638" s="27"/>
      <c r="Q3638" s="33" t="str">
        <f aca="false">IF(OR(P3638="",M3638&lt;&gt;"Paid",O3638=""),"",P3638/O3638)</f>
        <v/>
      </c>
      <c r="R3638" s="34" t="str">
        <f aca="false">IF(Q3638="","",Q3638+N(H3638)*0.000000001)</f>
        <v/>
      </c>
      <c r="S3638" s="32" t="str">
        <f aca="false">IF(R3638="","",SUMPRODUCT((I$5:I$4004=I3638)*ISNUMBER(R$5:R$4004)*(R$5:R$4004&gt;R3638))+1)</f>
        <v/>
      </c>
      <c r="T3638" s="32" t="str">
        <f aca="false">IF(S3638="","",IF(S3638&lt;=Setup!$B$5,"🏆 WINNER",""))</f>
        <v/>
      </c>
      <c r="U3638" s="31" t="str">
        <f aca="false">IF(S3638="","",I3638&amp;"|"&amp;S3638)</f>
        <v/>
      </c>
    </row>
    <row r="3639" customFormat="false" ht="15" hidden="false" customHeight="false" outlineLevel="0" collapsed="false">
      <c r="A3639" s="24" t="n">
        <v>3635</v>
      </c>
      <c r="B3639" s="25" t="str">
        <f aca="false">IF(OR(C3639="",I3639="",G3639=""),"",IFERROR(VLOOKUP(I3639,Setup!$A$9:$B$11,2,0),"???")&amp;"-"&amp;G3639&amp;"-"&amp;TEXT(COUNTIFS(I$5:I3639,I3639,G$5:G3639,G3639),"0000"))</f>
        <v/>
      </c>
      <c r="C3639" s="26"/>
      <c r="D3639" s="26"/>
      <c r="E3639" s="27"/>
      <c r="F3639" s="27"/>
      <c r="G3639" s="24" t="str">
        <f aca="false">IF(F3639="","",IF(F3639&lt;=5,"A",IF(F3639&lt;=8,"B",IF(F3639&lt;=10,"C","D"))))</f>
        <v/>
      </c>
      <c r="H3639" s="28"/>
      <c r="I3639" s="27"/>
      <c r="J3639" s="26"/>
      <c r="K3639" s="27"/>
      <c r="L3639" s="27"/>
      <c r="M3639" s="27"/>
      <c r="N3639" s="27"/>
      <c r="O3639" s="24" t="str">
        <f aca="false">IF(G3639="","",VLOOKUP(G3639,Setup!$A$14:$C$17,3,0))</f>
        <v/>
      </c>
      <c r="P3639" s="27"/>
      <c r="Q3639" s="29" t="str">
        <f aca="false">IF(OR(P3639="",M3639&lt;&gt;"Paid",O3639=""),"",P3639/O3639)</f>
        <v/>
      </c>
      <c r="R3639" s="30" t="str">
        <f aca="false">IF(Q3639="","",Q3639+N(H3639)*0.000000001)</f>
        <v/>
      </c>
      <c r="S3639" s="25" t="str">
        <f aca="false">IF(R3639="","",SUMPRODUCT((I$5:I$4004=I3639)*ISNUMBER(R$5:R$4004)*(R$5:R$4004&gt;R3639))+1)</f>
        <v/>
      </c>
      <c r="T3639" s="25" t="str">
        <f aca="false">IF(S3639="","",IF(S3639&lt;=Setup!$B$5,"🏆 WINNER",""))</f>
        <v/>
      </c>
      <c r="U3639" s="24" t="str">
        <f aca="false">IF(S3639="","",I3639&amp;"|"&amp;S3639)</f>
        <v/>
      </c>
    </row>
    <row r="3640" customFormat="false" ht="15" hidden="false" customHeight="false" outlineLevel="0" collapsed="false">
      <c r="A3640" s="31" t="n">
        <v>3636</v>
      </c>
      <c r="B3640" s="32" t="str">
        <f aca="false">IF(OR(C3640="",I3640="",G3640=""),"",IFERROR(VLOOKUP(I3640,Setup!$A$9:$B$11,2,0),"???")&amp;"-"&amp;G3640&amp;"-"&amp;TEXT(COUNTIFS(I$5:I3640,I3640,G$5:G3640,G3640),"0000"))</f>
        <v/>
      </c>
      <c r="C3640" s="26"/>
      <c r="D3640" s="26"/>
      <c r="E3640" s="27"/>
      <c r="F3640" s="27"/>
      <c r="G3640" s="31" t="str">
        <f aca="false">IF(F3640="","",IF(F3640&lt;=5,"A",IF(F3640&lt;=8,"B",IF(F3640&lt;=10,"C","D"))))</f>
        <v/>
      </c>
      <c r="H3640" s="28"/>
      <c r="I3640" s="27"/>
      <c r="J3640" s="26"/>
      <c r="K3640" s="27"/>
      <c r="L3640" s="27"/>
      <c r="M3640" s="27"/>
      <c r="N3640" s="27"/>
      <c r="O3640" s="31" t="str">
        <f aca="false">IF(G3640="","",VLOOKUP(G3640,Setup!$A$14:$C$17,3,0))</f>
        <v/>
      </c>
      <c r="P3640" s="27"/>
      <c r="Q3640" s="33" t="str">
        <f aca="false">IF(OR(P3640="",M3640&lt;&gt;"Paid",O3640=""),"",P3640/O3640)</f>
        <v/>
      </c>
      <c r="R3640" s="34" t="str">
        <f aca="false">IF(Q3640="","",Q3640+N(H3640)*0.000000001)</f>
        <v/>
      </c>
      <c r="S3640" s="32" t="str">
        <f aca="false">IF(R3640="","",SUMPRODUCT((I$5:I$4004=I3640)*ISNUMBER(R$5:R$4004)*(R$5:R$4004&gt;R3640))+1)</f>
        <v/>
      </c>
      <c r="T3640" s="32" t="str">
        <f aca="false">IF(S3640="","",IF(S3640&lt;=Setup!$B$5,"🏆 WINNER",""))</f>
        <v/>
      </c>
      <c r="U3640" s="31" t="str">
        <f aca="false">IF(S3640="","",I3640&amp;"|"&amp;S3640)</f>
        <v/>
      </c>
    </row>
    <row r="3641" customFormat="false" ht="15" hidden="false" customHeight="false" outlineLevel="0" collapsed="false">
      <c r="A3641" s="24" t="n">
        <v>3637</v>
      </c>
      <c r="B3641" s="25" t="str">
        <f aca="false">IF(OR(C3641="",I3641="",G3641=""),"",IFERROR(VLOOKUP(I3641,Setup!$A$9:$B$11,2,0),"???")&amp;"-"&amp;G3641&amp;"-"&amp;TEXT(COUNTIFS(I$5:I3641,I3641,G$5:G3641,G3641),"0000"))</f>
        <v/>
      </c>
      <c r="C3641" s="26"/>
      <c r="D3641" s="26"/>
      <c r="E3641" s="27"/>
      <c r="F3641" s="27"/>
      <c r="G3641" s="24" t="str">
        <f aca="false">IF(F3641="","",IF(F3641&lt;=5,"A",IF(F3641&lt;=8,"B",IF(F3641&lt;=10,"C","D"))))</f>
        <v/>
      </c>
      <c r="H3641" s="28"/>
      <c r="I3641" s="27"/>
      <c r="J3641" s="26"/>
      <c r="K3641" s="27"/>
      <c r="L3641" s="27"/>
      <c r="M3641" s="27"/>
      <c r="N3641" s="27"/>
      <c r="O3641" s="24" t="str">
        <f aca="false">IF(G3641="","",VLOOKUP(G3641,Setup!$A$14:$C$17,3,0))</f>
        <v/>
      </c>
      <c r="P3641" s="27"/>
      <c r="Q3641" s="29" t="str">
        <f aca="false">IF(OR(P3641="",M3641&lt;&gt;"Paid",O3641=""),"",P3641/O3641)</f>
        <v/>
      </c>
      <c r="R3641" s="30" t="str">
        <f aca="false">IF(Q3641="","",Q3641+N(H3641)*0.000000001)</f>
        <v/>
      </c>
      <c r="S3641" s="25" t="str">
        <f aca="false">IF(R3641="","",SUMPRODUCT((I$5:I$4004=I3641)*ISNUMBER(R$5:R$4004)*(R$5:R$4004&gt;R3641))+1)</f>
        <v/>
      </c>
      <c r="T3641" s="25" t="str">
        <f aca="false">IF(S3641="","",IF(S3641&lt;=Setup!$B$5,"🏆 WINNER",""))</f>
        <v/>
      </c>
      <c r="U3641" s="24" t="str">
        <f aca="false">IF(S3641="","",I3641&amp;"|"&amp;S3641)</f>
        <v/>
      </c>
    </row>
    <row r="3642" customFormat="false" ht="15" hidden="false" customHeight="false" outlineLevel="0" collapsed="false">
      <c r="A3642" s="31" t="n">
        <v>3638</v>
      </c>
      <c r="B3642" s="32" t="str">
        <f aca="false">IF(OR(C3642="",I3642="",G3642=""),"",IFERROR(VLOOKUP(I3642,Setup!$A$9:$B$11,2,0),"???")&amp;"-"&amp;G3642&amp;"-"&amp;TEXT(COUNTIFS(I$5:I3642,I3642,G$5:G3642,G3642),"0000"))</f>
        <v/>
      </c>
      <c r="C3642" s="26"/>
      <c r="D3642" s="26"/>
      <c r="E3642" s="27"/>
      <c r="F3642" s="27"/>
      <c r="G3642" s="31" t="str">
        <f aca="false">IF(F3642="","",IF(F3642&lt;=5,"A",IF(F3642&lt;=8,"B",IF(F3642&lt;=10,"C","D"))))</f>
        <v/>
      </c>
      <c r="H3642" s="28"/>
      <c r="I3642" s="27"/>
      <c r="J3642" s="26"/>
      <c r="K3642" s="27"/>
      <c r="L3642" s="27"/>
      <c r="M3642" s="27"/>
      <c r="N3642" s="27"/>
      <c r="O3642" s="31" t="str">
        <f aca="false">IF(G3642="","",VLOOKUP(G3642,Setup!$A$14:$C$17,3,0))</f>
        <v/>
      </c>
      <c r="P3642" s="27"/>
      <c r="Q3642" s="33" t="str">
        <f aca="false">IF(OR(P3642="",M3642&lt;&gt;"Paid",O3642=""),"",P3642/O3642)</f>
        <v/>
      </c>
      <c r="R3642" s="34" t="str">
        <f aca="false">IF(Q3642="","",Q3642+N(H3642)*0.000000001)</f>
        <v/>
      </c>
      <c r="S3642" s="32" t="str">
        <f aca="false">IF(R3642="","",SUMPRODUCT((I$5:I$4004=I3642)*ISNUMBER(R$5:R$4004)*(R$5:R$4004&gt;R3642))+1)</f>
        <v/>
      </c>
      <c r="T3642" s="32" t="str">
        <f aca="false">IF(S3642="","",IF(S3642&lt;=Setup!$B$5,"🏆 WINNER",""))</f>
        <v/>
      </c>
      <c r="U3642" s="31" t="str">
        <f aca="false">IF(S3642="","",I3642&amp;"|"&amp;S3642)</f>
        <v/>
      </c>
    </row>
    <row r="3643" customFormat="false" ht="15" hidden="false" customHeight="false" outlineLevel="0" collapsed="false">
      <c r="A3643" s="24" t="n">
        <v>3639</v>
      </c>
      <c r="B3643" s="25" t="str">
        <f aca="false">IF(OR(C3643="",I3643="",G3643=""),"",IFERROR(VLOOKUP(I3643,Setup!$A$9:$B$11,2,0),"???")&amp;"-"&amp;G3643&amp;"-"&amp;TEXT(COUNTIFS(I$5:I3643,I3643,G$5:G3643,G3643),"0000"))</f>
        <v/>
      </c>
      <c r="C3643" s="26"/>
      <c r="D3643" s="26"/>
      <c r="E3643" s="27"/>
      <c r="F3643" s="27"/>
      <c r="G3643" s="24" t="str">
        <f aca="false">IF(F3643="","",IF(F3643&lt;=5,"A",IF(F3643&lt;=8,"B",IF(F3643&lt;=10,"C","D"))))</f>
        <v/>
      </c>
      <c r="H3643" s="28"/>
      <c r="I3643" s="27"/>
      <c r="J3643" s="26"/>
      <c r="K3643" s="27"/>
      <c r="L3643" s="27"/>
      <c r="M3643" s="27"/>
      <c r="N3643" s="27"/>
      <c r="O3643" s="24" t="str">
        <f aca="false">IF(G3643="","",VLOOKUP(G3643,Setup!$A$14:$C$17,3,0))</f>
        <v/>
      </c>
      <c r="P3643" s="27"/>
      <c r="Q3643" s="29" t="str">
        <f aca="false">IF(OR(P3643="",M3643&lt;&gt;"Paid",O3643=""),"",P3643/O3643)</f>
        <v/>
      </c>
      <c r="R3643" s="30" t="str">
        <f aca="false">IF(Q3643="","",Q3643+N(H3643)*0.000000001)</f>
        <v/>
      </c>
      <c r="S3643" s="25" t="str">
        <f aca="false">IF(R3643="","",SUMPRODUCT((I$5:I$4004=I3643)*ISNUMBER(R$5:R$4004)*(R$5:R$4004&gt;R3643))+1)</f>
        <v/>
      </c>
      <c r="T3643" s="25" t="str">
        <f aca="false">IF(S3643="","",IF(S3643&lt;=Setup!$B$5,"🏆 WINNER",""))</f>
        <v/>
      </c>
      <c r="U3643" s="24" t="str">
        <f aca="false">IF(S3643="","",I3643&amp;"|"&amp;S3643)</f>
        <v/>
      </c>
    </row>
    <row r="3644" customFormat="false" ht="15" hidden="false" customHeight="false" outlineLevel="0" collapsed="false">
      <c r="A3644" s="31" t="n">
        <v>3640</v>
      </c>
      <c r="B3644" s="32" t="str">
        <f aca="false">IF(OR(C3644="",I3644="",G3644=""),"",IFERROR(VLOOKUP(I3644,Setup!$A$9:$B$11,2,0),"???")&amp;"-"&amp;G3644&amp;"-"&amp;TEXT(COUNTIFS(I$5:I3644,I3644,G$5:G3644,G3644),"0000"))</f>
        <v/>
      </c>
      <c r="C3644" s="26"/>
      <c r="D3644" s="26"/>
      <c r="E3644" s="27"/>
      <c r="F3644" s="27"/>
      <c r="G3644" s="31" t="str">
        <f aca="false">IF(F3644="","",IF(F3644&lt;=5,"A",IF(F3644&lt;=8,"B",IF(F3644&lt;=10,"C","D"))))</f>
        <v/>
      </c>
      <c r="H3644" s="28"/>
      <c r="I3644" s="27"/>
      <c r="J3644" s="26"/>
      <c r="K3644" s="27"/>
      <c r="L3644" s="27"/>
      <c r="M3644" s="27"/>
      <c r="N3644" s="27"/>
      <c r="O3644" s="31" t="str">
        <f aca="false">IF(G3644="","",VLOOKUP(G3644,Setup!$A$14:$C$17,3,0))</f>
        <v/>
      </c>
      <c r="P3644" s="27"/>
      <c r="Q3644" s="33" t="str">
        <f aca="false">IF(OR(P3644="",M3644&lt;&gt;"Paid",O3644=""),"",P3644/O3644)</f>
        <v/>
      </c>
      <c r="R3644" s="34" t="str">
        <f aca="false">IF(Q3644="","",Q3644+N(H3644)*0.000000001)</f>
        <v/>
      </c>
      <c r="S3644" s="32" t="str">
        <f aca="false">IF(R3644="","",SUMPRODUCT((I$5:I$4004=I3644)*ISNUMBER(R$5:R$4004)*(R$5:R$4004&gt;R3644))+1)</f>
        <v/>
      </c>
      <c r="T3644" s="32" t="str">
        <f aca="false">IF(S3644="","",IF(S3644&lt;=Setup!$B$5,"🏆 WINNER",""))</f>
        <v/>
      </c>
      <c r="U3644" s="31" t="str">
        <f aca="false">IF(S3644="","",I3644&amp;"|"&amp;S3644)</f>
        <v/>
      </c>
    </row>
    <row r="3645" customFormat="false" ht="15" hidden="false" customHeight="false" outlineLevel="0" collapsed="false">
      <c r="A3645" s="24" t="n">
        <v>3641</v>
      </c>
      <c r="B3645" s="25" t="str">
        <f aca="false">IF(OR(C3645="",I3645="",G3645=""),"",IFERROR(VLOOKUP(I3645,Setup!$A$9:$B$11,2,0),"???")&amp;"-"&amp;G3645&amp;"-"&amp;TEXT(COUNTIFS(I$5:I3645,I3645,G$5:G3645,G3645),"0000"))</f>
        <v/>
      </c>
      <c r="C3645" s="26"/>
      <c r="D3645" s="26"/>
      <c r="E3645" s="27"/>
      <c r="F3645" s="27"/>
      <c r="G3645" s="24" t="str">
        <f aca="false">IF(F3645="","",IF(F3645&lt;=5,"A",IF(F3645&lt;=8,"B",IF(F3645&lt;=10,"C","D"))))</f>
        <v/>
      </c>
      <c r="H3645" s="28"/>
      <c r="I3645" s="27"/>
      <c r="J3645" s="26"/>
      <c r="K3645" s="27"/>
      <c r="L3645" s="27"/>
      <c r="M3645" s="27"/>
      <c r="N3645" s="27"/>
      <c r="O3645" s="24" t="str">
        <f aca="false">IF(G3645="","",VLOOKUP(G3645,Setup!$A$14:$C$17,3,0))</f>
        <v/>
      </c>
      <c r="P3645" s="27"/>
      <c r="Q3645" s="29" t="str">
        <f aca="false">IF(OR(P3645="",M3645&lt;&gt;"Paid",O3645=""),"",P3645/O3645)</f>
        <v/>
      </c>
      <c r="R3645" s="30" t="str">
        <f aca="false">IF(Q3645="","",Q3645+N(H3645)*0.000000001)</f>
        <v/>
      </c>
      <c r="S3645" s="25" t="str">
        <f aca="false">IF(R3645="","",SUMPRODUCT((I$5:I$4004=I3645)*ISNUMBER(R$5:R$4004)*(R$5:R$4004&gt;R3645))+1)</f>
        <v/>
      </c>
      <c r="T3645" s="25" t="str">
        <f aca="false">IF(S3645="","",IF(S3645&lt;=Setup!$B$5,"🏆 WINNER",""))</f>
        <v/>
      </c>
      <c r="U3645" s="24" t="str">
        <f aca="false">IF(S3645="","",I3645&amp;"|"&amp;S3645)</f>
        <v/>
      </c>
    </row>
    <row r="3646" customFormat="false" ht="15" hidden="false" customHeight="false" outlineLevel="0" collapsed="false">
      <c r="A3646" s="31" t="n">
        <v>3642</v>
      </c>
      <c r="B3646" s="32" t="str">
        <f aca="false">IF(OR(C3646="",I3646="",G3646=""),"",IFERROR(VLOOKUP(I3646,Setup!$A$9:$B$11,2,0),"???")&amp;"-"&amp;G3646&amp;"-"&amp;TEXT(COUNTIFS(I$5:I3646,I3646,G$5:G3646,G3646),"0000"))</f>
        <v/>
      </c>
      <c r="C3646" s="26"/>
      <c r="D3646" s="26"/>
      <c r="E3646" s="27"/>
      <c r="F3646" s="27"/>
      <c r="G3646" s="31" t="str">
        <f aca="false">IF(F3646="","",IF(F3646&lt;=5,"A",IF(F3646&lt;=8,"B",IF(F3646&lt;=10,"C","D"))))</f>
        <v/>
      </c>
      <c r="H3646" s="28"/>
      <c r="I3646" s="27"/>
      <c r="J3646" s="26"/>
      <c r="K3646" s="27"/>
      <c r="L3646" s="27"/>
      <c r="M3646" s="27"/>
      <c r="N3646" s="27"/>
      <c r="O3646" s="31" t="str">
        <f aca="false">IF(G3646="","",VLOOKUP(G3646,Setup!$A$14:$C$17,3,0))</f>
        <v/>
      </c>
      <c r="P3646" s="27"/>
      <c r="Q3646" s="33" t="str">
        <f aca="false">IF(OR(P3646="",M3646&lt;&gt;"Paid",O3646=""),"",P3646/O3646)</f>
        <v/>
      </c>
      <c r="R3646" s="34" t="str">
        <f aca="false">IF(Q3646="","",Q3646+N(H3646)*0.000000001)</f>
        <v/>
      </c>
      <c r="S3646" s="32" t="str">
        <f aca="false">IF(R3646="","",SUMPRODUCT((I$5:I$4004=I3646)*ISNUMBER(R$5:R$4004)*(R$5:R$4004&gt;R3646))+1)</f>
        <v/>
      </c>
      <c r="T3646" s="32" t="str">
        <f aca="false">IF(S3646="","",IF(S3646&lt;=Setup!$B$5,"🏆 WINNER",""))</f>
        <v/>
      </c>
      <c r="U3646" s="31" t="str">
        <f aca="false">IF(S3646="","",I3646&amp;"|"&amp;S3646)</f>
        <v/>
      </c>
    </row>
    <row r="3647" customFormat="false" ht="15" hidden="false" customHeight="false" outlineLevel="0" collapsed="false">
      <c r="A3647" s="24" t="n">
        <v>3643</v>
      </c>
      <c r="B3647" s="25" t="str">
        <f aca="false">IF(OR(C3647="",I3647="",G3647=""),"",IFERROR(VLOOKUP(I3647,Setup!$A$9:$B$11,2,0),"???")&amp;"-"&amp;G3647&amp;"-"&amp;TEXT(COUNTIFS(I$5:I3647,I3647,G$5:G3647,G3647),"0000"))</f>
        <v/>
      </c>
      <c r="C3647" s="26"/>
      <c r="D3647" s="26"/>
      <c r="E3647" s="27"/>
      <c r="F3647" s="27"/>
      <c r="G3647" s="24" t="str">
        <f aca="false">IF(F3647="","",IF(F3647&lt;=5,"A",IF(F3647&lt;=8,"B",IF(F3647&lt;=10,"C","D"))))</f>
        <v/>
      </c>
      <c r="H3647" s="28"/>
      <c r="I3647" s="27"/>
      <c r="J3647" s="26"/>
      <c r="K3647" s="27"/>
      <c r="L3647" s="27"/>
      <c r="M3647" s="27"/>
      <c r="N3647" s="27"/>
      <c r="O3647" s="24" t="str">
        <f aca="false">IF(G3647="","",VLOOKUP(G3647,Setup!$A$14:$C$17,3,0))</f>
        <v/>
      </c>
      <c r="P3647" s="27"/>
      <c r="Q3647" s="29" t="str">
        <f aca="false">IF(OR(P3647="",M3647&lt;&gt;"Paid",O3647=""),"",P3647/O3647)</f>
        <v/>
      </c>
      <c r="R3647" s="30" t="str">
        <f aca="false">IF(Q3647="","",Q3647+N(H3647)*0.000000001)</f>
        <v/>
      </c>
      <c r="S3647" s="25" t="str">
        <f aca="false">IF(R3647="","",SUMPRODUCT((I$5:I$4004=I3647)*ISNUMBER(R$5:R$4004)*(R$5:R$4004&gt;R3647))+1)</f>
        <v/>
      </c>
      <c r="T3647" s="25" t="str">
        <f aca="false">IF(S3647="","",IF(S3647&lt;=Setup!$B$5,"🏆 WINNER",""))</f>
        <v/>
      </c>
      <c r="U3647" s="24" t="str">
        <f aca="false">IF(S3647="","",I3647&amp;"|"&amp;S3647)</f>
        <v/>
      </c>
    </row>
    <row r="3648" customFormat="false" ht="15" hidden="false" customHeight="false" outlineLevel="0" collapsed="false">
      <c r="A3648" s="31" t="n">
        <v>3644</v>
      </c>
      <c r="B3648" s="32" t="str">
        <f aca="false">IF(OR(C3648="",I3648="",G3648=""),"",IFERROR(VLOOKUP(I3648,Setup!$A$9:$B$11,2,0),"???")&amp;"-"&amp;G3648&amp;"-"&amp;TEXT(COUNTIFS(I$5:I3648,I3648,G$5:G3648,G3648),"0000"))</f>
        <v/>
      </c>
      <c r="C3648" s="26"/>
      <c r="D3648" s="26"/>
      <c r="E3648" s="27"/>
      <c r="F3648" s="27"/>
      <c r="G3648" s="31" t="str">
        <f aca="false">IF(F3648="","",IF(F3648&lt;=5,"A",IF(F3648&lt;=8,"B",IF(F3648&lt;=10,"C","D"))))</f>
        <v/>
      </c>
      <c r="H3648" s="28"/>
      <c r="I3648" s="27"/>
      <c r="J3648" s="26"/>
      <c r="K3648" s="27"/>
      <c r="L3648" s="27"/>
      <c r="M3648" s="27"/>
      <c r="N3648" s="27"/>
      <c r="O3648" s="31" t="str">
        <f aca="false">IF(G3648="","",VLOOKUP(G3648,Setup!$A$14:$C$17,3,0))</f>
        <v/>
      </c>
      <c r="P3648" s="27"/>
      <c r="Q3648" s="33" t="str">
        <f aca="false">IF(OR(P3648="",M3648&lt;&gt;"Paid",O3648=""),"",P3648/O3648)</f>
        <v/>
      </c>
      <c r="R3648" s="34" t="str">
        <f aca="false">IF(Q3648="","",Q3648+N(H3648)*0.000000001)</f>
        <v/>
      </c>
      <c r="S3648" s="32" t="str">
        <f aca="false">IF(R3648="","",SUMPRODUCT((I$5:I$4004=I3648)*ISNUMBER(R$5:R$4004)*(R$5:R$4004&gt;R3648))+1)</f>
        <v/>
      </c>
      <c r="T3648" s="32" t="str">
        <f aca="false">IF(S3648="","",IF(S3648&lt;=Setup!$B$5,"🏆 WINNER",""))</f>
        <v/>
      </c>
      <c r="U3648" s="31" t="str">
        <f aca="false">IF(S3648="","",I3648&amp;"|"&amp;S3648)</f>
        <v/>
      </c>
    </row>
    <row r="3649" customFormat="false" ht="15" hidden="false" customHeight="false" outlineLevel="0" collapsed="false">
      <c r="A3649" s="24" t="n">
        <v>3645</v>
      </c>
      <c r="B3649" s="25" t="str">
        <f aca="false">IF(OR(C3649="",I3649="",G3649=""),"",IFERROR(VLOOKUP(I3649,Setup!$A$9:$B$11,2,0),"???")&amp;"-"&amp;G3649&amp;"-"&amp;TEXT(COUNTIFS(I$5:I3649,I3649,G$5:G3649,G3649),"0000"))</f>
        <v/>
      </c>
      <c r="C3649" s="26"/>
      <c r="D3649" s="26"/>
      <c r="E3649" s="27"/>
      <c r="F3649" s="27"/>
      <c r="G3649" s="24" t="str">
        <f aca="false">IF(F3649="","",IF(F3649&lt;=5,"A",IF(F3649&lt;=8,"B",IF(F3649&lt;=10,"C","D"))))</f>
        <v/>
      </c>
      <c r="H3649" s="28"/>
      <c r="I3649" s="27"/>
      <c r="J3649" s="26"/>
      <c r="K3649" s="27"/>
      <c r="L3649" s="27"/>
      <c r="M3649" s="27"/>
      <c r="N3649" s="27"/>
      <c r="O3649" s="24" t="str">
        <f aca="false">IF(G3649="","",VLOOKUP(G3649,Setup!$A$14:$C$17,3,0))</f>
        <v/>
      </c>
      <c r="P3649" s="27"/>
      <c r="Q3649" s="29" t="str">
        <f aca="false">IF(OR(P3649="",M3649&lt;&gt;"Paid",O3649=""),"",P3649/O3649)</f>
        <v/>
      </c>
      <c r="R3649" s="30" t="str">
        <f aca="false">IF(Q3649="","",Q3649+N(H3649)*0.000000001)</f>
        <v/>
      </c>
      <c r="S3649" s="25" t="str">
        <f aca="false">IF(R3649="","",SUMPRODUCT((I$5:I$4004=I3649)*ISNUMBER(R$5:R$4004)*(R$5:R$4004&gt;R3649))+1)</f>
        <v/>
      </c>
      <c r="T3649" s="25" t="str">
        <f aca="false">IF(S3649="","",IF(S3649&lt;=Setup!$B$5,"🏆 WINNER",""))</f>
        <v/>
      </c>
      <c r="U3649" s="24" t="str">
        <f aca="false">IF(S3649="","",I3649&amp;"|"&amp;S3649)</f>
        <v/>
      </c>
    </row>
    <row r="3650" customFormat="false" ht="15" hidden="false" customHeight="false" outlineLevel="0" collapsed="false">
      <c r="A3650" s="31" t="n">
        <v>3646</v>
      </c>
      <c r="B3650" s="32" t="str">
        <f aca="false">IF(OR(C3650="",I3650="",G3650=""),"",IFERROR(VLOOKUP(I3650,Setup!$A$9:$B$11,2,0),"???")&amp;"-"&amp;G3650&amp;"-"&amp;TEXT(COUNTIFS(I$5:I3650,I3650,G$5:G3650,G3650),"0000"))</f>
        <v/>
      </c>
      <c r="C3650" s="26"/>
      <c r="D3650" s="26"/>
      <c r="E3650" s="27"/>
      <c r="F3650" s="27"/>
      <c r="G3650" s="31" t="str">
        <f aca="false">IF(F3650="","",IF(F3650&lt;=5,"A",IF(F3650&lt;=8,"B",IF(F3650&lt;=10,"C","D"))))</f>
        <v/>
      </c>
      <c r="H3650" s="28"/>
      <c r="I3650" s="27"/>
      <c r="J3650" s="26"/>
      <c r="K3650" s="27"/>
      <c r="L3650" s="27"/>
      <c r="M3650" s="27"/>
      <c r="N3650" s="27"/>
      <c r="O3650" s="31" t="str">
        <f aca="false">IF(G3650="","",VLOOKUP(G3650,Setup!$A$14:$C$17,3,0))</f>
        <v/>
      </c>
      <c r="P3650" s="27"/>
      <c r="Q3650" s="33" t="str">
        <f aca="false">IF(OR(P3650="",M3650&lt;&gt;"Paid",O3650=""),"",P3650/O3650)</f>
        <v/>
      </c>
      <c r="R3650" s="34" t="str">
        <f aca="false">IF(Q3650="","",Q3650+N(H3650)*0.000000001)</f>
        <v/>
      </c>
      <c r="S3650" s="32" t="str">
        <f aca="false">IF(R3650="","",SUMPRODUCT((I$5:I$4004=I3650)*ISNUMBER(R$5:R$4004)*(R$5:R$4004&gt;R3650))+1)</f>
        <v/>
      </c>
      <c r="T3650" s="32" t="str">
        <f aca="false">IF(S3650="","",IF(S3650&lt;=Setup!$B$5,"🏆 WINNER",""))</f>
        <v/>
      </c>
      <c r="U3650" s="31" t="str">
        <f aca="false">IF(S3650="","",I3650&amp;"|"&amp;S3650)</f>
        <v/>
      </c>
    </row>
    <row r="3651" customFormat="false" ht="15" hidden="false" customHeight="false" outlineLevel="0" collapsed="false">
      <c r="A3651" s="24" t="n">
        <v>3647</v>
      </c>
      <c r="B3651" s="25" t="str">
        <f aca="false">IF(OR(C3651="",I3651="",G3651=""),"",IFERROR(VLOOKUP(I3651,Setup!$A$9:$B$11,2,0),"???")&amp;"-"&amp;G3651&amp;"-"&amp;TEXT(COUNTIFS(I$5:I3651,I3651,G$5:G3651,G3651),"0000"))</f>
        <v/>
      </c>
      <c r="C3651" s="26"/>
      <c r="D3651" s="26"/>
      <c r="E3651" s="27"/>
      <c r="F3651" s="27"/>
      <c r="G3651" s="24" t="str">
        <f aca="false">IF(F3651="","",IF(F3651&lt;=5,"A",IF(F3651&lt;=8,"B",IF(F3651&lt;=10,"C","D"))))</f>
        <v/>
      </c>
      <c r="H3651" s="28"/>
      <c r="I3651" s="27"/>
      <c r="J3651" s="26"/>
      <c r="K3651" s="27"/>
      <c r="L3651" s="27"/>
      <c r="M3651" s="27"/>
      <c r="N3651" s="27"/>
      <c r="O3651" s="24" t="str">
        <f aca="false">IF(G3651="","",VLOOKUP(G3651,Setup!$A$14:$C$17,3,0))</f>
        <v/>
      </c>
      <c r="P3651" s="27"/>
      <c r="Q3651" s="29" t="str">
        <f aca="false">IF(OR(P3651="",M3651&lt;&gt;"Paid",O3651=""),"",P3651/O3651)</f>
        <v/>
      </c>
      <c r="R3651" s="30" t="str">
        <f aca="false">IF(Q3651="","",Q3651+N(H3651)*0.000000001)</f>
        <v/>
      </c>
      <c r="S3651" s="25" t="str">
        <f aca="false">IF(R3651="","",SUMPRODUCT((I$5:I$4004=I3651)*ISNUMBER(R$5:R$4004)*(R$5:R$4004&gt;R3651))+1)</f>
        <v/>
      </c>
      <c r="T3651" s="25" t="str">
        <f aca="false">IF(S3651="","",IF(S3651&lt;=Setup!$B$5,"🏆 WINNER",""))</f>
        <v/>
      </c>
      <c r="U3651" s="24" t="str">
        <f aca="false">IF(S3651="","",I3651&amp;"|"&amp;S3651)</f>
        <v/>
      </c>
    </row>
    <row r="3652" customFormat="false" ht="15" hidden="false" customHeight="false" outlineLevel="0" collapsed="false">
      <c r="A3652" s="31" t="n">
        <v>3648</v>
      </c>
      <c r="B3652" s="32" t="str">
        <f aca="false">IF(OR(C3652="",I3652="",G3652=""),"",IFERROR(VLOOKUP(I3652,Setup!$A$9:$B$11,2,0),"???")&amp;"-"&amp;G3652&amp;"-"&amp;TEXT(COUNTIFS(I$5:I3652,I3652,G$5:G3652,G3652),"0000"))</f>
        <v/>
      </c>
      <c r="C3652" s="26"/>
      <c r="D3652" s="26"/>
      <c r="E3652" s="27"/>
      <c r="F3652" s="27"/>
      <c r="G3652" s="31" t="str">
        <f aca="false">IF(F3652="","",IF(F3652&lt;=5,"A",IF(F3652&lt;=8,"B",IF(F3652&lt;=10,"C","D"))))</f>
        <v/>
      </c>
      <c r="H3652" s="28"/>
      <c r="I3652" s="27"/>
      <c r="J3652" s="26"/>
      <c r="K3652" s="27"/>
      <c r="L3652" s="27"/>
      <c r="M3652" s="27"/>
      <c r="N3652" s="27"/>
      <c r="O3652" s="31" t="str">
        <f aca="false">IF(G3652="","",VLOOKUP(G3652,Setup!$A$14:$C$17,3,0))</f>
        <v/>
      </c>
      <c r="P3652" s="27"/>
      <c r="Q3652" s="33" t="str">
        <f aca="false">IF(OR(P3652="",M3652&lt;&gt;"Paid",O3652=""),"",P3652/O3652)</f>
        <v/>
      </c>
      <c r="R3652" s="34" t="str">
        <f aca="false">IF(Q3652="","",Q3652+N(H3652)*0.000000001)</f>
        <v/>
      </c>
      <c r="S3652" s="32" t="str">
        <f aca="false">IF(R3652="","",SUMPRODUCT((I$5:I$4004=I3652)*ISNUMBER(R$5:R$4004)*(R$5:R$4004&gt;R3652))+1)</f>
        <v/>
      </c>
      <c r="T3652" s="32" t="str">
        <f aca="false">IF(S3652="","",IF(S3652&lt;=Setup!$B$5,"🏆 WINNER",""))</f>
        <v/>
      </c>
      <c r="U3652" s="31" t="str">
        <f aca="false">IF(S3652="","",I3652&amp;"|"&amp;S3652)</f>
        <v/>
      </c>
    </row>
    <row r="3653" customFormat="false" ht="15" hidden="false" customHeight="false" outlineLevel="0" collapsed="false">
      <c r="A3653" s="24" t="n">
        <v>3649</v>
      </c>
      <c r="B3653" s="25" t="str">
        <f aca="false">IF(OR(C3653="",I3653="",G3653=""),"",IFERROR(VLOOKUP(I3653,Setup!$A$9:$B$11,2,0),"???")&amp;"-"&amp;G3653&amp;"-"&amp;TEXT(COUNTIFS(I$5:I3653,I3653,G$5:G3653,G3653),"0000"))</f>
        <v/>
      </c>
      <c r="C3653" s="26"/>
      <c r="D3653" s="26"/>
      <c r="E3653" s="27"/>
      <c r="F3653" s="27"/>
      <c r="G3653" s="24" t="str">
        <f aca="false">IF(F3653="","",IF(F3653&lt;=5,"A",IF(F3653&lt;=8,"B",IF(F3653&lt;=10,"C","D"))))</f>
        <v/>
      </c>
      <c r="H3653" s="28"/>
      <c r="I3653" s="27"/>
      <c r="J3653" s="26"/>
      <c r="K3653" s="27"/>
      <c r="L3653" s="27"/>
      <c r="M3653" s="27"/>
      <c r="N3653" s="27"/>
      <c r="O3653" s="24" t="str">
        <f aca="false">IF(G3653="","",VLOOKUP(G3653,Setup!$A$14:$C$17,3,0))</f>
        <v/>
      </c>
      <c r="P3653" s="27"/>
      <c r="Q3653" s="29" t="str">
        <f aca="false">IF(OR(P3653="",M3653&lt;&gt;"Paid",O3653=""),"",P3653/O3653)</f>
        <v/>
      </c>
      <c r="R3653" s="30" t="str">
        <f aca="false">IF(Q3653="","",Q3653+N(H3653)*0.000000001)</f>
        <v/>
      </c>
      <c r="S3653" s="25" t="str">
        <f aca="false">IF(R3653="","",SUMPRODUCT((I$5:I$4004=I3653)*ISNUMBER(R$5:R$4004)*(R$5:R$4004&gt;R3653))+1)</f>
        <v/>
      </c>
      <c r="T3653" s="25" t="str">
        <f aca="false">IF(S3653="","",IF(S3653&lt;=Setup!$B$5,"🏆 WINNER",""))</f>
        <v/>
      </c>
      <c r="U3653" s="24" t="str">
        <f aca="false">IF(S3653="","",I3653&amp;"|"&amp;S3653)</f>
        <v/>
      </c>
    </row>
    <row r="3654" customFormat="false" ht="15" hidden="false" customHeight="false" outlineLevel="0" collapsed="false">
      <c r="A3654" s="31" t="n">
        <v>3650</v>
      </c>
      <c r="B3654" s="32" t="str">
        <f aca="false">IF(OR(C3654="",I3654="",G3654=""),"",IFERROR(VLOOKUP(I3654,Setup!$A$9:$B$11,2,0),"???")&amp;"-"&amp;G3654&amp;"-"&amp;TEXT(COUNTIFS(I$5:I3654,I3654,G$5:G3654,G3654),"0000"))</f>
        <v/>
      </c>
      <c r="C3654" s="26"/>
      <c r="D3654" s="26"/>
      <c r="E3654" s="27"/>
      <c r="F3654" s="27"/>
      <c r="G3654" s="31" t="str">
        <f aca="false">IF(F3654="","",IF(F3654&lt;=5,"A",IF(F3654&lt;=8,"B",IF(F3654&lt;=10,"C","D"))))</f>
        <v/>
      </c>
      <c r="H3654" s="28"/>
      <c r="I3654" s="27"/>
      <c r="J3654" s="26"/>
      <c r="K3654" s="27"/>
      <c r="L3654" s="27"/>
      <c r="M3654" s="27"/>
      <c r="N3654" s="27"/>
      <c r="O3654" s="31" t="str">
        <f aca="false">IF(G3654="","",VLOOKUP(G3654,Setup!$A$14:$C$17,3,0))</f>
        <v/>
      </c>
      <c r="P3654" s="27"/>
      <c r="Q3654" s="33" t="str">
        <f aca="false">IF(OR(P3654="",M3654&lt;&gt;"Paid",O3654=""),"",P3654/O3654)</f>
        <v/>
      </c>
      <c r="R3654" s="34" t="str">
        <f aca="false">IF(Q3654="","",Q3654+N(H3654)*0.000000001)</f>
        <v/>
      </c>
      <c r="S3654" s="32" t="str">
        <f aca="false">IF(R3654="","",SUMPRODUCT((I$5:I$4004=I3654)*ISNUMBER(R$5:R$4004)*(R$5:R$4004&gt;R3654))+1)</f>
        <v/>
      </c>
      <c r="T3654" s="32" t="str">
        <f aca="false">IF(S3654="","",IF(S3654&lt;=Setup!$B$5,"🏆 WINNER",""))</f>
        <v/>
      </c>
      <c r="U3654" s="31" t="str">
        <f aca="false">IF(S3654="","",I3654&amp;"|"&amp;S3654)</f>
        <v/>
      </c>
    </row>
    <row r="3655" customFormat="false" ht="15" hidden="false" customHeight="false" outlineLevel="0" collapsed="false">
      <c r="A3655" s="24" t="n">
        <v>3651</v>
      </c>
      <c r="B3655" s="25" t="str">
        <f aca="false">IF(OR(C3655="",I3655="",G3655=""),"",IFERROR(VLOOKUP(I3655,Setup!$A$9:$B$11,2,0),"???")&amp;"-"&amp;G3655&amp;"-"&amp;TEXT(COUNTIFS(I$5:I3655,I3655,G$5:G3655,G3655),"0000"))</f>
        <v/>
      </c>
      <c r="C3655" s="26"/>
      <c r="D3655" s="26"/>
      <c r="E3655" s="27"/>
      <c r="F3655" s="27"/>
      <c r="G3655" s="24" t="str">
        <f aca="false">IF(F3655="","",IF(F3655&lt;=5,"A",IF(F3655&lt;=8,"B",IF(F3655&lt;=10,"C","D"))))</f>
        <v/>
      </c>
      <c r="H3655" s="28"/>
      <c r="I3655" s="27"/>
      <c r="J3655" s="26"/>
      <c r="K3655" s="27"/>
      <c r="L3655" s="27"/>
      <c r="M3655" s="27"/>
      <c r="N3655" s="27"/>
      <c r="O3655" s="24" t="str">
        <f aca="false">IF(G3655="","",VLOOKUP(G3655,Setup!$A$14:$C$17,3,0))</f>
        <v/>
      </c>
      <c r="P3655" s="27"/>
      <c r="Q3655" s="29" t="str">
        <f aca="false">IF(OR(P3655="",M3655&lt;&gt;"Paid",O3655=""),"",P3655/O3655)</f>
        <v/>
      </c>
      <c r="R3655" s="30" t="str">
        <f aca="false">IF(Q3655="","",Q3655+N(H3655)*0.000000001)</f>
        <v/>
      </c>
      <c r="S3655" s="25" t="str">
        <f aca="false">IF(R3655="","",SUMPRODUCT((I$5:I$4004=I3655)*ISNUMBER(R$5:R$4004)*(R$5:R$4004&gt;R3655))+1)</f>
        <v/>
      </c>
      <c r="T3655" s="25" t="str">
        <f aca="false">IF(S3655="","",IF(S3655&lt;=Setup!$B$5,"🏆 WINNER",""))</f>
        <v/>
      </c>
      <c r="U3655" s="24" t="str">
        <f aca="false">IF(S3655="","",I3655&amp;"|"&amp;S3655)</f>
        <v/>
      </c>
    </row>
    <row r="3656" customFormat="false" ht="15" hidden="false" customHeight="false" outlineLevel="0" collapsed="false">
      <c r="A3656" s="31" t="n">
        <v>3652</v>
      </c>
      <c r="B3656" s="32" t="str">
        <f aca="false">IF(OR(C3656="",I3656="",G3656=""),"",IFERROR(VLOOKUP(I3656,Setup!$A$9:$B$11,2,0),"???")&amp;"-"&amp;G3656&amp;"-"&amp;TEXT(COUNTIFS(I$5:I3656,I3656,G$5:G3656,G3656),"0000"))</f>
        <v/>
      </c>
      <c r="C3656" s="26"/>
      <c r="D3656" s="26"/>
      <c r="E3656" s="27"/>
      <c r="F3656" s="27"/>
      <c r="G3656" s="31" t="str">
        <f aca="false">IF(F3656="","",IF(F3656&lt;=5,"A",IF(F3656&lt;=8,"B",IF(F3656&lt;=10,"C","D"))))</f>
        <v/>
      </c>
      <c r="H3656" s="28"/>
      <c r="I3656" s="27"/>
      <c r="J3656" s="26"/>
      <c r="K3656" s="27"/>
      <c r="L3656" s="27"/>
      <c r="M3656" s="27"/>
      <c r="N3656" s="27"/>
      <c r="O3656" s="31" t="str">
        <f aca="false">IF(G3656="","",VLOOKUP(G3656,Setup!$A$14:$C$17,3,0))</f>
        <v/>
      </c>
      <c r="P3656" s="27"/>
      <c r="Q3656" s="33" t="str">
        <f aca="false">IF(OR(P3656="",M3656&lt;&gt;"Paid",O3656=""),"",P3656/O3656)</f>
        <v/>
      </c>
      <c r="R3656" s="34" t="str">
        <f aca="false">IF(Q3656="","",Q3656+N(H3656)*0.000000001)</f>
        <v/>
      </c>
      <c r="S3656" s="32" t="str">
        <f aca="false">IF(R3656="","",SUMPRODUCT((I$5:I$4004=I3656)*ISNUMBER(R$5:R$4004)*(R$5:R$4004&gt;R3656))+1)</f>
        <v/>
      </c>
      <c r="T3656" s="32" t="str">
        <f aca="false">IF(S3656="","",IF(S3656&lt;=Setup!$B$5,"🏆 WINNER",""))</f>
        <v/>
      </c>
      <c r="U3656" s="31" t="str">
        <f aca="false">IF(S3656="","",I3656&amp;"|"&amp;S3656)</f>
        <v/>
      </c>
    </row>
    <row r="3657" customFormat="false" ht="15" hidden="false" customHeight="false" outlineLevel="0" collapsed="false">
      <c r="A3657" s="24" t="n">
        <v>3653</v>
      </c>
      <c r="B3657" s="25" t="str">
        <f aca="false">IF(OR(C3657="",I3657="",G3657=""),"",IFERROR(VLOOKUP(I3657,Setup!$A$9:$B$11,2,0),"???")&amp;"-"&amp;G3657&amp;"-"&amp;TEXT(COUNTIFS(I$5:I3657,I3657,G$5:G3657,G3657),"0000"))</f>
        <v/>
      </c>
      <c r="C3657" s="26"/>
      <c r="D3657" s="26"/>
      <c r="E3657" s="27"/>
      <c r="F3657" s="27"/>
      <c r="G3657" s="24" t="str">
        <f aca="false">IF(F3657="","",IF(F3657&lt;=5,"A",IF(F3657&lt;=8,"B",IF(F3657&lt;=10,"C","D"))))</f>
        <v/>
      </c>
      <c r="H3657" s="28"/>
      <c r="I3657" s="27"/>
      <c r="J3657" s="26"/>
      <c r="K3657" s="27"/>
      <c r="L3657" s="27"/>
      <c r="M3657" s="27"/>
      <c r="N3657" s="27"/>
      <c r="O3657" s="24" t="str">
        <f aca="false">IF(G3657="","",VLOOKUP(G3657,Setup!$A$14:$C$17,3,0))</f>
        <v/>
      </c>
      <c r="P3657" s="27"/>
      <c r="Q3657" s="29" t="str">
        <f aca="false">IF(OR(P3657="",M3657&lt;&gt;"Paid",O3657=""),"",P3657/O3657)</f>
        <v/>
      </c>
      <c r="R3657" s="30" t="str">
        <f aca="false">IF(Q3657="","",Q3657+N(H3657)*0.000000001)</f>
        <v/>
      </c>
      <c r="S3657" s="25" t="str">
        <f aca="false">IF(R3657="","",SUMPRODUCT((I$5:I$4004=I3657)*ISNUMBER(R$5:R$4004)*(R$5:R$4004&gt;R3657))+1)</f>
        <v/>
      </c>
      <c r="T3657" s="25" t="str">
        <f aca="false">IF(S3657="","",IF(S3657&lt;=Setup!$B$5,"🏆 WINNER",""))</f>
        <v/>
      </c>
      <c r="U3657" s="24" t="str">
        <f aca="false">IF(S3657="","",I3657&amp;"|"&amp;S3657)</f>
        <v/>
      </c>
    </row>
    <row r="3658" customFormat="false" ht="15" hidden="false" customHeight="false" outlineLevel="0" collapsed="false">
      <c r="A3658" s="31" t="n">
        <v>3654</v>
      </c>
      <c r="B3658" s="32" t="str">
        <f aca="false">IF(OR(C3658="",I3658="",G3658=""),"",IFERROR(VLOOKUP(I3658,Setup!$A$9:$B$11,2,0),"???")&amp;"-"&amp;G3658&amp;"-"&amp;TEXT(COUNTIFS(I$5:I3658,I3658,G$5:G3658,G3658),"0000"))</f>
        <v/>
      </c>
      <c r="C3658" s="26"/>
      <c r="D3658" s="26"/>
      <c r="E3658" s="27"/>
      <c r="F3658" s="27"/>
      <c r="G3658" s="31" t="str">
        <f aca="false">IF(F3658="","",IF(F3658&lt;=5,"A",IF(F3658&lt;=8,"B",IF(F3658&lt;=10,"C","D"))))</f>
        <v/>
      </c>
      <c r="H3658" s="28"/>
      <c r="I3658" s="27"/>
      <c r="J3658" s="26"/>
      <c r="K3658" s="27"/>
      <c r="L3658" s="27"/>
      <c r="M3658" s="27"/>
      <c r="N3658" s="27"/>
      <c r="O3658" s="31" t="str">
        <f aca="false">IF(G3658="","",VLOOKUP(G3658,Setup!$A$14:$C$17,3,0))</f>
        <v/>
      </c>
      <c r="P3658" s="27"/>
      <c r="Q3658" s="33" t="str">
        <f aca="false">IF(OR(P3658="",M3658&lt;&gt;"Paid",O3658=""),"",P3658/O3658)</f>
        <v/>
      </c>
      <c r="R3658" s="34" t="str">
        <f aca="false">IF(Q3658="","",Q3658+N(H3658)*0.000000001)</f>
        <v/>
      </c>
      <c r="S3658" s="32" t="str">
        <f aca="false">IF(R3658="","",SUMPRODUCT((I$5:I$4004=I3658)*ISNUMBER(R$5:R$4004)*(R$5:R$4004&gt;R3658))+1)</f>
        <v/>
      </c>
      <c r="T3658" s="32" t="str">
        <f aca="false">IF(S3658="","",IF(S3658&lt;=Setup!$B$5,"🏆 WINNER",""))</f>
        <v/>
      </c>
      <c r="U3658" s="31" t="str">
        <f aca="false">IF(S3658="","",I3658&amp;"|"&amp;S3658)</f>
        <v/>
      </c>
    </row>
    <row r="3659" customFormat="false" ht="15" hidden="false" customHeight="false" outlineLevel="0" collapsed="false">
      <c r="A3659" s="24" t="n">
        <v>3655</v>
      </c>
      <c r="B3659" s="25" t="str">
        <f aca="false">IF(OR(C3659="",I3659="",G3659=""),"",IFERROR(VLOOKUP(I3659,Setup!$A$9:$B$11,2,0),"???")&amp;"-"&amp;G3659&amp;"-"&amp;TEXT(COUNTIFS(I$5:I3659,I3659,G$5:G3659,G3659),"0000"))</f>
        <v/>
      </c>
      <c r="C3659" s="26"/>
      <c r="D3659" s="26"/>
      <c r="E3659" s="27"/>
      <c r="F3659" s="27"/>
      <c r="G3659" s="24" t="str">
        <f aca="false">IF(F3659="","",IF(F3659&lt;=5,"A",IF(F3659&lt;=8,"B",IF(F3659&lt;=10,"C","D"))))</f>
        <v/>
      </c>
      <c r="H3659" s="28"/>
      <c r="I3659" s="27"/>
      <c r="J3659" s="26"/>
      <c r="K3659" s="27"/>
      <c r="L3659" s="27"/>
      <c r="M3659" s="27"/>
      <c r="N3659" s="27"/>
      <c r="O3659" s="24" t="str">
        <f aca="false">IF(G3659="","",VLOOKUP(G3659,Setup!$A$14:$C$17,3,0))</f>
        <v/>
      </c>
      <c r="P3659" s="27"/>
      <c r="Q3659" s="29" t="str">
        <f aca="false">IF(OR(P3659="",M3659&lt;&gt;"Paid",O3659=""),"",P3659/O3659)</f>
        <v/>
      </c>
      <c r="R3659" s="30" t="str">
        <f aca="false">IF(Q3659="","",Q3659+N(H3659)*0.000000001)</f>
        <v/>
      </c>
      <c r="S3659" s="25" t="str">
        <f aca="false">IF(R3659="","",SUMPRODUCT((I$5:I$4004=I3659)*ISNUMBER(R$5:R$4004)*(R$5:R$4004&gt;R3659))+1)</f>
        <v/>
      </c>
      <c r="T3659" s="25" t="str">
        <f aca="false">IF(S3659="","",IF(S3659&lt;=Setup!$B$5,"🏆 WINNER",""))</f>
        <v/>
      </c>
      <c r="U3659" s="24" t="str">
        <f aca="false">IF(S3659="","",I3659&amp;"|"&amp;S3659)</f>
        <v/>
      </c>
    </row>
    <row r="3660" customFormat="false" ht="15" hidden="false" customHeight="false" outlineLevel="0" collapsed="false">
      <c r="A3660" s="31" t="n">
        <v>3656</v>
      </c>
      <c r="B3660" s="32" t="str">
        <f aca="false">IF(OR(C3660="",I3660="",G3660=""),"",IFERROR(VLOOKUP(I3660,Setup!$A$9:$B$11,2,0),"???")&amp;"-"&amp;G3660&amp;"-"&amp;TEXT(COUNTIFS(I$5:I3660,I3660,G$5:G3660,G3660),"0000"))</f>
        <v/>
      </c>
      <c r="C3660" s="26"/>
      <c r="D3660" s="26"/>
      <c r="E3660" s="27"/>
      <c r="F3660" s="27"/>
      <c r="G3660" s="31" t="str">
        <f aca="false">IF(F3660="","",IF(F3660&lt;=5,"A",IF(F3660&lt;=8,"B",IF(F3660&lt;=10,"C","D"))))</f>
        <v/>
      </c>
      <c r="H3660" s="28"/>
      <c r="I3660" s="27"/>
      <c r="J3660" s="26"/>
      <c r="K3660" s="27"/>
      <c r="L3660" s="27"/>
      <c r="M3660" s="27"/>
      <c r="N3660" s="27"/>
      <c r="O3660" s="31" t="str">
        <f aca="false">IF(G3660="","",VLOOKUP(G3660,Setup!$A$14:$C$17,3,0))</f>
        <v/>
      </c>
      <c r="P3660" s="27"/>
      <c r="Q3660" s="33" t="str">
        <f aca="false">IF(OR(P3660="",M3660&lt;&gt;"Paid",O3660=""),"",P3660/O3660)</f>
        <v/>
      </c>
      <c r="R3660" s="34" t="str">
        <f aca="false">IF(Q3660="","",Q3660+N(H3660)*0.000000001)</f>
        <v/>
      </c>
      <c r="S3660" s="32" t="str">
        <f aca="false">IF(R3660="","",SUMPRODUCT((I$5:I$4004=I3660)*ISNUMBER(R$5:R$4004)*(R$5:R$4004&gt;R3660))+1)</f>
        <v/>
      </c>
      <c r="T3660" s="32" t="str">
        <f aca="false">IF(S3660="","",IF(S3660&lt;=Setup!$B$5,"🏆 WINNER",""))</f>
        <v/>
      </c>
      <c r="U3660" s="31" t="str">
        <f aca="false">IF(S3660="","",I3660&amp;"|"&amp;S3660)</f>
        <v/>
      </c>
    </row>
    <row r="3661" customFormat="false" ht="15" hidden="false" customHeight="false" outlineLevel="0" collapsed="false">
      <c r="A3661" s="24" t="n">
        <v>3657</v>
      </c>
      <c r="B3661" s="25" t="str">
        <f aca="false">IF(OR(C3661="",I3661="",G3661=""),"",IFERROR(VLOOKUP(I3661,Setup!$A$9:$B$11,2,0),"???")&amp;"-"&amp;G3661&amp;"-"&amp;TEXT(COUNTIFS(I$5:I3661,I3661,G$5:G3661,G3661),"0000"))</f>
        <v/>
      </c>
      <c r="C3661" s="26"/>
      <c r="D3661" s="26"/>
      <c r="E3661" s="27"/>
      <c r="F3661" s="27"/>
      <c r="G3661" s="24" t="str">
        <f aca="false">IF(F3661="","",IF(F3661&lt;=5,"A",IF(F3661&lt;=8,"B",IF(F3661&lt;=10,"C","D"))))</f>
        <v/>
      </c>
      <c r="H3661" s="28"/>
      <c r="I3661" s="27"/>
      <c r="J3661" s="26"/>
      <c r="K3661" s="27"/>
      <c r="L3661" s="27"/>
      <c r="M3661" s="27"/>
      <c r="N3661" s="27"/>
      <c r="O3661" s="24" t="str">
        <f aca="false">IF(G3661="","",VLOOKUP(G3661,Setup!$A$14:$C$17,3,0))</f>
        <v/>
      </c>
      <c r="P3661" s="27"/>
      <c r="Q3661" s="29" t="str">
        <f aca="false">IF(OR(P3661="",M3661&lt;&gt;"Paid",O3661=""),"",P3661/O3661)</f>
        <v/>
      </c>
      <c r="R3661" s="30" t="str">
        <f aca="false">IF(Q3661="","",Q3661+N(H3661)*0.000000001)</f>
        <v/>
      </c>
      <c r="S3661" s="25" t="str">
        <f aca="false">IF(R3661="","",SUMPRODUCT((I$5:I$4004=I3661)*ISNUMBER(R$5:R$4004)*(R$5:R$4004&gt;R3661))+1)</f>
        <v/>
      </c>
      <c r="T3661" s="25" t="str">
        <f aca="false">IF(S3661="","",IF(S3661&lt;=Setup!$B$5,"🏆 WINNER",""))</f>
        <v/>
      </c>
      <c r="U3661" s="24" t="str">
        <f aca="false">IF(S3661="","",I3661&amp;"|"&amp;S3661)</f>
        <v/>
      </c>
    </row>
    <row r="3662" customFormat="false" ht="15" hidden="false" customHeight="false" outlineLevel="0" collapsed="false">
      <c r="A3662" s="31" t="n">
        <v>3658</v>
      </c>
      <c r="B3662" s="32" t="str">
        <f aca="false">IF(OR(C3662="",I3662="",G3662=""),"",IFERROR(VLOOKUP(I3662,Setup!$A$9:$B$11,2,0),"???")&amp;"-"&amp;G3662&amp;"-"&amp;TEXT(COUNTIFS(I$5:I3662,I3662,G$5:G3662,G3662),"0000"))</f>
        <v/>
      </c>
      <c r="C3662" s="26"/>
      <c r="D3662" s="26"/>
      <c r="E3662" s="27"/>
      <c r="F3662" s="27"/>
      <c r="G3662" s="31" t="str">
        <f aca="false">IF(F3662="","",IF(F3662&lt;=5,"A",IF(F3662&lt;=8,"B",IF(F3662&lt;=10,"C","D"))))</f>
        <v/>
      </c>
      <c r="H3662" s="28"/>
      <c r="I3662" s="27"/>
      <c r="J3662" s="26"/>
      <c r="K3662" s="27"/>
      <c r="L3662" s="27"/>
      <c r="M3662" s="27"/>
      <c r="N3662" s="27"/>
      <c r="O3662" s="31" t="str">
        <f aca="false">IF(G3662="","",VLOOKUP(G3662,Setup!$A$14:$C$17,3,0))</f>
        <v/>
      </c>
      <c r="P3662" s="27"/>
      <c r="Q3662" s="33" t="str">
        <f aca="false">IF(OR(P3662="",M3662&lt;&gt;"Paid",O3662=""),"",P3662/O3662)</f>
        <v/>
      </c>
      <c r="R3662" s="34" t="str">
        <f aca="false">IF(Q3662="","",Q3662+N(H3662)*0.000000001)</f>
        <v/>
      </c>
      <c r="S3662" s="32" t="str">
        <f aca="false">IF(R3662="","",SUMPRODUCT((I$5:I$4004=I3662)*ISNUMBER(R$5:R$4004)*(R$5:R$4004&gt;R3662))+1)</f>
        <v/>
      </c>
      <c r="T3662" s="32" t="str">
        <f aca="false">IF(S3662="","",IF(S3662&lt;=Setup!$B$5,"🏆 WINNER",""))</f>
        <v/>
      </c>
      <c r="U3662" s="31" t="str">
        <f aca="false">IF(S3662="","",I3662&amp;"|"&amp;S3662)</f>
        <v/>
      </c>
    </row>
    <row r="3663" customFormat="false" ht="15" hidden="false" customHeight="false" outlineLevel="0" collapsed="false">
      <c r="A3663" s="24" t="n">
        <v>3659</v>
      </c>
      <c r="B3663" s="25" t="str">
        <f aca="false">IF(OR(C3663="",I3663="",G3663=""),"",IFERROR(VLOOKUP(I3663,Setup!$A$9:$B$11,2,0),"???")&amp;"-"&amp;G3663&amp;"-"&amp;TEXT(COUNTIFS(I$5:I3663,I3663,G$5:G3663,G3663),"0000"))</f>
        <v/>
      </c>
      <c r="C3663" s="26"/>
      <c r="D3663" s="26"/>
      <c r="E3663" s="27"/>
      <c r="F3663" s="27"/>
      <c r="G3663" s="24" t="str">
        <f aca="false">IF(F3663="","",IF(F3663&lt;=5,"A",IF(F3663&lt;=8,"B",IF(F3663&lt;=10,"C","D"))))</f>
        <v/>
      </c>
      <c r="H3663" s="28"/>
      <c r="I3663" s="27"/>
      <c r="J3663" s="26"/>
      <c r="K3663" s="27"/>
      <c r="L3663" s="27"/>
      <c r="M3663" s="27"/>
      <c r="N3663" s="27"/>
      <c r="O3663" s="24" t="str">
        <f aca="false">IF(G3663="","",VLOOKUP(G3663,Setup!$A$14:$C$17,3,0))</f>
        <v/>
      </c>
      <c r="P3663" s="27"/>
      <c r="Q3663" s="29" t="str">
        <f aca="false">IF(OR(P3663="",M3663&lt;&gt;"Paid",O3663=""),"",P3663/O3663)</f>
        <v/>
      </c>
      <c r="R3663" s="30" t="str">
        <f aca="false">IF(Q3663="","",Q3663+N(H3663)*0.000000001)</f>
        <v/>
      </c>
      <c r="S3663" s="25" t="str">
        <f aca="false">IF(R3663="","",SUMPRODUCT((I$5:I$4004=I3663)*ISNUMBER(R$5:R$4004)*(R$5:R$4004&gt;R3663))+1)</f>
        <v/>
      </c>
      <c r="T3663" s="25" t="str">
        <f aca="false">IF(S3663="","",IF(S3663&lt;=Setup!$B$5,"🏆 WINNER",""))</f>
        <v/>
      </c>
      <c r="U3663" s="24" t="str">
        <f aca="false">IF(S3663="","",I3663&amp;"|"&amp;S3663)</f>
        <v/>
      </c>
    </row>
    <row r="3664" customFormat="false" ht="15" hidden="false" customHeight="false" outlineLevel="0" collapsed="false">
      <c r="A3664" s="31" t="n">
        <v>3660</v>
      </c>
      <c r="B3664" s="32" t="str">
        <f aca="false">IF(OR(C3664="",I3664="",G3664=""),"",IFERROR(VLOOKUP(I3664,Setup!$A$9:$B$11,2,0),"???")&amp;"-"&amp;G3664&amp;"-"&amp;TEXT(COUNTIFS(I$5:I3664,I3664,G$5:G3664,G3664),"0000"))</f>
        <v/>
      </c>
      <c r="C3664" s="26"/>
      <c r="D3664" s="26"/>
      <c r="E3664" s="27"/>
      <c r="F3664" s="27"/>
      <c r="G3664" s="31" t="str">
        <f aca="false">IF(F3664="","",IF(F3664&lt;=5,"A",IF(F3664&lt;=8,"B",IF(F3664&lt;=10,"C","D"))))</f>
        <v/>
      </c>
      <c r="H3664" s="28"/>
      <c r="I3664" s="27"/>
      <c r="J3664" s="26"/>
      <c r="K3664" s="27"/>
      <c r="L3664" s="27"/>
      <c r="M3664" s="27"/>
      <c r="N3664" s="27"/>
      <c r="O3664" s="31" t="str">
        <f aca="false">IF(G3664="","",VLOOKUP(G3664,Setup!$A$14:$C$17,3,0))</f>
        <v/>
      </c>
      <c r="P3664" s="27"/>
      <c r="Q3664" s="33" t="str">
        <f aca="false">IF(OR(P3664="",M3664&lt;&gt;"Paid",O3664=""),"",P3664/O3664)</f>
        <v/>
      </c>
      <c r="R3664" s="34" t="str">
        <f aca="false">IF(Q3664="","",Q3664+N(H3664)*0.000000001)</f>
        <v/>
      </c>
      <c r="S3664" s="32" t="str">
        <f aca="false">IF(R3664="","",SUMPRODUCT((I$5:I$4004=I3664)*ISNUMBER(R$5:R$4004)*(R$5:R$4004&gt;R3664))+1)</f>
        <v/>
      </c>
      <c r="T3664" s="32" t="str">
        <f aca="false">IF(S3664="","",IF(S3664&lt;=Setup!$B$5,"🏆 WINNER",""))</f>
        <v/>
      </c>
      <c r="U3664" s="31" t="str">
        <f aca="false">IF(S3664="","",I3664&amp;"|"&amp;S3664)</f>
        <v/>
      </c>
    </row>
    <row r="3665" customFormat="false" ht="15" hidden="false" customHeight="false" outlineLevel="0" collapsed="false">
      <c r="A3665" s="24" t="n">
        <v>3661</v>
      </c>
      <c r="B3665" s="25" t="str">
        <f aca="false">IF(OR(C3665="",I3665="",G3665=""),"",IFERROR(VLOOKUP(I3665,Setup!$A$9:$B$11,2,0),"???")&amp;"-"&amp;G3665&amp;"-"&amp;TEXT(COUNTIFS(I$5:I3665,I3665,G$5:G3665,G3665),"0000"))</f>
        <v/>
      </c>
      <c r="C3665" s="26"/>
      <c r="D3665" s="26"/>
      <c r="E3665" s="27"/>
      <c r="F3665" s="27"/>
      <c r="G3665" s="24" t="str">
        <f aca="false">IF(F3665="","",IF(F3665&lt;=5,"A",IF(F3665&lt;=8,"B",IF(F3665&lt;=10,"C","D"))))</f>
        <v/>
      </c>
      <c r="H3665" s="28"/>
      <c r="I3665" s="27"/>
      <c r="J3665" s="26"/>
      <c r="K3665" s="27"/>
      <c r="L3665" s="27"/>
      <c r="M3665" s="27"/>
      <c r="N3665" s="27"/>
      <c r="O3665" s="24" t="str">
        <f aca="false">IF(G3665="","",VLOOKUP(G3665,Setup!$A$14:$C$17,3,0))</f>
        <v/>
      </c>
      <c r="P3665" s="27"/>
      <c r="Q3665" s="29" t="str">
        <f aca="false">IF(OR(P3665="",M3665&lt;&gt;"Paid",O3665=""),"",P3665/O3665)</f>
        <v/>
      </c>
      <c r="R3665" s="30" t="str">
        <f aca="false">IF(Q3665="","",Q3665+N(H3665)*0.000000001)</f>
        <v/>
      </c>
      <c r="S3665" s="25" t="str">
        <f aca="false">IF(R3665="","",SUMPRODUCT((I$5:I$4004=I3665)*ISNUMBER(R$5:R$4004)*(R$5:R$4004&gt;R3665))+1)</f>
        <v/>
      </c>
      <c r="T3665" s="25" t="str">
        <f aca="false">IF(S3665="","",IF(S3665&lt;=Setup!$B$5,"🏆 WINNER",""))</f>
        <v/>
      </c>
      <c r="U3665" s="24" t="str">
        <f aca="false">IF(S3665="","",I3665&amp;"|"&amp;S3665)</f>
        <v/>
      </c>
    </row>
    <row r="3666" customFormat="false" ht="15" hidden="false" customHeight="false" outlineLevel="0" collapsed="false">
      <c r="A3666" s="31" t="n">
        <v>3662</v>
      </c>
      <c r="B3666" s="32" t="str">
        <f aca="false">IF(OR(C3666="",I3666="",G3666=""),"",IFERROR(VLOOKUP(I3666,Setup!$A$9:$B$11,2,0),"???")&amp;"-"&amp;G3666&amp;"-"&amp;TEXT(COUNTIFS(I$5:I3666,I3666,G$5:G3666,G3666),"0000"))</f>
        <v/>
      </c>
      <c r="C3666" s="26"/>
      <c r="D3666" s="26"/>
      <c r="E3666" s="27"/>
      <c r="F3666" s="27"/>
      <c r="G3666" s="31" t="str">
        <f aca="false">IF(F3666="","",IF(F3666&lt;=5,"A",IF(F3666&lt;=8,"B",IF(F3666&lt;=10,"C","D"))))</f>
        <v/>
      </c>
      <c r="H3666" s="28"/>
      <c r="I3666" s="27"/>
      <c r="J3666" s="26"/>
      <c r="K3666" s="27"/>
      <c r="L3666" s="27"/>
      <c r="M3666" s="27"/>
      <c r="N3666" s="27"/>
      <c r="O3666" s="31" t="str">
        <f aca="false">IF(G3666="","",VLOOKUP(G3666,Setup!$A$14:$C$17,3,0))</f>
        <v/>
      </c>
      <c r="P3666" s="27"/>
      <c r="Q3666" s="33" t="str">
        <f aca="false">IF(OR(P3666="",M3666&lt;&gt;"Paid",O3666=""),"",P3666/O3666)</f>
        <v/>
      </c>
      <c r="R3666" s="34" t="str">
        <f aca="false">IF(Q3666="","",Q3666+N(H3666)*0.000000001)</f>
        <v/>
      </c>
      <c r="S3666" s="32" t="str">
        <f aca="false">IF(R3666="","",SUMPRODUCT((I$5:I$4004=I3666)*ISNUMBER(R$5:R$4004)*(R$5:R$4004&gt;R3666))+1)</f>
        <v/>
      </c>
      <c r="T3666" s="32" t="str">
        <f aca="false">IF(S3666="","",IF(S3666&lt;=Setup!$B$5,"🏆 WINNER",""))</f>
        <v/>
      </c>
      <c r="U3666" s="31" t="str">
        <f aca="false">IF(S3666="","",I3666&amp;"|"&amp;S3666)</f>
        <v/>
      </c>
    </row>
    <row r="3667" customFormat="false" ht="15" hidden="false" customHeight="false" outlineLevel="0" collapsed="false">
      <c r="A3667" s="24" t="n">
        <v>3663</v>
      </c>
      <c r="B3667" s="25" t="str">
        <f aca="false">IF(OR(C3667="",I3667="",G3667=""),"",IFERROR(VLOOKUP(I3667,Setup!$A$9:$B$11,2,0),"???")&amp;"-"&amp;G3667&amp;"-"&amp;TEXT(COUNTIFS(I$5:I3667,I3667,G$5:G3667,G3667),"0000"))</f>
        <v/>
      </c>
      <c r="C3667" s="26"/>
      <c r="D3667" s="26"/>
      <c r="E3667" s="27"/>
      <c r="F3667" s="27"/>
      <c r="G3667" s="24" t="str">
        <f aca="false">IF(F3667="","",IF(F3667&lt;=5,"A",IF(F3667&lt;=8,"B",IF(F3667&lt;=10,"C","D"))))</f>
        <v/>
      </c>
      <c r="H3667" s="28"/>
      <c r="I3667" s="27"/>
      <c r="J3667" s="26"/>
      <c r="K3667" s="27"/>
      <c r="L3667" s="27"/>
      <c r="M3667" s="27"/>
      <c r="N3667" s="27"/>
      <c r="O3667" s="24" t="str">
        <f aca="false">IF(G3667="","",VLOOKUP(G3667,Setup!$A$14:$C$17,3,0))</f>
        <v/>
      </c>
      <c r="P3667" s="27"/>
      <c r="Q3667" s="29" t="str">
        <f aca="false">IF(OR(P3667="",M3667&lt;&gt;"Paid",O3667=""),"",P3667/O3667)</f>
        <v/>
      </c>
      <c r="R3667" s="30" t="str">
        <f aca="false">IF(Q3667="","",Q3667+N(H3667)*0.000000001)</f>
        <v/>
      </c>
      <c r="S3667" s="25" t="str">
        <f aca="false">IF(R3667="","",SUMPRODUCT((I$5:I$4004=I3667)*ISNUMBER(R$5:R$4004)*(R$5:R$4004&gt;R3667))+1)</f>
        <v/>
      </c>
      <c r="T3667" s="25" t="str">
        <f aca="false">IF(S3667="","",IF(S3667&lt;=Setup!$B$5,"🏆 WINNER",""))</f>
        <v/>
      </c>
      <c r="U3667" s="24" t="str">
        <f aca="false">IF(S3667="","",I3667&amp;"|"&amp;S3667)</f>
        <v/>
      </c>
    </row>
    <row r="3668" customFormat="false" ht="15" hidden="false" customHeight="false" outlineLevel="0" collapsed="false">
      <c r="A3668" s="31" t="n">
        <v>3664</v>
      </c>
      <c r="B3668" s="32" t="str">
        <f aca="false">IF(OR(C3668="",I3668="",G3668=""),"",IFERROR(VLOOKUP(I3668,Setup!$A$9:$B$11,2,0),"???")&amp;"-"&amp;G3668&amp;"-"&amp;TEXT(COUNTIFS(I$5:I3668,I3668,G$5:G3668,G3668),"0000"))</f>
        <v/>
      </c>
      <c r="C3668" s="26"/>
      <c r="D3668" s="26"/>
      <c r="E3668" s="27"/>
      <c r="F3668" s="27"/>
      <c r="G3668" s="31" t="str">
        <f aca="false">IF(F3668="","",IF(F3668&lt;=5,"A",IF(F3668&lt;=8,"B",IF(F3668&lt;=10,"C","D"))))</f>
        <v/>
      </c>
      <c r="H3668" s="28"/>
      <c r="I3668" s="27"/>
      <c r="J3668" s="26"/>
      <c r="K3668" s="27"/>
      <c r="L3668" s="27"/>
      <c r="M3668" s="27"/>
      <c r="N3668" s="27"/>
      <c r="O3668" s="31" t="str">
        <f aca="false">IF(G3668="","",VLOOKUP(G3668,Setup!$A$14:$C$17,3,0))</f>
        <v/>
      </c>
      <c r="P3668" s="27"/>
      <c r="Q3668" s="33" t="str">
        <f aca="false">IF(OR(P3668="",M3668&lt;&gt;"Paid",O3668=""),"",P3668/O3668)</f>
        <v/>
      </c>
      <c r="R3668" s="34" t="str">
        <f aca="false">IF(Q3668="","",Q3668+N(H3668)*0.000000001)</f>
        <v/>
      </c>
      <c r="S3668" s="32" t="str">
        <f aca="false">IF(R3668="","",SUMPRODUCT((I$5:I$4004=I3668)*ISNUMBER(R$5:R$4004)*(R$5:R$4004&gt;R3668))+1)</f>
        <v/>
      </c>
      <c r="T3668" s="32" t="str">
        <f aca="false">IF(S3668="","",IF(S3668&lt;=Setup!$B$5,"🏆 WINNER",""))</f>
        <v/>
      </c>
      <c r="U3668" s="31" t="str">
        <f aca="false">IF(S3668="","",I3668&amp;"|"&amp;S3668)</f>
        <v/>
      </c>
    </row>
    <row r="3669" customFormat="false" ht="15" hidden="false" customHeight="false" outlineLevel="0" collapsed="false">
      <c r="A3669" s="24" t="n">
        <v>3665</v>
      </c>
      <c r="B3669" s="25" t="str">
        <f aca="false">IF(OR(C3669="",I3669="",G3669=""),"",IFERROR(VLOOKUP(I3669,Setup!$A$9:$B$11,2,0),"???")&amp;"-"&amp;G3669&amp;"-"&amp;TEXT(COUNTIFS(I$5:I3669,I3669,G$5:G3669,G3669),"0000"))</f>
        <v/>
      </c>
      <c r="C3669" s="26"/>
      <c r="D3669" s="26"/>
      <c r="E3669" s="27"/>
      <c r="F3669" s="27"/>
      <c r="G3669" s="24" t="str">
        <f aca="false">IF(F3669="","",IF(F3669&lt;=5,"A",IF(F3669&lt;=8,"B",IF(F3669&lt;=10,"C","D"))))</f>
        <v/>
      </c>
      <c r="H3669" s="28"/>
      <c r="I3669" s="27"/>
      <c r="J3669" s="26"/>
      <c r="K3669" s="27"/>
      <c r="L3669" s="27"/>
      <c r="M3669" s="27"/>
      <c r="N3669" s="27"/>
      <c r="O3669" s="24" t="str">
        <f aca="false">IF(G3669="","",VLOOKUP(G3669,Setup!$A$14:$C$17,3,0))</f>
        <v/>
      </c>
      <c r="P3669" s="27"/>
      <c r="Q3669" s="29" t="str">
        <f aca="false">IF(OR(P3669="",M3669&lt;&gt;"Paid",O3669=""),"",P3669/O3669)</f>
        <v/>
      </c>
      <c r="R3669" s="30" t="str">
        <f aca="false">IF(Q3669="","",Q3669+N(H3669)*0.000000001)</f>
        <v/>
      </c>
      <c r="S3669" s="25" t="str">
        <f aca="false">IF(R3669="","",SUMPRODUCT((I$5:I$4004=I3669)*ISNUMBER(R$5:R$4004)*(R$5:R$4004&gt;R3669))+1)</f>
        <v/>
      </c>
      <c r="T3669" s="25" t="str">
        <f aca="false">IF(S3669="","",IF(S3669&lt;=Setup!$B$5,"🏆 WINNER",""))</f>
        <v/>
      </c>
      <c r="U3669" s="24" t="str">
        <f aca="false">IF(S3669="","",I3669&amp;"|"&amp;S3669)</f>
        <v/>
      </c>
    </row>
    <row r="3670" customFormat="false" ht="15" hidden="false" customHeight="false" outlineLevel="0" collapsed="false">
      <c r="A3670" s="31" t="n">
        <v>3666</v>
      </c>
      <c r="B3670" s="32" t="str">
        <f aca="false">IF(OR(C3670="",I3670="",G3670=""),"",IFERROR(VLOOKUP(I3670,Setup!$A$9:$B$11,2,0),"???")&amp;"-"&amp;G3670&amp;"-"&amp;TEXT(COUNTIFS(I$5:I3670,I3670,G$5:G3670,G3670),"0000"))</f>
        <v/>
      </c>
      <c r="C3670" s="26"/>
      <c r="D3670" s="26"/>
      <c r="E3670" s="27"/>
      <c r="F3670" s="27"/>
      <c r="G3670" s="31" t="str">
        <f aca="false">IF(F3670="","",IF(F3670&lt;=5,"A",IF(F3670&lt;=8,"B",IF(F3670&lt;=10,"C","D"))))</f>
        <v/>
      </c>
      <c r="H3670" s="28"/>
      <c r="I3670" s="27"/>
      <c r="J3670" s="26"/>
      <c r="K3670" s="27"/>
      <c r="L3670" s="27"/>
      <c r="M3670" s="27"/>
      <c r="N3670" s="27"/>
      <c r="O3670" s="31" t="str">
        <f aca="false">IF(G3670="","",VLOOKUP(G3670,Setup!$A$14:$C$17,3,0))</f>
        <v/>
      </c>
      <c r="P3670" s="27"/>
      <c r="Q3670" s="33" t="str">
        <f aca="false">IF(OR(P3670="",M3670&lt;&gt;"Paid",O3670=""),"",P3670/O3670)</f>
        <v/>
      </c>
      <c r="R3670" s="34" t="str">
        <f aca="false">IF(Q3670="","",Q3670+N(H3670)*0.000000001)</f>
        <v/>
      </c>
      <c r="S3670" s="32" t="str">
        <f aca="false">IF(R3670="","",SUMPRODUCT((I$5:I$4004=I3670)*ISNUMBER(R$5:R$4004)*(R$5:R$4004&gt;R3670))+1)</f>
        <v/>
      </c>
      <c r="T3670" s="32" t="str">
        <f aca="false">IF(S3670="","",IF(S3670&lt;=Setup!$B$5,"🏆 WINNER",""))</f>
        <v/>
      </c>
      <c r="U3670" s="31" t="str">
        <f aca="false">IF(S3670="","",I3670&amp;"|"&amp;S3670)</f>
        <v/>
      </c>
    </row>
    <row r="3671" customFormat="false" ht="15" hidden="false" customHeight="false" outlineLevel="0" collapsed="false">
      <c r="A3671" s="24" t="n">
        <v>3667</v>
      </c>
      <c r="B3671" s="25" t="str">
        <f aca="false">IF(OR(C3671="",I3671="",G3671=""),"",IFERROR(VLOOKUP(I3671,Setup!$A$9:$B$11,2,0),"???")&amp;"-"&amp;G3671&amp;"-"&amp;TEXT(COUNTIFS(I$5:I3671,I3671,G$5:G3671,G3671),"0000"))</f>
        <v/>
      </c>
      <c r="C3671" s="26"/>
      <c r="D3671" s="26"/>
      <c r="E3671" s="27"/>
      <c r="F3671" s="27"/>
      <c r="G3671" s="24" t="str">
        <f aca="false">IF(F3671="","",IF(F3671&lt;=5,"A",IF(F3671&lt;=8,"B",IF(F3671&lt;=10,"C","D"))))</f>
        <v/>
      </c>
      <c r="H3671" s="28"/>
      <c r="I3671" s="27"/>
      <c r="J3671" s="26"/>
      <c r="K3671" s="27"/>
      <c r="L3671" s="27"/>
      <c r="M3671" s="27"/>
      <c r="N3671" s="27"/>
      <c r="O3671" s="24" t="str">
        <f aca="false">IF(G3671="","",VLOOKUP(G3671,Setup!$A$14:$C$17,3,0))</f>
        <v/>
      </c>
      <c r="P3671" s="27"/>
      <c r="Q3671" s="29" t="str">
        <f aca="false">IF(OR(P3671="",M3671&lt;&gt;"Paid",O3671=""),"",P3671/O3671)</f>
        <v/>
      </c>
      <c r="R3671" s="30" t="str">
        <f aca="false">IF(Q3671="","",Q3671+N(H3671)*0.000000001)</f>
        <v/>
      </c>
      <c r="S3671" s="25" t="str">
        <f aca="false">IF(R3671="","",SUMPRODUCT((I$5:I$4004=I3671)*ISNUMBER(R$5:R$4004)*(R$5:R$4004&gt;R3671))+1)</f>
        <v/>
      </c>
      <c r="T3671" s="25" t="str">
        <f aca="false">IF(S3671="","",IF(S3671&lt;=Setup!$B$5,"🏆 WINNER",""))</f>
        <v/>
      </c>
      <c r="U3671" s="24" t="str">
        <f aca="false">IF(S3671="","",I3671&amp;"|"&amp;S3671)</f>
        <v/>
      </c>
    </row>
    <row r="3672" customFormat="false" ht="15" hidden="false" customHeight="false" outlineLevel="0" collapsed="false">
      <c r="A3672" s="31" t="n">
        <v>3668</v>
      </c>
      <c r="B3672" s="32" t="str">
        <f aca="false">IF(OR(C3672="",I3672="",G3672=""),"",IFERROR(VLOOKUP(I3672,Setup!$A$9:$B$11,2,0),"???")&amp;"-"&amp;G3672&amp;"-"&amp;TEXT(COUNTIFS(I$5:I3672,I3672,G$5:G3672,G3672),"0000"))</f>
        <v/>
      </c>
      <c r="C3672" s="26"/>
      <c r="D3672" s="26"/>
      <c r="E3672" s="27"/>
      <c r="F3672" s="27"/>
      <c r="G3672" s="31" t="str">
        <f aca="false">IF(F3672="","",IF(F3672&lt;=5,"A",IF(F3672&lt;=8,"B",IF(F3672&lt;=10,"C","D"))))</f>
        <v/>
      </c>
      <c r="H3672" s="28"/>
      <c r="I3672" s="27"/>
      <c r="J3672" s="26"/>
      <c r="K3672" s="27"/>
      <c r="L3672" s="27"/>
      <c r="M3672" s="27"/>
      <c r="N3672" s="27"/>
      <c r="O3672" s="31" t="str">
        <f aca="false">IF(G3672="","",VLOOKUP(G3672,Setup!$A$14:$C$17,3,0))</f>
        <v/>
      </c>
      <c r="P3672" s="27"/>
      <c r="Q3672" s="33" t="str">
        <f aca="false">IF(OR(P3672="",M3672&lt;&gt;"Paid",O3672=""),"",P3672/O3672)</f>
        <v/>
      </c>
      <c r="R3672" s="34" t="str">
        <f aca="false">IF(Q3672="","",Q3672+N(H3672)*0.000000001)</f>
        <v/>
      </c>
      <c r="S3672" s="32" t="str">
        <f aca="false">IF(R3672="","",SUMPRODUCT((I$5:I$4004=I3672)*ISNUMBER(R$5:R$4004)*(R$5:R$4004&gt;R3672))+1)</f>
        <v/>
      </c>
      <c r="T3672" s="32" t="str">
        <f aca="false">IF(S3672="","",IF(S3672&lt;=Setup!$B$5,"🏆 WINNER",""))</f>
        <v/>
      </c>
      <c r="U3672" s="31" t="str">
        <f aca="false">IF(S3672="","",I3672&amp;"|"&amp;S3672)</f>
        <v/>
      </c>
    </row>
    <row r="3673" customFormat="false" ht="15" hidden="false" customHeight="false" outlineLevel="0" collapsed="false">
      <c r="A3673" s="24" t="n">
        <v>3669</v>
      </c>
      <c r="B3673" s="25" t="str">
        <f aca="false">IF(OR(C3673="",I3673="",G3673=""),"",IFERROR(VLOOKUP(I3673,Setup!$A$9:$B$11,2,0),"???")&amp;"-"&amp;G3673&amp;"-"&amp;TEXT(COUNTIFS(I$5:I3673,I3673,G$5:G3673,G3673),"0000"))</f>
        <v/>
      </c>
      <c r="C3673" s="26"/>
      <c r="D3673" s="26"/>
      <c r="E3673" s="27"/>
      <c r="F3673" s="27"/>
      <c r="G3673" s="24" t="str">
        <f aca="false">IF(F3673="","",IF(F3673&lt;=5,"A",IF(F3673&lt;=8,"B",IF(F3673&lt;=10,"C","D"))))</f>
        <v/>
      </c>
      <c r="H3673" s="28"/>
      <c r="I3673" s="27"/>
      <c r="J3673" s="26"/>
      <c r="K3673" s="27"/>
      <c r="L3673" s="27"/>
      <c r="M3673" s="27"/>
      <c r="N3673" s="27"/>
      <c r="O3673" s="24" t="str">
        <f aca="false">IF(G3673="","",VLOOKUP(G3673,Setup!$A$14:$C$17,3,0))</f>
        <v/>
      </c>
      <c r="P3673" s="27"/>
      <c r="Q3673" s="29" t="str">
        <f aca="false">IF(OR(P3673="",M3673&lt;&gt;"Paid",O3673=""),"",P3673/O3673)</f>
        <v/>
      </c>
      <c r="R3673" s="30" t="str">
        <f aca="false">IF(Q3673="","",Q3673+N(H3673)*0.000000001)</f>
        <v/>
      </c>
      <c r="S3673" s="25" t="str">
        <f aca="false">IF(R3673="","",SUMPRODUCT((I$5:I$4004=I3673)*ISNUMBER(R$5:R$4004)*(R$5:R$4004&gt;R3673))+1)</f>
        <v/>
      </c>
      <c r="T3673" s="25" t="str">
        <f aca="false">IF(S3673="","",IF(S3673&lt;=Setup!$B$5,"🏆 WINNER",""))</f>
        <v/>
      </c>
      <c r="U3673" s="24" t="str">
        <f aca="false">IF(S3673="","",I3673&amp;"|"&amp;S3673)</f>
        <v/>
      </c>
    </row>
    <row r="3674" customFormat="false" ht="15" hidden="false" customHeight="false" outlineLevel="0" collapsed="false">
      <c r="A3674" s="31" t="n">
        <v>3670</v>
      </c>
      <c r="B3674" s="32" t="str">
        <f aca="false">IF(OR(C3674="",I3674="",G3674=""),"",IFERROR(VLOOKUP(I3674,Setup!$A$9:$B$11,2,0),"???")&amp;"-"&amp;G3674&amp;"-"&amp;TEXT(COUNTIFS(I$5:I3674,I3674,G$5:G3674,G3674),"0000"))</f>
        <v/>
      </c>
      <c r="C3674" s="26"/>
      <c r="D3674" s="26"/>
      <c r="E3674" s="27"/>
      <c r="F3674" s="27"/>
      <c r="G3674" s="31" t="str">
        <f aca="false">IF(F3674="","",IF(F3674&lt;=5,"A",IF(F3674&lt;=8,"B",IF(F3674&lt;=10,"C","D"))))</f>
        <v/>
      </c>
      <c r="H3674" s="28"/>
      <c r="I3674" s="27"/>
      <c r="J3674" s="26"/>
      <c r="K3674" s="27"/>
      <c r="L3674" s="27"/>
      <c r="M3674" s="27"/>
      <c r="N3674" s="27"/>
      <c r="O3674" s="31" t="str">
        <f aca="false">IF(G3674="","",VLOOKUP(G3674,Setup!$A$14:$C$17,3,0))</f>
        <v/>
      </c>
      <c r="P3674" s="27"/>
      <c r="Q3674" s="33" t="str">
        <f aca="false">IF(OR(P3674="",M3674&lt;&gt;"Paid",O3674=""),"",P3674/O3674)</f>
        <v/>
      </c>
      <c r="R3674" s="34" t="str">
        <f aca="false">IF(Q3674="","",Q3674+N(H3674)*0.000000001)</f>
        <v/>
      </c>
      <c r="S3674" s="32" t="str">
        <f aca="false">IF(R3674="","",SUMPRODUCT((I$5:I$4004=I3674)*ISNUMBER(R$5:R$4004)*(R$5:R$4004&gt;R3674))+1)</f>
        <v/>
      </c>
      <c r="T3674" s="32" t="str">
        <f aca="false">IF(S3674="","",IF(S3674&lt;=Setup!$B$5,"🏆 WINNER",""))</f>
        <v/>
      </c>
      <c r="U3674" s="31" t="str">
        <f aca="false">IF(S3674="","",I3674&amp;"|"&amp;S3674)</f>
        <v/>
      </c>
    </row>
    <row r="3675" customFormat="false" ht="15" hidden="false" customHeight="false" outlineLevel="0" collapsed="false">
      <c r="A3675" s="24" t="n">
        <v>3671</v>
      </c>
      <c r="B3675" s="25" t="str">
        <f aca="false">IF(OR(C3675="",I3675="",G3675=""),"",IFERROR(VLOOKUP(I3675,Setup!$A$9:$B$11,2,0),"???")&amp;"-"&amp;G3675&amp;"-"&amp;TEXT(COUNTIFS(I$5:I3675,I3675,G$5:G3675,G3675),"0000"))</f>
        <v/>
      </c>
      <c r="C3675" s="26"/>
      <c r="D3675" s="26"/>
      <c r="E3675" s="27"/>
      <c r="F3675" s="27"/>
      <c r="G3675" s="24" t="str">
        <f aca="false">IF(F3675="","",IF(F3675&lt;=5,"A",IF(F3675&lt;=8,"B",IF(F3675&lt;=10,"C","D"))))</f>
        <v/>
      </c>
      <c r="H3675" s="28"/>
      <c r="I3675" s="27"/>
      <c r="J3675" s="26"/>
      <c r="K3675" s="27"/>
      <c r="L3675" s="27"/>
      <c r="M3675" s="27"/>
      <c r="N3675" s="27"/>
      <c r="O3675" s="24" t="str">
        <f aca="false">IF(G3675="","",VLOOKUP(G3675,Setup!$A$14:$C$17,3,0))</f>
        <v/>
      </c>
      <c r="P3675" s="27"/>
      <c r="Q3675" s="29" t="str">
        <f aca="false">IF(OR(P3675="",M3675&lt;&gt;"Paid",O3675=""),"",P3675/O3675)</f>
        <v/>
      </c>
      <c r="R3675" s="30" t="str">
        <f aca="false">IF(Q3675="","",Q3675+N(H3675)*0.000000001)</f>
        <v/>
      </c>
      <c r="S3675" s="25" t="str">
        <f aca="false">IF(R3675="","",SUMPRODUCT((I$5:I$4004=I3675)*ISNUMBER(R$5:R$4004)*(R$5:R$4004&gt;R3675))+1)</f>
        <v/>
      </c>
      <c r="T3675" s="25" t="str">
        <f aca="false">IF(S3675="","",IF(S3675&lt;=Setup!$B$5,"🏆 WINNER",""))</f>
        <v/>
      </c>
      <c r="U3675" s="24" t="str">
        <f aca="false">IF(S3675="","",I3675&amp;"|"&amp;S3675)</f>
        <v/>
      </c>
    </row>
    <row r="3676" customFormat="false" ht="15" hidden="false" customHeight="false" outlineLevel="0" collapsed="false">
      <c r="A3676" s="31" t="n">
        <v>3672</v>
      </c>
      <c r="B3676" s="32" t="str">
        <f aca="false">IF(OR(C3676="",I3676="",G3676=""),"",IFERROR(VLOOKUP(I3676,Setup!$A$9:$B$11,2,0),"???")&amp;"-"&amp;G3676&amp;"-"&amp;TEXT(COUNTIFS(I$5:I3676,I3676,G$5:G3676,G3676),"0000"))</f>
        <v/>
      </c>
      <c r="C3676" s="26"/>
      <c r="D3676" s="26"/>
      <c r="E3676" s="27"/>
      <c r="F3676" s="27"/>
      <c r="G3676" s="31" t="str">
        <f aca="false">IF(F3676="","",IF(F3676&lt;=5,"A",IF(F3676&lt;=8,"B",IF(F3676&lt;=10,"C","D"))))</f>
        <v/>
      </c>
      <c r="H3676" s="28"/>
      <c r="I3676" s="27"/>
      <c r="J3676" s="26"/>
      <c r="K3676" s="27"/>
      <c r="L3676" s="27"/>
      <c r="M3676" s="27"/>
      <c r="N3676" s="27"/>
      <c r="O3676" s="31" t="str">
        <f aca="false">IF(G3676="","",VLOOKUP(G3676,Setup!$A$14:$C$17,3,0))</f>
        <v/>
      </c>
      <c r="P3676" s="27"/>
      <c r="Q3676" s="33" t="str">
        <f aca="false">IF(OR(P3676="",M3676&lt;&gt;"Paid",O3676=""),"",P3676/O3676)</f>
        <v/>
      </c>
      <c r="R3676" s="34" t="str">
        <f aca="false">IF(Q3676="","",Q3676+N(H3676)*0.000000001)</f>
        <v/>
      </c>
      <c r="S3676" s="32" t="str">
        <f aca="false">IF(R3676="","",SUMPRODUCT((I$5:I$4004=I3676)*ISNUMBER(R$5:R$4004)*(R$5:R$4004&gt;R3676))+1)</f>
        <v/>
      </c>
      <c r="T3676" s="32" t="str">
        <f aca="false">IF(S3676="","",IF(S3676&lt;=Setup!$B$5,"🏆 WINNER",""))</f>
        <v/>
      </c>
      <c r="U3676" s="31" t="str">
        <f aca="false">IF(S3676="","",I3676&amp;"|"&amp;S3676)</f>
        <v/>
      </c>
    </row>
    <row r="3677" customFormat="false" ht="15" hidden="false" customHeight="false" outlineLevel="0" collapsed="false">
      <c r="A3677" s="24" t="n">
        <v>3673</v>
      </c>
      <c r="B3677" s="25" t="str">
        <f aca="false">IF(OR(C3677="",I3677="",G3677=""),"",IFERROR(VLOOKUP(I3677,Setup!$A$9:$B$11,2,0),"???")&amp;"-"&amp;G3677&amp;"-"&amp;TEXT(COUNTIFS(I$5:I3677,I3677,G$5:G3677,G3677),"0000"))</f>
        <v/>
      </c>
      <c r="C3677" s="26"/>
      <c r="D3677" s="26"/>
      <c r="E3677" s="27"/>
      <c r="F3677" s="27"/>
      <c r="G3677" s="24" t="str">
        <f aca="false">IF(F3677="","",IF(F3677&lt;=5,"A",IF(F3677&lt;=8,"B",IF(F3677&lt;=10,"C","D"))))</f>
        <v/>
      </c>
      <c r="H3677" s="28"/>
      <c r="I3677" s="27"/>
      <c r="J3677" s="26"/>
      <c r="K3677" s="27"/>
      <c r="L3677" s="27"/>
      <c r="M3677" s="27"/>
      <c r="N3677" s="27"/>
      <c r="O3677" s="24" t="str">
        <f aca="false">IF(G3677="","",VLOOKUP(G3677,Setup!$A$14:$C$17,3,0))</f>
        <v/>
      </c>
      <c r="P3677" s="27"/>
      <c r="Q3677" s="29" t="str">
        <f aca="false">IF(OR(P3677="",M3677&lt;&gt;"Paid",O3677=""),"",P3677/O3677)</f>
        <v/>
      </c>
      <c r="R3677" s="30" t="str">
        <f aca="false">IF(Q3677="","",Q3677+N(H3677)*0.000000001)</f>
        <v/>
      </c>
      <c r="S3677" s="25" t="str">
        <f aca="false">IF(R3677="","",SUMPRODUCT((I$5:I$4004=I3677)*ISNUMBER(R$5:R$4004)*(R$5:R$4004&gt;R3677))+1)</f>
        <v/>
      </c>
      <c r="T3677" s="25" t="str">
        <f aca="false">IF(S3677="","",IF(S3677&lt;=Setup!$B$5,"🏆 WINNER",""))</f>
        <v/>
      </c>
      <c r="U3677" s="24" t="str">
        <f aca="false">IF(S3677="","",I3677&amp;"|"&amp;S3677)</f>
        <v/>
      </c>
    </row>
    <row r="3678" customFormat="false" ht="15" hidden="false" customHeight="false" outlineLevel="0" collapsed="false">
      <c r="A3678" s="31" t="n">
        <v>3674</v>
      </c>
      <c r="B3678" s="32" t="str">
        <f aca="false">IF(OR(C3678="",I3678="",G3678=""),"",IFERROR(VLOOKUP(I3678,Setup!$A$9:$B$11,2,0),"???")&amp;"-"&amp;G3678&amp;"-"&amp;TEXT(COUNTIFS(I$5:I3678,I3678,G$5:G3678,G3678),"0000"))</f>
        <v/>
      </c>
      <c r="C3678" s="26"/>
      <c r="D3678" s="26"/>
      <c r="E3678" s="27"/>
      <c r="F3678" s="27"/>
      <c r="G3678" s="31" t="str">
        <f aca="false">IF(F3678="","",IF(F3678&lt;=5,"A",IF(F3678&lt;=8,"B",IF(F3678&lt;=10,"C","D"))))</f>
        <v/>
      </c>
      <c r="H3678" s="28"/>
      <c r="I3678" s="27"/>
      <c r="J3678" s="26"/>
      <c r="K3678" s="27"/>
      <c r="L3678" s="27"/>
      <c r="M3678" s="27"/>
      <c r="N3678" s="27"/>
      <c r="O3678" s="31" t="str">
        <f aca="false">IF(G3678="","",VLOOKUP(G3678,Setup!$A$14:$C$17,3,0))</f>
        <v/>
      </c>
      <c r="P3678" s="27"/>
      <c r="Q3678" s="33" t="str">
        <f aca="false">IF(OR(P3678="",M3678&lt;&gt;"Paid",O3678=""),"",P3678/O3678)</f>
        <v/>
      </c>
      <c r="R3678" s="34" t="str">
        <f aca="false">IF(Q3678="","",Q3678+N(H3678)*0.000000001)</f>
        <v/>
      </c>
      <c r="S3678" s="32" t="str">
        <f aca="false">IF(R3678="","",SUMPRODUCT((I$5:I$4004=I3678)*ISNUMBER(R$5:R$4004)*(R$5:R$4004&gt;R3678))+1)</f>
        <v/>
      </c>
      <c r="T3678" s="32" t="str">
        <f aca="false">IF(S3678="","",IF(S3678&lt;=Setup!$B$5,"🏆 WINNER",""))</f>
        <v/>
      </c>
      <c r="U3678" s="31" t="str">
        <f aca="false">IF(S3678="","",I3678&amp;"|"&amp;S3678)</f>
        <v/>
      </c>
    </row>
    <row r="3679" customFormat="false" ht="15" hidden="false" customHeight="false" outlineLevel="0" collapsed="false">
      <c r="A3679" s="24" t="n">
        <v>3675</v>
      </c>
      <c r="B3679" s="25" t="str">
        <f aca="false">IF(OR(C3679="",I3679="",G3679=""),"",IFERROR(VLOOKUP(I3679,Setup!$A$9:$B$11,2,0),"???")&amp;"-"&amp;G3679&amp;"-"&amp;TEXT(COUNTIFS(I$5:I3679,I3679,G$5:G3679,G3679),"0000"))</f>
        <v/>
      </c>
      <c r="C3679" s="26"/>
      <c r="D3679" s="26"/>
      <c r="E3679" s="27"/>
      <c r="F3679" s="27"/>
      <c r="G3679" s="24" t="str">
        <f aca="false">IF(F3679="","",IF(F3679&lt;=5,"A",IF(F3679&lt;=8,"B",IF(F3679&lt;=10,"C","D"))))</f>
        <v/>
      </c>
      <c r="H3679" s="28"/>
      <c r="I3679" s="27"/>
      <c r="J3679" s="26"/>
      <c r="K3679" s="27"/>
      <c r="L3679" s="27"/>
      <c r="M3679" s="27"/>
      <c r="N3679" s="27"/>
      <c r="O3679" s="24" t="str">
        <f aca="false">IF(G3679="","",VLOOKUP(G3679,Setup!$A$14:$C$17,3,0))</f>
        <v/>
      </c>
      <c r="P3679" s="27"/>
      <c r="Q3679" s="29" t="str">
        <f aca="false">IF(OR(P3679="",M3679&lt;&gt;"Paid",O3679=""),"",P3679/O3679)</f>
        <v/>
      </c>
      <c r="R3679" s="30" t="str">
        <f aca="false">IF(Q3679="","",Q3679+N(H3679)*0.000000001)</f>
        <v/>
      </c>
      <c r="S3679" s="25" t="str">
        <f aca="false">IF(R3679="","",SUMPRODUCT((I$5:I$4004=I3679)*ISNUMBER(R$5:R$4004)*(R$5:R$4004&gt;R3679))+1)</f>
        <v/>
      </c>
      <c r="T3679" s="25" t="str">
        <f aca="false">IF(S3679="","",IF(S3679&lt;=Setup!$B$5,"🏆 WINNER",""))</f>
        <v/>
      </c>
      <c r="U3679" s="24" t="str">
        <f aca="false">IF(S3679="","",I3679&amp;"|"&amp;S3679)</f>
        <v/>
      </c>
    </row>
    <row r="3680" customFormat="false" ht="15" hidden="false" customHeight="false" outlineLevel="0" collapsed="false">
      <c r="A3680" s="31" t="n">
        <v>3676</v>
      </c>
      <c r="B3680" s="32" t="str">
        <f aca="false">IF(OR(C3680="",I3680="",G3680=""),"",IFERROR(VLOOKUP(I3680,Setup!$A$9:$B$11,2,0),"???")&amp;"-"&amp;G3680&amp;"-"&amp;TEXT(COUNTIFS(I$5:I3680,I3680,G$5:G3680,G3680),"0000"))</f>
        <v/>
      </c>
      <c r="C3680" s="26"/>
      <c r="D3680" s="26"/>
      <c r="E3680" s="27"/>
      <c r="F3680" s="27"/>
      <c r="G3680" s="31" t="str">
        <f aca="false">IF(F3680="","",IF(F3680&lt;=5,"A",IF(F3680&lt;=8,"B",IF(F3680&lt;=10,"C","D"))))</f>
        <v/>
      </c>
      <c r="H3680" s="28"/>
      <c r="I3680" s="27"/>
      <c r="J3680" s="26"/>
      <c r="K3680" s="27"/>
      <c r="L3680" s="27"/>
      <c r="M3680" s="27"/>
      <c r="N3680" s="27"/>
      <c r="O3680" s="31" t="str">
        <f aca="false">IF(G3680="","",VLOOKUP(G3680,Setup!$A$14:$C$17,3,0))</f>
        <v/>
      </c>
      <c r="P3680" s="27"/>
      <c r="Q3680" s="33" t="str">
        <f aca="false">IF(OR(P3680="",M3680&lt;&gt;"Paid",O3680=""),"",P3680/O3680)</f>
        <v/>
      </c>
      <c r="R3680" s="34" t="str">
        <f aca="false">IF(Q3680="","",Q3680+N(H3680)*0.000000001)</f>
        <v/>
      </c>
      <c r="S3680" s="32" t="str">
        <f aca="false">IF(R3680="","",SUMPRODUCT((I$5:I$4004=I3680)*ISNUMBER(R$5:R$4004)*(R$5:R$4004&gt;R3680))+1)</f>
        <v/>
      </c>
      <c r="T3680" s="32" t="str">
        <f aca="false">IF(S3680="","",IF(S3680&lt;=Setup!$B$5,"🏆 WINNER",""))</f>
        <v/>
      </c>
      <c r="U3680" s="31" t="str">
        <f aca="false">IF(S3680="","",I3680&amp;"|"&amp;S3680)</f>
        <v/>
      </c>
    </row>
    <row r="3681" customFormat="false" ht="15" hidden="false" customHeight="false" outlineLevel="0" collapsed="false">
      <c r="A3681" s="24" t="n">
        <v>3677</v>
      </c>
      <c r="B3681" s="25" t="str">
        <f aca="false">IF(OR(C3681="",I3681="",G3681=""),"",IFERROR(VLOOKUP(I3681,Setup!$A$9:$B$11,2,0),"???")&amp;"-"&amp;G3681&amp;"-"&amp;TEXT(COUNTIFS(I$5:I3681,I3681,G$5:G3681,G3681),"0000"))</f>
        <v/>
      </c>
      <c r="C3681" s="26"/>
      <c r="D3681" s="26"/>
      <c r="E3681" s="27"/>
      <c r="F3681" s="27"/>
      <c r="G3681" s="24" t="str">
        <f aca="false">IF(F3681="","",IF(F3681&lt;=5,"A",IF(F3681&lt;=8,"B",IF(F3681&lt;=10,"C","D"))))</f>
        <v/>
      </c>
      <c r="H3681" s="28"/>
      <c r="I3681" s="27"/>
      <c r="J3681" s="26"/>
      <c r="K3681" s="27"/>
      <c r="L3681" s="27"/>
      <c r="M3681" s="27"/>
      <c r="N3681" s="27"/>
      <c r="O3681" s="24" t="str">
        <f aca="false">IF(G3681="","",VLOOKUP(G3681,Setup!$A$14:$C$17,3,0))</f>
        <v/>
      </c>
      <c r="P3681" s="27"/>
      <c r="Q3681" s="29" t="str">
        <f aca="false">IF(OR(P3681="",M3681&lt;&gt;"Paid",O3681=""),"",P3681/O3681)</f>
        <v/>
      </c>
      <c r="R3681" s="30" t="str">
        <f aca="false">IF(Q3681="","",Q3681+N(H3681)*0.000000001)</f>
        <v/>
      </c>
      <c r="S3681" s="25" t="str">
        <f aca="false">IF(R3681="","",SUMPRODUCT((I$5:I$4004=I3681)*ISNUMBER(R$5:R$4004)*(R$5:R$4004&gt;R3681))+1)</f>
        <v/>
      </c>
      <c r="T3681" s="25" t="str">
        <f aca="false">IF(S3681="","",IF(S3681&lt;=Setup!$B$5,"🏆 WINNER",""))</f>
        <v/>
      </c>
      <c r="U3681" s="24" t="str">
        <f aca="false">IF(S3681="","",I3681&amp;"|"&amp;S3681)</f>
        <v/>
      </c>
    </row>
    <row r="3682" customFormat="false" ht="15" hidden="false" customHeight="false" outlineLevel="0" collapsed="false">
      <c r="A3682" s="31" t="n">
        <v>3678</v>
      </c>
      <c r="B3682" s="32" t="str">
        <f aca="false">IF(OR(C3682="",I3682="",G3682=""),"",IFERROR(VLOOKUP(I3682,Setup!$A$9:$B$11,2,0),"???")&amp;"-"&amp;G3682&amp;"-"&amp;TEXT(COUNTIFS(I$5:I3682,I3682,G$5:G3682,G3682),"0000"))</f>
        <v/>
      </c>
      <c r="C3682" s="26"/>
      <c r="D3682" s="26"/>
      <c r="E3682" s="27"/>
      <c r="F3682" s="27"/>
      <c r="G3682" s="31" t="str">
        <f aca="false">IF(F3682="","",IF(F3682&lt;=5,"A",IF(F3682&lt;=8,"B",IF(F3682&lt;=10,"C","D"))))</f>
        <v/>
      </c>
      <c r="H3682" s="28"/>
      <c r="I3682" s="27"/>
      <c r="J3682" s="26"/>
      <c r="K3682" s="27"/>
      <c r="L3682" s="27"/>
      <c r="M3682" s="27"/>
      <c r="N3682" s="27"/>
      <c r="O3682" s="31" t="str">
        <f aca="false">IF(G3682="","",VLOOKUP(G3682,Setup!$A$14:$C$17,3,0))</f>
        <v/>
      </c>
      <c r="P3682" s="27"/>
      <c r="Q3682" s="33" t="str">
        <f aca="false">IF(OR(P3682="",M3682&lt;&gt;"Paid",O3682=""),"",P3682/O3682)</f>
        <v/>
      </c>
      <c r="R3682" s="34" t="str">
        <f aca="false">IF(Q3682="","",Q3682+N(H3682)*0.000000001)</f>
        <v/>
      </c>
      <c r="S3682" s="32" t="str">
        <f aca="false">IF(R3682="","",SUMPRODUCT((I$5:I$4004=I3682)*ISNUMBER(R$5:R$4004)*(R$5:R$4004&gt;R3682))+1)</f>
        <v/>
      </c>
      <c r="T3682" s="32" t="str">
        <f aca="false">IF(S3682="","",IF(S3682&lt;=Setup!$B$5,"🏆 WINNER",""))</f>
        <v/>
      </c>
      <c r="U3682" s="31" t="str">
        <f aca="false">IF(S3682="","",I3682&amp;"|"&amp;S3682)</f>
        <v/>
      </c>
    </row>
    <row r="3683" customFormat="false" ht="15" hidden="false" customHeight="false" outlineLevel="0" collapsed="false">
      <c r="A3683" s="24" t="n">
        <v>3679</v>
      </c>
      <c r="B3683" s="25" t="str">
        <f aca="false">IF(OR(C3683="",I3683="",G3683=""),"",IFERROR(VLOOKUP(I3683,Setup!$A$9:$B$11,2,0),"???")&amp;"-"&amp;G3683&amp;"-"&amp;TEXT(COUNTIFS(I$5:I3683,I3683,G$5:G3683,G3683),"0000"))</f>
        <v/>
      </c>
      <c r="C3683" s="26"/>
      <c r="D3683" s="26"/>
      <c r="E3683" s="27"/>
      <c r="F3683" s="27"/>
      <c r="G3683" s="24" t="str">
        <f aca="false">IF(F3683="","",IF(F3683&lt;=5,"A",IF(F3683&lt;=8,"B",IF(F3683&lt;=10,"C","D"))))</f>
        <v/>
      </c>
      <c r="H3683" s="28"/>
      <c r="I3683" s="27"/>
      <c r="J3683" s="26"/>
      <c r="K3683" s="27"/>
      <c r="L3683" s="27"/>
      <c r="M3683" s="27"/>
      <c r="N3683" s="27"/>
      <c r="O3683" s="24" t="str">
        <f aca="false">IF(G3683="","",VLOOKUP(G3683,Setup!$A$14:$C$17,3,0))</f>
        <v/>
      </c>
      <c r="P3683" s="27"/>
      <c r="Q3683" s="29" t="str">
        <f aca="false">IF(OR(P3683="",M3683&lt;&gt;"Paid",O3683=""),"",P3683/O3683)</f>
        <v/>
      </c>
      <c r="R3683" s="30" t="str">
        <f aca="false">IF(Q3683="","",Q3683+N(H3683)*0.000000001)</f>
        <v/>
      </c>
      <c r="S3683" s="25" t="str">
        <f aca="false">IF(R3683="","",SUMPRODUCT((I$5:I$4004=I3683)*ISNUMBER(R$5:R$4004)*(R$5:R$4004&gt;R3683))+1)</f>
        <v/>
      </c>
      <c r="T3683" s="25" t="str">
        <f aca="false">IF(S3683="","",IF(S3683&lt;=Setup!$B$5,"🏆 WINNER",""))</f>
        <v/>
      </c>
      <c r="U3683" s="24" t="str">
        <f aca="false">IF(S3683="","",I3683&amp;"|"&amp;S3683)</f>
        <v/>
      </c>
    </row>
    <row r="3684" customFormat="false" ht="15" hidden="false" customHeight="false" outlineLevel="0" collapsed="false">
      <c r="A3684" s="31" t="n">
        <v>3680</v>
      </c>
      <c r="B3684" s="32" t="str">
        <f aca="false">IF(OR(C3684="",I3684="",G3684=""),"",IFERROR(VLOOKUP(I3684,Setup!$A$9:$B$11,2,0),"???")&amp;"-"&amp;G3684&amp;"-"&amp;TEXT(COUNTIFS(I$5:I3684,I3684,G$5:G3684,G3684),"0000"))</f>
        <v/>
      </c>
      <c r="C3684" s="26"/>
      <c r="D3684" s="26"/>
      <c r="E3684" s="27"/>
      <c r="F3684" s="27"/>
      <c r="G3684" s="31" t="str">
        <f aca="false">IF(F3684="","",IF(F3684&lt;=5,"A",IF(F3684&lt;=8,"B",IF(F3684&lt;=10,"C","D"))))</f>
        <v/>
      </c>
      <c r="H3684" s="28"/>
      <c r="I3684" s="27"/>
      <c r="J3684" s="26"/>
      <c r="K3684" s="27"/>
      <c r="L3684" s="27"/>
      <c r="M3684" s="27"/>
      <c r="N3684" s="27"/>
      <c r="O3684" s="31" t="str">
        <f aca="false">IF(G3684="","",VLOOKUP(G3684,Setup!$A$14:$C$17,3,0))</f>
        <v/>
      </c>
      <c r="P3684" s="27"/>
      <c r="Q3684" s="33" t="str">
        <f aca="false">IF(OR(P3684="",M3684&lt;&gt;"Paid",O3684=""),"",P3684/O3684)</f>
        <v/>
      </c>
      <c r="R3684" s="34" t="str">
        <f aca="false">IF(Q3684="","",Q3684+N(H3684)*0.000000001)</f>
        <v/>
      </c>
      <c r="S3684" s="32" t="str">
        <f aca="false">IF(R3684="","",SUMPRODUCT((I$5:I$4004=I3684)*ISNUMBER(R$5:R$4004)*(R$5:R$4004&gt;R3684))+1)</f>
        <v/>
      </c>
      <c r="T3684" s="32" t="str">
        <f aca="false">IF(S3684="","",IF(S3684&lt;=Setup!$B$5,"🏆 WINNER",""))</f>
        <v/>
      </c>
      <c r="U3684" s="31" t="str">
        <f aca="false">IF(S3684="","",I3684&amp;"|"&amp;S3684)</f>
        <v/>
      </c>
    </row>
    <row r="3685" customFormat="false" ht="15" hidden="false" customHeight="false" outlineLevel="0" collapsed="false">
      <c r="A3685" s="24" t="n">
        <v>3681</v>
      </c>
      <c r="B3685" s="25" t="str">
        <f aca="false">IF(OR(C3685="",I3685="",G3685=""),"",IFERROR(VLOOKUP(I3685,Setup!$A$9:$B$11,2,0),"???")&amp;"-"&amp;G3685&amp;"-"&amp;TEXT(COUNTIFS(I$5:I3685,I3685,G$5:G3685,G3685),"0000"))</f>
        <v/>
      </c>
      <c r="C3685" s="26"/>
      <c r="D3685" s="26"/>
      <c r="E3685" s="27"/>
      <c r="F3685" s="27"/>
      <c r="G3685" s="24" t="str">
        <f aca="false">IF(F3685="","",IF(F3685&lt;=5,"A",IF(F3685&lt;=8,"B",IF(F3685&lt;=10,"C","D"))))</f>
        <v/>
      </c>
      <c r="H3685" s="28"/>
      <c r="I3685" s="27"/>
      <c r="J3685" s="26"/>
      <c r="K3685" s="27"/>
      <c r="L3685" s="27"/>
      <c r="M3685" s="27"/>
      <c r="N3685" s="27"/>
      <c r="O3685" s="24" t="str">
        <f aca="false">IF(G3685="","",VLOOKUP(G3685,Setup!$A$14:$C$17,3,0))</f>
        <v/>
      </c>
      <c r="P3685" s="27"/>
      <c r="Q3685" s="29" t="str">
        <f aca="false">IF(OR(P3685="",M3685&lt;&gt;"Paid",O3685=""),"",P3685/O3685)</f>
        <v/>
      </c>
      <c r="R3685" s="30" t="str">
        <f aca="false">IF(Q3685="","",Q3685+N(H3685)*0.000000001)</f>
        <v/>
      </c>
      <c r="S3685" s="25" t="str">
        <f aca="false">IF(R3685="","",SUMPRODUCT((I$5:I$4004=I3685)*ISNUMBER(R$5:R$4004)*(R$5:R$4004&gt;R3685))+1)</f>
        <v/>
      </c>
      <c r="T3685" s="25" t="str">
        <f aca="false">IF(S3685="","",IF(S3685&lt;=Setup!$B$5,"🏆 WINNER",""))</f>
        <v/>
      </c>
      <c r="U3685" s="24" t="str">
        <f aca="false">IF(S3685="","",I3685&amp;"|"&amp;S3685)</f>
        <v/>
      </c>
    </row>
    <row r="3686" customFormat="false" ht="15" hidden="false" customHeight="false" outlineLevel="0" collapsed="false">
      <c r="A3686" s="31" t="n">
        <v>3682</v>
      </c>
      <c r="B3686" s="32" t="str">
        <f aca="false">IF(OR(C3686="",I3686="",G3686=""),"",IFERROR(VLOOKUP(I3686,Setup!$A$9:$B$11,2,0),"???")&amp;"-"&amp;G3686&amp;"-"&amp;TEXT(COUNTIFS(I$5:I3686,I3686,G$5:G3686,G3686),"0000"))</f>
        <v/>
      </c>
      <c r="C3686" s="26"/>
      <c r="D3686" s="26"/>
      <c r="E3686" s="27"/>
      <c r="F3686" s="27"/>
      <c r="G3686" s="31" t="str">
        <f aca="false">IF(F3686="","",IF(F3686&lt;=5,"A",IF(F3686&lt;=8,"B",IF(F3686&lt;=10,"C","D"))))</f>
        <v/>
      </c>
      <c r="H3686" s="28"/>
      <c r="I3686" s="27"/>
      <c r="J3686" s="26"/>
      <c r="K3686" s="27"/>
      <c r="L3686" s="27"/>
      <c r="M3686" s="27"/>
      <c r="N3686" s="27"/>
      <c r="O3686" s="31" t="str">
        <f aca="false">IF(G3686="","",VLOOKUP(G3686,Setup!$A$14:$C$17,3,0))</f>
        <v/>
      </c>
      <c r="P3686" s="27"/>
      <c r="Q3686" s="33" t="str">
        <f aca="false">IF(OR(P3686="",M3686&lt;&gt;"Paid",O3686=""),"",P3686/O3686)</f>
        <v/>
      </c>
      <c r="R3686" s="34" t="str">
        <f aca="false">IF(Q3686="","",Q3686+N(H3686)*0.000000001)</f>
        <v/>
      </c>
      <c r="S3686" s="32" t="str">
        <f aca="false">IF(R3686="","",SUMPRODUCT((I$5:I$4004=I3686)*ISNUMBER(R$5:R$4004)*(R$5:R$4004&gt;R3686))+1)</f>
        <v/>
      </c>
      <c r="T3686" s="32" t="str">
        <f aca="false">IF(S3686="","",IF(S3686&lt;=Setup!$B$5,"🏆 WINNER",""))</f>
        <v/>
      </c>
      <c r="U3686" s="31" t="str">
        <f aca="false">IF(S3686="","",I3686&amp;"|"&amp;S3686)</f>
        <v/>
      </c>
    </row>
    <row r="3687" customFormat="false" ht="15" hidden="false" customHeight="false" outlineLevel="0" collapsed="false">
      <c r="A3687" s="24" t="n">
        <v>3683</v>
      </c>
      <c r="B3687" s="25" t="str">
        <f aca="false">IF(OR(C3687="",I3687="",G3687=""),"",IFERROR(VLOOKUP(I3687,Setup!$A$9:$B$11,2,0),"???")&amp;"-"&amp;G3687&amp;"-"&amp;TEXT(COUNTIFS(I$5:I3687,I3687,G$5:G3687,G3687),"0000"))</f>
        <v/>
      </c>
      <c r="C3687" s="26"/>
      <c r="D3687" s="26"/>
      <c r="E3687" s="27"/>
      <c r="F3687" s="27"/>
      <c r="G3687" s="24" t="str">
        <f aca="false">IF(F3687="","",IF(F3687&lt;=5,"A",IF(F3687&lt;=8,"B",IF(F3687&lt;=10,"C","D"))))</f>
        <v/>
      </c>
      <c r="H3687" s="28"/>
      <c r="I3687" s="27"/>
      <c r="J3687" s="26"/>
      <c r="K3687" s="27"/>
      <c r="L3687" s="27"/>
      <c r="M3687" s="27"/>
      <c r="N3687" s="27"/>
      <c r="O3687" s="24" t="str">
        <f aca="false">IF(G3687="","",VLOOKUP(G3687,Setup!$A$14:$C$17,3,0))</f>
        <v/>
      </c>
      <c r="P3687" s="27"/>
      <c r="Q3687" s="29" t="str">
        <f aca="false">IF(OR(P3687="",M3687&lt;&gt;"Paid",O3687=""),"",P3687/O3687)</f>
        <v/>
      </c>
      <c r="R3687" s="30" t="str">
        <f aca="false">IF(Q3687="","",Q3687+N(H3687)*0.000000001)</f>
        <v/>
      </c>
      <c r="S3687" s="25" t="str">
        <f aca="false">IF(R3687="","",SUMPRODUCT((I$5:I$4004=I3687)*ISNUMBER(R$5:R$4004)*(R$5:R$4004&gt;R3687))+1)</f>
        <v/>
      </c>
      <c r="T3687" s="25" t="str">
        <f aca="false">IF(S3687="","",IF(S3687&lt;=Setup!$B$5,"🏆 WINNER",""))</f>
        <v/>
      </c>
      <c r="U3687" s="24" t="str">
        <f aca="false">IF(S3687="","",I3687&amp;"|"&amp;S3687)</f>
        <v/>
      </c>
    </row>
    <row r="3688" customFormat="false" ht="15" hidden="false" customHeight="false" outlineLevel="0" collapsed="false">
      <c r="A3688" s="31" t="n">
        <v>3684</v>
      </c>
      <c r="B3688" s="32" t="str">
        <f aca="false">IF(OR(C3688="",I3688="",G3688=""),"",IFERROR(VLOOKUP(I3688,Setup!$A$9:$B$11,2,0),"???")&amp;"-"&amp;G3688&amp;"-"&amp;TEXT(COUNTIFS(I$5:I3688,I3688,G$5:G3688,G3688),"0000"))</f>
        <v/>
      </c>
      <c r="C3688" s="26"/>
      <c r="D3688" s="26"/>
      <c r="E3688" s="27"/>
      <c r="F3688" s="27"/>
      <c r="G3688" s="31" t="str">
        <f aca="false">IF(F3688="","",IF(F3688&lt;=5,"A",IF(F3688&lt;=8,"B",IF(F3688&lt;=10,"C","D"))))</f>
        <v/>
      </c>
      <c r="H3688" s="28"/>
      <c r="I3688" s="27"/>
      <c r="J3688" s="26"/>
      <c r="K3688" s="27"/>
      <c r="L3688" s="27"/>
      <c r="M3688" s="27"/>
      <c r="N3688" s="27"/>
      <c r="O3688" s="31" t="str">
        <f aca="false">IF(G3688="","",VLOOKUP(G3688,Setup!$A$14:$C$17,3,0))</f>
        <v/>
      </c>
      <c r="P3688" s="27"/>
      <c r="Q3688" s="33" t="str">
        <f aca="false">IF(OR(P3688="",M3688&lt;&gt;"Paid",O3688=""),"",P3688/O3688)</f>
        <v/>
      </c>
      <c r="R3688" s="34" t="str">
        <f aca="false">IF(Q3688="","",Q3688+N(H3688)*0.000000001)</f>
        <v/>
      </c>
      <c r="S3688" s="32" t="str">
        <f aca="false">IF(R3688="","",SUMPRODUCT((I$5:I$4004=I3688)*ISNUMBER(R$5:R$4004)*(R$5:R$4004&gt;R3688))+1)</f>
        <v/>
      </c>
      <c r="T3688" s="32" t="str">
        <f aca="false">IF(S3688="","",IF(S3688&lt;=Setup!$B$5,"🏆 WINNER",""))</f>
        <v/>
      </c>
      <c r="U3688" s="31" t="str">
        <f aca="false">IF(S3688="","",I3688&amp;"|"&amp;S3688)</f>
        <v/>
      </c>
    </row>
    <row r="3689" customFormat="false" ht="15" hidden="false" customHeight="false" outlineLevel="0" collapsed="false">
      <c r="A3689" s="24" t="n">
        <v>3685</v>
      </c>
      <c r="B3689" s="25" t="str">
        <f aca="false">IF(OR(C3689="",I3689="",G3689=""),"",IFERROR(VLOOKUP(I3689,Setup!$A$9:$B$11,2,0),"???")&amp;"-"&amp;G3689&amp;"-"&amp;TEXT(COUNTIFS(I$5:I3689,I3689,G$5:G3689,G3689),"0000"))</f>
        <v/>
      </c>
      <c r="C3689" s="26"/>
      <c r="D3689" s="26"/>
      <c r="E3689" s="27"/>
      <c r="F3689" s="27"/>
      <c r="G3689" s="24" t="str">
        <f aca="false">IF(F3689="","",IF(F3689&lt;=5,"A",IF(F3689&lt;=8,"B",IF(F3689&lt;=10,"C","D"))))</f>
        <v/>
      </c>
      <c r="H3689" s="28"/>
      <c r="I3689" s="27"/>
      <c r="J3689" s="26"/>
      <c r="K3689" s="27"/>
      <c r="L3689" s="27"/>
      <c r="M3689" s="27"/>
      <c r="N3689" s="27"/>
      <c r="O3689" s="24" t="str">
        <f aca="false">IF(G3689="","",VLOOKUP(G3689,Setup!$A$14:$C$17,3,0))</f>
        <v/>
      </c>
      <c r="P3689" s="27"/>
      <c r="Q3689" s="29" t="str">
        <f aca="false">IF(OR(P3689="",M3689&lt;&gt;"Paid",O3689=""),"",P3689/O3689)</f>
        <v/>
      </c>
      <c r="R3689" s="30" t="str">
        <f aca="false">IF(Q3689="","",Q3689+N(H3689)*0.000000001)</f>
        <v/>
      </c>
      <c r="S3689" s="25" t="str">
        <f aca="false">IF(R3689="","",SUMPRODUCT((I$5:I$4004=I3689)*ISNUMBER(R$5:R$4004)*(R$5:R$4004&gt;R3689))+1)</f>
        <v/>
      </c>
      <c r="T3689" s="25" t="str">
        <f aca="false">IF(S3689="","",IF(S3689&lt;=Setup!$B$5,"🏆 WINNER",""))</f>
        <v/>
      </c>
      <c r="U3689" s="24" t="str">
        <f aca="false">IF(S3689="","",I3689&amp;"|"&amp;S3689)</f>
        <v/>
      </c>
    </row>
    <row r="3690" customFormat="false" ht="15" hidden="false" customHeight="false" outlineLevel="0" collapsed="false">
      <c r="A3690" s="31" t="n">
        <v>3686</v>
      </c>
      <c r="B3690" s="32" t="str">
        <f aca="false">IF(OR(C3690="",I3690="",G3690=""),"",IFERROR(VLOOKUP(I3690,Setup!$A$9:$B$11,2,0),"???")&amp;"-"&amp;G3690&amp;"-"&amp;TEXT(COUNTIFS(I$5:I3690,I3690,G$5:G3690,G3690),"0000"))</f>
        <v/>
      </c>
      <c r="C3690" s="26"/>
      <c r="D3690" s="26"/>
      <c r="E3690" s="27"/>
      <c r="F3690" s="27"/>
      <c r="G3690" s="31" t="str">
        <f aca="false">IF(F3690="","",IF(F3690&lt;=5,"A",IF(F3690&lt;=8,"B",IF(F3690&lt;=10,"C","D"))))</f>
        <v/>
      </c>
      <c r="H3690" s="28"/>
      <c r="I3690" s="27"/>
      <c r="J3690" s="26"/>
      <c r="K3690" s="27"/>
      <c r="L3690" s="27"/>
      <c r="M3690" s="27"/>
      <c r="N3690" s="27"/>
      <c r="O3690" s="31" t="str">
        <f aca="false">IF(G3690="","",VLOOKUP(G3690,Setup!$A$14:$C$17,3,0))</f>
        <v/>
      </c>
      <c r="P3690" s="27"/>
      <c r="Q3690" s="33" t="str">
        <f aca="false">IF(OR(P3690="",M3690&lt;&gt;"Paid",O3690=""),"",P3690/O3690)</f>
        <v/>
      </c>
      <c r="R3690" s="34" t="str">
        <f aca="false">IF(Q3690="","",Q3690+N(H3690)*0.000000001)</f>
        <v/>
      </c>
      <c r="S3690" s="32" t="str">
        <f aca="false">IF(R3690="","",SUMPRODUCT((I$5:I$4004=I3690)*ISNUMBER(R$5:R$4004)*(R$5:R$4004&gt;R3690))+1)</f>
        <v/>
      </c>
      <c r="T3690" s="32" t="str">
        <f aca="false">IF(S3690="","",IF(S3690&lt;=Setup!$B$5,"🏆 WINNER",""))</f>
        <v/>
      </c>
      <c r="U3690" s="31" t="str">
        <f aca="false">IF(S3690="","",I3690&amp;"|"&amp;S3690)</f>
        <v/>
      </c>
    </row>
    <row r="3691" customFormat="false" ht="15" hidden="false" customHeight="false" outlineLevel="0" collapsed="false">
      <c r="A3691" s="24" t="n">
        <v>3687</v>
      </c>
      <c r="B3691" s="25" t="str">
        <f aca="false">IF(OR(C3691="",I3691="",G3691=""),"",IFERROR(VLOOKUP(I3691,Setup!$A$9:$B$11,2,0),"???")&amp;"-"&amp;G3691&amp;"-"&amp;TEXT(COUNTIFS(I$5:I3691,I3691,G$5:G3691,G3691),"0000"))</f>
        <v/>
      </c>
      <c r="C3691" s="26"/>
      <c r="D3691" s="26"/>
      <c r="E3691" s="27"/>
      <c r="F3691" s="27"/>
      <c r="G3691" s="24" t="str">
        <f aca="false">IF(F3691="","",IF(F3691&lt;=5,"A",IF(F3691&lt;=8,"B",IF(F3691&lt;=10,"C","D"))))</f>
        <v/>
      </c>
      <c r="H3691" s="28"/>
      <c r="I3691" s="27"/>
      <c r="J3691" s="26"/>
      <c r="K3691" s="27"/>
      <c r="L3691" s="27"/>
      <c r="M3691" s="27"/>
      <c r="N3691" s="27"/>
      <c r="O3691" s="24" t="str">
        <f aca="false">IF(G3691="","",VLOOKUP(G3691,Setup!$A$14:$C$17,3,0))</f>
        <v/>
      </c>
      <c r="P3691" s="27"/>
      <c r="Q3691" s="29" t="str">
        <f aca="false">IF(OR(P3691="",M3691&lt;&gt;"Paid",O3691=""),"",P3691/O3691)</f>
        <v/>
      </c>
      <c r="R3691" s="30" t="str">
        <f aca="false">IF(Q3691="","",Q3691+N(H3691)*0.000000001)</f>
        <v/>
      </c>
      <c r="S3691" s="25" t="str">
        <f aca="false">IF(R3691="","",SUMPRODUCT((I$5:I$4004=I3691)*ISNUMBER(R$5:R$4004)*(R$5:R$4004&gt;R3691))+1)</f>
        <v/>
      </c>
      <c r="T3691" s="25" t="str">
        <f aca="false">IF(S3691="","",IF(S3691&lt;=Setup!$B$5,"🏆 WINNER",""))</f>
        <v/>
      </c>
      <c r="U3691" s="24" t="str">
        <f aca="false">IF(S3691="","",I3691&amp;"|"&amp;S3691)</f>
        <v/>
      </c>
    </row>
    <row r="3692" customFormat="false" ht="15" hidden="false" customHeight="false" outlineLevel="0" collapsed="false">
      <c r="A3692" s="31" t="n">
        <v>3688</v>
      </c>
      <c r="B3692" s="32" t="str">
        <f aca="false">IF(OR(C3692="",I3692="",G3692=""),"",IFERROR(VLOOKUP(I3692,Setup!$A$9:$B$11,2,0),"???")&amp;"-"&amp;G3692&amp;"-"&amp;TEXT(COUNTIFS(I$5:I3692,I3692,G$5:G3692,G3692),"0000"))</f>
        <v/>
      </c>
      <c r="C3692" s="26"/>
      <c r="D3692" s="26"/>
      <c r="E3692" s="27"/>
      <c r="F3692" s="27"/>
      <c r="G3692" s="31" t="str">
        <f aca="false">IF(F3692="","",IF(F3692&lt;=5,"A",IF(F3692&lt;=8,"B",IF(F3692&lt;=10,"C","D"))))</f>
        <v/>
      </c>
      <c r="H3692" s="28"/>
      <c r="I3692" s="27"/>
      <c r="J3692" s="26"/>
      <c r="K3692" s="27"/>
      <c r="L3692" s="27"/>
      <c r="M3692" s="27"/>
      <c r="N3692" s="27"/>
      <c r="O3692" s="31" t="str">
        <f aca="false">IF(G3692="","",VLOOKUP(G3692,Setup!$A$14:$C$17,3,0))</f>
        <v/>
      </c>
      <c r="P3692" s="27"/>
      <c r="Q3692" s="33" t="str">
        <f aca="false">IF(OR(P3692="",M3692&lt;&gt;"Paid",O3692=""),"",P3692/O3692)</f>
        <v/>
      </c>
      <c r="R3692" s="34" t="str">
        <f aca="false">IF(Q3692="","",Q3692+N(H3692)*0.000000001)</f>
        <v/>
      </c>
      <c r="S3692" s="32" t="str">
        <f aca="false">IF(R3692="","",SUMPRODUCT((I$5:I$4004=I3692)*ISNUMBER(R$5:R$4004)*(R$5:R$4004&gt;R3692))+1)</f>
        <v/>
      </c>
      <c r="T3692" s="32" t="str">
        <f aca="false">IF(S3692="","",IF(S3692&lt;=Setup!$B$5,"🏆 WINNER",""))</f>
        <v/>
      </c>
      <c r="U3692" s="31" t="str">
        <f aca="false">IF(S3692="","",I3692&amp;"|"&amp;S3692)</f>
        <v/>
      </c>
    </row>
    <row r="3693" customFormat="false" ht="15" hidden="false" customHeight="false" outlineLevel="0" collapsed="false">
      <c r="A3693" s="24" t="n">
        <v>3689</v>
      </c>
      <c r="B3693" s="25" t="str">
        <f aca="false">IF(OR(C3693="",I3693="",G3693=""),"",IFERROR(VLOOKUP(I3693,Setup!$A$9:$B$11,2,0),"???")&amp;"-"&amp;G3693&amp;"-"&amp;TEXT(COUNTIFS(I$5:I3693,I3693,G$5:G3693,G3693),"0000"))</f>
        <v/>
      </c>
      <c r="C3693" s="26"/>
      <c r="D3693" s="26"/>
      <c r="E3693" s="27"/>
      <c r="F3693" s="27"/>
      <c r="G3693" s="24" t="str">
        <f aca="false">IF(F3693="","",IF(F3693&lt;=5,"A",IF(F3693&lt;=8,"B",IF(F3693&lt;=10,"C","D"))))</f>
        <v/>
      </c>
      <c r="H3693" s="28"/>
      <c r="I3693" s="27"/>
      <c r="J3693" s="26"/>
      <c r="K3693" s="27"/>
      <c r="L3693" s="27"/>
      <c r="M3693" s="27"/>
      <c r="N3693" s="27"/>
      <c r="O3693" s="24" t="str">
        <f aca="false">IF(G3693="","",VLOOKUP(G3693,Setup!$A$14:$C$17,3,0))</f>
        <v/>
      </c>
      <c r="P3693" s="27"/>
      <c r="Q3693" s="29" t="str">
        <f aca="false">IF(OR(P3693="",M3693&lt;&gt;"Paid",O3693=""),"",P3693/O3693)</f>
        <v/>
      </c>
      <c r="R3693" s="30" t="str">
        <f aca="false">IF(Q3693="","",Q3693+N(H3693)*0.000000001)</f>
        <v/>
      </c>
      <c r="S3693" s="25" t="str">
        <f aca="false">IF(R3693="","",SUMPRODUCT((I$5:I$4004=I3693)*ISNUMBER(R$5:R$4004)*(R$5:R$4004&gt;R3693))+1)</f>
        <v/>
      </c>
      <c r="T3693" s="25" t="str">
        <f aca="false">IF(S3693="","",IF(S3693&lt;=Setup!$B$5,"🏆 WINNER",""))</f>
        <v/>
      </c>
      <c r="U3693" s="24" t="str">
        <f aca="false">IF(S3693="","",I3693&amp;"|"&amp;S3693)</f>
        <v/>
      </c>
    </row>
    <row r="3694" customFormat="false" ht="15" hidden="false" customHeight="false" outlineLevel="0" collapsed="false">
      <c r="A3694" s="31" t="n">
        <v>3690</v>
      </c>
      <c r="B3694" s="32" t="str">
        <f aca="false">IF(OR(C3694="",I3694="",G3694=""),"",IFERROR(VLOOKUP(I3694,Setup!$A$9:$B$11,2,0),"???")&amp;"-"&amp;G3694&amp;"-"&amp;TEXT(COUNTIFS(I$5:I3694,I3694,G$5:G3694,G3694),"0000"))</f>
        <v/>
      </c>
      <c r="C3694" s="26"/>
      <c r="D3694" s="26"/>
      <c r="E3694" s="27"/>
      <c r="F3694" s="27"/>
      <c r="G3694" s="31" t="str">
        <f aca="false">IF(F3694="","",IF(F3694&lt;=5,"A",IF(F3694&lt;=8,"B",IF(F3694&lt;=10,"C","D"))))</f>
        <v/>
      </c>
      <c r="H3694" s="28"/>
      <c r="I3694" s="27"/>
      <c r="J3694" s="26"/>
      <c r="K3694" s="27"/>
      <c r="L3694" s="27"/>
      <c r="M3694" s="27"/>
      <c r="N3694" s="27"/>
      <c r="O3694" s="31" t="str">
        <f aca="false">IF(G3694="","",VLOOKUP(G3694,Setup!$A$14:$C$17,3,0))</f>
        <v/>
      </c>
      <c r="P3694" s="27"/>
      <c r="Q3694" s="33" t="str">
        <f aca="false">IF(OR(P3694="",M3694&lt;&gt;"Paid",O3694=""),"",P3694/O3694)</f>
        <v/>
      </c>
      <c r="R3694" s="34" t="str">
        <f aca="false">IF(Q3694="","",Q3694+N(H3694)*0.000000001)</f>
        <v/>
      </c>
      <c r="S3694" s="32" t="str">
        <f aca="false">IF(R3694="","",SUMPRODUCT((I$5:I$4004=I3694)*ISNUMBER(R$5:R$4004)*(R$5:R$4004&gt;R3694))+1)</f>
        <v/>
      </c>
      <c r="T3694" s="32" t="str">
        <f aca="false">IF(S3694="","",IF(S3694&lt;=Setup!$B$5,"🏆 WINNER",""))</f>
        <v/>
      </c>
      <c r="U3694" s="31" t="str">
        <f aca="false">IF(S3694="","",I3694&amp;"|"&amp;S3694)</f>
        <v/>
      </c>
    </row>
    <row r="3695" customFormat="false" ht="15" hidden="false" customHeight="false" outlineLevel="0" collapsed="false">
      <c r="A3695" s="24" t="n">
        <v>3691</v>
      </c>
      <c r="B3695" s="25" t="str">
        <f aca="false">IF(OR(C3695="",I3695="",G3695=""),"",IFERROR(VLOOKUP(I3695,Setup!$A$9:$B$11,2,0),"???")&amp;"-"&amp;G3695&amp;"-"&amp;TEXT(COUNTIFS(I$5:I3695,I3695,G$5:G3695,G3695),"0000"))</f>
        <v/>
      </c>
      <c r="C3695" s="26"/>
      <c r="D3695" s="26"/>
      <c r="E3695" s="27"/>
      <c r="F3695" s="27"/>
      <c r="G3695" s="24" t="str">
        <f aca="false">IF(F3695="","",IF(F3695&lt;=5,"A",IF(F3695&lt;=8,"B",IF(F3695&lt;=10,"C","D"))))</f>
        <v/>
      </c>
      <c r="H3695" s="28"/>
      <c r="I3695" s="27"/>
      <c r="J3695" s="26"/>
      <c r="K3695" s="27"/>
      <c r="L3695" s="27"/>
      <c r="M3695" s="27"/>
      <c r="N3695" s="27"/>
      <c r="O3695" s="24" t="str">
        <f aca="false">IF(G3695="","",VLOOKUP(G3695,Setup!$A$14:$C$17,3,0))</f>
        <v/>
      </c>
      <c r="P3695" s="27"/>
      <c r="Q3695" s="29" t="str">
        <f aca="false">IF(OR(P3695="",M3695&lt;&gt;"Paid",O3695=""),"",P3695/O3695)</f>
        <v/>
      </c>
      <c r="R3695" s="30" t="str">
        <f aca="false">IF(Q3695="","",Q3695+N(H3695)*0.000000001)</f>
        <v/>
      </c>
      <c r="S3695" s="25" t="str">
        <f aca="false">IF(R3695="","",SUMPRODUCT((I$5:I$4004=I3695)*ISNUMBER(R$5:R$4004)*(R$5:R$4004&gt;R3695))+1)</f>
        <v/>
      </c>
      <c r="T3695" s="25" t="str">
        <f aca="false">IF(S3695="","",IF(S3695&lt;=Setup!$B$5,"🏆 WINNER",""))</f>
        <v/>
      </c>
      <c r="U3695" s="24" t="str">
        <f aca="false">IF(S3695="","",I3695&amp;"|"&amp;S3695)</f>
        <v/>
      </c>
    </row>
    <row r="3696" customFormat="false" ht="15" hidden="false" customHeight="false" outlineLevel="0" collapsed="false">
      <c r="A3696" s="31" t="n">
        <v>3692</v>
      </c>
      <c r="B3696" s="32" t="str">
        <f aca="false">IF(OR(C3696="",I3696="",G3696=""),"",IFERROR(VLOOKUP(I3696,Setup!$A$9:$B$11,2,0),"???")&amp;"-"&amp;G3696&amp;"-"&amp;TEXT(COUNTIFS(I$5:I3696,I3696,G$5:G3696,G3696),"0000"))</f>
        <v/>
      </c>
      <c r="C3696" s="26"/>
      <c r="D3696" s="26"/>
      <c r="E3696" s="27"/>
      <c r="F3696" s="27"/>
      <c r="G3696" s="31" t="str">
        <f aca="false">IF(F3696="","",IF(F3696&lt;=5,"A",IF(F3696&lt;=8,"B",IF(F3696&lt;=10,"C","D"))))</f>
        <v/>
      </c>
      <c r="H3696" s="28"/>
      <c r="I3696" s="27"/>
      <c r="J3696" s="26"/>
      <c r="K3696" s="27"/>
      <c r="L3696" s="27"/>
      <c r="M3696" s="27"/>
      <c r="N3696" s="27"/>
      <c r="O3696" s="31" t="str">
        <f aca="false">IF(G3696="","",VLOOKUP(G3696,Setup!$A$14:$C$17,3,0))</f>
        <v/>
      </c>
      <c r="P3696" s="27"/>
      <c r="Q3696" s="33" t="str">
        <f aca="false">IF(OR(P3696="",M3696&lt;&gt;"Paid",O3696=""),"",P3696/O3696)</f>
        <v/>
      </c>
      <c r="R3696" s="34" t="str">
        <f aca="false">IF(Q3696="","",Q3696+N(H3696)*0.000000001)</f>
        <v/>
      </c>
      <c r="S3696" s="32" t="str">
        <f aca="false">IF(R3696="","",SUMPRODUCT((I$5:I$4004=I3696)*ISNUMBER(R$5:R$4004)*(R$5:R$4004&gt;R3696))+1)</f>
        <v/>
      </c>
      <c r="T3696" s="32" t="str">
        <f aca="false">IF(S3696="","",IF(S3696&lt;=Setup!$B$5,"🏆 WINNER",""))</f>
        <v/>
      </c>
      <c r="U3696" s="31" t="str">
        <f aca="false">IF(S3696="","",I3696&amp;"|"&amp;S3696)</f>
        <v/>
      </c>
    </row>
    <row r="3697" customFormat="false" ht="15" hidden="false" customHeight="false" outlineLevel="0" collapsed="false">
      <c r="A3697" s="24" t="n">
        <v>3693</v>
      </c>
      <c r="B3697" s="25" t="str">
        <f aca="false">IF(OR(C3697="",I3697="",G3697=""),"",IFERROR(VLOOKUP(I3697,Setup!$A$9:$B$11,2,0),"???")&amp;"-"&amp;G3697&amp;"-"&amp;TEXT(COUNTIFS(I$5:I3697,I3697,G$5:G3697,G3697),"0000"))</f>
        <v/>
      </c>
      <c r="C3697" s="26"/>
      <c r="D3697" s="26"/>
      <c r="E3697" s="27"/>
      <c r="F3697" s="27"/>
      <c r="G3697" s="24" t="str">
        <f aca="false">IF(F3697="","",IF(F3697&lt;=5,"A",IF(F3697&lt;=8,"B",IF(F3697&lt;=10,"C","D"))))</f>
        <v/>
      </c>
      <c r="H3697" s="28"/>
      <c r="I3697" s="27"/>
      <c r="J3697" s="26"/>
      <c r="K3697" s="27"/>
      <c r="L3697" s="27"/>
      <c r="M3697" s="27"/>
      <c r="N3697" s="27"/>
      <c r="O3697" s="24" t="str">
        <f aca="false">IF(G3697="","",VLOOKUP(G3697,Setup!$A$14:$C$17,3,0))</f>
        <v/>
      </c>
      <c r="P3697" s="27"/>
      <c r="Q3697" s="29" t="str">
        <f aca="false">IF(OR(P3697="",M3697&lt;&gt;"Paid",O3697=""),"",P3697/O3697)</f>
        <v/>
      </c>
      <c r="R3697" s="30" t="str">
        <f aca="false">IF(Q3697="","",Q3697+N(H3697)*0.000000001)</f>
        <v/>
      </c>
      <c r="S3697" s="25" t="str">
        <f aca="false">IF(R3697="","",SUMPRODUCT((I$5:I$4004=I3697)*ISNUMBER(R$5:R$4004)*(R$5:R$4004&gt;R3697))+1)</f>
        <v/>
      </c>
      <c r="T3697" s="25" t="str">
        <f aca="false">IF(S3697="","",IF(S3697&lt;=Setup!$B$5,"🏆 WINNER",""))</f>
        <v/>
      </c>
      <c r="U3697" s="24" t="str">
        <f aca="false">IF(S3697="","",I3697&amp;"|"&amp;S3697)</f>
        <v/>
      </c>
    </row>
    <row r="3698" customFormat="false" ht="15" hidden="false" customHeight="false" outlineLevel="0" collapsed="false">
      <c r="A3698" s="31" t="n">
        <v>3694</v>
      </c>
      <c r="B3698" s="32" t="str">
        <f aca="false">IF(OR(C3698="",I3698="",G3698=""),"",IFERROR(VLOOKUP(I3698,Setup!$A$9:$B$11,2,0),"???")&amp;"-"&amp;G3698&amp;"-"&amp;TEXT(COUNTIFS(I$5:I3698,I3698,G$5:G3698,G3698),"0000"))</f>
        <v/>
      </c>
      <c r="C3698" s="26"/>
      <c r="D3698" s="26"/>
      <c r="E3698" s="27"/>
      <c r="F3698" s="27"/>
      <c r="G3698" s="31" t="str">
        <f aca="false">IF(F3698="","",IF(F3698&lt;=5,"A",IF(F3698&lt;=8,"B",IF(F3698&lt;=10,"C","D"))))</f>
        <v/>
      </c>
      <c r="H3698" s="28"/>
      <c r="I3698" s="27"/>
      <c r="J3698" s="26"/>
      <c r="K3698" s="27"/>
      <c r="L3698" s="27"/>
      <c r="M3698" s="27"/>
      <c r="N3698" s="27"/>
      <c r="O3698" s="31" t="str">
        <f aca="false">IF(G3698="","",VLOOKUP(G3698,Setup!$A$14:$C$17,3,0))</f>
        <v/>
      </c>
      <c r="P3698" s="27"/>
      <c r="Q3698" s="33" t="str">
        <f aca="false">IF(OR(P3698="",M3698&lt;&gt;"Paid",O3698=""),"",P3698/O3698)</f>
        <v/>
      </c>
      <c r="R3698" s="34" t="str">
        <f aca="false">IF(Q3698="","",Q3698+N(H3698)*0.000000001)</f>
        <v/>
      </c>
      <c r="S3698" s="32" t="str">
        <f aca="false">IF(R3698="","",SUMPRODUCT((I$5:I$4004=I3698)*ISNUMBER(R$5:R$4004)*(R$5:R$4004&gt;R3698))+1)</f>
        <v/>
      </c>
      <c r="T3698" s="32" t="str">
        <f aca="false">IF(S3698="","",IF(S3698&lt;=Setup!$B$5,"🏆 WINNER",""))</f>
        <v/>
      </c>
      <c r="U3698" s="31" t="str">
        <f aca="false">IF(S3698="","",I3698&amp;"|"&amp;S3698)</f>
        <v/>
      </c>
    </row>
    <row r="3699" customFormat="false" ht="15" hidden="false" customHeight="false" outlineLevel="0" collapsed="false">
      <c r="A3699" s="24" t="n">
        <v>3695</v>
      </c>
      <c r="B3699" s="25" t="str">
        <f aca="false">IF(OR(C3699="",I3699="",G3699=""),"",IFERROR(VLOOKUP(I3699,Setup!$A$9:$B$11,2,0),"???")&amp;"-"&amp;G3699&amp;"-"&amp;TEXT(COUNTIFS(I$5:I3699,I3699,G$5:G3699,G3699),"0000"))</f>
        <v/>
      </c>
      <c r="C3699" s="26"/>
      <c r="D3699" s="26"/>
      <c r="E3699" s="27"/>
      <c r="F3699" s="27"/>
      <c r="G3699" s="24" t="str">
        <f aca="false">IF(F3699="","",IF(F3699&lt;=5,"A",IF(F3699&lt;=8,"B",IF(F3699&lt;=10,"C","D"))))</f>
        <v/>
      </c>
      <c r="H3699" s="28"/>
      <c r="I3699" s="27"/>
      <c r="J3699" s="26"/>
      <c r="K3699" s="27"/>
      <c r="L3699" s="27"/>
      <c r="M3699" s="27"/>
      <c r="N3699" s="27"/>
      <c r="O3699" s="24" t="str">
        <f aca="false">IF(G3699="","",VLOOKUP(G3699,Setup!$A$14:$C$17,3,0))</f>
        <v/>
      </c>
      <c r="P3699" s="27"/>
      <c r="Q3699" s="29" t="str">
        <f aca="false">IF(OR(P3699="",M3699&lt;&gt;"Paid",O3699=""),"",P3699/O3699)</f>
        <v/>
      </c>
      <c r="R3699" s="30" t="str">
        <f aca="false">IF(Q3699="","",Q3699+N(H3699)*0.000000001)</f>
        <v/>
      </c>
      <c r="S3699" s="25" t="str">
        <f aca="false">IF(R3699="","",SUMPRODUCT((I$5:I$4004=I3699)*ISNUMBER(R$5:R$4004)*(R$5:R$4004&gt;R3699))+1)</f>
        <v/>
      </c>
      <c r="T3699" s="25" t="str">
        <f aca="false">IF(S3699="","",IF(S3699&lt;=Setup!$B$5,"🏆 WINNER",""))</f>
        <v/>
      </c>
      <c r="U3699" s="24" t="str">
        <f aca="false">IF(S3699="","",I3699&amp;"|"&amp;S3699)</f>
        <v/>
      </c>
    </row>
    <row r="3700" customFormat="false" ht="15" hidden="false" customHeight="false" outlineLevel="0" collapsed="false">
      <c r="A3700" s="31" t="n">
        <v>3696</v>
      </c>
      <c r="B3700" s="32" t="str">
        <f aca="false">IF(OR(C3700="",I3700="",G3700=""),"",IFERROR(VLOOKUP(I3700,Setup!$A$9:$B$11,2,0),"???")&amp;"-"&amp;G3700&amp;"-"&amp;TEXT(COUNTIFS(I$5:I3700,I3700,G$5:G3700,G3700),"0000"))</f>
        <v/>
      </c>
      <c r="C3700" s="26"/>
      <c r="D3700" s="26"/>
      <c r="E3700" s="27"/>
      <c r="F3700" s="27"/>
      <c r="G3700" s="31" t="str">
        <f aca="false">IF(F3700="","",IF(F3700&lt;=5,"A",IF(F3700&lt;=8,"B",IF(F3700&lt;=10,"C","D"))))</f>
        <v/>
      </c>
      <c r="H3700" s="28"/>
      <c r="I3700" s="27"/>
      <c r="J3700" s="26"/>
      <c r="K3700" s="27"/>
      <c r="L3700" s="27"/>
      <c r="M3700" s="27"/>
      <c r="N3700" s="27"/>
      <c r="O3700" s="31" t="str">
        <f aca="false">IF(G3700="","",VLOOKUP(G3700,Setup!$A$14:$C$17,3,0))</f>
        <v/>
      </c>
      <c r="P3700" s="27"/>
      <c r="Q3700" s="33" t="str">
        <f aca="false">IF(OR(P3700="",M3700&lt;&gt;"Paid",O3700=""),"",P3700/O3700)</f>
        <v/>
      </c>
      <c r="R3700" s="34" t="str">
        <f aca="false">IF(Q3700="","",Q3700+N(H3700)*0.000000001)</f>
        <v/>
      </c>
      <c r="S3700" s="32" t="str">
        <f aca="false">IF(R3700="","",SUMPRODUCT((I$5:I$4004=I3700)*ISNUMBER(R$5:R$4004)*(R$5:R$4004&gt;R3700))+1)</f>
        <v/>
      </c>
      <c r="T3700" s="32" t="str">
        <f aca="false">IF(S3700="","",IF(S3700&lt;=Setup!$B$5,"🏆 WINNER",""))</f>
        <v/>
      </c>
      <c r="U3700" s="31" t="str">
        <f aca="false">IF(S3700="","",I3700&amp;"|"&amp;S3700)</f>
        <v/>
      </c>
    </row>
    <row r="3701" customFormat="false" ht="15" hidden="false" customHeight="false" outlineLevel="0" collapsed="false">
      <c r="A3701" s="24" t="n">
        <v>3697</v>
      </c>
      <c r="B3701" s="25" t="str">
        <f aca="false">IF(OR(C3701="",I3701="",G3701=""),"",IFERROR(VLOOKUP(I3701,Setup!$A$9:$B$11,2,0),"???")&amp;"-"&amp;G3701&amp;"-"&amp;TEXT(COUNTIFS(I$5:I3701,I3701,G$5:G3701,G3701),"0000"))</f>
        <v/>
      </c>
      <c r="C3701" s="26"/>
      <c r="D3701" s="26"/>
      <c r="E3701" s="27"/>
      <c r="F3701" s="27"/>
      <c r="G3701" s="24" t="str">
        <f aca="false">IF(F3701="","",IF(F3701&lt;=5,"A",IF(F3701&lt;=8,"B",IF(F3701&lt;=10,"C","D"))))</f>
        <v/>
      </c>
      <c r="H3701" s="28"/>
      <c r="I3701" s="27"/>
      <c r="J3701" s="26"/>
      <c r="K3701" s="27"/>
      <c r="L3701" s="27"/>
      <c r="M3701" s="27"/>
      <c r="N3701" s="27"/>
      <c r="O3701" s="24" t="str">
        <f aca="false">IF(G3701="","",VLOOKUP(G3701,Setup!$A$14:$C$17,3,0))</f>
        <v/>
      </c>
      <c r="P3701" s="27"/>
      <c r="Q3701" s="29" t="str">
        <f aca="false">IF(OR(P3701="",M3701&lt;&gt;"Paid",O3701=""),"",P3701/O3701)</f>
        <v/>
      </c>
      <c r="R3701" s="30" t="str">
        <f aca="false">IF(Q3701="","",Q3701+N(H3701)*0.000000001)</f>
        <v/>
      </c>
      <c r="S3701" s="25" t="str">
        <f aca="false">IF(R3701="","",SUMPRODUCT((I$5:I$4004=I3701)*ISNUMBER(R$5:R$4004)*(R$5:R$4004&gt;R3701))+1)</f>
        <v/>
      </c>
      <c r="T3701" s="25" t="str">
        <f aca="false">IF(S3701="","",IF(S3701&lt;=Setup!$B$5,"🏆 WINNER",""))</f>
        <v/>
      </c>
      <c r="U3701" s="24" t="str">
        <f aca="false">IF(S3701="","",I3701&amp;"|"&amp;S3701)</f>
        <v/>
      </c>
    </row>
    <row r="3702" customFormat="false" ht="15" hidden="false" customHeight="false" outlineLevel="0" collapsed="false">
      <c r="A3702" s="31" t="n">
        <v>3698</v>
      </c>
      <c r="B3702" s="32" t="str">
        <f aca="false">IF(OR(C3702="",I3702="",G3702=""),"",IFERROR(VLOOKUP(I3702,Setup!$A$9:$B$11,2,0),"???")&amp;"-"&amp;G3702&amp;"-"&amp;TEXT(COUNTIFS(I$5:I3702,I3702,G$5:G3702,G3702),"0000"))</f>
        <v/>
      </c>
      <c r="C3702" s="26"/>
      <c r="D3702" s="26"/>
      <c r="E3702" s="27"/>
      <c r="F3702" s="27"/>
      <c r="G3702" s="31" t="str">
        <f aca="false">IF(F3702="","",IF(F3702&lt;=5,"A",IF(F3702&lt;=8,"B",IF(F3702&lt;=10,"C","D"))))</f>
        <v/>
      </c>
      <c r="H3702" s="28"/>
      <c r="I3702" s="27"/>
      <c r="J3702" s="26"/>
      <c r="K3702" s="27"/>
      <c r="L3702" s="27"/>
      <c r="M3702" s="27"/>
      <c r="N3702" s="27"/>
      <c r="O3702" s="31" t="str">
        <f aca="false">IF(G3702="","",VLOOKUP(G3702,Setup!$A$14:$C$17,3,0))</f>
        <v/>
      </c>
      <c r="P3702" s="27"/>
      <c r="Q3702" s="33" t="str">
        <f aca="false">IF(OR(P3702="",M3702&lt;&gt;"Paid",O3702=""),"",P3702/O3702)</f>
        <v/>
      </c>
      <c r="R3702" s="34" t="str">
        <f aca="false">IF(Q3702="","",Q3702+N(H3702)*0.000000001)</f>
        <v/>
      </c>
      <c r="S3702" s="32" t="str">
        <f aca="false">IF(R3702="","",SUMPRODUCT((I$5:I$4004=I3702)*ISNUMBER(R$5:R$4004)*(R$5:R$4004&gt;R3702))+1)</f>
        <v/>
      </c>
      <c r="T3702" s="32" t="str">
        <f aca="false">IF(S3702="","",IF(S3702&lt;=Setup!$B$5,"🏆 WINNER",""))</f>
        <v/>
      </c>
      <c r="U3702" s="31" t="str">
        <f aca="false">IF(S3702="","",I3702&amp;"|"&amp;S3702)</f>
        <v/>
      </c>
    </row>
    <row r="3703" customFormat="false" ht="15" hidden="false" customHeight="false" outlineLevel="0" collapsed="false">
      <c r="A3703" s="24" t="n">
        <v>3699</v>
      </c>
      <c r="B3703" s="25" t="str">
        <f aca="false">IF(OR(C3703="",I3703="",G3703=""),"",IFERROR(VLOOKUP(I3703,Setup!$A$9:$B$11,2,0),"???")&amp;"-"&amp;G3703&amp;"-"&amp;TEXT(COUNTIFS(I$5:I3703,I3703,G$5:G3703,G3703),"0000"))</f>
        <v/>
      </c>
      <c r="C3703" s="26"/>
      <c r="D3703" s="26"/>
      <c r="E3703" s="27"/>
      <c r="F3703" s="27"/>
      <c r="G3703" s="24" t="str">
        <f aca="false">IF(F3703="","",IF(F3703&lt;=5,"A",IF(F3703&lt;=8,"B",IF(F3703&lt;=10,"C","D"))))</f>
        <v/>
      </c>
      <c r="H3703" s="28"/>
      <c r="I3703" s="27"/>
      <c r="J3703" s="26"/>
      <c r="K3703" s="27"/>
      <c r="L3703" s="27"/>
      <c r="M3703" s="27"/>
      <c r="N3703" s="27"/>
      <c r="O3703" s="24" t="str">
        <f aca="false">IF(G3703="","",VLOOKUP(G3703,Setup!$A$14:$C$17,3,0))</f>
        <v/>
      </c>
      <c r="P3703" s="27"/>
      <c r="Q3703" s="29" t="str">
        <f aca="false">IF(OR(P3703="",M3703&lt;&gt;"Paid",O3703=""),"",P3703/O3703)</f>
        <v/>
      </c>
      <c r="R3703" s="30" t="str">
        <f aca="false">IF(Q3703="","",Q3703+N(H3703)*0.000000001)</f>
        <v/>
      </c>
      <c r="S3703" s="25" t="str">
        <f aca="false">IF(R3703="","",SUMPRODUCT((I$5:I$4004=I3703)*ISNUMBER(R$5:R$4004)*(R$5:R$4004&gt;R3703))+1)</f>
        <v/>
      </c>
      <c r="T3703" s="25" t="str">
        <f aca="false">IF(S3703="","",IF(S3703&lt;=Setup!$B$5,"🏆 WINNER",""))</f>
        <v/>
      </c>
      <c r="U3703" s="24" t="str">
        <f aca="false">IF(S3703="","",I3703&amp;"|"&amp;S3703)</f>
        <v/>
      </c>
    </row>
    <row r="3704" customFormat="false" ht="15" hidden="false" customHeight="false" outlineLevel="0" collapsed="false">
      <c r="A3704" s="31" t="n">
        <v>3700</v>
      </c>
      <c r="B3704" s="32" t="str">
        <f aca="false">IF(OR(C3704="",I3704="",G3704=""),"",IFERROR(VLOOKUP(I3704,Setup!$A$9:$B$11,2,0),"???")&amp;"-"&amp;G3704&amp;"-"&amp;TEXT(COUNTIFS(I$5:I3704,I3704,G$5:G3704,G3704),"0000"))</f>
        <v/>
      </c>
      <c r="C3704" s="26"/>
      <c r="D3704" s="26"/>
      <c r="E3704" s="27"/>
      <c r="F3704" s="27"/>
      <c r="G3704" s="31" t="str">
        <f aca="false">IF(F3704="","",IF(F3704&lt;=5,"A",IF(F3704&lt;=8,"B",IF(F3704&lt;=10,"C","D"))))</f>
        <v/>
      </c>
      <c r="H3704" s="28"/>
      <c r="I3704" s="27"/>
      <c r="J3704" s="26"/>
      <c r="K3704" s="27"/>
      <c r="L3704" s="27"/>
      <c r="M3704" s="27"/>
      <c r="N3704" s="27"/>
      <c r="O3704" s="31" t="str">
        <f aca="false">IF(G3704="","",VLOOKUP(G3704,Setup!$A$14:$C$17,3,0))</f>
        <v/>
      </c>
      <c r="P3704" s="27"/>
      <c r="Q3704" s="33" t="str">
        <f aca="false">IF(OR(P3704="",M3704&lt;&gt;"Paid",O3704=""),"",P3704/O3704)</f>
        <v/>
      </c>
      <c r="R3704" s="34" t="str">
        <f aca="false">IF(Q3704="","",Q3704+N(H3704)*0.000000001)</f>
        <v/>
      </c>
      <c r="S3704" s="32" t="str">
        <f aca="false">IF(R3704="","",SUMPRODUCT((I$5:I$4004=I3704)*ISNUMBER(R$5:R$4004)*(R$5:R$4004&gt;R3704))+1)</f>
        <v/>
      </c>
      <c r="T3704" s="32" t="str">
        <f aca="false">IF(S3704="","",IF(S3704&lt;=Setup!$B$5,"🏆 WINNER",""))</f>
        <v/>
      </c>
      <c r="U3704" s="31" t="str">
        <f aca="false">IF(S3704="","",I3704&amp;"|"&amp;S3704)</f>
        <v/>
      </c>
    </row>
    <row r="3705" customFormat="false" ht="15" hidden="false" customHeight="false" outlineLevel="0" collapsed="false">
      <c r="A3705" s="24" t="n">
        <v>3701</v>
      </c>
      <c r="B3705" s="25" t="str">
        <f aca="false">IF(OR(C3705="",I3705="",G3705=""),"",IFERROR(VLOOKUP(I3705,Setup!$A$9:$B$11,2,0),"???")&amp;"-"&amp;G3705&amp;"-"&amp;TEXT(COUNTIFS(I$5:I3705,I3705,G$5:G3705,G3705),"0000"))</f>
        <v/>
      </c>
      <c r="C3705" s="26"/>
      <c r="D3705" s="26"/>
      <c r="E3705" s="27"/>
      <c r="F3705" s="27"/>
      <c r="G3705" s="24" t="str">
        <f aca="false">IF(F3705="","",IF(F3705&lt;=5,"A",IF(F3705&lt;=8,"B",IF(F3705&lt;=10,"C","D"))))</f>
        <v/>
      </c>
      <c r="H3705" s="28"/>
      <c r="I3705" s="27"/>
      <c r="J3705" s="26"/>
      <c r="K3705" s="27"/>
      <c r="L3705" s="27"/>
      <c r="M3705" s="27"/>
      <c r="N3705" s="27"/>
      <c r="O3705" s="24" t="str">
        <f aca="false">IF(G3705="","",VLOOKUP(G3705,Setup!$A$14:$C$17,3,0))</f>
        <v/>
      </c>
      <c r="P3705" s="27"/>
      <c r="Q3705" s="29" t="str">
        <f aca="false">IF(OR(P3705="",M3705&lt;&gt;"Paid",O3705=""),"",P3705/O3705)</f>
        <v/>
      </c>
      <c r="R3705" s="30" t="str">
        <f aca="false">IF(Q3705="","",Q3705+N(H3705)*0.000000001)</f>
        <v/>
      </c>
      <c r="S3705" s="25" t="str">
        <f aca="false">IF(R3705="","",SUMPRODUCT((I$5:I$4004=I3705)*ISNUMBER(R$5:R$4004)*(R$5:R$4004&gt;R3705))+1)</f>
        <v/>
      </c>
      <c r="T3705" s="25" t="str">
        <f aca="false">IF(S3705="","",IF(S3705&lt;=Setup!$B$5,"🏆 WINNER",""))</f>
        <v/>
      </c>
      <c r="U3705" s="24" t="str">
        <f aca="false">IF(S3705="","",I3705&amp;"|"&amp;S3705)</f>
        <v/>
      </c>
    </row>
    <row r="3706" customFormat="false" ht="15" hidden="false" customHeight="false" outlineLevel="0" collapsed="false">
      <c r="A3706" s="31" t="n">
        <v>3702</v>
      </c>
      <c r="B3706" s="32" t="str">
        <f aca="false">IF(OR(C3706="",I3706="",G3706=""),"",IFERROR(VLOOKUP(I3706,Setup!$A$9:$B$11,2,0),"???")&amp;"-"&amp;G3706&amp;"-"&amp;TEXT(COUNTIFS(I$5:I3706,I3706,G$5:G3706,G3706),"0000"))</f>
        <v/>
      </c>
      <c r="C3706" s="26"/>
      <c r="D3706" s="26"/>
      <c r="E3706" s="27"/>
      <c r="F3706" s="27"/>
      <c r="G3706" s="31" t="str">
        <f aca="false">IF(F3706="","",IF(F3706&lt;=5,"A",IF(F3706&lt;=8,"B",IF(F3706&lt;=10,"C","D"))))</f>
        <v/>
      </c>
      <c r="H3706" s="28"/>
      <c r="I3706" s="27"/>
      <c r="J3706" s="26"/>
      <c r="K3706" s="27"/>
      <c r="L3706" s="27"/>
      <c r="M3706" s="27"/>
      <c r="N3706" s="27"/>
      <c r="O3706" s="31" t="str">
        <f aca="false">IF(G3706="","",VLOOKUP(G3706,Setup!$A$14:$C$17,3,0))</f>
        <v/>
      </c>
      <c r="P3706" s="27"/>
      <c r="Q3706" s="33" t="str">
        <f aca="false">IF(OR(P3706="",M3706&lt;&gt;"Paid",O3706=""),"",P3706/O3706)</f>
        <v/>
      </c>
      <c r="R3706" s="34" t="str">
        <f aca="false">IF(Q3706="","",Q3706+N(H3706)*0.000000001)</f>
        <v/>
      </c>
      <c r="S3706" s="32" t="str">
        <f aca="false">IF(R3706="","",SUMPRODUCT((I$5:I$4004=I3706)*ISNUMBER(R$5:R$4004)*(R$5:R$4004&gt;R3706))+1)</f>
        <v/>
      </c>
      <c r="T3706" s="32" t="str">
        <f aca="false">IF(S3706="","",IF(S3706&lt;=Setup!$B$5,"🏆 WINNER",""))</f>
        <v/>
      </c>
      <c r="U3706" s="31" t="str">
        <f aca="false">IF(S3706="","",I3706&amp;"|"&amp;S3706)</f>
        <v/>
      </c>
    </row>
    <row r="3707" customFormat="false" ht="15" hidden="false" customHeight="false" outlineLevel="0" collapsed="false">
      <c r="A3707" s="24" t="n">
        <v>3703</v>
      </c>
      <c r="B3707" s="25" t="str">
        <f aca="false">IF(OR(C3707="",I3707="",G3707=""),"",IFERROR(VLOOKUP(I3707,Setup!$A$9:$B$11,2,0),"???")&amp;"-"&amp;G3707&amp;"-"&amp;TEXT(COUNTIFS(I$5:I3707,I3707,G$5:G3707,G3707),"0000"))</f>
        <v/>
      </c>
      <c r="C3707" s="26"/>
      <c r="D3707" s="26"/>
      <c r="E3707" s="27"/>
      <c r="F3707" s="27"/>
      <c r="G3707" s="24" t="str">
        <f aca="false">IF(F3707="","",IF(F3707&lt;=5,"A",IF(F3707&lt;=8,"B",IF(F3707&lt;=10,"C","D"))))</f>
        <v/>
      </c>
      <c r="H3707" s="28"/>
      <c r="I3707" s="27"/>
      <c r="J3707" s="26"/>
      <c r="K3707" s="27"/>
      <c r="L3707" s="27"/>
      <c r="M3707" s="27"/>
      <c r="N3707" s="27"/>
      <c r="O3707" s="24" t="str">
        <f aca="false">IF(G3707="","",VLOOKUP(G3707,Setup!$A$14:$C$17,3,0))</f>
        <v/>
      </c>
      <c r="P3707" s="27"/>
      <c r="Q3707" s="29" t="str">
        <f aca="false">IF(OR(P3707="",M3707&lt;&gt;"Paid",O3707=""),"",P3707/O3707)</f>
        <v/>
      </c>
      <c r="R3707" s="30" t="str">
        <f aca="false">IF(Q3707="","",Q3707+N(H3707)*0.000000001)</f>
        <v/>
      </c>
      <c r="S3707" s="25" t="str">
        <f aca="false">IF(R3707="","",SUMPRODUCT((I$5:I$4004=I3707)*ISNUMBER(R$5:R$4004)*(R$5:R$4004&gt;R3707))+1)</f>
        <v/>
      </c>
      <c r="T3707" s="25" t="str">
        <f aca="false">IF(S3707="","",IF(S3707&lt;=Setup!$B$5,"🏆 WINNER",""))</f>
        <v/>
      </c>
      <c r="U3707" s="24" t="str">
        <f aca="false">IF(S3707="","",I3707&amp;"|"&amp;S3707)</f>
        <v/>
      </c>
    </row>
    <row r="3708" customFormat="false" ht="15" hidden="false" customHeight="false" outlineLevel="0" collapsed="false">
      <c r="A3708" s="31" t="n">
        <v>3704</v>
      </c>
      <c r="B3708" s="32" t="str">
        <f aca="false">IF(OR(C3708="",I3708="",G3708=""),"",IFERROR(VLOOKUP(I3708,Setup!$A$9:$B$11,2,0),"???")&amp;"-"&amp;G3708&amp;"-"&amp;TEXT(COUNTIFS(I$5:I3708,I3708,G$5:G3708,G3708),"0000"))</f>
        <v/>
      </c>
      <c r="C3708" s="26"/>
      <c r="D3708" s="26"/>
      <c r="E3708" s="27"/>
      <c r="F3708" s="27"/>
      <c r="G3708" s="31" t="str">
        <f aca="false">IF(F3708="","",IF(F3708&lt;=5,"A",IF(F3708&lt;=8,"B",IF(F3708&lt;=10,"C","D"))))</f>
        <v/>
      </c>
      <c r="H3708" s="28"/>
      <c r="I3708" s="27"/>
      <c r="J3708" s="26"/>
      <c r="K3708" s="27"/>
      <c r="L3708" s="27"/>
      <c r="M3708" s="27"/>
      <c r="N3708" s="27"/>
      <c r="O3708" s="31" t="str">
        <f aca="false">IF(G3708="","",VLOOKUP(G3708,Setup!$A$14:$C$17,3,0))</f>
        <v/>
      </c>
      <c r="P3708" s="27"/>
      <c r="Q3708" s="33" t="str">
        <f aca="false">IF(OR(P3708="",M3708&lt;&gt;"Paid",O3708=""),"",P3708/O3708)</f>
        <v/>
      </c>
      <c r="R3708" s="34" t="str">
        <f aca="false">IF(Q3708="","",Q3708+N(H3708)*0.000000001)</f>
        <v/>
      </c>
      <c r="S3708" s="32" t="str">
        <f aca="false">IF(R3708="","",SUMPRODUCT((I$5:I$4004=I3708)*ISNUMBER(R$5:R$4004)*(R$5:R$4004&gt;R3708))+1)</f>
        <v/>
      </c>
      <c r="T3708" s="32" t="str">
        <f aca="false">IF(S3708="","",IF(S3708&lt;=Setup!$B$5,"🏆 WINNER",""))</f>
        <v/>
      </c>
      <c r="U3708" s="31" t="str">
        <f aca="false">IF(S3708="","",I3708&amp;"|"&amp;S3708)</f>
        <v/>
      </c>
    </row>
    <row r="3709" customFormat="false" ht="15" hidden="false" customHeight="false" outlineLevel="0" collapsed="false">
      <c r="A3709" s="24" t="n">
        <v>3705</v>
      </c>
      <c r="B3709" s="25" t="str">
        <f aca="false">IF(OR(C3709="",I3709="",G3709=""),"",IFERROR(VLOOKUP(I3709,Setup!$A$9:$B$11,2,0),"???")&amp;"-"&amp;G3709&amp;"-"&amp;TEXT(COUNTIFS(I$5:I3709,I3709,G$5:G3709,G3709),"0000"))</f>
        <v/>
      </c>
      <c r="C3709" s="26"/>
      <c r="D3709" s="26"/>
      <c r="E3709" s="27"/>
      <c r="F3709" s="27"/>
      <c r="G3709" s="24" t="str">
        <f aca="false">IF(F3709="","",IF(F3709&lt;=5,"A",IF(F3709&lt;=8,"B",IF(F3709&lt;=10,"C","D"))))</f>
        <v/>
      </c>
      <c r="H3709" s="28"/>
      <c r="I3709" s="27"/>
      <c r="J3709" s="26"/>
      <c r="K3709" s="27"/>
      <c r="L3709" s="27"/>
      <c r="M3709" s="27"/>
      <c r="N3709" s="27"/>
      <c r="O3709" s="24" t="str">
        <f aca="false">IF(G3709="","",VLOOKUP(G3709,Setup!$A$14:$C$17,3,0))</f>
        <v/>
      </c>
      <c r="P3709" s="27"/>
      <c r="Q3709" s="29" t="str">
        <f aca="false">IF(OR(P3709="",M3709&lt;&gt;"Paid",O3709=""),"",P3709/O3709)</f>
        <v/>
      </c>
      <c r="R3709" s="30" t="str">
        <f aca="false">IF(Q3709="","",Q3709+N(H3709)*0.000000001)</f>
        <v/>
      </c>
      <c r="S3709" s="25" t="str">
        <f aca="false">IF(R3709="","",SUMPRODUCT((I$5:I$4004=I3709)*ISNUMBER(R$5:R$4004)*(R$5:R$4004&gt;R3709))+1)</f>
        <v/>
      </c>
      <c r="T3709" s="25" t="str">
        <f aca="false">IF(S3709="","",IF(S3709&lt;=Setup!$B$5,"🏆 WINNER",""))</f>
        <v/>
      </c>
      <c r="U3709" s="24" t="str">
        <f aca="false">IF(S3709="","",I3709&amp;"|"&amp;S3709)</f>
        <v/>
      </c>
    </row>
    <row r="3710" customFormat="false" ht="15" hidden="false" customHeight="false" outlineLevel="0" collapsed="false">
      <c r="A3710" s="31" t="n">
        <v>3706</v>
      </c>
      <c r="B3710" s="32" t="str">
        <f aca="false">IF(OR(C3710="",I3710="",G3710=""),"",IFERROR(VLOOKUP(I3710,Setup!$A$9:$B$11,2,0),"???")&amp;"-"&amp;G3710&amp;"-"&amp;TEXT(COUNTIFS(I$5:I3710,I3710,G$5:G3710,G3710),"0000"))</f>
        <v/>
      </c>
      <c r="C3710" s="26"/>
      <c r="D3710" s="26"/>
      <c r="E3710" s="27"/>
      <c r="F3710" s="27"/>
      <c r="G3710" s="31" t="str">
        <f aca="false">IF(F3710="","",IF(F3710&lt;=5,"A",IF(F3710&lt;=8,"B",IF(F3710&lt;=10,"C","D"))))</f>
        <v/>
      </c>
      <c r="H3710" s="28"/>
      <c r="I3710" s="27"/>
      <c r="J3710" s="26"/>
      <c r="K3710" s="27"/>
      <c r="L3710" s="27"/>
      <c r="M3710" s="27"/>
      <c r="N3710" s="27"/>
      <c r="O3710" s="31" t="str">
        <f aca="false">IF(G3710="","",VLOOKUP(G3710,Setup!$A$14:$C$17,3,0))</f>
        <v/>
      </c>
      <c r="P3710" s="27"/>
      <c r="Q3710" s="33" t="str">
        <f aca="false">IF(OR(P3710="",M3710&lt;&gt;"Paid",O3710=""),"",P3710/O3710)</f>
        <v/>
      </c>
      <c r="R3710" s="34" t="str">
        <f aca="false">IF(Q3710="","",Q3710+N(H3710)*0.000000001)</f>
        <v/>
      </c>
      <c r="S3710" s="32" t="str">
        <f aca="false">IF(R3710="","",SUMPRODUCT((I$5:I$4004=I3710)*ISNUMBER(R$5:R$4004)*(R$5:R$4004&gt;R3710))+1)</f>
        <v/>
      </c>
      <c r="T3710" s="32" t="str">
        <f aca="false">IF(S3710="","",IF(S3710&lt;=Setup!$B$5,"🏆 WINNER",""))</f>
        <v/>
      </c>
      <c r="U3710" s="31" t="str">
        <f aca="false">IF(S3710="","",I3710&amp;"|"&amp;S3710)</f>
        <v/>
      </c>
    </row>
    <row r="3711" customFormat="false" ht="15" hidden="false" customHeight="false" outlineLevel="0" collapsed="false">
      <c r="A3711" s="24" t="n">
        <v>3707</v>
      </c>
      <c r="B3711" s="25" t="str">
        <f aca="false">IF(OR(C3711="",I3711="",G3711=""),"",IFERROR(VLOOKUP(I3711,Setup!$A$9:$B$11,2,0),"???")&amp;"-"&amp;G3711&amp;"-"&amp;TEXT(COUNTIFS(I$5:I3711,I3711,G$5:G3711,G3711),"0000"))</f>
        <v/>
      </c>
      <c r="C3711" s="26"/>
      <c r="D3711" s="26"/>
      <c r="E3711" s="27"/>
      <c r="F3711" s="27"/>
      <c r="G3711" s="24" t="str">
        <f aca="false">IF(F3711="","",IF(F3711&lt;=5,"A",IF(F3711&lt;=8,"B",IF(F3711&lt;=10,"C","D"))))</f>
        <v/>
      </c>
      <c r="H3711" s="28"/>
      <c r="I3711" s="27"/>
      <c r="J3711" s="26"/>
      <c r="K3711" s="27"/>
      <c r="L3711" s="27"/>
      <c r="M3711" s="27"/>
      <c r="N3711" s="27"/>
      <c r="O3711" s="24" t="str">
        <f aca="false">IF(G3711="","",VLOOKUP(G3711,Setup!$A$14:$C$17,3,0))</f>
        <v/>
      </c>
      <c r="P3711" s="27"/>
      <c r="Q3711" s="29" t="str">
        <f aca="false">IF(OR(P3711="",M3711&lt;&gt;"Paid",O3711=""),"",P3711/O3711)</f>
        <v/>
      </c>
      <c r="R3711" s="30" t="str">
        <f aca="false">IF(Q3711="","",Q3711+N(H3711)*0.000000001)</f>
        <v/>
      </c>
      <c r="S3711" s="25" t="str">
        <f aca="false">IF(R3711="","",SUMPRODUCT((I$5:I$4004=I3711)*ISNUMBER(R$5:R$4004)*(R$5:R$4004&gt;R3711))+1)</f>
        <v/>
      </c>
      <c r="T3711" s="25" t="str">
        <f aca="false">IF(S3711="","",IF(S3711&lt;=Setup!$B$5,"🏆 WINNER",""))</f>
        <v/>
      </c>
      <c r="U3711" s="24" t="str">
        <f aca="false">IF(S3711="","",I3711&amp;"|"&amp;S3711)</f>
        <v/>
      </c>
    </row>
    <row r="3712" customFormat="false" ht="15" hidden="false" customHeight="false" outlineLevel="0" collapsed="false">
      <c r="A3712" s="31" t="n">
        <v>3708</v>
      </c>
      <c r="B3712" s="32" t="str">
        <f aca="false">IF(OR(C3712="",I3712="",G3712=""),"",IFERROR(VLOOKUP(I3712,Setup!$A$9:$B$11,2,0),"???")&amp;"-"&amp;G3712&amp;"-"&amp;TEXT(COUNTIFS(I$5:I3712,I3712,G$5:G3712,G3712),"0000"))</f>
        <v/>
      </c>
      <c r="C3712" s="26"/>
      <c r="D3712" s="26"/>
      <c r="E3712" s="27"/>
      <c r="F3712" s="27"/>
      <c r="G3712" s="31" t="str">
        <f aca="false">IF(F3712="","",IF(F3712&lt;=5,"A",IF(F3712&lt;=8,"B",IF(F3712&lt;=10,"C","D"))))</f>
        <v/>
      </c>
      <c r="H3712" s="28"/>
      <c r="I3712" s="27"/>
      <c r="J3712" s="26"/>
      <c r="K3712" s="27"/>
      <c r="L3712" s="27"/>
      <c r="M3712" s="27"/>
      <c r="N3712" s="27"/>
      <c r="O3712" s="31" t="str">
        <f aca="false">IF(G3712="","",VLOOKUP(G3712,Setup!$A$14:$C$17,3,0))</f>
        <v/>
      </c>
      <c r="P3712" s="27"/>
      <c r="Q3712" s="33" t="str">
        <f aca="false">IF(OR(P3712="",M3712&lt;&gt;"Paid",O3712=""),"",P3712/O3712)</f>
        <v/>
      </c>
      <c r="R3712" s="34" t="str">
        <f aca="false">IF(Q3712="","",Q3712+N(H3712)*0.000000001)</f>
        <v/>
      </c>
      <c r="S3712" s="32" t="str">
        <f aca="false">IF(R3712="","",SUMPRODUCT((I$5:I$4004=I3712)*ISNUMBER(R$5:R$4004)*(R$5:R$4004&gt;R3712))+1)</f>
        <v/>
      </c>
      <c r="T3712" s="32" t="str">
        <f aca="false">IF(S3712="","",IF(S3712&lt;=Setup!$B$5,"🏆 WINNER",""))</f>
        <v/>
      </c>
      <c r="U3712" s="31" t="str">
        <f aca="false">IF(S3712="","",I3712&amp;"|"&amp;S3712)</f>
        <v/>
      </c>
    </row>
    <row r="3713" customFormat="false" ht="15" hidden="false" customHeight="false" outlineLevel="0" collapsed="false">
      <c r="A3713" s="24" t="n">
        <v>3709</v>
      </c>
      <c r="B3713" s="25" t="str">
        <f aca="false">IF(OR(C3713="",I3713="",G3713=""),"",IFERROR(VLOOKUP(I3713,Setup!$A$9:$B$11,2,0),"???")&amp;"-"&amp;G3713&amp;"-"&amp;TEXT(COUNTIFS(I$5:I3713,I3713,G$5:G3713,G3713),"0000"))</f>
        <v/>
      </c>
      <c r="C3713" s="26"/>
      <c r="D3713" s="26"/>
      <c r="E3713" s="27"/>
      <c r="F3713" s="27"/>
      <c r="G3713" s="24" t="str">
        <f aca="false">IF(F3713="","",IF(F3713&lt;=5,"A",IF(F3713&lt;=8,"B",IF(F3713&lt;=10,"C","D"))))</f>
        <v/>
      </c>
      <c r="H3713" s="28"/>
      <c r="I3713" s="27"/>
      <c r="J3713" s="26"/>
      <c r="K3713" s="27"/>
      <c r="L3713" s="27"/>
      <c r="M3713" s="27"/>
      <c r="N3713" s="27"/>
      <c r="O3713" s="24" t="str">
        <f aca="false">IF(G3713="","",VLOOKUP(G3713,Setup!$A$14:$C$17,3,0))</f>
        <v/>
      </c>
      <c r="P3713" s="27"/>
      <c r="Q3713" s="29" t="str">
        <f aca="false">IF(OR(P3713="",M3713&lt;&gt;"Paid",O3713=""),"",P3713/O3713)</f>
        <v/>
      </c>
      <c r="R3713" s="30" t="str">
        <f aca="false">IF(Q3713="","",Q3713+N(H3713)*0.000000001)</f>
        <v/>
      </c>
      <c r="S3713" s="25" t="str">
        <f aca="false">IF(R3713="","",SUMPRODUCT((I$5:I$4004=I3713)*ISNUMBER(R$5:R$4004)*(R$5:R$4004&gt;R3713))+1)</f>
        <v/>
      </c>
      <c r="T3713" s="25" t="str">
        <f aca="false">IF(S3713="","",IF(S3713&lt;=Setup!$B$5,"🏆 WINNER",""))</f>
        <v/>
      </c>
      <c r="U3713" s="24" t="str">
        <f aca="false">IF(S3713="","",I3713&amp;"|"&amp;S3713)</f>
        <v/>
      </c>
    </row>
    <row r="3714" customFormat="false" ht="15" hidden="false" customHeight="false" outlineLevel="0" collapsed="false">
      <c r="A3714" s="31" t="n">
        <v>3710</v>
      </c>
      <c r="B3714" s="32" t="str">
        <f aca="false">IF(OR(C3714="",I3714="",G3714=""),"",IFERROR(VLOOKUP(I3714,Setup!$A$9:$B$11,2,0),"???")&amp;"-"&amp;G3714&amp;"-"&amp;TEXT(COUNTIFS(I$5:I3714,I3714,G$5:G3714,G3714),"0000"))</f>
        <v/>
      </c>
      <c r="C3714" s="26"/>
      <c r="D3714" s="26"/>
      <c r="E3714" s="27"/>
      <c r="F3714" s="27"/>
      <c r="G3714" s="31" t="str">
        <f aca="false">IF(F3714="","",IF(F3714&lt;=5,"A",IF(F3714&lt;=8,"B",IF(F3714&lt;=10,"C","D"))))</f>
        <v/>
      </c>
      <c r="H3714" s="28"/>
      <c r="I3714" s="27"/>
      <c r="J3714" s="26"/>
      <c r="K3714" s="27"/>
      <c r="L3714" s="27"/>
      <c r="M3714" s="27"/>
      <c r="N3714" s="27"/>
      <c r="O3714" s="31" t="str">
        <f aca="false">IF(G3714="","",VLOOKUP(G3714,Setup!$A$14:$C$17,3,0))</f>
        <v/>
      </c>
      <c r="P3714" s="27"/>
      <c r="Q3714" s="33" t="str">
        <f aca="false">IF(OR(P3714="",M3714&lt;&gt;"Paid",O3714=""),"",P3714/O3714)</f>
        <v/>
      </c>
      <c r="R3714" s="34" t="str">
        <f aca="false">IF(Q3714="","",Q3714+N(H3714)*0.000000001)</f>
        <v/>
      </c>
      <c r="S3714" s="32" t="str">
        <f aca="false">IF(R3714="","",SUMPRODUCT((I$5:I$4004=I3714)*ISNUMBER(R$5:R$4004)*(R$5:R$4004&gt;R3714))+1)</f>
        <v/>
      </c>
      <c r="T3714" s="32" t="str">
        <f aca="false">IF(S3714="","",IF(S3714&lt;=Setup!$B$5,"🏆 WINNER",""))</f>
        <v/>
      </c>
      <c r="U3714" s="31" t="str">
        <f aca="false">IF(S3714="","",I3714&amp;"|"&amp;S3714)</f>
        <v/>
      </c>
    </row>
    <row r="3715" customFormat="false" ht="15" hidden="false" customHeight="false" outlineLevel="0" collapsed="false">
      <c r="A3715" s="24" t="n">
        <v>3711</v>
      </c>
      <c r="B3715" s="25" t="str">
        <f aca="false">IF(OR(C3715="",I3715="",G3715=""),"",IFERROR(VLOOKUP(I3715,Setup!$A$9:$B$11,2,0),"???")&amp;"-"&amp;G3715&amp;"-"&amp;TEXT(COUNTIFS(I$5:I3715,I3715,G$5:G3715,G3715),"0000"))</f>
        <v/>
      </c>
      <c r="C3715" s="26"/>
      <c r="D3715" s="26"/>
      <c r="E3715" s="27"/>
      <c r="F3715" s="27"/>
      <c r="G3715" s="24" t="str">
        <f aca="false">IF(F3715="","",IF(F3715&lt;=5,"A",IF(F3715&lt;=8,"B",IF(F3715&lt;=10,"C","D"))))</f>
        <v/>
      </c>
      <c r="H3715" s="28"/>
      <c r="I3715" s="27"/>
      <c r="J3715" s="26"/>
      <c r="K3715" s="27"/>
      <c r="L3715" s="27"/>
      <c r="M3715" s="27"/>
      <c r="N3715" s="27"/>
      <c r="O3715" s="24" t="str">
        <f aca="false">IF(G3715="","",VLOOKUP(G3715,Setup!$A$14:$C$17,3,0))</f>
        <v/>
      </c>
      <c r="P3715" s="27"/>
      <c r="Q3715" s="29" t="str">
        <f aca="false">IF(OR(P3715="",M3715&lt;&gt;"Paid",O3715=""),"",P3715/O3715)</f>
        <v/>
      </c>
      <c r="R3715" s="30" t="str">
        <f aca="false">IF(Q3715="","",Q3715+N(H3715)*0.000000001)</f>
        <v/>
      </c>
      <c r="S3715" s="25" t="str">
        <f aca="false">IF(R3715="","",SUMPRODUCT((I$5:I$4004=I3715)*ISNUMBER(R$5:R$4004)*(R$5:R$4004&gt;R3715))+1)</f>
        <v/>
      </c>
      <c r="T3715" s="25" t="str">
        <f aca="false">IF(S3715="","",IF(S3715&lt;=Setup!$B$5,"🏆 WINNER",""))</f>
        <v/>
      </c>
      <c r="U3715" s="24" t="str">
        <f aca="false">IF(S3715="","",I3715&amp;"|"&amp;S3715)</f>
        <v/>
      </c>
    </row>
    <row r="3716" customFormat="false" ht="15" hidden="false" customHeight="false" outlineLevel="0" collapsed="false">
      <c r="A3716" s="31" t="n">
        <v>3712</v>
      </c>
      <c r="B3716" s="32" t="str">
        <f aca="false">IF(OR(C3716="",I3716="",G3716=""),"",IFERROR(VLOOKUP(I3716,Setup!$A$9:$B$11,2,0),"???")&amp;"-"&amp;G3716&amp;"-"&amp;TEXT(COUNTIFS(I$5:I3716,I3716,G$5:G3716,G3716),"0000"))</f>
        <v/>
      </c>
      <c r="C3716" s="26"/>
      <c r="D3716" s="26"/>
      <c r="E3716" s="27"/>
      <c r="F3716" s="27"/>
      <c r="G3716" s="31" t="str">
        <f aca="false">IF(F3716="","",IF(F3716&lt;=5,"A",IF(F3716&lt;=8,"B",IF(F3716&lt;=10,"C","D"))))</f>
        <v/>
      </c>
      <c r="H3716" s="28"/>
      <c r="I3716" s="27"/>
      <c r="J3716" s="26"/>
      <c r="K3716" s="27"/>
      <c r="L3716" s="27"/>
      <c r="M3716" s="27"/>
      <c r="N3716" s="27"/>
      <c r="O3716" s="31" t="str">
        <f aca="false">IF(G3716="","",VLOOKUP(G3716,Setup!$A$14:$C$17,3,0))</f>
        <v/>
      </c>
      <c r="P3716" s="27"/>
      <c r="Q3716" s="33" t="str">
        <f aca="false">IF(OR(P3716="",M3716&lt;&gt;"Paid",O3716=""),"",P3716/O3716)</f>
        <v/>
      </c>
      <c r="R3716" s="34" t="str">
        <f aca="false">IF(Q3716="","",Q3716+N(H3716)*0.000000001)</f>
        <v/>
      </c>
      <c r="S3716" s="32" t="str">
        <f aca="false">IF(R3716="","",SUMPRODUCT((I$5:I$4004=I3716)*ISNUMBER(R$5:R$4004)*(R$5:R$4004&gt;R3716))+1)</f>
        <v/>
      </c>
      <c r="T3716" s="32" t="str">
        <f aca="false">IF(S3716="","",IF(S3716&lt;=Setup!$B$5,"🏆 WINNER",""))</f>
        <v/>
      </c>
      <c r="U3716" s="31" t="str">
        <f aca="false">IF(S3716="","",I3716&amp;"|"&amp;S3716)</f>
        <v/>
      </c>
    </row>
    <row r="3717" customFormat="false" ht="15" hidden="false" customHeight="false" outlineLevel="0" collapsed="false">
      <c r="A3717" s="24" t="n">
        <v>3713</v>
      </c>
      <c r="B3717" s="25" t="str">
        <f aca="false">IF(OR(C3717="",I3717="",G3717=""),"",IFERROR(VLOOKUP(I3717,Setup!$A$9:$B$11,2,0),"???")&amp;"-"&amp;G3717&amp;"-"&amp;TEXT(COUNTIFS(I$5:I3717,I3717,G$5:G3717,G3717),"0000"))</f>
        <v/>
      </c>
      <c r="C3717" s="26"/>
      <c r="D3717" s="26"/>
      <c r="E3717" s="27"/>
      <c r="F3717" s="27"/>
      <c r="G3717" s="24" t="str">
        <f aca="false">IF(F3717="","",IF(F3717&lt;=5,"A",IF(F3717&lt;=8,"B",IF(F3717&lt;=10,"C","D"))))</f>
        <v/>
      </c>
      <c r="H3717" s="28"/>
      <c r="I3717" s="27"/>
      <c r="J3717" s="26"/>
      <c r="K3717" s="27"/>
      <c r="L3717" s="27"/>
      <c r="M3717" s="27"/>
      <c r="N3717" s="27"/>
      <c r="O3717" s="24" t="str">
        <f aca="false">IF(G3717="","",VLOOKUP(G3717,Setup!$A$14:$C$17,3,0))</f>
        <v/>
      </c>
      <c r="P3717" s="27"/>
      <c r="Q3717" s="29" t="str">
        <f aca="false">IF(OR(P3717="",M3717&lt;&gt;"Paid",O3717=""),"",P3717/O3717)</f>
        <v/>
      </c>
      <c r="R3717" s="30" t="str">
        <f aca="false">IF(Q3717="","",Q3717+N(H3717)*0.000000001)</f>
        <v/>
      </c>
      <c r="S3717" s="25" t="str">
        <f aca="false">IF(R3717="","",SUMPRODUCT((I$5:I$4004=I3717)*ISNUMBER(R$5:R$4004)*(R$5:R$4004&gt;R3717))+1)</f>
        <v/>
      </c>
      <c r="T3717" s="25" t="str">
        <f aca="false">IF(S3717="","",IF(S3717&lt;=Setup!$B$5,"🏆 WINNER",""))</f>
        <v/>
      </c>
      <c r="U3717" s="24" t="str">
        <f aca="false">IF(S3717="","",I3717&amp;"|"&amp;S3717)</f>
        <v/>
      </c>
    </row>
    <row r="3718" customFormat="false" ht="15" hidden="false" customHeight="false" outlineLevel="0" collapsed="false">
      <c r="A3718" s="31" t="n">
        <v>3714</v>
      </c>
      <c r="B3718" s="32" t="str">
        <f aca="false">IF(OR(C3718="",I3718="",G3718=""),"",IFERROR(VLOOKUP(I3718,Setup!$A$9:$B$11,2,0),"???")&amp;"-"&amp;G3718&amp;"-"&amp;TEXT(COUNTIFS(I$5:I3718,I3718,G$5:G3718,G3718),"0000"))</f>
        <v/>
      </c>
      <c r="C3718" s="26"/>
      <c r="D3718" s="26"/>
      <c r="E3718" s="27"/>
      <c r="F3718" s="27"/>
      <c r="G3718" s="31" t="str">
        <f aca="false">IF(F3718="","",IF(F3718&lt;=5,"A",IF(F3718&lt;=8,"B",IF(F3718&lt;=10,"C","D"))))</f>
        <v/>
      </c>
      <c r="H3718" s="28"/>
      <c r="I3718" s="27"/>
      <c r="J3718" s="26"/>
      <c r="K3718" s="27"/>
      <c r="L3718" s="27"/>
      <c r="M3718" s="27"/>
      <c r="N3718" s="27"/>
      <c r="O3718" s="31" t="str">
        <f aca="false">IF(G3718="","",VLOOKUP(G3718,Setup!$A$14:$C$17,3,0))</f>
        <v/>
      </c>
      <c r="P3718" s="27"/>
      <c r="Q3718" s="33" t="str">
        <f aca="false">IF(OR(P3718="",M3718&lt;&gt;"Paid",O3718=""),"",P3718/O3718)</f>
        <v/>
      </c>
      <c r="R3718" s="34" t="str">
        <f aca="false">IF(Q3718="","",Q3718+N(H3718)*0.000000001)</f>
        <v/>
      </c>
      <c r="S3718" s="32" t="str">
        <f aca="false">IF(R3718="","",SUMPRODUCT((I$5:I$4004=I3718)*ISNUMBER(R$5:R$4004)*(R$5:R$4004&gt;R3718))+1)</f>
        <v/>
      </c>
      <c r="T3718" s="32" t="str">
        <f aca="false">IF(S3718="","",IF(S3718&lt;=Setup!$B$5,"🏆 WINNER",""))</f>
        <v/>
      </c>
      <c r="U3718" s="31" t="str">
        <f aca="false">IF(S3718="","",I3718&amp;"|"&amp;S3718)</f>
        <v/>
      </c>
    </row>
    <row r="3719" customFormat="false" ht="15" hidden="false" customHeight="false" outlineLevel="0" collapsed="false">
      <c r="A3719" s="24" t="n">
        <v>3715</v>
      </c>
      <c r="B3719" s="25" t="str">
        <f aca="false">IF(OR(C3719="",I3719="",G3719=""),"",IFERROR(VLOOKUP(I3719,Setup!$A$9:$B$11,2,0),"???")&amp;"-"&amp;G3719&amp;"-"&amp;TEXT(COUNTIFS(I$5:I3719,I3719,G$5:G3719,G3719),"0000"))</f>
        <v/>
      </c>
      <c r="C3719" s="26"/>
      <c r="D3719" s="26"/>
      <c r="E3719" s="27"/>
      <c r="F3719" s="27"/>
      <c r="G3719" s="24" t="str">
        <f aca="false">IF(F3719="","",IF(F3719&lt;=5,"A",IF(F3719&lt;=8,"B",IF(F3719&lt;=10,"C","D"))))</f>
        <v/>
      </c>
      <c r="H3719" s="28"/>
      <c r="I3719" s="27"/>
      <c r="J3719" s="26"/>
      <c r="K3719" s="27"/>
      <c r="L3719" s="27"/>
      <c r="M3719" s="27"/>
      <c r="N3719" s="27"/>
      <c r="O3719" s="24" t="str">
        <f aca="false">IF(G3719="","",VLOOKUP(G3719,Setup!$A$14:$C$17,3,0))</f>
        <v/>
      </c>
      <c r="P3719" s="27"/>
      <c r="Q3719" s="29" t="str">
        <f aca="false">IF(OR(P3719="",M3719&lt;&gt;"Paid",O3719=""),"",P3719/O3719)</f>
        <v/>
      </c>
      <c r="R3719" s="30" t="str">
        <f aca="false">IF(Q3719="","",Q3719+N(H3719)*0.000000001)</f>
        <v/>
      </c>
      <c r="S3719" s="25" t="str">
        <f aca="false">IF(R3719="","",SUMPRODUCT((I$5:I$4004=I3719)*ISNUMBER(R$5:R$4004)*(R$5:R$4004&gt;R3719))+1)</f>
        <v/>
      </c>
      <c r="T3719" s="25" t="str">
        <f aca="false">IF(S3719="","",IF(S3719&lt;=Setup!$B$5,"🏆 WINNER",""))</f>
        <v/>
      </c>
      <c r="U3719" s="24" t="str">
        <f aca="false">IF(S3719="","",I3719&amp;"|"&amp;S3719)</f>
        <v/>
      </c>
    </row>
    <row r="3720" customFormat="false" ht="15" hidden="false" customHeight="false" outlineLevel="0" collapsed="false">
      <c r="A3720" s="31" t="n">
        <v>3716</v>
      </c>
      <c r="B3720" s="32" t="str">
        <f aca="false">IF(OR(C3720="",I3720="",G3720=""),"",IFERROR(VLOOKUP(I3720,Setup!$A$9:$B$11,2,0),"???")&amp;"-"&amp;G3720&amp;"-"&amp;TEXT(COUNTIFS(I$5:I3720,I3720,G$5:G3720,G3720),"0000"))</f>
        <v/>
      </c>
      <c r="C3720" s="26"/>
      <c r="D3720" s="26"/>
      <c r="E3720" s="27"/>
      <c r="F3720" s="27"/>
      <c r="G3720" s="31" t="str">
        <f aca="false">IF(F3720="","",IF(F3720&lt;=5,"A",IF(F3720&lt;=8,"B",IF(F3720&lt;=10,"C","D"))))</f>
        <v/>
      </c>
      <c r="H3720" s="28"/>
      <c r="I3720" s="27"/>
      <c r="J3720" s="26"/>
      <c r="K3720" s="27"/>
      <c r="L3720" s="27"/>
      <c r="M3720" s="27"/>
      <c r="N3720" s="27"/>
      <c r="O3720" s="31" t="str">
        <f aca="false">IF(G3720="","",VLOOKUP(G3720,Setup!$A$14:$C$17,3,0))</f>
        <v/>
      </c>
      <c r="P3720" s="27"/>
      <c r="Q3720" s="33" t="str">
        <f aca="false">IF(OR(P3720="",M3720&lt;&gt;"Paid",O3720=""),"",P3720/O3720)</f>
        <v/>
      </c>
      <c r="R3720" s="34" t="str">
        <f aca="false">IF(Q3720="","",Q3720+N(H3720)*0.000000001)</f>
        <v/>
      </c>
      <c r="S3720" s="32" t="str">
        <f aca="false">IF(R3720="","",SUMPRODUCT((I$5:I$4004=I3720)*ISNUMBER(R$5:R$4004)*(R$5:R$4004&gt;R3720))+1)</f>
        <v/>
      </c>
      <c r="T3720" s="32" t="str">
        <f aca="false">IF(S3720="","",IF(S3720&lt;=Setup!$B$5,"🏆 WINNER",""))</f>
        <v/>
      </c>
      <c r="U3720" s="31" t="str">
        <f aca="false">IF(S3720="","",I3720&amp;"|"&amp;S3720)</f>
        <v/>
      </c>
    </row>
    <row r="3721" customFormat="false" ht="15" hidden="false" customHeight="false" outlineLevel="0" collapsed="false">
      <c r="A3721" s="24" t="n">
        <v>3717</v>
      </c>
      <c r="B3721" s="25" t="str">
        <f aca="false">IF(OR(C3721="",I3721="",G3721=""),"",IFERROR(VLOOKUP(I3721,Setup!$A$9:$B$11,2,0),"???")&amp;"-"&amp;G3721&amp;"-"&amp;TEXT(COUNTIFS(I$5:I3721,I3721,G$5:G3721,G3721),"0000"))</f>
        <v/>
      </c>
      <c r="C3721" s="26"/>
      <c r="D3721" s="26"/>
      <c r="E3721" s="27"/>
      <c r="F3721" s="27"/>
      <c r="G3721" s="24" t="str">
        <f aca="false">IF(F3721="","",IF(F3721&lt;=5,"A",IF(F3721&lt;=8,"B",IF(F3721&lt;=10,"C","D"))))</f>
        <v/>
      </c>
      <c r="H3721" s="28"/>
      <c r="I3721" s="27"/>
      <c r="J3721" s="26"/>
      <c r="K3721" s="27"/>
      <c r="L3721" s="27"/>
      <c r="M3721" s="27"/>
      <c r="N3721" s="27"/>
      <c r="O3721" s="24" t="str">
        <f aca="false">IF(G3721="","",VLOOKUP(G3721,Setup!$A$14:$C$17,3,0))</f>
        <v/>
      </c>
      <c r="P3721" s="27"/>
      <c r="Q3721" s="29" t="str">
        <f aca="false">IF(OR(P3721="",M3721&lt;&gt;"Paid",O3721=""),"",P3721/O3721)</f>
        <v/>
      </c>
      <c r="R3721" s="30" t="str">
        <f aca="false">IF(Q3721="","",Q3721+N(H3721)*0.000000001)</f>
        <v/>
      </c>
      <c r="S3721" s="25" t="str">
        <f aca="false">IF(R3721="","",SUMPRODUCT((I$5:I$4004=I3721)*ISNUMBER(R$5:R$4004)*(R$5:R$4004&gt;R3721))+1)</f>
        <v/>
      </c>
      <c r="T3721" s="25" t="str">
        <f aca="false">IF(S3721="","",IF(S3721&lt;=Setup!$B$5,"🏆 WINNER",""))</f>
        <v/>
      </c>
      <c r="U3721" s="24" t="str">
        <f aca="false">IF(S3721="","",I3721&amp;"|"&amp;S3721)</f>
        <v/>
      </c>
    </row>
    <row r="3722" customFormat="false" ht="15" hidden="false" customHeight="false" outlineLevel="0" collapsed="false">
      <c r="A3722" s="31" t="n">
        <v>3718</v>
      </c>
      <c r="B3722" s="32" t="str">
        <f aca="false">IF(OR(C3722="",I3722="",G3722=""),"",IFERROR(VLOOKUP(I3722,Setup!$A$9:$B$11,2,0),"???")&amp;"-"&amp;G3722&amp;"-"&amp;TEXT(COUNTIFS(I$5:I3722,I3722,G$5:G3722,G3722),"0000"))</f>
        <v/>
      </c>
      <c r="C3722" s="26"/>
      <c r="D3722" s="26"/>
      <c r="E3722" s="27"/>
      <c r="F3722" s="27"/>
      <c r="G3722" s="31" t="str">
        <f aca="false">IF(F3722="","",IF(F3722&lt;=5,"A",IF(F3722&lt;=8,"B",IF(F3722&lt;=10,"C","D"))))</f>
        <v/>
      </c>
      <c r="H3722" s="28"/>
      <c r="I3722" s="27"/>
      <c r="J3722" s="26"/>
      <c r="K3722" s="27"/>
      <c r="L3722" s="27"/>
      <c r="M3722" s="27"/>
      <c r="N3722" s="27"/>
      <c r="O3722" s="31" t="str">
        <f aca="false">IF(G3722="","",VLOOKUP(G3722,Setup!$A$14:$C$17,3,0))</f>
        <v/>
      </c>
      <c r="P3722" s="27"/>
      <c r="Q3722" s="33" t="str">
        <f aca="false">IF(OR(P3722="",M3722&lt;&gt;"Paid",O3722=""),"",P3722/O3722)</f>
        <v/>
      </c>
      <c r="R3722" s="34" t="str">
        <f aca="false">IF(Q3722="","",Q3722+N(H3722)*0.000000001)</f>
        <v/>
      </c>
      <c r="S3722" s="32" t="str">
        <f aca="false">IF(R3722="","",SUMPRODUCT((I$5:I$4004=I3722)*ISNUMBER(R$5:R$4004)*(R$5:R$4004&gt;R3722))+1)</f>
        <v/>
      </c>
      <c r="T3722" s="32" t="str">
        <f aca="false">IF(S3722="","",IF(S3722&lt;=Setup!$B$5,"🏆 WINNER",""))</f>
        <v/>
      </c>
      <c r="U3722" s="31" t="str">
        <f aca="false">IF(S3722="","",I3722&amp;"|"&amp;S3722)</f>
        <v/>
      </c>
    </row>
    <row r="3723" customFormat="false" ht="15" hidden="false" customHeight="false" outlineLevel="0" collapsed="false">
      <c r="A3723" s="24" t="n">
        <v>3719</v>
      </c>
      <c r="B3723" s="25" t="str">
        <f aca="false">IF(OR(C3723="",I3723="",G3723=""),"",IFERROR(VLOOKUP(I3723,Setup!$A$9:$B$11,2,0),"???")&amp;"-"&amp;G3723&amp;"-"&amp;TEXT(COUNTIFS(I$5:I3723,I3723,G$5:G3723,G3723),"0000"))</f>
        <v/>
      </c>
      <c r="C3723" s="26"/>
      <c r="D3723" s="26"/>
      <c r="E3723" s="27"/>
      <c r="F3723" s="27"/>
      <c r="G3723" s="24" t="str">
        <f aca="false">IF(F3723="","",IF(F3723&lt;=5,"A",IF(F3723&lt;=8,"B",IF(F3723&lt;=10,"C","D"))))</f>
        <v/>
      </c>
      <c r="H3723" s="28"/>
      <c r="I3723" s="27"/>
      <c r="J3723" s="26"/>
      <c r="K3723" s="27"/>
      <c r="L3723" s="27"/>
      <c r="M3723" s="27"/>
      <c r="N3723" s="27"/>
      <c r="O3723" s="24" t="str">
        <f aca="false">IF(G3723="","",VLOOKUP(G3723,Setup!$A$14:$C$17,3,0))</f>
        <v/>
      </c>
      <c r="P3723" s="27"/>
      <c r="Q3723" s="29" t="str">
        <f aca="false">IF(OR(P3723="",M3723&lt;&gt;"Paid",O3723=""),"",P3723/O3723)</f>
        <v/>
      </c>
      <c r="R3723" s="30" t="str">
        <f aca="false">IF(Q3723="","",Q3723+N(H3723)*0.000000001)</f>
        <v/>
      </c>
      <c r="S3723" s="25" t="str">
        <f aca="false">IF(R3723="","",SUMPRODUCT((I$5:I$4004=I3723)*ISNUMBER(R$5:R$4004)*(R$5:R$4004&gt;R3723))+1)</f>
        <v/>
      </c>
      <c r="T3723" s="25" t="str">
        <f aca="false">IF(S3723="","",IF(S3723&lt;=Setup!$B$5,"🏆 WINNER",""))</f>
        <v/>
      </c>
      <c r="U3723" s="24" t="str">
        <f aca="false">IF(S3723="","",I3723&amp;"|"&amp;S3723)</f>
        <v/>
      </c>
    </row>
    <row r="3724" customFormat="false" ht="15" hidden="false" customHeight="false" outlineLevel="0" collapsed="false">
      <c r="A3724" s="31" t="n">
        <v>3720</v>
      </c>
      <c r="B3724" s="32" t="str">
        <f aca="false">IF(OR(C3724="",I3724="",G3724=""),"",IFERROR(VLOOKUP(I3724,Setup!$A$9:$B$11,2,0),"???")&amp;"-"&amp;G3724&amp;"-"&amp;TEXT(COUNTIFS(I$5:I3724,I3724,G$5:G3724,G3724),"0000"))</f>
        <v/>
      </c>
      <c r="C3724" s="26"/>
      <c r="D3724" s="26"/>
      <c r="E3724" s="27"/>
      <c r="F3724" s="27"/>
      <c r="G3724" s="31" t="str">
        <f aca="false">IF(F3724="","",IF(F3724&lt;=5,"A",IF(F3724&lt;=8,"B",IF(F3724&lt;=10,"C","D"))))</f>
        <v/>
      </c>
      <c r="H3724" s="28"/>
      <c r="I3724" s="27"/>
      <c r="J3724" s="26"/>
      <c r="K3724" s="27"/>
      <c r="L3724" s="27"/>
      <c r="M3724" s="27"/>
      <c r="N3724" s="27"/>
      <c r="O3724" s="31" t="str">
        <f aca="false">IF(G3724="","",VLOOKUP(G3724,Setup!$A$14:$C$17,3,0))</f>
        <v/>
      </c>
      <c r="P3724" s="27"/>
      <c r="Q3724" s="33" t="str">
        <f aca="false">IF(OR(P3724="",M3724&lt;&gt;"Paid",O3724=""),"",P3724/O3724)</f>
        <v/>
      </c>
      <c r="R3724" s="34" t="str">
        <f aca="false">IF(Q3724="","",Q3724+N(H3724)*0.000000001)</f>
        <v/>
      </c>
      <c r="S3724" s="32" t="str">
        <f aca="false">IF(R3724="","",SUMPRODUCT((I$5:I$4004=I3724)*ISNUMBER(R$5:R$4004)*(R$5:R$4004&gt;R3724))+1)</f>
        <v/>
      </c>
      <c r="T3724" s="32" t="str">
        <f aca="false">IF(S3724="","",IF(S3724&lt;=Setup!$B$5,"🏆 WINNER",""))</f>
        <v/>
      </c>
      <c r="U3724" s="31" t="str">
        <f aca="false">IF(S3724="","",I3724&amp;"|"&amp;S3724)</f>
        <v/>
      </c>
    </row>
    <row r="3725" customFormat="false" ht="15" hidden="false" customHeight="false" outlineLevel="0" collapsed="false">
      <c r="A3725" s="24" t="n">
        <v>3721</v>
      </c>
      <c r="B3725" s="25" t="str">
        <f aca="false">IF(OR(C3725="",I3725="",G3725=""),"",IFERROR(VLOOKUP(I3725,Setup!$A$9:$B$11,2,0),"???")&amp;"-"&amp;G3725&amp;"-"&amp;TEXT(COUNTIFS(I$5:I3725,I3725,G$5:G3725,G3725),"0000"))</f>
        <v/>
      </c>
      <c r="C3725" s="26"/>
      <c r="D3725" s="26"/>
      <c r="E3725" s="27"/>
      <c r="F3725" s="27"/>
      <c r="G3725" s="24" t="str">
        <f aca="false">IF(F3725="","",IF(F3725&lt;=5,"A",IF(F3725&lt;=8,"B",IF(F3725&lt;=10,"C","D"))))</f>
        <v/>
      </c>
      <c r="H3725" s="28"/>
      <c r="I3725" s="27"/>
      <c r="J3725" s="26"/>
      <c r="K3725" s="27"/>
      <c r="L3725" s="27"/>
      <c r="M3725" s="27"/>
      <c r="N3725" s="27"/>
      <c r="O3725" s="24" t="str">
        <f aca="false">IF(G3725="","",VLOOKUP(G3725,Setup!$A$14:$C$17,3,0))</f>
        <v/>
      </c>
      <c r="P3725" s="27"/>
      <c r="Q3725" s="29" t="str">
        <f aca="false">IF(OR(P3725="",M3725&lt;&gt;"Paid",O3725=""),"",P3725/O3725)</f>
        <v/>
      </c>
      <c r="R3725" s="30" t="str">
        <f aca="false">IF(Q3725="","",Q3725+N(H3725)*0.000000001)</f>
        <v/>
      </c>
      <c r="S3725" s="25" t="str">
        <f aca="false">IF(R3725="","",SUMPRODUCT((I$5:I$4004=I3725)*ISNUMBER(R$5:R$4004)*(R$5:R$4004&gt;R3725))+1)</f>
        <v/>
      </c>
      <c r="T3725" s="25" t="str">
        <f aca="false">IF(S3725="","",IF(S3725&lt;=Setup!$B$5,"🏆 WINNER",""))</f>
        <v/>
      </c>
      <c r="U3725" s="24" t="str">
        <f aca="false">IF(S3725="","",I3725&amp;"|"&amp;S3725)</f>
        <v/>
      </c>
    </row>
    <row r="3726" customFormat="false" ht="15" hidden="false" customHeight="false" outlineLevel="0" collapsed="false">
      <c r="A3726" s="31" t="n">
        <v>3722</v>
      </c>
      <c r="B3726" s="32" t="str">
        <f aca="false">IF(OR(C3726="",I3726="",G3726=""),"",IFERROR(VLOOKUP(I3726,Setup!$A$9:$B$11,2,0),"???")&amp;"-"&amp;G3726&amp;"-"&amp;TEXT(COUNTIFS(I$5:I3726,I3726,G$5:G3726,G3726),"0000"))</f>
        <v/>
      </c>
      <c r="C3726" s="26"/>
      <c r="D3726" s="26"/>
      <c r="E3726" s="27"/>
      <c r="F3726" s="27"/>
      <c r="G3726" s="31" t="str">
        <f aca="false">IF(F3726="","",IF(F3726&lt;=5,"A",IF(F3726&lt;=8,"B",IF(F3726&lt;=10,"C","D"))))</f>
        <v/>
      </c>
      <c r="H3726" s="28"/>
      <c r="I3726" s="27"/>
      <c r="J3726" s="26"/>
      <c r="K3726" s="27"/>
      <c r="L3726" s="27"/>
      <c r="M3726" s="27"/>
      <c r="N3726" s="27"/>
      <c r="O3726" s="31" t="str">
        <f aca="false">IF(G3726="","",VLOOKUP(G3726,Setup!$A$14:$C$17,3,0))</f>
        <v/>
      </c>
      <c r="P3726" s="27"/>
      <c r="Q3726" s="33" t="str">
        <f aca="false">IF(OR(P3726="",M3726&lt;&gt;"Paid",O3726=""),"",P3726/O3726)</f>
        <v/>
      </c>
      <c r="R3726" s="34" t="str">
        <f aca="false">IF(Q3726="","",Q3726+N(H3726)*0.000000001)</f>
        <v/>
      </c>
      <c r="S3726" s="32" t="str">
        <f aca="false">IF(R3726="","",SUMPRODUCT((I$5:I$4004=I3726)*ISNUMBER(R$5:R$4004)*(R$5:R$4004&gt;R3726))+1)</f>
        <v/>
      </c>
      <c r="T3726" s="32" t="str">
        <f aca="false">IF(S3726="","",IF(S3726&lt;=Setup!$B$5,"🏆 WINNER",""))</f>
        <v/>
      </c>
      <c r="U3726" s="31" t="str">
        <f aca="false">IF(S3726="","",I3726&amp;"|"&amp;S3726)</f>
        <v/>
      </c>
    </row>
    <row r="3727" customFormat="false" ht="15" hidden="false" customHeight="false" outlineLevel="0" collapsed="false">
      <c r="A3727" s="24" t="n">
        <v>3723</v>
      </c>
      <c r="B3727" s="25" t="str">
        <f aca="false">IF(OR(C3727="",I3727="",G3727=""),"",IFERROR(VLOOKUP(I3727,Setup!$A$9:$B$11,2,0),"???")&amp;"-"&amp;G3727&amp;"-"&amp;TEXT(COUNTIFS(I$5:I3727,I3727,G$5:G3727,G3727),"0000"))</f>
        <v/>
      </c>
      <c r="C3727" s="26"/>
      <c r="D3727" s="26"/>
      <c r="E3727" s="27"/>
      <c r="F3727" s="27"/>
      <c r="G3727" s="24" t="str">
        <f aca="false">IF(F3727="","",IF(F3727&lt;=5,"A",IF(F3727&lt;=8,"B",IF(F3727&lt;=10,"C","D"))))</f>
        <v/>
      </c>
      <c r="H3727" s="28"/>
      <c r="I3727" s="27"/>
      <c r="J3727" s="26"/>
      <c r="K3727" s="27"/>
      <c r="L3727" s="27"/>
      <c r="M3727" s="27"/>
      <c r="N3727" s="27"/>
      <c r="O3727" s="24" t="str">
        <f aca="false">IF(G3727="","",VLOOKUP(G3727,Setup!$A$14:$C$17,3,0))</f>
        <v/>
      </c>
      <c r="P3727" s="27"/>
      <c r="Q3727" s="29" t="str">
        <f aca="false">IF(OR(P3727="",M3727&lt;&gt;"Paid",O3727=""),"",P3727/O3727)</f>
        <v/>
      </c>
      <c r="R3727" s="30" t="str">
        <f aca="false">IF(Q3727="","",Q3727+N(H3727)*0.000000001)</f>
        <v/>
      </c>
      <c r="S3727" s="25" t="str">
        <f aca="false">IF(R3727="","",SUMPRODUCT((I$5:I$4004=I3727)*ISNUMBER(R$5:R$4004)*(R$5:R$4004&gt;R3727))+1)</f>
        <v/>
      </c>
      <c r="T3727" s="25" t="str">
        <f aca="false">IF(S3727="","",IF(S3727&lt;=Setup!$B$5,"🏆 WINNER",""))</f>
        <v/>
      </c>
      <c r="U3727" s="24" t="str">
        <f aca="false">IF(S3727="","",I3727&amp;"|"&amp;S3727)</f>
        <v/>
      </c>
    </row>
    <row r="3728" customFormat="false" ht="15" hidden="false" customHeight="false" outlineLevel="0" collapsed="false">
      <c r="A3728" s="31" t="n">
        <v>3724</v>
      </c>
      <c r="B3728" s="32" t="str">
        <f aca="false">IF(OR(C3728="",I3728="",G3728=""),"",IFERROR(VLOOKUP(I3728,Setup!$A$9:$B$11,2,0),"???")&amp;"-"&amp;G3728&amp;"-"&amp;TEXT(COUNTIFS(I$5:I3728,I3728,G$5:G3728,G3728),"0000"))</f>
        <v/>
      </c>
      <c r="C3728" s="26"/>
      <c r="D3728" s="26"/>
      <c r="E3728" s="27"/>
      <c r="F3728" s="27"/>
      <c r="G3728" s="31" t="str">
        <f aca="false">IF(F3728="","",IF(F3728&lt;=5,"A",IF(F3728&lt;=8,"B",IF(F3728&lt;=10,"C","D"))))</f>
        <v/>
      </c>
      <c r="H3728" s="28"/>
      <c r="I3728" s="27"/>
      <c r="J3728" s="26"/>
      <c r="K3728" s="27"/>
      <c r="L3728" s="27"/>
      <c r="M3728" s="27"/>
      <c r="N3728" s="27"/>
      <c r="O3728" s="31" t="str">
        <f aca="false">IF(G3728="","",VLOOKUP(G3728,Setup!$A$14:$C$17,3,0))</f>
        <v/>
      </c>
      <c r="P3728" s="27"/>
      <c r="Q3728" s="33" t="str">
        <f aca="false">IF(OR(P3728="",M3728&lt;&gt;"Paid",O3728=""),"",P3728/O3728)</f>
        <v/>
      </c>
      <c r="R3728" s="34" t="str">
        <f aca="false">IF(Q3728="","",Q3728+N(H3728)*0.000000001)</f>
        <v/>
      </c>
      <c r="S3728" s="32" t="str">
        <f aca="false">IF(R3728="","",SUMPRODUCT((I$5:I$4004=I3728)*ISNUMBER(R$5:R$4004)*(R$5:R$4004&gt;R3728))+1)</f>
        <v/>
      </c>
      <c r="T3728" s="32" t="str">
        <f aca="false">IF(S3728="","",IF(S3728&lt;=Setup!$B$5,"🏆 WINNER",""))</f>
        <v/>
      </c>
      <c r="U3728" s="31" t="str">
        <f aca="false">IF(S3728="","",I3728&amp;"|"&amp;S3728)</f>
        <v/>
      </c>
    </row>
    <row r="3729" customFormat="false" ht="15" hidden="false" customHeight="false" outlineLevel="0" collapsed="false">
      <c r="A3729" s="24" t="n">
        <v>3725</v>
      </c>
      <c r="B3729" s="25" t="str">
        <f aca="false">IF(OR(C3729="",I3729="",G3729=""),"",IFERROR(VLOOKUP(I3729,Setup!$A$9:$B$11,2,0),"???")&amp;"-"&amp;G3729&amp;"-"&amp;TEXT(COUNTIFS(I$5:I3729,I3729,G$5:G3729,G3729),"0000"))</f>
        <v/>
      </c>
      <c r="C3729" s="26"/>
      <c r="D3729" s="26"/>
      <c r="E3729" s="27"/>
      <c r="F3729" s="27"/>
      <c r="G3729" s="24" t="str">
        <f aca="false">IF(F3729="","",IF(F3729&lt;=5,"A",IF(F3729&lt;=8,"B",IF(F3729&lt;=10,"C","D"))))</f>
        <v/>
      </c>
      <c r="H3729" s="28"/>
      <c r="I3729" s="27"/>
      <c r="J3729" s="26"/>
      <c r="K3729" s="27"/>
      <c r="L3729" s="27"/>
      <c r="M3729" s="27"/>
      <c r="N3729" s="27"/>
      <c r="O3729" s="24" t="str">
        <f aca="false">IF(G3729="","",VLOOKUP(G3729,Setup!$A$14:$C$17,3,0))</f>
        <v/>
      </c>
      <c r="P3729" s="27"/>
      <c r="Q3729" s="29" t="str">
        <f aca="false">IF(OR(P3729="",M3729&lt;&gt;"Paid",O3729=""),"",P3729/O3729)</f>
        <v/>
      </c>
      <c r="R3729" s="30" t="str">
        <f aca="false">IF(Q3729="","",Q3729+N(H3729)*0.000000001)</f>
        <v/>
      </c>
      <c r="S3729" s="25" t="str">
        <f aca="false">IF(R3729="","",SUMPRODUCT((I$5:I$4004=I3729)*ISNUMBER(R$5:R$4004)*(R$5:R$4004&gt;R3729))+1)</f>
        <v/>
      </c>
      <c r="T3729" s="25" t="str">
        <f aca="false">IF(S3729="","",IF(S3729&lt;=Setup!$B$5,"🏆 WINNER",""))</f>
        <v/>
      </c>
      <c r="U3729" s="24" t="str">
        <f aca="false">IF(S3729="","",I3729&amp;"|"&amp;S3729)</f>
        <v/>
      </c>
    </row>
    <row r="3730" customFormat="false" ht="15" hidden="false" customHeight="false" outlineLevel="0" collapsed="false">
      <c r="A3730" s="31" t="n">
        <v>3726</v>
      </c>
      <c r="B3730" s="32" t="str">
        <f aca="false">IF(OR(C3730="",I3730="",G3730=""),"",IFERROR(VLOOKUP(I3730,Setup!$A$9:$B$11,2,0),"???")&amp;"-"&amp;G3730&amp;"-"&amp;TEXT(COUNTIFS(I$5:I3730,I3730,G$5:G3730,G3730),"0000"))</f>
        <v/>
      </c>
      <c r="C3730" s="26"/>
      <c r="D3730" s="26"/>
      <c r="E3730" s="27"/>
      <c r="F3730" s="27"/>
      <c r="G3730" s="31" t="str">
        <f aca="false">IF(F3730="","",IF(F3730&lt;=5,"A",IF(F3730&lt;=8,"B",IF(F3730&lt;=10,"C","D"))))</f>
        <v/>
      </c>
      <c r="H3730" s="28"/>
      <c r="I3730" s="27"/>
      <c r="J3730" s="26"/>
      <c r="K3730" s="27"/>
      <c r="L3730" s="27"/>
      <c r="M3730" s="27"/>
      <c r="N3730" s="27"/>
      <c r="O3730" s="31" t="str">
        <f aca="false">IF(G3730="","",VLOOKUP(G3730,Setup!$A$14:$C$17,3,0))</f>
        <v/>
      </c>
      <c r="P3730" s="27"/>
      <c r="Q3730" s="33" t="str">
        <f aca="false">IF(OR(P3730="",M3730&lt;&gt;"Paid",O3730=""),"",P3730/O3730)</f>
        <v/>
      </c>
      <c r="R3730" s="34" t="str">
        <f aca="false">IF(Q3730="","",Q3730+N(H3730)*0.000000001)</f>
        <v/>
      </c>
      <c r="S3730" s="32" t="str">
        <f aca="false">IF(R3730="","",SUMPRODUCT((I$5:I$4004=I3730)*ISNUMBER(R$5:R$4004)*(R$5:R$4004&gt;R3730))+1)</f>
        <v/>
      </c>
      <c r="T3730" s="32" t="str">
        <f aca="false">IF(S3730="","",IF(S3730&lt;=Setup!$B$5,"🏆 WINNER",""))</f>
        <v/>
      </c>
      <c r="U3730" s="31" t="str">
        <f aca="false">IF(S3730="","",I3730&amp;"|"&amp;S3730)</f>
        <v/>
      </c>
    </row>
    <row r="3731" customFormat="false" ht="15" hidden="false" customHeight="false" outlineLevel="0" collapsed="false">
      <c r="A3731" s="24" t="n">
        <v>3727</v>
      </c>
      <c r="B3731" s="25" t="str">
        <f aca="false">IF(OR(C3731="",I3731="",G3731=""),"",IFERROR(VLOOKUP(I3731,Setup!$A$9:$B$11,2,0),"???")&amp;"-"&amp;G3731&amp;"-"&amp;TEXT(COUNTIFS(I$5:I3731,I3731,G$5:G3731,G3731),"0000"))</f>
        <v/>
      </c>
      <c r="C3731" s="26"/>
      <c r="D3731" s="26"/>
      <c r="E3731" s="27"/>
      <c r="F3731" s="27"/>
      <c r="G3731" s="24" t="str">
        <f aca="false">IF(F3731="","",IF(F3731&lt;=5,"A",IF(F3731&lt;=8,"B",IF(F3731&lt;=10,"C","D"))))</f>
        <v/>
      </c>
      <c r="H3731" s="28"/>
      <c r="I3731" s="27"/>
      <c r="J3731" s="26"/>
      <c r="K3731" s="27"/>
      <c r="L3731" s="27"/>
      <c r="M3731" s="27"/>
      <c r="N3731" s="27"/>
      <c r="O3731" s="24" t="str">
        <f aca="false">IF(G3731="","",VLOOKUP(G3731,Setup!$A$14:$C$17,3,0))</f>
        <v/>
      </c>
      <c r="P3731" s="27"/>
      <c r="Q3731" s="29" t="str">
        <f aca="false">IF(OR(P3731="",M3731&lt;&gt;"Paid",O3731=""),"",P3731/O3731)</f>
        <v/>
      </c>
      <c r="R3731" s="30" t="str">
        <f aca="false">IF(Q3731="","",Q3731+N(H3731)*0.000000001)</f>
        <v/>
      </c>
      <c r="S3731" s="25" t="str">
        <f aca="false">IF(R3731="","",SUMPRODUCT((I$5:I$4004=I3731)*ISNUMBER(R$5:R$4004)*(R$5:R$4004&gt;R3731))+1)</f>
        <v/>
      </c>
      <c r="T3731" s="25" t="str">
        <f aca="false">IF(S3731="","",IF(S3731&lt;=Setup!$B$5,"🏆 WINNER",""))</f>
        <v/>
      </c>
      <c r="U3731" s="24" t="str">
        <f aca="false">IF(S3731="","",I3731&amp;"|"&amp;S3731)</f>
        <v/>
      </c>
    </row>
    <row r="3732" customFormat="false" ht="15" hidden="false" customHeight="false" outlineLevel="0" collapsed="false">
      <c r="A3732" s="31" t="n">
        <v>3728</v>
      </c>
      <c r="B3732" s="32" t="str">
        <f aca="false">IF(OR(C3732="",I3732="",G3732=""),"",IFERROR(VLOOKUP(I3732,Setup!$A$9:$B$11,2,0),"???")&amp;"-"&amp;G3732&amp;"-"&amp;TEXT(COUNTIFS(I$5:I3732,I3732,G$5:G3732,G3732),"0000"))</f>
        <v/>
      </c>
      <c r="C3732" s="26"/>
      <c r="D3732" s="26"/>
      <c r="E3732" s="27"/>
      <c r="F3732" s="27"/>
      <c r="G3732" s="31" t="str">
        <f aca="false">IF(F3732="","",IF(F3732&lt;=5,"A",IF(F3732&lt;=8,"B",IF(F3732&lt;=10,"C","D"))))</f>
        <v/>
      </c>
      <c r="H3732" s="28"/>
      <c r="I3732" s="27"/>
      <c r="J3732" s="26"/>
      <c r="K3732" s="27"/>
      <c r="L3732" s="27"/>
      <c r="M3732" s="27"/>
      <c r="N3732" s="27"/>
      <c r="O3732" s="31" t="str">
        <f aca="false">IF(G3732="","",VLOOKUP(G3732,Setup!$A$14:$C$17,3,0))</f>
        <v/>
      </c>
      <c r="P3732" s="27"/>
      <c r="Q3732" s="33" t="str">
        <f aca="false">IF(OR(P3732="",M3732&lt;&gt;"Paid",O3732=""),"",P3732/O3732)</f>
        <v/>
      </c>
      <c r="R3732" s="34" t="str">
        <f aca="false">IF(Q3732="","",Q3732+N(H3732)*0.000000001)</f>
        <v/>
      </c>
      <c r="S3732" s="32" t="str">
        <f aca="false">IF(R3732="","",SUMPRODUCT((I$5:I$4004=I3732)*ISNUMBER(R$5:R$4004)*(R$5:R$4004&gt;R3732))+1)</f>
        <v/>
      </c>
      <c r="T3732" s="32" t="str">
        <f aca="false">IF(S3732="","",IF(S3732&lt;=Setup!$B$5,"🏆 WINNER",""))</f>
        <v/>
      </c>
      <c r="U3732" s="31" t="str">
        <f aca="false">IF(S3732="","",I3732&amp;"|"&amp;S3732)</f>
        <v/>
      </c>
    </row>
    <row r="3733" customFormat="false" ht="15" hidden="false" customHeight="false" outlineLevel="0" collapsed="false">
      <c r="A3733" s="24" t="n">
        <v>3729</v>
      </c>
      <c r="B3733" s="25" t="str">
        <f aca="false">IF(OR(C3733="",I3733="",G3733=""),"",IFERROR(VLOOKUP(I3733,Setup!$A$9:$B$11,2,0),"???")&amp;"-"&amp;G3733&amp;"-"&amp;TEXT(COUNTIFS(I$5:I3733,I3733,G$5:G3733,G3733),"0000"))</f>
        <v/>
      </c>
      <c r="C3733" s="26"/>
      <c r="D3733" s="26"/>
      <c r="E3733" s="27"/>
      <c r="F3733" s="27"/>
      <c r="G3733" s="24" t="str">
        <f aca="false">IF(F3733="","",IF(F3733&lt;=5,"A",IF(F3733&lt;=8,"B",IF(F3733&lt;=10,"C","D"))))</f>
        <v/>
      </c>
      <c r="H3733" s="28"/>
      <c r="I3733" s="27"/>
      <c r="J3733" s="26"/>
      <c r="K3733" s="27"/>
      <c r="L3733" s="27"/>
      <c r="M3733" s="27"/>
      <c r="N3733" s="27"/>
      <c r="O3733" s="24" t="str">
        <f aca="false">IF(G3733="","",VLOOKUP(G3733,Setup!$A$14:$C$17,3,0))</f>
        <v/>
      </c>
      <c r="P3733" s="27"/>
      <c r="Q3733" s="29" t="str">
        <f aca="false">IF(OR(P3733="",M3733&lt;&gt;"Paid",O3733=""),"",P3733/O3733)</f>
        <v/>
      </c>
      <c r="R3733" s="30" t="str">
        <f aca="false">IF(Q3733="","",Q3733+N(H3733)*0.000000001)</f>
        <v/>
      </c>
      <c r="S3733" s="25" t="str">
        <f aca="false">IF(R3733="","",SUMPRODUCT((I$5:I$4004=I3733)*ISNUMBER(R$5:R$4004)*(R$5:R$4004&gt;R3733))+1)</f>
        <v/>
      </c>
      <c r="T3733" s="25" t="str">
        <f aca="false">IF(S3733="","",IF(S3733&lt;=Setup!$B$5,"🏆 WINNER",""))</f>
        <v/>
      </c>
      <c r="U3733" s="24" t="str">
        <f aca="false">IF(S3733="","",I3733&amp;"|"&amp;S3733)</f>
        <v/>
      </c>
    </row>
    <row r="3734" customFormat="false" ht="15" hidden="false" customHeight="false" outlineLevel="0" collapsed="false">
      <c r="A3734" s="31" t="n">
        <v>3730</v>
      </c>
      <c r="B3734" s="32" t="str">
        <f aca="false">IF(OR(C3734="",I3734="",G3734=""),"",IFERROR(VLOOKUP(I3734,Setup!$A$9:$B$11,2,0),"???")&amp;"-"&amp;G3734&amp;"-"&amp;TEXT(COUNTIFS(I$5:I3734,I3734,G$5:G3734,G3734),"0000"))</f>
        <v/>
      </c>
      <c r="C3734" s="26"/>
      <c r="D3734" s="26"/>
      <c r="E3734" s="27"/>
      <c r="F3734" s="27"/>
      <c r="G3734" s="31" t="str">
        <f aca="false">IF(F3734="","",IF(F3734&lt;=5,"A",IF(F3734&lt;=8,"B",IF(F3734&lt;=10,"C","D"))))</f>
        <v/>
      </c>
      <c r="H3734" s="28"/>
      <c r="I3734" s="27"/>
      <c r="J3734" s="26"/>
      <c r="K3734" s="27"/>
      <c r="L3734" s="27"/>
      <c r="M3734" s="27"/>
      <c r="N3734" s="27"/>
      <c r="O3734" s="31" t="str">
        <f aca="false">IF(G3734="","",VLOOKUP(G3734,Setup!$A$14:$C$17,3,0))</f>
        <v/>
      </c>
      <c r="P3734" s="27"/>
      <c r="Q3734" s="33" t="str">
        <f aca="false">IF(OR(P3734="",M3734&lt;&gt;"Paid",O3734=""),"",P3734/O3734)</f>
        <v/>
      </c>
      <c r="R3734" s="34" t="str">
        <f aca="false">IF(Q3734="","",Q3734+N(H3734)*0.000000001)</f>
        <v/>
      </c>
      <c r="S3734" s="32" t="str">
        <f aca="false">IF(R3734="","",SUMPRODUCT((I$5:I$4004=I3734)*ISNUMBER(R$5:R$4004)*(R$5:R$4004&gt;R3734))+1)</f>
        <v/>
      </c>
      <c r="T3734" s="32" t="str">
        <f aca="false">IF(S3734="","",IF(S3734&lt;=Setup!$B$5,"🏆 WINNER",""))</f>
        <v/>
      </c>
      <c r="U3734" s="31" t="str">
        <f aca="false">IF(S3734="","",I3734&amp;"|"&amp;S3734)</f>
        <v/>
      </c>
    </row>
    <row r="3735" customFormat="false" ht="15" hidden="false" customHeight="false" outlineLevel="0" collapsed="false">
      <c r="A3735" s="24" t="n">
        <v>3731</v>
      </c>
      <c r="B3735" s="25" t="str">
        <f aca="false">IF(OR(C3735="",I3735="",G3735=""),"",IFERROR(VLOOKUP(I3735,Setup!$A$9:$B$11,2,0),"???")&amp;"-"&amp;G3735&amp;"-"&amp;TEXT(COUNTIFS(I$5:I3735,I3735,G$5:G3735,G3735),"0000"))</f>
        <v/>
      </c>
      <c r="C3735" s="26"/>
      <c r="D3735" s="26"/>
      <c r="E3735" s="27"/>
      <c r="F3735" s="27"/>
      <c r="G3735" s="24" t="str">
        <f aca="false">IF(F3735="","",IF(F3735&lt;=5,"A",IF(F3735&lt;=8,"B",IF(F3735&lt;=10,"C","D"))))</f>
        <v/>
      </c>
      <c r="H3735" s="28"/>
      <c r="I3735" s="27"/>
      <c r="J3735" s="26"/>
      <c r="K3735" s="27"/>
      <c r="L3735" s="27"/>
      <c r="M3735" s="27"/>
      <c r="N3735" s="27"/>
      <c r="O3735" s="24" t="str">
        <f aca="false">IF(G3735="","",VLOOKUP(G3735,Setup!$A$14:$C$17,3,0))</f>
        <v/>
      </c>
      <c r="P3735" s="27"/>
      <c r="Q3735" s="29" t="str">
        <f aca="false">IF(OR(P3735="",M3735&lt;&gt;"Paid",O3735=""),"",P3735/O3735)</f>
        <v/>
      </c>
      <c r="R3735" s="30" t="str">
        <f aca="false">IF(Q3735="","",Q3735+N(H3735)*0.000000001)</f>
        <v/>
      </c>
      <c r="S3735" s="25" t="str">
        <f aca="false">IF(R3735="","",SUMPRODUCT((I$5:I$4004=I3735)*ISNUMBER(R$5:R$4004)*(R$5:R$4004&gt;R3735))+1)</f>
        <v/>
      </c>
      <c r="T3735" s="25" t="str">
        <f aca="false">IF(S3735="","",IF(S3735&lt;=Setup!$B$5,"🏆 WINNER",""))</f>
        <v/>
      </c>
      <c r="U3735" s="24" t="str">
        <f aca="false">IF(S3735="","",I3735&amp;"|"&amp;S3735)</f>
        <v/>
      </c>
    </row>
    <row r="3736" customFormat="false" ht="15" hidden="false" customHeight="false" outlineLevel="0" collapsed="false">
      <c r="A3736" s="31" t="n">
        <v>3732</v>
      </c>
      <c r="B3736" s="32" t="str">
        <f aca="false">IF(OR(C3736="",I3736="",G3736=""),"",IFERROR(VLOOKUP(I3736,Setup!$A$9:$B$11,2,0),"???")&amp;"-"&amp;G3736&amp;"-"&amp;TEXT(COUNTIFS(I$5:I3736,I3736,G$5:G3736,G3736),"0000"))</f>
        <v/>
      </c>
      <c r="C3736" s="26"/>
      <c r="D3736" s="26"/>
      <c r="E3736" s="27"/>
      <c r="F3736" s="27"/>
      <c r="G3736" s="31" t="str">
        <f aca="false">IF(F3736="","",IF(F3736&lt;=5,"A",IF(F3736&lt;=8,"B",IF(F3736&lt;=10,"C","D"))))</f>
        <v/>
      </c>
      <c r="H3736" s="28"/>
      <c r="I3736" s="27"/>
      <c r="J3736" s="26"/>
      <c r="K3736" s="27"/>
      <c r="L3736" s="27"/>
      <c r="M3736" s="27"/>
      <c r="N3736" s="27"/>
      <c r="O3736" s="31" t="str">
        <f aca="false">IF(G3736="","",VLOOKUP(G3736,Setup!$A$14:$C$17,3,0))</f>
        <v/>
      </c>
      <c r="P3736" s="27"/>
      <c r="Q3736" s="33" t="str">
        <f aca="false">IF(OR(P3736="",M3736&lt;&gt;"Paid",O3736=""),"",P3736/O3736)</f>
        <v/>
      </c>
      <c r="R3736" s="34" t="str">
        <f aca="false">IF(Q3736="","",Q3736+N(H3736)*0.000000001)</f>
        <v/>
      </c>
      <c r="S3736" s="32" t="str">
        <f aca="false">IF(R3736="","",SUMPRODUCT((I$5:I$4004=I3736)*ISNUMBER(R$5:R$4004)*(R$5:R$4004&gt;R3736))+1)</f>
        <v/>
      </c>
      <c r="T3736" s="32" t="str">
        <f aca="false">IF(S3736="","",IF(S3736&lt;=Setup!$B$5,"🏆 WINNER",""))</f>
        <v/>
      </c>
      <c r="U3736" s="31" t="str">
        <f aca="false">IF(S3736="","",I3736&amp;"|"&amp;S3736)</f>
        <v/>
      </c>
    </row>
    <row r="3737" customFormat="false" ht="15" hidden="false" customHeight="false" outlineLevel="0" collapsed="false">
      <c r="A3737" s="24" t="n">
        <v>3733</v>
      </c>
      <c r="B3737" s="25" t="str">
        <f aca="false">IF(OR(C3737="",I3737="",G3737=""),"",IFERROR(VLOOKUP(I3737,Setup!$A$9:$B$11,2,0),"???")&amp;"-"&amp;G3737&amp;"-"&amp;TEXT(COUNTIFS(I$5:I3737,I3737,G$5:G3737,G3737),"0000"))</f>
        <v/>
      </c>
      <c r="C3737" s="26"/>
      <c r="D3737" s="26"/>
      <c r="E3737" s="27"/>
      <c r="F3737" s="27"/>
      <c r="G3737" s="24" t="str">
        <f aca="false">IF(F3737="","",IF(F3737&lt;=5,"A",IF(F3737&lt;=8,"B",IF(F3737&lt;=10,"C","D"))))</f>
        <v/>
      </c>
      <c r="H3737" s="28"/>
      <c r="I3737" s="27"/>
      <c r="J3737" s="26"/>
      <c r="K3737" s="27"/>
      <c r="L3737" s="27"/>
      <c r="M3737" s="27"/>
      <c r="N3737" s="27"/>
      <c r="O3737" s="24" t="str">
        <f aca="false">IF(G3737="","",VLOOKUP(G3737,Setup!$A$14:$C$17,3,0))</f>
        <v/>
      </c>
      <c r="P3737" s="27"/>
      <c r="Q3737" s="29" t="str">
        <f aca="false">IF(OR(P3737="",M3737&lt;&gt;"Paid",O3737=""),"",P3737/O3737)</f>
        <v/>
      </c>
      <c r="R3737" s="30" t="str">
        <f aca="false">IF(Q3737="","",Q3737+N(H3737)*0.000000001)</f>
        <v/>
      </c>
      <c r="S3737" s="25" t="str">
        <f aca="false">IF(R3737="","",SUMPRODUCT((I$5:I$4004=I3737)*ISNUMBER(R$5:R$4004)*(R$5:R$4004&gt;R3737))+1)</f>
        <v/>
      </c>
      <c r="T3737" s="25" t="str">
        <f aca="false">IF(S3737="","",IF(S3737&lt;=Setup!$B$5,"🏆 WINNER",""))</f>
        <v/>
      </c>
      <c r="U3737" s="24" t="str">
        <f aca="false">IF(S3737="","",I3737&amp;"|"&amp;S3737)</f>
        <v/>
      </c>
    </row>
    <row r="3738" customFormat="false" ht="15" hidden="false" customHeight="false" outlineLevel="0" collapsed="false">
      <c r="A3738" s="31" t="n">
        <v>3734</v>
      </c>
      <c r="B3738" s="32" t="str">
        <f aca="false">IF(OR(C3738="",I3738="",G3738=""),"",IFERROR(VLOOKUP(I3738,Setup!$A$9:$B$11,2,0),"???")&amp;"-"&amp;G3738&amp;"-"&amp;TEXT(COUNTIFS(I$5:I3738,I3738,G$5:G3738,G3738),"0000"))</f>
        <v/>
      </c>
      <c r="C3738" s="26"/>
      <c r="D3738" s="26"/>
      <c r="E3738" s="27"/>
      <c r="F3738" s="27"/>
      <c r="G3738" s="31" t="str">
        <f aca="false">IF(F3738="","",IF(F3738&lt;=5,"A",IF(F3738&lt;=8,"B",IF(F3738&lt;=10,"C","D"))))</f>
        <v/>
      </c>
      <c r="H3738" s="28"/>
      <c r="I3738" s="27"/>
      <c r="J3738" s="26"/>
      <c r="K3738" s="27"/>
      <c r="L3738" s="27"/>
      <c r="M3738" s="27"/>
      <c r="N3738" s="27"/>
      <c r="O3738" s="31" t="str">
        <f aca="false">IF(G3738="","",VLOOKUP(G3738,Setup!$A$14:$C$17,3,0))</f>
        <v/>
      </c>
      <c r="P3738" s="27"/>
      <c r="Q3738" s="33" t="str">
        <f aca="false">IF(OR(P3738="",M3738&lt;&gt;"Paid",O3738=""),"",P3738/O3738)</f>
        <v/>
      </c>
      <c r="R3738" s="34" t="str">
        <f aca="false">IF(Q3738="","",Q3738+N(H3738)*0.000000001)</f>
        <v/>
      </c>
      <c r="S3738" s="32" t="str">
        <f aca="false">IF(R3738="","",SUMPRODUCT((I$5:I$4004=I3738)*ISNUMBER(R$5:R$4004)*(R$5:R$4004&gt;R3738))+1)</f>
        <v/>
      </c>
      <c r="T3738" s="32" t="str">
        <f aca="false">IF(S3738="","",IF(S3738&lt;=Setup!$B$5,"🏆 WINNER",""))</f>
        <v/>
      </c>
      <c r="U3738" s="31" t="str">
        <f aca="false">IF(S3738="","",I3738&amp;"|"&amp;S3738)</f>
        <v/>
      </c>
    </row>
    <row r="3739" customFormat="false" ht="15" hidden="false" customHeight="false" outlineLevel="0" collapsed="false">
      <c r="A3739" s="24" t="n">
        <v>3735</v>
      </c>
      <c r="B3739" s="25" t="str">
        <f aca="false">IF(OR(C3739="",I3739="",G3739=""),"",IFERROR(VLOOKUP(I3739,Setup!$A$9:$B$11,2,0),"???")&amp;"-"&amp;G3739&amp;"-"&amp;TEXT(COUNTIFS(I$5:I3739,I3739,G$5:G3739,G3739),"0000"))</f>
        <v/>
      </c>
      <c r="C3739" s="26"/>
      <c r="D3739" s="26"/>
      <c r="E3739" s="27"/>
      <c r="F3739" s="27"/>
      <c r="G3739" s="24" t="str">
        <f aca="false">IF(F3739="","",IF(F3739&lt;=5,"A",IF(F3739&lt;=8,"B",IF(F3739&lt;=10,"C","D"))))</f>
        <v/>
      </c>
      <c r="H3739" s="28"/>
      <c r="I3739" s="27"/>
      <c r="J3739" s="26"/>
      <c r="K3739" s="27"/>
      <c r="L3739" s="27"/>
      <c r="M3739" s="27"/>
      <c r="N3739" s="27"/>
      <c r="O3739" s="24" t="str">
        <f aca="false">IF(G3739="","",VLOOKUP(G3739,Setup!$A$14:$C$17,3,0))</f>
        <v/>
      </c>
      <c r="P3739" s="27"/>
      <c r="Q3739" s="29" t="str">
        <f aca="false">IF(OR(P3739="",M3739&lt;&gt;"Paid",O3739=""),"",P3739/O3739)</f>
        <v/>
      </c>
      <c r="R3739" s="30" t="str">
        <f aca="false">IF(Q3739="","",Q3739+N(H3739)*0.000000001)</f>
        <v/>
      </c>
      <c r="S3739" s="25" t="str">
        <f aca="false">IF(R3739="","",SUMPRODUCT((I$5:I$4004=I3739)*ISNUMBER(R$5:R$4004)*(R$5:R$4004&gt;R3739))+1)</f>
        <v/>
      </c>
      <c r="T3739" s="25" t="str">
        <f aca="false">IF(S3739="","",IF(S3739&lt;=Setup!$B$5,"🏆 WINNER",""))</f>
        <v/>
      </c>
      <c r="U3739" s="24" t="str">
        <f aca="false">IF(S3739="","",I3739&amp;"|"&amp;S3739)</f>
        <v/>
      </c>
    </row>
    <row r="3740" customFormat="false" ht="15" hidden="false" customHeight="false" outlineLevel="0" collapsed="false">
      <c r="A3740" s="31" t="n">
        <v>3736</v>
      </c>
      <c r="B3740" s="32" t="str">
        <f aca="false">IF(OR(C3740="",I3740="",G3740=""),"",IFERROR(VLOOKUP(I3740,Setup!$A$9:$B$11,2,0),"???")&amp;"-"&amp;G3740&amp;"-"&amp;TEXT(COUNTIFS(I$5:I3740,I3740,G$5:G3740,G3740),"0000"))</f>
        <v/>
      </c>
      <c r="C3740" s="26"/>
      <c r="D3740" s="26"/>
      <c r="E3740" s="27"/>
      <c r="F3740" s="27"/>
      <c r="G3740" s="31" t="str">
        <f aca="false">IF(F3740="","",IF(F3740&lt;=5,"A",IF(F3740&lt;=8,"B",IF(F3740&lt;=10,"C","D"))))</f>
        <v/>
      </c>
      <c r="H3740" s="28"/>
      <c r="I3740" s="27"/>
      <c r="J3740" s="26"/>
      <c r="K3740" s="27"/>
      <c r="L3740" s="27"/>
      <c r="M3740" s="27"/>
      <c r="N3740" s="27"/>
      <c r="O3740" s="31" t="str">
        <f aca="false">IF(G3740="","",VLOOKUP(G3740,Setup!$A$14:$C$17,3,0))</f>
        <v/>
      </c>
      <c r="P3740" s="27"/>
      <c r="Q3740" s="33" t="str">
        <f aca="false">IF(OR(P3740="",M3740&lt;&gt;"Paid",O3740=""),"",P3740/O3740)</f>
        <v/>
      </c>
      <c r="R3740" s="34" t="str">
        <f aca="false">IF(Q3740="","",Q3740+N(H3740)*0.000000001)</f>
        <v/>
      </c>
      <c r="S3740" s="32" t="str">
        <f aca="false">IF(R3740="","",SUMPRODUCT((I$5:I$4004=I3740)*ISNUMBER(R$5:R$4004)*(R$5:R$4004&gt;R3740))+1)</f>
        <v/>
      </c>
      <c r="T3740" s="32" t="str">
        <f aca="false">IF(S3740="","",IF(S3740&lt;=Setup!$B$5,"🏆 WINNER",""))</f>
        <v/>
      </c>
      <c r="U3740" s="31" t="str">
        <f aca="false">IF(S3740="","",I3740&amp;"|"&amp;S3740)</f>
        <v/>
      </c>
    </row>
    <row r="3741" customFormat="false" ht="15" hidden="false" customHeight="false" outlineLevel="0" collapsed="false">
      <c r="A3741" s="24" t="n">
        <v>3737</v>
      </c>
      <c r="B3741" s="25" t="str">
        <f aca="false">IF(OR(C3741="",I3741="",G3741=""),"",IFERROR(VLOOKUP(I3741,Setup!$A$9:$B$11,2,0),"???")&amp;"-"&amp;G3741&amp;"-"&amp;TEXT(COUNTIFS(I$5:I3741,I3741,G$5:G3741,G3741),"0000"))</f>
        <v/>
      </c>
      <c r="C3741" s="26"/>
      <c r="D3741" s="26"/>
      <c r="E3741" s="27"/>
      <c r="F3741" s="27"/>
      <c r="G3741" s="24" t="str">
        <f aca="false">IF(F3741="","",IF(F3741&lt;=5,"A",IF(F3741&lt;=8,"B",IF(F3741&lt;=10,"C","D"))))</f>
        <v/>
      </c>
      <c r="H3741" s="28"/>
      <c r="I3741" s="27"/>
      <c r="J3741" s="26"/>
      <c r="K3741" s="27"/>
      <c r="L3741" s="27"/>
      <c r="M3741" s="27"/>
      <c r="N3741" s="27"/>
      <c r="O3741" s="24" t="str">
        <f aca="false">IF(G3741="","",VLOOKUP(G3741,Setup!$A$14:$C$17,3,0))</f>
        <v/>
      </c>
      <c r="P3741" s="27"/>
      <c r="Q3741" s="29" t="str">
        <f aca="false">IF(OR(P3741="",M3741&lt;&gt;"Paid",O3741=""),"",P3741/O3741)</f>
        <v/>
      </c>
      <c r="R3741" s="30" t="str">
        <f aca="false">IF(Q3741="","",Q3741+N(H3741)*0.000000001)</f>
        <v/>
      </c>
      <c r="S3741" s="25" t="str">
        <f aca="false">IF(R3741="","",SUMPRODUCT((I$5:I$4004=I3741)*ISNUMBER(R$5:R$4004)*(R$5:R$4004&gt;R3741))+1)</f>
        <v/>
      </c>
      <c r="T3741" s="25" t="str">
        <f aca="false">IF(S3741="","",IF(S3741&lt;=Setup!$B$5,"🏆 WINNER",""))</f>
        <v/>
      </c>
      <c r="U3741" s="24" t="str">
        <f aca="false">IF(S3741="","",I3741&amp;"|"&amp;S3741)</f>
        <v/>
      </c>
    </row>
    <row r="3742" customFormat="false" ht="15" hidden="false" customHeight="false" outlineLevel="0" collapsed="false">
      <c r="A3742" s="31" t="n">
        <v>3738</v>
      </c>
      <c r="B3742" s="32" t="str">
        <f aca="false">IF(OR(C3742="",I3742="",G3742=""),"",IFERROR(VLOOKUP(I3742,Setup!$A$9:$B$11,2,0),"???")&amp;"-"&amp;G3742&amp;"-"&amp;TEXT(COUNTIFS(I$5:I3742,I3742,G$5:G3742,G3742),"0000"))</f>
        <v/>
      </c>
      <c r="C3742" s="26"/>
      <c r="D3742" s="26"/>
      <c r="E3742" s="27"/>
      <c r="F3742" s="27"/>
      <c r="G3742" s="31" t="str">
        <f aca="false">IF(F3742="","",IF(F3742&lt;=5,"A",IF(F3742&lt;=8,"B",IF(F3742&lt;=10,"C","D"))))</f>
        <v/>
      </c>
      <c r="H3742" s="28"/>
      <c r="I3742" s="27"/>
      <c r="J3742" s="26"/>
      <c r="K3742" s="27"/>
      <c r="L3742" s="27"/>
      <c r="M3742" s="27"/>
      <c r="N3742" s="27"/>
      <c r="O3742" s="31" t="str">
        <f aca="false">IF(G3742="","",VLOOKUP(G3742,Setup!$A$14:$C$17,3,0))</f>
        <v/>
      </c>
      <c r="P3742" s="27"/>
      <c r="Q3742" s="33" t="str">
        <f aca="false">IF(OR(P3742="",M3742&lt;&gt;"Paid",O3742=""),"",P3742/O3742)</f>
        <v/>
      </c>
      <c r="R3742" s="34" t="str">
        <f aca="false">IF(Q3742="","",Q3742+N(H3742)*0.000000001)</f>
        <v/>
      </c>
      <c r="S3742" s="32" t="str">
        <f aca="false">IF(R3742="","",SUMPRODUCT((I$5:I$4004=I3742)*ISNUMBER(R$5:R$4004)*(R$5:R$4004&gt;R3742))+1)</f>
        <v/>
      </c>
      <c r="T3742" s="32" t="str">
        <f aca="false">IF(S3742="","",IF(S3742&lt;=Setup!$B$5,"🏆 WINNER",""))</f>
        <v/>
      </c>
      <c r="U3742" s="31" t="str">
        <f aca="false">IF(S3742="","",I3742&amp;"|"&amp;S3742)</f>
        <v/>
      </c>
    </row>
    <row r="3743" customFormat="false" ht="15" hidden="false" customHeight="false" outlineLevel="0" collapsed="false">
      <c r="A3743" s="24" t="n">
        <v>3739</v>
      </c>
      <c r="B3743" s="25" t="str">
        <f aca="false">IF(OR(C3743="",I3743="",G3743=""),"",IFERROR(VLOOKUP(I3743,Setup!$A$9:$B$11,2,0),"???")&amp;"-"&amp;G3743&amp;"-"&amp;TEXT(COUNTIFS(I$5:I3743,I3743,G$5:G3743,G3743),"0000"))</f>
        <v/>
      </c>
      <c r="C3743" s="26"/>
      <c r="D3743" s="26"/>
      <c r="E3743" s="27"/>
      <c r="F3743" s="27"/>
      <c r="G3743" s="24" t="str">
        <f aca="false">IF(F3743="","",IF(F3743&lt;=5,"A",IF(F3743&lt;=8,"B",IF(F3743&lt;=10,"C","D"))))</f>
        <v/>
      </c>
      <c r="H3743" s="28"/>
      <c r="I3743" s="27"/>
      <c r="J3743" s="26"/>
      <c r="K3743" s="27"/>
      <c r="L3743" s="27"/>
      <c r="M3743" s="27"/>
      <c r="N3743" s="27"/>
      <c r="O3743" s="24" t="str">
        <f aca="false">IF(G3743="","",VLOOKUP(G3743,Setup!$A$14:$C$17,3,0))</f>
        <v/>
      </c>
      <c r="P3743" s="27"/>
      <c r="Q3743" s="29" t="str">
        <f aca="false">IF(OR(P3743="",M3743&lt;&gt;"Paid",O3743=""),"",P3743/O3743)</f>
        <v/>
      </c>
      <c r="R3743" s="30" t="str">
        <f aca="false">IF(Q3743="","",Q3743+N(H3743)*0.000000001)</f>
        <v/>
      </c>
      <c r="S3743" s="25" t="str">
        <f aca="false">IF(R3743="","",SUMPRODUCT((I$5:I$4004=I3743)*ISNUMBER(R$5:R$4004)*(R$5:R$4004&gt;R3743))+1)</f>
        <v/>
      </c>
      <c r="T3743" s="25" t="str">
        <f aca="false">IF(S3743="","",IF(S3743&lt;=Setup!$B$5,"🏆 WINNER",""))</f>
        <v/>
      </c>
      <c r="U3743" s="24" t="str">
        <f aca="false">IF(S3743="","",I3743&amp;"|"&amp;S3743)</f>
        <v/>
      </c>
    </row>
    <row r="3744" customFormat="false" ht="15" hidden="false" customHeight="false" outlineLevel="0" collapsed="false">
      <c r="A3744" s="31" t="n">
        <v>3740</v>
      </c>
      <c r="B3744" s="32" t="str">
        <f aca="false">IF(OR(C3744="",I3744="",G3744=""),"",IFERROR(VLOOKUP(I3744,Setup!$A$9:$B$11,2,0),"???")&amp;"-"&amp;G3744&amp;"-"&amp;TEXT(COUNTIFS(I$5:I3744,I3744,G$5:G3744,G3744),"0000"))</f>
        <v/>
      </c>
      <c r="C3744" s="26"/>
      <c r="D3744" s="26"/>
      <c r="E3744" s="27"/>
      <c r="F3744" s="27"/>
      <c r="G3744" s="31" t="str">
        <f aca="false">IF(F3744="","",IF(F3744&lt;=5,"A",IF(F3744&lt;=8,"B",IF(F3744&lt;=10,"C","D"))))</f>
        <v/>
      </c>
      <c r="H3744" s="28"/>
      <c r="I3744" s="27"/>
      <c r="J3744" s="26"/>
      <c r="K3744" s="27"/>
      <c r="L3744" s="27"/>
      <c r="M3744" s="27"/>
      <c r="N3744" s="27"/>
      <c r="O3744" s="31" t="str">
        <f aca="false">IF(G3744="","",VLOOKUP(G3744,Setup!$A$14:$C$17,3,0))</f>
        <v/>
      </c>
      <c r="P3744" s="27"/>
      <c r="Q3744" s="33" t="str">
        <f aca="false">IF(OR(P3744="",M3744&lt;&gt;"Paid",O3744=""),"",P3744/O3744)</f>
        <v/>
      </c>
      <c r="R3744" s="34" t="str">
        <f aca="false">IF(Q3744="","",Q3744+N(H3744)*0.000000001)</f>
        <v/>
      </c>
      <c r="S3744" s="32" t="str">
        <f aca="false">IF(R3744="","",SUMPRODUCT((I$5:I$4004=I3744)*ISNUMBER(R$5:R$4004)*(R$5:R$4004&gt;R3744))+1)</f>
        <v/>
      </c>
      <c r="T3744" s="32" t="str">
        <f aca="false">IF(S3744="","",IF(S3744&lt;=Setup!$B$5,"🏆 WINNER",""))</f>
        <v/>
      </c>
      <c r="U3744" s="31" t="str">
        <f aca="false">IF(S3744="","",I3744&amp;"|"&amp;S3744)</f>
        <v/>
      </c>
    </row>
    <row r="3745" customFormat="false" ht="15" hidden="false" customHeight="false" outlineLevel="0" collapsed="false">
      <c r="A3745" s="24" t="n">
        <v>3741</v>
      </c>
      <c r="B3745" s="25" t="str">
        <f aca="false">IF(OR(C3745="",I3745="",G3745=""),"",IFERROR(VLOOKUP(I3745,Setup!$A$9:$B$11,2,0),"???")&amp;"-"&amp;G3745&amp;"-"&amp;TEXT(COUNTIFS(I$5:I3745,I3745,G$5:G3745,G3745),"0000"))</f>
        <v/>
      </c>
      <c r="C3745" s="26"/>
      <c r="D3745" s="26"/>
      <c r="E3745" s="27"/>
      <c r="F3745" s="27"/>
      <c r="G3745" s="24" t="str">
        <f aca="false">IF(F3745="","",IF(F3745&lt;=5,"A",IF(F3745&lt;=8,"B",IF(F3745&lt;=10,"C","D"))))</f>
        <v/>
      </c>
      <c r="H3745" s="28"/>
      <c r="I3745" s="27"/>
      <c r="J3745" s="26"/>
      <c r="K3745" s="27"/>
      <c r="L3745" s="27"/>
      <c r="M3745" s="27"/>
      <c r="N3745" s="27"/>
      <c r="O3745" s="24" t="str">
        <f aca="false">IF(G3745="","",VLOOKUP(G3745,Setup!$A$14:$C$17,3,0))</f>
        <v/>
      </c>
      <c r="P3745" s="27"/>
      <c r="Q3745" s="29" t="str">
        <f aca="false">IF(OR(P3745="",M3745&lt;&gt;"Paid",O3745=""),"",P3745/O3745)</f>
        <v/>
      </c>
      <c r="R3745" s="30" t="str">
        <f aca="false">IF(Q3745="","",Q3745+N(H3745)*0.000000001)</f>
        <v/>
      </c>
      <c r="S3745" s="25" t="str">
        <f aca="false">IF(R3745="","",SUMPRODUCT((I$5:I$4004=I3745)*ISNUMBER(R$5:R$4004)*(R$5:R$4004&gt;R3745))+1)</f>
        <v/>
      </c>
      <c r="T3745" s="25" t="str">
        <f aca="false">IF(S3745="","",IF(S3745&lt;=Setup!$B$5,"🏆 WINNER",""))</f>
        <v/>
      </c>
      <c r="U3745" s="24" t="str">
        <f aca="false">IF(S3745="","",I3745&amp;"|"&amp;S3745)</f>
        <v/>
      </c>
    </row>
    <row r="3746" customFormat="false" ht="15" hidden="false" customHeight="false" outlineLevel="0" collapsed="false">
      <c r="A3746" s="31" t="n">
        <v>3742</v>
      </c>
      <c r="B3746" s="32" t="str">
        <f aca="false">IF(OR(C3746="",I3746="",G3746=""),"",IFERROR(VLOOKUP(I3746,Setup!$A$9:$B$11,2,0),"???")&amp;"-"&amp;G3746&amp;"-"&amp;TEXT(COUNTIFS(I$5:I3746,I3746,G$5:G3746,G3746),"0000"))</f>
        <v/>
      </c>
      <c r="C3746" s="26"/>
      <c r="D3746" s="26"/>
      <c r="E3746" s="27"/>
      <c r="F3746" s="27"/>
      <c r="G3746" s="31" t="str">
        <f aca="false">IF(F3746="","",IF(F3746&lt;=5,"A",IF(F3746&lt;=8,"B",IF(F3746&lt;=10,"C","D"))))</f>
        <v/>
      </c>
      <c r="H3746" s="28"/>
      <c r="I3746" s="27"/>
      <c r="J3746" s="26"/>
      <c r="K3746" s="27"/>
      <c r="L3746" s="27"/>
      <c r="M3746" s="27"/>
      <c r="N3746" s="27"/>
      <c r="O3746" s="31" t="str">
        <f aca="false">IF(G3746="","",VLOOKUP(G3746,Setup!$A$14:$C$17,3,0))</f>
        <v/>
      </c>
      <c r="P3746" s="27"/>
      <c r="Q3746" s="33" t="str">
        <f aca="false">IF(OR(P3746="",M3746&lt;&gt;"Paid",O3746=""),"",P3746/O3746)</f>
        <v/>
      </c>
      <c r="R3746" s="34" t="str">
        <f aca="false">IF(Q3746="","",Q3746+N(H3746)*0.000000001)</f>
        <v/>
      </c>
      <c r="S3746" s="32" t="str">
        <f aca="false">IF(R3746="","",SUMPRODUCT((I$5:I$4004=I3746)*ISNUMBER(R$5:R$4004)*(R$5:R$4004&gt;R3746))+1)</f>
        <v/>
      </c>
      <c r="T3746" s="32" t="str">
        <f aca="false">IF(S3746="","",IF(S3746&lt;=Setup!$B$5,"🏆 WINNER",""))</f>
        <v/>
      </c>
      <c r="U3746" s="31" t="str">
        <f aca="false">IF(S3746="","",I3746&amp;"|"&amp;S3746)</f>
        <v/>
      </c>
    </row>
    <row r="3747" customFormat="false" ht="15" hidden="false" customHeight="false" outlineLevel="0" collapsed="false">
      <c r="A3747" s="24" t="n">
        <v>3743</v>
      </c>
      <c r="B3747" s="25" t="str">
        <f aca="false">IF(OR(C3747="",I3747="",G3747=""),"",IFERROR(VLOOKUP(I3747,Setup!$A$9:$B$11,2,0),"???")&amp;"-"&amp;G3747&amp;"-"&amp;TEXT(COUNTIFS(I$5:I3747,I3747,G$5:G3747,G3747),"0000"))</f>
        <v/>
      </c>
      <c r="C3747" s="26"/>
      <c r="D3747" s="26"/>
      <c r="E3747" s="27"/>
      <c r="F3747" s="27"/>
      <c r="G3747" s="24" t="str">
        <f aca="false">IF(F3747="","",IF(F3747&lt;=5,"A",IF(F3747&lt;=8,"B",IF(F3747&lt;=10,"C","D"))))</f>
        <v/>
      </c>
      <c r="H3747" s="28"/>
      <c r="I3747" s="27"/>
      <c r="J3747" s="26"/>
      <c r="K3747" s="27"/>
      <c r="L3747" s="27"/>
      <c r="M3747" s="27"/>
      <c r="N3747" s="27"/>
      <c r="O3747" s="24" t="str">
        <f aca="false">IF(G3747="","",VLOOKUP(G3747,Setup!$A$14:$C$17,3,0))</f>
        <v/>
      </c>
      <c r="P3747" s="27"/>
      <c r="Q3747" s="29" t="str">
        <f aca="false">IF(OR(P3747="",M3747&lt;&gt;"Paid",O3747=""),"",P3747/O3747)</f>
        <v/>
      </c>
      <c r="R3747" s="30" t="str">
        <f aca="false">IF(Q3747="","",Q3747+N(H3747)*0.000000001)</f>
        <v/>
      </c>
      <c r="S3747" s="25" t="str">
        <f aca="false">IF(R3747="","",SUMPRODUCT((I$5:I$4004=I3747)*ISNUMBER(R$5:R$4004)*(R$5:R$4004&gt;R3747))+1)</f>
        <v/>
      </c>
      <c r="T3747" s="25" t="str">
        <f aca="false">IF(S3747="","",IF(S3747&lt;=Setup!$B$5,"🏆 WINNER",""))</f>
        <v/>
      </c>
      <c r="U3747" s="24" t="str">
        <f aca="false">IF(S3747="","",I3747&amp;"|"&amp;S3747)</f>
        <v/>
      </c>
    </row>
    <row r="3748" customFormat="false" ht="15" hidden="false" customHeight="false" outlineLevel="0" collapsed="false">
      <c r="A3748" s="31" t="n">
        <v>3744</v>
      </c>
      <c r="B3748" s="32" t="str">
        <f aca="false">IF(OR(C3748="",I3748="",G3748=""),"",IFERROR(VLOOKUP(I3748,Setup!$A$9:$B$11,2,0),"???")&amp;"-"&amp;G3748&amp;"-"&amp;TEXT(COUNTIFS(I$5:I3748,I3748,G$5:G3748,G3748),"0000"))</f>
        <v/>
      </c>
      <c r="C3748" s="26"/>
      <c r="D3748" s="26"/>
      <c r="E3748" s="27"/>
      <c r="F3748" s="27"/>
      <c r="G3748" s="31" t="str">
        <f aca="false">IF(F3748="","",IF(F3748&lt;=5,"A",IF(F3748&lt;=8,"B",IF(F3748&lt;=10,"C","D"))))</f>
        <v/>
      </c>
      <c r="H3748" s="28"/>
      <c r="I3748" s="27"/>
      <c r="J3748" s="26"/>
      <c r="K3748" s="27"/>
      <c r="L3748" s="27"/>
      <c r="M3748" s="27"/>
      <c r="N3748" s="27"/>
      <c r="O3748" s="31" t="str">
        <f aca="false">IF(G3748="","",VLOOKUP(G3748,Setup!$A$14:$C$17,3,0))</f>
        <v/>
      </c>
      <c r="P3748" s="27"/>
      <c r="Q3748" s="33" t="str">
        <f aca="false">IF(OR(P3748="",M3748&lt;&gt;"Paid",O3748=""),"",P3748/O3748)</f>
        <v/>
      </c>
      <c r="R3748" s="34" t="str">
        <f aca="false">IF(Q3748="","",Q3748+N(H3748)*0.000000001)</f>
        <v/>
      </c>
      <c r="S3748" s="32" t="str">
        <f aca="false">IF(R3748="","",SUMPRODUCT((I$5:I$4004=I3748)*ISNUMBER(R$5:R$4004)*(R$5:R$4004&gt;R3748))+1)</f>
        <v/>
      </c>
      <c r="T3748" s="32" t="str">
        <f aca="false">IF(S3748="","",IF(S3748&lt;=Setup!$B$5,"🏆 WINNER",""))</f>
        <v/>
      </c>
      <c r="U3748" s="31" t="str">
        <f aca="false">IF(S3748="","",I3748&amp;"|"&amp;S3748)</f>
        <v/>
      </c>
    </row>
    <row r="3749" customFormat="false" ht="15" hidden="false" customHeight="false" outlineLevel="0" collapsed="false">
      <c r="A3749" s="24" t="n">
        <v>3745</v>
      </c>
      <c r="B3749" s="25" t="str">
        <f aca="false">IF(OR(C3749="",I3749="",G3749=""),"",IFERROR(VLOOKUP(I3749,Setup!$A$9:$B$11,2,0),"???")&amp;"-"&amp;G3749&amp;"-"&amp;TEXT(COUNTIFS(I$5:I3749,I3749,G$5:G3749,G3749),"0000"))</f>
        <v/>
      </c>
      <c r="C3749" s="26"/>
      <c r="D3749" s="26"/>
      <c r="E3749" s="27"/>
      <c r="F3749" s="27"/>
      <c r="G3749" s="24" t="str">
        <f aca="false">IF(F3749="","",IF(F3749&lt;=5,"A",IF(F3749&lt;=8,"B",IF(F3749&lt;=10,"C","D"))))</f>
        <v/>
      </c>
      <c r="H3749" s="28"/>
      <c r="I3749" s="27"/>
      <c r="J3749" s="26"/>
      <c r="K3749" s="27"/>
      <c r="L3749" s="27"/>
      <c r="M3749" s="27"/>
      <c r="N3749" s="27"/>
      <c r="O3749" s="24" t="str">
        <f aca="false">IF(G3749="","",VLOOKUP(G3749,Setup!$A$14:$C$17,3,0))</f>
        <v/>
      </c>
      <c r="P3749" s="27"/>
      <c r="Q3749" s="29" t="str">
        <f aca="false">IF(OR(P3749="",M3749&lt;&gt;"Paid",O3749=""),"",P3749/O3749)</f>
        <v/>
      </c>
      <c r="R3749" s="30" t="str">
        <f aca="false">IF(Q3749="","",Q3749+N(H3749)*0.000000001)</f>
        <v/>
      </c>
      <c r="S3749" s="25" t="str">
        <f aca="false">IF(R3749="","",SUMPRODUCT((I$5:I$4004=I3749)*ISNUMBER(R$5:R$4004)*(R$5:R$4004&gt;R3749))+1)</f>
        <v/>
      </c>
      <c r="T3749" s="25" t="str">
        <f aca="false">IF(S3749="","",IF(S3749&lt;=Setup!$B$5,"🏆 WINNER",""))</f>
        <v/>
      </c>
      <c r="U3749" s="24" t="str">
        <f aca="false">IF(S3749="","",I3749&amp;"|"&amp;S3749)</f>
        <v/>
      </c>
    </row>
    <row r="3750" customFormat="false" ht="15" hidden="false" customHeight="false" outlineLevel="0" collapsed="false">
      <c r="A3750" s="31" t="n">
        <v>3746</v>
      </c>
      <c r="B3750" s="32" t="str">
        <f aca="false">IF(OR(C3750="",I3750="",G3750=""),"",IFERROR(VLOOKUP(I3750,Setup!$A$9:$B$11,2,0),"???")&amp;"-"&amp;G3750&amp;"-"&amp;TEXT(COUNTIFS(I$5:I3750,I3750,G$5:G3750,G3750),"0000"))</f>
        <v/>
      </c>
      <c r="C3750" s="26"/>
      <c r="D3750" s="26"/>
      <c r="E3750" s="27"/>
      <c r="F3750" s="27"/>
      <c r="G3750" s="31" t="str">
        <f aca="false">IF(F3750="","",IF(F3750&lt;=5,"A",IF(F3750&lt;=8,"B",IF(F3750&lt;=10,"C","D"))))</f>
        <v/>
      </c>
      <c r="H3750" s="28"/>
      <c r="I3750" s="27"/>
      <c r="J3750" s="26"/>
      <c r="K3750" s="27"/>
      <c r="L3750" s="27"/>
      <c r="M3750" s="27"/>
      <c r="N3750" s="27"/>
      <c r="O3750" s="31" t="str">
        <f aca="false">IF(G3750="","",VLOOKUP(G3750,Setup!$A$14:$C$17,3,0))</f>
        <v/>
      </c>
      <c r="P3750" s="27"/>
      <c r="Q3750" s="33" t="str">
        <f aca="false">IF(OR(P3750="",M3750&lt;&gt;"Paid",O3750=""),"",P3750/O3750)</f>
        <v/>
      </c>
      <c r="R3750" s="34" t="str">
        <f aca="false">IF(Q3750="","",Q3750+N(H3750)*0.000000001)</f>
        <v/>
      </c>
      <c r="S3750" s="32" t="str">
        <f aca="false">IF(R3750="","",SUMPRODUCT((I$5:I$4004=I3750)*ISNUMBER(R$5:R$4004)*(R$5:R$4004&gt;R3750))+1)</f>
        <v/>
      </c>
      <c r="T3750" s="32" t="str">
        <f aca="false">IF(S3750="","",IF(S3750&lt;=Setup!$B$5,"🏆 WINNER",""))</f>
        <v/>
      </c>
      <c r="U3750" s="31" t="str">
        <f aca="false">IF(S3750="","",I3750&amp;"|"&amp;S3750)</f>
        <v/>
      </c>
    </row>
    <row r="3751" customFormat="false" ht="15" hidden="false" customHeight="false" outlineLevel="0" collapsed="false">
      <c r="A3751" s="24" t="n">
        <v>3747</v>
      </c>
      <c r="B3751" s="25" t="str">
        <f aca="false">IF(OR(C3751="",I3751="",G3751=""),"",IFERROR(VLOOKUP(I3751,Setup!$A$9:$B$11,2,0),"???")&amp;"-"&amp;G3751&amp;"-"&amp;TEXT(COUNTIFS(I$5:I3751,I3751,G$5:G3751,G3751),"0000"))</f>
        <v/>
      </c>
      <c r="C3751" s="26"/>
      <c r="D3751" s="26"/>
      <c r="E3751" s="27"/>
      <c r="F3751" s="27"/>
      <c r="G3751" s="24" t="str">
        <f aca="false">IF(F3751="","",IF(F3751&lt;=5,"A",IF(F3751&lt;=8,"B",IF(F3751&lt;=10,"C","D"))))</f>
        <v/>
      </c>
      <c r="H3751" s="28"/>
      <c r="I3751" s="27"/>
      <c r="J3751" s="26"/>
      <c r="K3751" s="27"/>
      <c r="L3751" s="27"/>
      <c r="M3751" s="27"/>
      <c r="N3751" s="27"/>
      <c r="O3751" s="24" t="str">
        <f aca="false">IF(G3751="","",VLOOKUP(G3751,Setup!$A$14:$C$17,3,0))</f>
        <v/>
      </c>
      <c r="P3751" s="27"/>
      <c r="Q3751" s="29" t="str">
        <f aca="false">IF(OR(P3751="",M3751&lt;&gt;"Paid",O3751=""),"",P3751/O3751)</f>
        <v/>
      </c>
      <c r="R3751" s="30" t="str">
        <f aca="false">IF(Q3751="","",Q3751+N(H3751)*0.000000001)</f>
        <v/>
      </c>
      <c r="S3751" s="25" t="str">
        <f aca="false">IF(R3751="","",SUMPRODUCT((I$5:I$4004=I3751)*ISNUMBER(R$5:R$4004)*(R$5:R$4004&gt;R3751))+1)</f>
        <v/>
      </c>
      <c r="T3751" s="25" t="str">
        <f aca="false">IF(S3751="","",IF(S3751&lt;=Setup!$B$5,"🏆 WINNER",""))</f>
        <v/>
      </c>
      <c r="U3751" s="24" t="str">
        <f aca="false">IF(S3751="","",I3751&amp;"|"&amp;S3751)</f>
        <v/>
      </c>
    </row>
    <row r="3752" customFormat="false" ht="15" hidden="false" customHeight="false" outlineLevel="0" collapsed="false">
      <c r="A3752" s="31" t="n">
        <v>3748</v>
      </c>
      <c r="B3752" s="32" t="str">
        <f aca="false">IF(OR(C3752="",I3752="",G3752=""),"",IFERROR(VLOOKUP(I3752,Setup!$A$9:$B$11,2,0),"???")&amp;"-"&amp;G3752&amp;"-"&amp;TEXT(COUNTIFS(I$5:I3752,I3752,G$5:G3752,G3752),"0000"))</f>
        <v/>
      </c>
      <c r="C3752" s="26"/>
      <c r="D3752" s="26"/>
      <c r="E3752" s="27"/>
      <c r="F3752" s="27"/>
      <c r="G3752" s="31" t="str">
        <f aca="false">IF(F3752="","",IF(F3752&lt;=5,"A",IF(F3752&lt;=8,"B",IF(F3752&lt;=10,"C","D"))))</f>
        <v/>
      </c>
      <c r="H3752" s="28"/>
      <c r="I3752" s="27"/>
      <c r="J3752" s="26"/>
      <c r="K3752" s="27"/>
      <c r="L3752" s="27"/>
      <c r="M3752" s="27"/>
      <c r="N3752" s="27"/>
      <c r="O3752" s="31" t="str">
        <f aca="false">IF(G3752="","",VLOOKUP(G3752,Setup!$A$14:$C$17,3,0))</f>
        <v/>
      </c>
      <c r="P3752" s="27"/>
      <c r="Q3752" s="33" t="str">
        <f aca="false">IF(OR(P3752="",M3752&lt;&gt;"Paid",O3752=""),"",P3752/O3752)</f>
        <v/>
      </c>
      <c r="R3752" s="34" t="str">
        <f aca="false">IF(Q3752="","",Q3752+N(H3752)*0.000000001)</f>
        <v/>
      </c>
      <c r="S3752" s="32" t="str">
        <f aca="false">IF(R3752="","",SUMPRODUCT((I$5:I$4004=I3752)*ISNUMBER(R$5:R$4004)*(R$5:R$4004&gt;R3752))+1)</f>
        <v/>
      </c>
      <c r="T3752" s="32" t="str">
        <f aca="false">IF(S3752="","",IF(S3752&lt;=Setup!$B$5,"🏆 WINNER",""))</f>
        <v/>
      </c>
      <c r="U3752" s="31" t="str">
        <f aca="false">IF(S3752="","",I3752&amp;"|"&amp;S3752)</f>
        <v/>
      </c>
    </row>
    <row r="3753" customFormat="false" ht="15" hidden="false" customHeight="false" outlineLevel="0" collapsed="false">
      <c r="A3753" s="24" t="n">
        <v>3749</v>
      </c>
      <c r="B3753" s="25" t="str">
        <f aca="false">IF(OR(C3753="",I3753="",G3753=""),"",IFERROR(VLOOKUP(I3753,Setup!$A$9:$B$11,2,0),"???")&amp;"-"&amp;G3753&amp;"-"&amp;TEXT(COUNTIFS(I$5:I3753,I3753,G$5:G3753,G3753),"0000"))</f>
        <v/>
      </c>
      <c r="C3753" s="26"/>
      <c r="D3753" s="26"/>
      <c r="E3753" s="27"/>
      <c r="F3753" s="27"/>
      <c r="G3753" s="24" t="str">
        <f aca="false">IF(F3753="","",IF(F3753&lt;=5,"A",IF(F3753&lt;=8,"B",IF(F3753&lt;=10,"C","D"))))</f>
        <v/>
      </c>
      <c r="H3753" s="28"/>
      <c r="I3753" s="27"/>
      <c r="J3753" s="26"/>
      <c r="K3753" s="27"/>
      <c r="L3753" s="27"/>
      <c r="M3753" s="27"/>
      <c r="N3753" s="27"/>
      <c r="O3753" s="24" t="str">
        <f aca="false">IF(G3753="","",VLOOKUP(G3753,Setup!$A$14:$C$17,3,0))</f>
        <v/>
      </c>
      <c r="P3753" s="27"/>
      <c r="Q3753" s="29" t="str">
        <f aca="false">IF(OR(P3753="",M3753&lt;&gt;"Paid",O3753=""),"",P3753/O3753)</f>
        <v/>
      </c>
      <c r="R3753" s="30" t="str">
        <f aca="false">IF(Q3753="","",Q3753+N(H3753)*0.000000001)</f>
        <v/>
      </c>
      <c r="S3753" s="25" t="str">
        <f aca="false">IF(R3753="","",SUMPRODUCT((I$5:I$4004=I3753)*ISNUMBER(R$5:R$4004)*(R$5:R$4004&gt;R3753))+1)</f>
        <v/>
      </c>
      <c r="T3753" s="25" t="str">
        <f aca="false">IF(S3753="","",IF(S3753&lt;=Setup!$B$5,"🏆 WINNER",""))</f>
        <v/>
      </c>
      <c r="U3753" s="24" t="str">
        <f aca="false">IF(S3753="","",I3753&amp;"|"&amp;S3753)</f>
        <v/>
      </c>
    </row>
    <row r="3754" customFormat="false" ht="15" hidden="false" customHeight="false" outlineLevel="0" collapsed="false">
      <c r="A3754" s="31" t="n">
        <v>3750</v>
      </c>
      <c r="B3754" s="32" t="str">
        <f aca="false">IF(OR(C3754="",I3754="",G3754=""),"",IFERROR(VLOOKUP(I3754,Setup!$A$9:$B$11,2,0),"???")&amp;"-"&amp;G3754&amp;"-"&amp;TEXT(COUNTIFS(I$5:I3754,I3754,G$5:G3754,G3754),"0000"))</f>
        <v/>
      </c>
      <c r="C3754" s="26"/>
      <c r="D3754" s="26"/>
      <c r="E3754" s="27"/>
      <c r="F3754" s="27"/>
      <c r="G3754" s="31" t="str">
        <f aca="false">IF(F3754="","",IF(F3754&lt;=5,"A",IF(F3754&lt;=8,"B",IF(F3754&lt;=10,"C","D"))))</f>
        <v/>
      </c>
      <c r="H3754" s="28"/>
      <c r="I3754" s="27"/>
      <c r="J3754" s="26"/>
      <c r="K3754" s="27"/>
      <c r="L3754" s="27"/>
      <c r="M3754" s="27"/>
      <c r="N3754" s="27"/>
      <c r="O3754" s="31" t="str">
        <f aca="false">IF(G3754="","",VLOOKUP(G3754,Setup!$A$14:$C$17,3,0))</f>
        <v/>
      </c>
      <c r="P3754" s="27"/>
      <c r="Q3754" s="33" t="str">
        <f aca="false">IF(OR(P3754="",M3754&lt;&gt;"Paid",O3754=""),"",P3754/O3754)</f>
        <v/>
      </c>
      <c r="R3754" s="34" t="str">
        <f aca="false">IF(Q3754="","",Q3754+N(H3754)*0.000000001)</f>
        <v/>
      </c>
      <c r="S3754" s="32" t="str">
        <f aca="false">IF(R3754="","",SUMPRODUCT((I$5:I$4004=I3754)*ISNUMBER(R$5:R$4004)*(R$5:R$4004&gt;R3754))+1)</f>
        <v/>
      </c>
      <c r="T3754" s="32" t="str">
        <f aca="false">IF(S3754="","",IF(S3754&lt;=Setup!$B$5,"🏆 WINNER",""))</f>
        <v/>
      </c>
      <c r="U3754" s="31" t="str">
        <f aca="false">IF(S3754="","",I3754&amp;"|"&amp;S3754)</f>
        <v/>
      </c>
    </row>
    <row r="3755" customFormat="false" ht="15" hidden="false" customHeight="false" outlineLevel="0" collapsed="false">
      <c r="A3755" s="24" t="n">
        <v>3751</v>
      </c>
      <c r="B3755" s="25" t="str">
        <f aca="false">IF(OR(C3755="",I3755="",G3755=""),"",IFERROR(VLOOKUP(I3755,Setup!$A$9:$B$11,2,0),"???")&amp;"-"&amp;G3755&amp;"-"&amp;TEXT(COUNTIFS(I$5:I3755,I3755,G$5:G3755,G3755),"0000"))</f>
        <v/>
      </c>
      <c r="C3755" s="26"/>
      <c r="D3755" s="26"/>
      <c r="E3755" s="27"/>
      <c r="F3755" s="27"/>
      <c r="G3755" s="24" t="str">
        <f aca="false">IF(F3755="","",IF(F3755&lt;=5,"A",IF(F3755&lt;=8,"B",IF(F3755&lt;=10,"C","D"))))</f>
        <v/>
      </c>
      <c r="H3755" s="28"/>
      <c r="I3755" s="27"/>
      <c r="J3755" s="26"/>
      <c r="K3755" s="27"/>
      <c r="L3755" s="27"/>
      <c r="M3755" s="27"/>
      <c r="N3755" s="27"/>
      <c r="O3755" s="24" t="str">
        <f aca="false">IF(G3755="","",VLOOKUP(G3755,Setup!$A$14:$C$17,3,0))</f>
        <v/>
      </c>
      <c r="P3755" s="27"/>
      <c r="Q3755" s="29" t="str">
        <f aca="false">IF(OR(P3755="",M3755&lt;&gt;"Paid",O3755=""),"",P3755/O3755)</f>
        <v/>
      </c>
      <c r="R3755" s="30" t="str">
        <f aca="false">IF(Q3755="","",Q3755+N(H3755)*0.000000001)</f>
        <v/>
      </c>
      <c r="S3755" s="25" t="str">
        <f aca="false">IF(R3755="","",SUMPRODUCT((I$5:I$4004=I3755)*ISNUMBER(R$5:R$4004)*(R$5:R$4004&gt;R3755))+1)</f>
        <v/>
      </c>
      <c r="T3755" s="25" t="str">
        <f aca="false">IF(S3755="","",IF(S3755&lt;=Setup!$B$5,"🏆 WINNER",""))</f>
        <v/>
      </c>
      <c r="U3755" s="24" t="str">
        <f aca="false">IF(S3755="","",I3755&amp;"|"&amp;S3755)</f>
        <v/>
      </c>
    </row>
    <row r="3756" customFormat="false" ht="15" hidden="false" customHeight="false" outlineLevel="0" collapsed="false">
      <c r="A3756" s="31" t="n">
        <v>3752</v>
      </c>
      <c r="B3756" s="32" t="str">
        <f aca="false">IF(OR(C3756="",I3756="",G3756=""),"",IFERROR(VLOOKUP(I3756,Setup!$A$9:$B$11,2,0),"???")&amp;"-"&amp;G3756&amp;"-"&amp;TEXT(COUNTIFS(I$5:I3756,I3756,G$5:G3756,G3756),"0000"))</f>
        <v/>
      </c>
      <c r="C3756" s="26"/>
      <c r="D3756" s="26"/>
      <c r="E3756" s="27"/>
      <c r="F3756" s="27"/>
      <c r="G3756" s="31" t="str">
        <f aca="false">IF(F3756="","",IF(F3756&lt;=5,"A",IF(F3756&lt;=8,"B",IF(F3756&lt;=10,"C","D"))))</f>
        <v/>
      </c>
      <c r="H3756" s="28"/>
      <c r="I3756" s="27"/>
      <c r="J3756" s="26"/>
      <c r="K3756" s="27"/>
      <c r="L3756" s="27"/>
      <c r="M3756" s="27"/>
      <c r="N3756" s="27"/>
      <c r="O3756" s="31" t="str">
        <f aca="false">IF(G3756="","",VLOOKUP(G3756,Setup!$A$14:$C$17,3,0))</f>
        <v/>
      </c>
      <c r="P3756" s="27"/>
      <c r="Q3756" s="33" t="str">
        <f aca="false">IF(OR(P3756="",M3756&lt;&gt;"Paid",O3756=""),"",P3756/O3756)</f>
        <v/>
      </c>
      <c r="R3756" s="34" t="str">
        <f aca="false">IF(Q3756="","",Q3756+N(H3756)*0.000000001)</f>
        <v/>
      </c>
      <c r="S3756" s="32" t="str">
        <f aca="false">IF(R3756="","",SUMPRODUCT((I$5:I$4004=I3756)*ISNUMBER(R$5:R$4004)*(R$5:R$4004&gt;R3756))+1)</f>
        <v/>
      </c>
      <c r="T3756" s="32" t="str">
        <f aca="false">IF(S3756="","",IF(S3756&lt;=Setup!$B$5,"🏆 WINNER",""))</f>
        <v/>
      </c>
      <c r="U3756" s="31" t="str">
        <f aca="false">IF(S3756="","",I3756&amp;"|"&amp;S3756)</f>
        <v/>
      </c>
    </row>
    <row r="3757" customFormat="false" ht="15" hidden="false" customHeight="false" outlineLevel="0" collapsed="false">
      <c r="A3757" s="24" t="n">
        <v>3753</v>
      </c>
      <c r="B3757" s="25" t="str">
        <f aca="false">IF(OR(C3757="",I3757="",G3757=""),"",IFERROR(VLOOKUP(I3757,Setup!$A$9:$B$11,2,0),"???")&amp;"-"&amp;G3757&amp;"-"&amp;TEXT(COUNTIFS(I$5:I3757,I3757,G$5:G3757,G3757),"0000"))</f>
        <v/>
      </c>
      <c r="C3757" s="26"/>
      <c r="D3757" s="26"/>
      <c r="E3757" s="27"/>
      <c r="F3757" s="27"/>
      <c r="G3757" s="24" t="str">
        <f aca="false">IF(F3757="","",IF(F3757&lt;=5,"A",IF(F3757&lt;=8,"B",IF(F3757&lt;=10,"C","D"))))</f>
        <v/>
      </c>
      <c r="H3757" s="28"/>
      <c r="I3757" s="27"/>
      <c r="J3757" s="26"/>
      <c r="K3757" s="27"/>
      <c r="L3757" s="27"/>
      <c r="M3757" s="27"/>
      <c r="N3757" s="27"/>
      <c r="O3757" s="24" t="str">
        <f aca="false">IF(G3757="","",VLOOKUP(G3757,Setup!$A$14:$C$17,3,0))</f>
        <v/>
      </c>
      <c r="P3757" s="27"/>
      <c r="Q3757" s="29" t="str">
        <f aca="false">IF(OR(P3757="",M3757&lt;&gt;"Paid",O3757=""),"",P3757/O3757)</f>
        <v/>
      </c>
      <c r="R3757" s="30" t="str">
        <f aca="false">IF(Q3757="","",Q3757+N(H3757)*0.000000001)</f>
        <v/>
      </c>
      <c r="S3757" s="25" t="str">
        <f aca="false">IF(R3757="","",SUMPRODUCT((I$5:I$4004=I3757)*ISNUMBER(R$5:R$4004)*(R$5:R$4004&gt;R3757))+1)</f>
        <v/>
      </c>
      <c r="T3757" s="25" t="str">
        <f aca="false">IF(S3757="","",IF(S3757&lt;=Setup!$B$5,"🏆 WINNER",""))</f>
        <v/>
      </c>
      <c r="U3757" s="24" t="str">
        <f aca="false">IF(S3757="","",I3757&amp;"|"&amp;S3757)</f>
        <v/>
      </c>
    </row>
    <row r="3758" customFormat="false" ht="15" hidden="false" customHeight="false" outlineLevel="0" collapsed="false">
      <c r="A3758" s="31" t="n">
        <v>3754</v>
      </c>
      <c r="B3758" s="32" t="str">
        <f aca="false">IF(OR(C3758="",I3758="",G3758=""),"",IFERROR(VLOOKUP(I3758,Setup!$A$9:$B$11,2,0),"???")&amp;"-"&amp;G3758&amp;"-"&amp;TEXT(COUNTIFS(I$5:I3758,I3758,G$5:G3758,G3758),"0000"))</f>
        <v/>
      </c>
      <c r="C3758" s="26"/>
      <c r="D3758" s="26"/>
      <c r="E3758" s="27"/>
      <c r="F3758" s="27"/>
      <c r="G3758" s="31" t="str">
        <f aca="false">IF(F3758="","",IF(F3758&lt;=5,"A",IF(F3758&lt;=8,"B",IF(F3758&lt;=10,"C","D"))))</f>
        <v/>
      </c>
      <c r="H3758" s="28"/>
      <c r="I3758" s="27"/>
      <c r="J3758" s="26"/>
      <c r="K3758" s="27"/>
      <c r="L3758" s="27"/>
      <c r="M3758" s="27"/>
      <c r="N3758" s="27"/>
      <c r="O3758" s="31" t="str">
        <f aca="false">IF(G3758="","",VLOOKUP(G3758,Setup!$A$14:$C$17,3,0))</f>
        <v/>
      </c>
      <c r="P3758" s="27"/>
      <c r="Q3758" s="33" t="str">
        <f aca="false">IF(OR(P3758="",M3758&lt;&gt;"Paid",O3758=""),"",P3758/O3758)</f>
        <v/>
      </c>
      <c r="R3758" s="34" t="str">
        <f aca="false">IF(Q3758="","",Q3758+N(H3758)*0.000000001)</f>
        <v/>
      </c>
      <c r="S3758" s="32" t="str">
        <f aca="false">IF(R3758="","",SUMPRODUCT((I$5:I$4004=I3758)*ISNUMBER(R$5:R$4004)*(R$5:R$4004&gt;R3758))+1)</f>
        <v/>
      </c>
      <c r="T3758" s="32" t="str">
        <f aca="false">IF(S3758="","",IF(S3758&lt;=Setup!$B$5,"🏆 WINNER",""))</f>
        <v/>
      </c>
      <c r="U3758" s="31" t="str">
        <f aca="false">IF(S3758="","",I3758&amp;"|"&amp;S3758)</f>
        <v/>
      </c>
    </row>
    <row r="3759" customFormat="false" ht="15" hidden="false" customHeight="false" outlineLevel="0" collapsed="false">
      <c r="A3759" s="24" t="n">
        <v>3755</v>
      </c>
      <c r="B3759" s="25" t="str">
        <f aca="false">IF(OR(C3759="",I3759="",G3759=""),"",IFERROR(VLOOKUP(I3759,Setup!$A$9:$B$11,2,0),"???")&amp;"-"&amp;G3759&amp;"-"&amp;TEXT(COUNTIFS(I$5:I3759,I3759,G$5:G3759,G3759),"0000"))</f>
        <v/>
      </c>
      <c r="C3759" s="26"/>
      <c r="D3759" s="26"/>
      <c r="E3759" s="27"/>
      <c r="F3759" s="27"/>
      <c r="G3759" s="24" t="str">
        <f aca="false">IF(F3759="","",IF(F3759&lt;=5,"A",IF(F3759&lt;=8,"B",IF(F3759&lt;=10,"C","D"))))</f>
        <v/>
      </c>
      <c r="H3759" s="28"/>
      <c r="I3759" s="27"/>
      <c r="J3759" s="26"/>
      <c r="K3759" s="27"/>
      <c r="L3759" s="27"/>
      <c r="M3759" s="27"/>
      <c r="N3759" s="27"/>
      <c r="O3759" s="24" t="str">
        <f aca="false">IF(G3759="","",VLOOKUP(G3759,Setup!$A$14:$C$17,3,0))</f>
        <v/>
      </c>
      <c r="P3759" s="27"/>
      <c r="Q3759" s="29" t="str">
        <f aca="false">IF(OR(P3759="",M3759&lt;&gt;"Paid",O3759=""),"",P3759/O3759)</f>
        <v/>
      </c>
      <c r="R3759" s="30" t="str">
        <f aca="false">IF(Q3759="","",Q3759+N(H3759)*0.000000001)</f>
        <v/>
      </c>
      <c r="S3759" s="25" t="str">
        <f aca="false">IF(R3759="","",SUMPRODUCT((I$5:I$4004=I3759)*ISNUMBER(R$5:R$4004)*(R$5:R$4004&gt;R3759))+1)</f>
        <v/>
      </c>
      <c r="T3759" s="25" t="str">
        <f aca="false">IF(S3759="","",IF(S3759&lt;=Setup!$B$5,"🏆 WINNER",""))</f>
        <v/>
      </c>
      <c r="U3759" s="24" t="str">
        <f aca="false">IF(S3759="","",I3759&amp;"|"&amp;S3759)</f>
        <v/>
      </c>
    </row>
    <row r="3760" customFormat="false" ht="15" hidden="false" customHeight="false" outlineLevel="0" collapsed="false">
      <c r="A3760" s="31" t="n">
        <v>3756</v>
      </c>
      <c r="B3760" s="32" t="str">
        <f aca="false">IF(OR(C3760="",I3760="",G3760=""),"",IFERROR(VLOOKUP(I3760,Setup!$A$9:$B$11,2,0),"???")&amp;"-"&amp;G3760&amp;"-"&amp;TEXT(COUNTIFS(I$5:I3760,I3760,G$5:G3760,G3760),"0000"))</f>
        <v/>
      </c>
      <c r="C3760" s="26"/>
      <c r="D3760" s="26"/>
      <c r="E3760" s="27"/>
      <c r="F3760" s="27"/>
      <c r="G3760" s="31" t="str">
        <f aca="false">IF(F3760="","",IF(F3760&lt;=5,"A",IF(F3760&lt;=8,"B",IF(F3760&lt;=10,"C","D"))))</f>
        <v/>
      </c>
      <c r="H3760" s="28"/>
      <c r="I3760" s="27"/>
      <c r="J3760" s="26"/>
      <c r="K3760" s="27"/>
      <c r="L3760" s="27"/>
      <c r="M3760" s="27"/>
      <c r="N3760" s="27"/>
      <c r="O3760" s="31" t="str">
        <f aca="false">IF(G3760="","",VLOOKUP(G3760,Setup!$A$14:$C$17,3,0))</f>
        <v/>
      </c>
      <c r="P3760" s="27"/>
      <c r="Q3760" s="33" t="str">
        <f aca="false">IF(OR(P3760="",M3760&lt;&gt;"Paid",O3760=""),"",P3760/O3760)</f>
        <v/>
      </c>
      <c r="R3760" s="34" t="str">
        <f aca="false">IF(Q3760="","",Q3760+N(H3760)*0.000000001)</f>
        <v/>
      </c>
      <c r="S3760" s="32" t="str">
        <f aca="false">IF(R3760="","",SUMPRODUCT((I$5:I$4004=I3760)*ISNUMBER(R$5:R$4004)*(R$5:R$4004&gt;R3760))+1)</f>
        <v/>
      </c>
      <c r="T3760" s="32" t="str">
        <f aca="false">IF(S3760="","",IF(S3760&lt;=Setup!$B$5,"🏆 WINNER",""))</f>
        <v/>
      </c>
      <c r="U3760" s="31" t="str">
        <f aca="false">IF(S3760="","",I3760&amp;"|"&amp;S3760)</f>
        <v/>
      </c>
    </row>
    <row r="3761" customFormat="false" ht="15" hidden="false" customHeight="false" outlineLevel="0" collapsed="false">
      <c r="A3761" s="24" t="n">
        <v>3757</v>
      </c>
      <c r="B3761" s="25" t="str">
        <f aca="false">IF(OR(C3761="",I3761="",G3761=""),"",IFERROR(VLOOKUP(I3761,Setup!$A$9:$B$11,2,0),"???")&amp;"-"&amp;G3761&amp;"-"&amp;TEXT(COUNTIFS(I$5:I3761,I3761,G$5:G3761,G3761),"0000"))</f>
        <v/>
      </c>
      <c r="C3761" s="26"/>
      <c r="D3761" s="26"/>
      <c r="E3761" s="27"/>
      <c r="F3761" s="27"/>
      <c r="G3761" s="24" t="str">
        <f aca="false">IF(F3761="","",IF(F3761&lt;=5,"A",IF(F3761&lt;=8,"B",IF(F3761&lt;=10,"C","D"))))</f>
        <v/>
      </c>
      <c r="H3761" s="28"/>
      <c r="I3761" s="27"/>
      <c r="J3761" s="26"/>
      <c r="K3761" s="27"/>
      <c r="L3761" s="27"/>
      <c r="M3761" s="27"/>
      <c r="N3761" s="27"/>
      <c r="O3761" s="24" t="str">
        <f aca="false">IF(G3761="","",VLOOKUP(G3761,Setup!$A$14:$C$17,3,0))</f>
        <v/>
      </c>
      <c r="P3761" s="27"/>
      <c r="Q3761" s="29" t="str">
        <f aca="false">IF(OR(P3761="",M3761&lt;&gt;"Paid",O3761=""),"",P3761/O3761)</f>
        <v/>
      </c>
      <c r="R3761" s="30" t="str">
        <f aca="false">IF(Q3761="","",Q3761+N(H3761)*0.000000001)</f>
        <v/>
      </c>
      <c r="S3761" s="25" t="str">
        <f aca="false">IF(R3761="","",SUMPRODUCT((I$5:I$4004=I3761)*ISNUMBER(R$5:R$4004)*(R$5:R$4004&gt;R3761))+1)</f>
        <v/>
      </c>
      <c r="T3761" s="25" t="str">
        <f aca="false">IF(S3761="","",IF(S3761&lt;=Setup!$B$5,"🏆 WINNER",""))</f>
        <v/>
      </c>
      <c r="U3761" s="24" t="str">
        <f aca="false">IF(S3761="","",I3761&amp;"|"&amp;S3761)</f>
        <v/>
      </c>
    </row>
    <row r="3762" customFormat="false" ht="15" hidden="false" customHeight="false" outlineLevel="0" collapsed="false">
      <c r="A3762" s="31" t="n">
        <v>3758</v>
      </c>
      <c r="B3762" s="32" t="str">
        <f aca="false">IF(OR(C3762="",I3762="",G3762=""),"",IFERROR(VLOOKUP(I3762,Setup!$A$9:$B$11,2,0),"???")&amp;"-"&amp;G3762&amp;"-"&amp;TEXT(COUNTIFS(I$5:I3762,I3762,G$5:G3762,G3762),"0000"))</f>
        <v/>
      </c>
      <c r="C3762" s="26"/>
      <c r="D3762" s="26"/>
      <c r="E3762" s="27"/>
      <c r="F3762" s="27"/>
      <c r="G3762" s="31" t="str">
        <f aca="false">IF(F3762="","",IF(F3762&lt;=5,"A",IF(F3762&lt;=8,"B",IF(F3762&lt;=10,"C","D"))))</f>
        <v/>
      </c>
      <c r="H3762" s="28"/>
      <c r="I3762" s="27"/>
      <c r="J3762" s="26"/>
      <c r="K3762" s="27"/>
      <c r="L3762" s="27"/>
      <c r="M3762" s="27"/>
      <c r="N3762" s="27"/>
      <c r="O3762" s="31" t="str">
        <f aca="false">IF(G3762="","",VLOOKUP(G3762,Setup!$A$14:$C$17,3,0))</f>
        <v/>
      </c>
      <c r="P3762" s="27"/>
      <c r="Q3762" s="33" t="str">
        <f aca="false">IF(OR(P3762="",M3762&lt;&gt;"Paid",O3762=""),"",P3762/O3762)</f>
        <v/>
      </c>
      <c r="R3762" s="34" t="str">
        <f aca="false">IF(Q3762="","",Q3762+N(H3762)*0.000000001)</f>
        <v/>
      </c>
      <c r="S3762" s="32" t="str">
        <f aca="false">IF(R3762="","",SUMPRODUCT((I$5:I$4004=I3762)*ISNUMBER(R$5:R$4004)*(R$5:R$4004&gt;R3762))+1)</f>
        <v/>
      </c>
      <c r="T3762" s="32" t="str">
        <f aca="false">IF(S3762="","",IF(S3762&lt;=Setup!$B$5,"🏆 WINNER",""))</f>
        <v/>
      </c>
      <c r="U3762" s="31" t="str">
        <f aca="false">IF(S3762="","",I3762&amp;"|"&amp;S3762)</f>
        <v/>
      </c>
    </row>
    <row r="3763" customFormat="false" ht="15" hidden="false" customHeight="false" outlineLevel="0" collapsed="false">
      <c r="A3763" s="24" t="n">
        <v>3759</v>
      </c>
      <c r="B3763" s="25" t="str">
        <f aca="false">IF(OR(C3763="",I3763="",G3763=""),"",IFERROR(VLOOKUP(I3763,Setup!$A$9:$B$11,2,0),"???")&amp;"-"&amp;G3763&amp;"-"&amp;TEXT(COUNTIFS(I$5:I3763,I3763,G$5:G3763,G3763),"0000"))</f>
        <v/>
      </c>
      <c r="C3763" s="26"/>
      <c r="D3763" s="26"/>
      <c r="E3763" s="27"/>
      <c r="F3763" s="27"/>
      <c r="G3763" s="24" t="str">
        <f aca="false">IF(F3763="","",IF(F3763&lt;=5,"A",IF(F3763&lt;=8,"B",IF(F3763&lt;=10,"C","D"))))</f>
        <v/>
      </c>
      <c r="H3763" s="28"/>
      <c r="I3763" s="27"/>
      <c r="J3763" s="26"/>
      <c r="K3763" s="27"/>
      <c r="L3763" s="27"/>
      <c r="M3763" s="27"/>
      <c r="N3763" s="27"/>
      <c r="O3763" s="24" t="str">
        <f aca="false">IF(G3763="","",VLOOKUP(G3763,Setup!$A$14:$C$17,3,0))</f>
        <v/>
      </c>
      <c r="P3763" s="27"/>
      <c r="Q3763" s="29" t="str">
        <f aca="false">IF(OR(P3763="",M3763&lt;&gt;"Paid",O3763=""),"",P3763/O3763)</f>
        <v/>
      </c>
      <c r="R3763" s="30" t="str">
        <f aca="false">IF(Q3763="","",Q3763+N(H3763)*0.000000001)</f>
        <v/>
      </c>
      <c r="S3763" s="25" t="str">
        <f aca="false">IF(R3763="","",SUMPRODUCT((I$5:I$4004=I3763)*ISNUMBER(R$5:R$4004)*(R$5:R$4004&gt;R3763))+1)</f>
        <v/>
      </c>
      <c r="T3763" s="25" t="str">
        <f aca="false">IF(S3763="","",IF(S3763&lt;=Setup!$B$5,"🏆 WINNER",""))</f>
        <v/>
      </c>
      <c r="U3763" s="24" t="str">
        <f aca="false">IF(S3763="","",I3763&amp;"|"&amp;S3763)</f>
        <v/>
      </c>
    </row>
    <row r="3764" customFormat="false" ht="15" hidden="false" customHeight="false" outlineLevel="0" collapsed="false">
      <c r="A3764" s="31" t="n">
        <v>3760</v>
      </c>
      <c r="B3764" s="32" t="str">
        <f aca="false">IF(OR(C3764="",I3764="",G3764=""),"",IFERROR(VLOOKUP(I3764,Setup!$A$9:$B$11,2,0),"???")&amp;"-"&amp;G3764&amp;"-"&amp;TEXT(COUNTIFS(I$5:I3764,I3764,G$5:G3764,G3764),"0000"))</f>
        <v/>
      </c>
      <c r="C3764" s="26"/>
      <c r="D3764" s="26"/>
      <c r="E3764" s="27"/>
      <c r="F3764" s="27"/>
      <c r="G3764" s="31" t="str">
        <f aca="false">IF(F3764="","",IF(F3764&lt;=5,"A",IF(F3764&lt;=8,"B",IF(F3764&lt;=10,"C","D"))))</f>
        <v/>
      </c>
      <c r="H3764" s="28"/>
      <c r="I3764" s="27"/>
      <c r="J3764" s="26"/>
      <c r="K3764" s="27"/>
      <c r="L3764" s="27"/>
      <c r="M3764" s="27"/>
      <c r="N3764" s="27"/>
      <c r="O3764" s="31" t="str">
        <f aca="false">IF(G3764="","",VLOOKUP(G3764,Setup!$A$14:$C$17,3,0))</f>
        <v/>
      </c>
      <c r="P3764" s="27"/>
      <c r="Q3764" s="33" t="str">
        <f aca="false">IF(OR(P3764="",M3764&lt;&gt;"Paid",O3764=""),"",P3764/O3764)</f>
        <v/>
      </c>
      <c r="R3764" s="34" t="str">
        <f aca="false">IF(Q3764="","",Q3764+N(H3764)*0.000000001)</f>
        <v/>
      </c>
      <c r="S3764" s="32" t="str">
        <f aca="false">IF(R3764="","",SUMPRODUCT((I$5:I$4004=I3764)*ISNUMBER(R$5:R$4004)*(R$5:R$4004&gt;R3764))+1)</f>
        <v/>
      </c>
      <c r="T3764" s="32" t="str">
        <f aca="false">IF(S3764="","",IF(S3764&lt;=Setup!$B$5,"🏆 WINNER",""))</f>
        <v/>
      </c>
      <c r="U3764" s="31" t="str">
        <f aca="false">IF(S3764="","",I3764&amp;"|"&amp;S3764)</f>
        <v/>
      </c>
    </row>
    <row r="3765" customFormat="false" ht="15" hidden="false" customHeight="false" outlineLevel="0" collapsed="false">
      <c r="A3765" s="24" t="n">
        <v>3761</v>
      </c>
      <c r="B3765" s="25" t="str">
        <f aca="false">IF(OR(C3765="",I3765="",G3765=""),"",IFERROR(VLOOKUP(I3765,Setup!$A$9:$B$11,2,0),"???")&amp;"-"&amp;G3765&amp;"-"&amp;TEXT(COUNTIFS(I$5:I3765,I3765,G$5:G3765,G3765),"0000"))</f>
        <v/>
      </c>
      <c r="C3765" s="26"/>
      <c r="D3765" s="26"/>
      <c r="E3765" s="27"/>
      <c r="F3765" s="27"/>
      <c r="G3765" s="24" t="str">
        <f aca="false">IF(F3765="","",IF(F3765&lt;=5,"A",IF(F3765&lt;=8,"B",IF(F3765&lt;=10,"C","D"))))</f>
        <v/>
      </c>
      <c r="H3765" s="28"/>
      <c r="I3765" s="27"/>
      <c r="J3765" s="26"/>
      <c r="K3765" s="27"/>
      <c r="L3765" s="27"/>
      <c r="M3765" s="27"/>
      <c r="N3765" s="27"/>
      <c r="O3765" s="24" t="str">
        <f aca="false">IF(G3765="","",VLOOKUP(G3765,Setup!$A$14:$C$17,3,0))</f>
        <v/>
      </c>
      <c r="P3765" s="27"/>
      <c r="Q3765" s="29" t="str">
        <f aca="false">IF(OR(P3765="",M3765&lt;&gt;"Paid",O3765=""),"",P3765/O3765)</f>
        <v/>
      </c>
      <c r="R3765" s="30" t="str">
        <f aca="false">IF(Q3765="","",Q3765+N(H3765)*0.000000001)</f>
        <v/>
      </c>
      <c r="S3765" s="25" t="str">
        <f aca="false">IF(R3765="","",SUMPRODUCT((I$5:I$4004=I3765)*ISNUMBER(R$5:R$4004)*(R$5:R$4004&gt;R3765))+1)</f>
        <v/>
      </c>
      <c r="T3765" s="25" t="str">
        <f aca="false">IF(S3765="","",IF(S3765&lt;=Setup!$B$5,"🏆 WINNER",""))</f>
        <v/>
      </c>
      <c r="U3765" s="24" t="str">
        <f aca="false">IF(S3765="","",I3765&amp;"|"&amp;S3765)</f>
        <v/>
      </c>
    </row>
    <row r="3766" customFormat="false" ht="15" hidden="false" customHeight="false" outlineLevel="0" collapsed="false">
      <c r="A3766" s="31" t="n">
        <v>3762</v>
      </c>
      <c r="B3766" s="32" t="str">
        <f aca="false">IF(OR(C3766="",I3766="",G3766=""),"",IFERROR(VLOOKUP(I3766,Setup!$A$9:$B$11,2,0),"???")&amp;"-"&amp;G3766&amp;"-"&amp;TEXT(COUNTIFS(I$5:I3766,I3766,G$5:G3766,G3766),"0000"))</f>
        <v/>
      </c>
      <c r="C3766" s="26"/>
      <c r="D3766" s="26"/>
      <c r="E3766" s="27"/>
      <c r="F3766" s="27"/>
      <c r="G3766" s="31" t="str">
        <f aca="false">IF(F3766="","",IF(F3766&lt;=5,"A",IF(F3766&lt;=8,"B",IF(F3766&lt;=10,"C","D"))))</f>
        <v/>
      </c>
      <c r="H3766" s="28"/>
      <c r="I3766" s="27"/>
      <c r="J3766" s="26"/>
      <c r="K3766" s="27"/>
      <c r="L3766" s="27"/>
      <c r="M3766" s="27"/>
      <c r="N3766" s="27"/>
      <c r="O3766" s="31" t="str">
        <f aca="false">IF(G3766="","",VLOOKUP(G3766,Setup!$A$14:$C$17,3,0))</f>
        <v/>
      </c>
      <c r="P3766" s="27"/>
      <c r="Q3766" s="33" t="str">
        <f aca="false">IF(OR(P3766="",M3766&lt;&gt;"Paid",O3766=""),"",P3766/O3766)</f>
        <v/>
      </c>
      <c r="R3766" s="34" t="str">
        <f aca="false">IF(Q3766="","",Q3766+N(H3766)*0.000000001)</f>
        <v/>
      </c>
      <c r="S3766" s="32" t="str">
        <f aca="false">IF(R3766="","",SUMPRODUCT((I$5:I$4004=I3766)*ISNUMBER(R$5:R$4004)*(R$5:R$4004&gt;R3766))+1)</f>
        <v/>
      </c>
      <c r="T3766" s="32" t="str">
        <f aca="false">IF(S3766="","",IF(S3766&lt;=Setup!$B$5,"🏆 WINNER",""))</f>
        <v/>
      </c>
      <c r="U3766" s="31" t="str">
        <f aca="false">IF(S3766="","",I3766&amp;"|"&amp;S3766)</f>
        <v/>
      </c>
    </row>
    <row r="3767" customFormat="false" ht="15" hidden="false" customHeight="false" outlineLevel="0" collapsed="false">
      <c r="A3767" s="24" t="n">
        <v>3763</v>
      </c>
      <c r="B3767" s="25" t="str">
        <f aca="false">IF(OR(C3767="",I3767="",G3767=""),"",IFERROR(VLOOKUP(I3767,Setup!$A$9:$B$11,2,0),"???")&amp;"-"&amp;G3767&amp;"-"&amp;TEXT(COUNTIFS(I$5:I3767,I3767,G$5:G3767,G3767),"0000"))</f>
        <v/>
      </c>
      <c r="C3767" s="26"/>
      <c r="D3767" s="26"/>
      <c r="E3767" s="27"/>
      <c r="F3767" s="27"/>
      <c r="G3767" s="24" t="str">
        <f aca="false">IF(F3767="","",IF(F3767&lt;=5,"A",IF(F3767&lt;=8,"B",IF(F3767&lt;=10,"C","D"))))</f>
        <v/>
      </c>
      <c r="H3767" s="28"/>
      <c r="I3767" s="27"/>
      <c r="J3767" s="26"/>
      <c r="K3767" s="27"/>
      <c r="L3767" s="27"/>
      <c r="M3767" s="27"/>
      <c r="N3767" s="27"/>
      <c r="O3767" s="24" t="str">
        <f aca="false">IF(G3767="","",VLOOKUP(G3767,Setup!$A$14:$C$17,3,0))</f>
        <v/>
      </c>
      <c r="P3767" s="27"/>
      <c r="Q3767" s="29" t="str">
        <f aca="false">IF(OR(P3767="",M3767&lt;&gt;"Paid",O3767=""),"",P3767/O3767)</f>
        <v/>
      </c>
      <c r="R3767" s="30" t="str">
        <f aca="false">IF(Q3767="","",Q3767+N(H3767)*0.000000001)</f>
        <v/>
      </c>
      <c r="S3767" s="25" t="str">
        <f aca="false">IF(R3767="","",SUMPRODUCT((I$5:I$4004=I3767)*ISNUMBER(R$5:R$4004)*(R$5:R$4004&gt;R3767))+1)</f>
        <v/>
      </c>
      <c r="T3767" s="25" t="str">
        <f aca="false">IF(S3767="","",IF(S3767&lt;=Setup!$B$5,"🏆 WINNER",""))</f>
        <v/>
      </c>
      <c r="U3767" s="24" t="str">
        <f aca="false">IF(S3767="","",I3767&amp;"|"&amp;S3767)</f>
        <v/>
      </c>
    </row>
    <row r="3768" customFormat="false" ht="15" hidden="false" customHeight="false" outlineLevel="0" collapsed="false">
      <c r="A3768" s="31" t="n">
        <v>3764</v>
      </c>
      <c r="B3768" s="32" t="str">
        <f aca="false">IF(OR(C3768="",I3768="",G3768=""),"",IFERROR(VLOOKUP(I3768,Setup!$A$9:$B$11,2,0),"???")&amp;"-"&amp;G3768&amp;"-"&amp;TEXT(COUNTIFS(I$5:I3768,I3768,G$5:G3768,G3768),"0000"))</f>
        <v/>
      </c>
      <c r="C3768" s="26"/>
      <c r="D3768" s="26"/>
      <c r="E3768" s="27"/>
      <c r="F3768" s="27"/>
      <c r="G3768" s="31" t="str">
        <f aca="false">IF(F3768="","",IF(F3768&lt;=5,"A",IF(F3768&lt;=8,"B",IF(F3768&lt;=10,"C","D"))))</f>
        <v/>
      </c>
      <c r="H3768" s="28"/>
      <c r="I3768" s="27"/>
      <c r="J3768" s="26"/>
      <c r="K3768" s="27"/>
      <c r="L3768" s="27"/>
      <c r="M3768" s="27"/>
      <c r="N3768" s="27"/>
      <c r="O3768" s="31" t="str">
        <f aca="false">IF(G3768="","",VLOOKUP(G3768,Setup!$A$14:$C$17,3,0))</f>
        <v/>
      </c>
      <c r="P3768" s="27"/>
      <c r="Q3768" s="33" t="str">
        <f aca="false">IF(OR(P3768="",M3768&lt;&gt;"Paid",O3768=""),"",P3768/O3768)</f>
        <v/>
      </c>
      <c r="R3768" s="34" t="str">
        <f aca="false">IF(Q3768="","",Q3768+N(H3768)*0.000000001)</f>
        <v/>
      </c>
      <c r="S3768" s="32" t="str">
        <f aca="false">IF(R3768="","",SUMPRODUCT((I$5:I$4004=I3768)*ISNUMBER(R$5:R$4004)*(R$5:R$4004&gt;R3768))+1)</f>
        <v/>
      </c>
      <c r="T3768" s="32" t="str">
        <f aca="false">IF(S3768="","",IF(S3768&lt;=Setup!$B$5,"🏆 WINNER",""))</f>
        <v/>
      </c>
      <c r="U3768" s="31" t="str">
        <f aca="false">IF(S3768="","",I3768&amp;"|"&amp;S3768)</f>
        <v/>
      </c>
    </row>
    <row r="3769" customFormat="false" ht="15" hidden="false" customHeight="false" outlineLevel="0" collapsed="false">
      <c r="A3769" s="24" t="n">
        <v>3765</v>
      </c>
      <c r="B3769" s="25" t="str">
        <f aca="false">IF(OR(C3769="",I3769="",G3769=""),"",IFERROR(VLOOKUP(I3769,Setup!$A$9:$B$11,2,0),"???")&amp;"-"&amp;G3769&amp;"-"&amp;TEXT(COUNTIFS(I$5:I3769,I3769,G$5:G3769,G3769),"0000"))</f>
        <v/>
      </c>
      <c r="C3769" s="26"/>
      <c r="D3769" s="26"/>
      <c r="E3769" s="27"/>
      <c r="F3769" s="27"/>
      <c r="G3769" s="24" t="str">
        <f aca="false">IF(F3769="","",IF(F3769&lt;=5,"A",IF(F3769&lt;=8,"B",IF(F3769&lt;=10,"C","D"))))</f>
        <v/>
      </c>
      <c r="H3769" s="28"/>
      <c r="I3769" s="27"/>
      <c r="J3769" s="26"/>
      <c r="K3769" s="27"/>
      <c r="L3769" s="27"/>
      <c r="M3769" s="27"/>
      <c r="N3769" s="27"/>
      <c r="O3769" s="24" t="str">
        <f aca="false">IF(G3769="","",VLOOKUP(G3769,Setup!$A$14:$C$17,3,0))</f>
        <v/>
      </c>
      <c r="P3769" s="27"/>
      <c r="Q3769" s="29" t="str">
        <f aca="false">IF(OR(P3769="",M3769&lt;&gt;"Paid",O3769=""),"",P3769/O3769)</f>
        <v/>
      </c>
      <c r="R3769" s="30" t="str">
        <f aca="false">IF(Q3769="","",Q3769+N(H3769)*0.000000001)</f>
        <v/>
      </c>
      <c r="S3769" s="25" t="str">
        <f aca="false">IF(R3769="","",SUMPRODUCT((I$5:I$4004=I3769)*ISNUMBER(R$5:R$4004)*(R$5:R$4004&gt;R3769))+1)</f>
        <v/>
      </c>
      <c r="T3769" s="25" t="str">
        <f aca="false">IF(S3769="","",IF(S3769&lt;=Setup!$B$5,"🏆 WINNER",""))</f>
        <v/>
      </c>
      <c r="U3769" s="24" t="str">
        <f aca="false">IF(S3769="","",I3769&amp;"|"&amp;S3769)</f>
        <v/>
      </c>
    </row>
    <row r="3770" customFormat="false" ht="15" hidden="false" customHeight="false" outlineLevel="0" collapsed="false">
      <c r="A3770" s="31" t="n">
        <v>3766</v>
      </c>
      <c r="B3770" s="32" t="str">
        <f aca="false">IF(OR(C3770="",I3770="",G3770=""),"",IFERROR(VLOOKUP(I3770,Setup!$A$9:$B$11,2,0),"???")&amp;"-"&amp;G3770&amp;"-"&amp;TEXT(COUNTIFS(I$5:I3770,I3770,G$5:G3770,G3770),"0000"))</f>
        <v/>
      </c>
      <c r="C3770" s="26"/>
      <c r="D3770" s="26"/>
      <c r="E3770" s="27"/>
      <c r="F3770" s="27"/>
      <c r="G3770" s="31" t="str">
        <f aca="false">IF(F3770="","",IF(F3770&lt;=5,"A",IF(F3770&lt;=8,"B",IF(F3770&lt;=10,"C","D"))))</f>
        <v/>
      </c>
      <c r="H3770" s="28"/>
      <c r="I3770" s="27"/>
      <c r="J3770" s="26"/>
      <c r="K3770" s="27"/>
      <c r="L3770" s="27"/>
      <c r="M3770" s="27"/>
      <c r="N3770" s="27"/>
      <c r="O3770" s="31" t="str">
        <f aca="false">IF(G3770="","",VLOOKUP(G3770,Setup!$A$14:$C$17,3,0))</f>
        <v/>
      </c>
      <c r="P3770" s="27"/>
      <c r="Q3770" s="33" t="str">
        <f aca="false">IF(OR(P3770="",M3770&lt;&gt;"Paid",O3770=""),"",P3770/O3770)</f>
        <v/>
      </c>
      <c r="R3770" s="34" t="str">
        <f aca="false">IF(Q3770="","",Q3770+N(H3770)*0.000000001)</f>
        <v/>
      </c>
      <c r="S3770" s="32" t="str">
        <f aca="false">IF(R3770="","",SUMPRODUCT((I$5:I$4004=I3770)*ISNUMBER(R$5:R$4004)*(R$5:R$4004&gt;R3770))+1)</f>
        <v/>
      </c>
      <c r="T3770" s="32" t="str">
        <f aca="false">IF(S3770="","",IF(S3770&lt;=Setup!$B$5,"🏆 WINNER",""))</f>
        <v/>
      </c>
      <c r="U3770" s="31" t="str">
        <f aca="false">IF(S3770="","",I3770&amp;"|"&amp;S3770)</f>
        <v/>
      </c>
    </row>
    <row r="3771" customFormat="false" ht="15" hidden="false" customHeight="false" outlineLevel="0" collapsed="false">
      <c r="A3771" s="24" t="n">
        <v>3767</v>
      </c>
      <c r="B3771" s="25" t="str">
        <f aca="false">IF(OR(C3771="",I3771="",G3771=""),"",IFERROR(VLOOKUP(I3771,Setup!$A$9:$B$11,2,0),"???")&amp;"-"&amp;G3771&amp;"-"&amp;TEXT(COUNTIFS(I$5:I3771,I3771,G$5:G3771,G3771),"0000"))</f>
        <v/>
      </c>
      <c r="C3771" s="26"/>
      <c r="D3771" s="26"/>
      <c r="E3771" s="27"/>
      <c r="F3771" s="27"/>
      <c r="G3771" s="24" t="str">
        <f aca="false">IF(F3771="","",IF(F3771&lt;=5,"A",IF(F3771&lt;=8,"B",IF(F3771&lt;=10,"C","D"))))</f>
        <v/>
      </c>
      <c r="H3771" s="28"/>
      <c r="I3771" s="27"/>
      <c r="J3771" s="26"/>
      <c r="K3771" s="27"/>
      <c r="L3771" s="27"/>
      <c r="M3771" s="27"/>
      <c r="N3771" s="27"/>
      <c r="O3771" s="24" t="str">
        <f aca="false">IF(G3771="","",VLOOKUP(G3771,Setup!$A$14:$C$17,3,0))</f>
        <v/>
      </c>
      <c r="P3771" s="27"/>
      <c r="Q3771" s="29" t="str">
        <f aca="false">IF(OR(P3771="",M3771&lt;&gt;"Paid",O3771=""),"",P3771/O3771)</f>
        <v/>
      </c>
      <c r="R3771" s="30" t="str">
        <f aca="false">IF(Q3771="","",Q3771+N(H3771)*0.000000001)</f>
        <v/>
      </c>
      <c r="S3771" s="25" t="str">
        <f aca="false">IF(R3771="","",SUMPRODUCT((I$5:I$4004=I3771)*ISNUMBER(R$5:R$4004)*(R$5:R$4004&gt;R3771))+1)</f>
        <v/>
      </c>
      <c r="T3771" s="25" t="str">
        <f aca="false">IF(S3771="","",IF(S3771&lt;=Setup!$B$5,"🏆 WINNER",""))</f>
        <v/>
      </c>
      <c r="U3771" s="24" t="str">
        <f aca="false">IF(S3771="","",I3771&amp;"|"&amp;S3771)</f>
        <v/>
      </c>
    </row>
    <row r="3772" customFormat="false" ht="15" hidden="false" customHeight="false" outlineLevel="0" collapsed="false">
      <c r="A3772" s="31" t="n">
        <v>3768</v>
      </c>
      <c r="B3772" s="32" t="str">
        <f aca="false">IF(OR(C3772="",I3772="",G3772=""),"",IFERROR(VLOOKUP(I3772,Setup!$A$9:$B$11,2,0),"???")&amp;"-"&amp;G3772&amp;"-"&amp;TEXT(COUNTIFS(I$5:I3772,I3772,G$5:G3772,G3772),"0000"))</f>
        <v/>
      </c>
      <c r="C3772" s="26"/>
      <c r="D3772" s="26"/>
      <c r="E3772" s="27"/>
      <c r="F3772" s="27"/>
      <c r="G3772" s="31" t="str">
        <f aca="false">IF(F3772="","",IF(F3772&lt;=5,"A",IF(F3772&lt;=8,"B",IF(F3772&lt;=10,"C","D"))))</f>
        <v/>
      </c>
      <c r="H3772" s="28"/>
      <c r="I3772" s="27"/>
      <c r="J3772" s="26"/>
      <c r="K3772" s="27"/>
      <c r="L3772" s="27"/>
      <c r="M3772" s="27"/>
      <c r="N3772" s="27"/>
      <c r="O3772" s="31" t="str">
        <f aca="false">IF(G3772="","",VLOOKUP(G3772,Setup!$A$14:$C$17,3,0))</f>
        <v/>
      </c>
      <c r="P3772" s="27"/>
      <c r="Q3772" s="33" t="str">
        <f aca="false">IF(OR(P3772="",M3772&lt;&gt;"Paid",O3772=""),"",P3772/O3772)</f>
        <v/>
      </c>
      <c r="R3772" s="34" t="str">
        <f aca="false">IF(Q3772="","",Q3772+N(H3772)*0.000000001)</f>
        <v/>
      </c>
      <c r="S3772" s="32" t="str">
        <f aca="false">IF(R3772="","",SUMPRODUCT((I$5:I$4004=I3772)*ISNUMBER(R$5:R$4004)*(R$5:R$4004&gt;R3772))+1)</f>
        <v/>
      </c>
      <c r="T3772" s="32" t="str">
        <f aca="false">IF(S3772="","",IF(S3772&lt;=Setup!$B$5,"🏆 WINNER",""))</f>
        <v/>
      </c>
      <c r="U3772" s="31" t="str">
        <f aca="false">IF(S3772="","",I3772&amp;"|"&amp;S3772)</f>
        <v/>
      </c>
    </row>
    <row r="3773" customFormat="false" ht="15" hidden="false" customHeight="false" outlineLevel="0" collapsed="false">
      <c r="A3773" s="24" t="n">
        <v>3769</v>
      </c>
      <c r="B3773" s="25" t="str">
        <f aca="false">IF(OR(C3773="",I3773="",G3773=""),"",IFERROR(VLOOKUP(I3773,Setup!$A$9:$B$11,2,0),"???")&amp;"-"&amp;G3773&amp;"-"&amp;TEXT(COUNTIFS(I$5:I3773,I3773,G$5:G3773,G3773),"0000"))</f>
        <v/>
      </c>
      <c r="C3773" s="26"/>
      <c r="D3773" s="26"/>
      <c r="E3773" s="27"/>
      <c r="F3773" s="27"/>
      <c r="G3773" s="24" t="str">
        <f aca="false">IF(F3773="","",IF(F3773&lt;=5,"A",IF(F3773&lt;=8,"B",IF(F3773&lt;=10,"C","D"))))</f>
        <v/>
      </c>
      <c r="H3773" s="28"/>
      <c r="I3773" s="27"/>
      <c r="J3773" s="26"/>
      <c r="K3773" s="27"/>
      <c r="L3773" s="27"/>
      <c r="M3773" s="27"/>
      <c r="N3773" s="27"/>
      <c r="O3773" s="24" t="str">
        <f aca="false">IF(G3773="","",VLOOKUP(G3773,Setup!$A$14:$C$17,3,0))</f>
        <v/>
      </c>
      <c r="P3773" s="27"/>
      <c r="Q3773" s="29" t="str">
        <f aca="false">IF(OR(P3773="",M3773&lt;&gt;"Paid",O3773=""),"",P3773/O3773)</f>
        <v/>
      </c>
      <c r="R3773" s="30" t="str">
        <f aca="false">IF(Q3773="","",Q3773+N(H3773)*0.000000001)</f>
        <v/>
      </c>
      <c r="S3773" s="25" t="str">
        <f aca="false">IF(R3773="","",SUMPRODUCT((I$5:I$4004=I3773)*ISNUMBER(R$5:R$4004)*(R$5:R$4004&gt;R3773))+1)</f>
        <v/>
      </c>
      <c r="T3773" s="25" t="str">
        <f aca="false">IF(S3773="","",IF(S3773&lt;=Setup!$B$5,"🏆 WINNER",""))</f>
        <v/>
      </c>
      <c r="U3773" s="24" t="str">
        <f aca="false">IF(S3773="","",I3773&amp;"|"&amp;S3773)</f>
        <v/>
      </c>
    </row>
    <row r="3774" customFormat="false" ht="15" hidden="false" customHeight="false" outlineLevel="0" collapsed="false">
      <c r="A3774" s="31" t="n">
        <v>3770</v>
      </c>
      <c r="B3774" s="32" t="str">
        <f aca="false">IF(OR(C3774="",I3774="",G3774=""),"",IFERROR(VLOOKUP(I3774,Setup!$A$9:$B$11,2,0),"???")&amp;"-"&amp;G3774&amp;"-"&amp;TEXT(COUNTIFS(I$5:I3774,I3774,G$5:G3774,G3774),"0000"))</f>
        <v/>
      </c>
      <c r="C3774" s="26"/>
      <c r="D3774" s="26"/>
      <c r="E3774" s="27"/>
      <c r="F3774" s="27"/>
      <c r="G3774" s="31" t="str">
        <f aca="false">IF(F3774="","",IF(F3774&lt;=5,"A",IF(F3774&lt;=8,"B",IF(F3774&lt;=10,"C","D"))))</f>
        <v/>
      </c>
      <c r="H3774" s="28"/>
      <c r="I3774" s="27"/>
      <c r="J3774" s="26"/>
      <c r="K3774" s="27"/>
      <c r="L3774" s="27"/>
      <c r="M3774" s="27"/>
      <c r="N3774" s="27"/>
      <c r="O3774" s="31" t="str">
        <f aca="false">IF(G3774="","",VLOOKUP(G3774,Setup!$A$14:$C$17,3,0))</f>
        <v/>
      </c>
      <c r="P3774" s="27"/>
      <c r="Q3774" s="33" t="str">
        <f aca="false">IF(OR(P3774="",M3774&lt;&gt;"Paid",O3774=""),"",P3774/O3774)</f>
        <v/>
      </c>
      <c r="R3774" s="34" t="str">
        <f aca="false">IF(Q3774="","",Q3774+N(H3774)*0.000000001)</f>
        <v/>
      </c>
      <c r="S3774" s="32" t="str">
        <f aca="false">IF(R3774="","",SUMPRODUCT((I$5:I$4004=I3774)*ISNUMBER(R$5:R$4004)*(R$5:R$4004&gt;R3774))+1)</f>
        <v/>
      </c>
      <c r="T3774" s="32" t="str">
        <f aca="false">IF(S3774="","",IF(S3774&lt;=Setup!$B$5,"🏆 WINNER",""))</f>
        <v/>
      </c>
      <c r="U3774" s="31" t="str">
        <f aca="false">IF(S3774="","",I3774&amp;"|"&amp;S3774)</f>
        <v/>
      </c>
    </row>
    <row r="3775" customFormat="false" ht="15" hidden="false" customHeight="false" outlineLevel="0" collapsed="false">
      <c r="A3775" s="24" t="n">
        <v>3771</v>
      </c>
      <c r="B3775" s="25" t="str">
        <f aca="false">IF(OR(C3775="",I3775="",G3775=""),"",IFERROR(VLOOKUP(I3775,Setup!$A$9:$B$11,2,0),"???")&amp;"-"&amp;G3775&amp;"-"&amp;TEXT(COUNTIFS(I$5:I3775,I3775,G$5:G3775,G3775),"0000"))</f>
        <v/>
      </c>
      <c r="C3775" s="26"/>
      <c r="D3775" s="26"/>
      <c r="E3775" s="27"/>
      <c r="F3775" s="27"/>
      <c r="G3775" s="24" t="str">
        <f aca="false">IF(F3775="","",IF(F3775&lt;=5,"A",IF(F3775&lt;=8,"B",IF(F3775&lt;=10,"C","D"))))</f>
        <v/>
      </c>
      <c r="H3775" s="28"/>
      <c r="I3775" s="27"/>
      <c r="J3775" s="26"/>
      <c r="K3775" s="27"/>
      <c r="L3775" s="27"/>
      <c r="M3775" s="27"/>
      <c r="N3775" s="27"/>
      <c r="O3775" s="24" t="str">
        <f aca="false">IF(G3775="","",VLOOKUP(G3775,Setup!$A$14:$C$17,3,0))</f>
        <v/>
      </c>
      <c r="P3775" s="27"/>
      <c r="Q3775" s="29" t="str">
        <f aca="false">IF(OR(P3775="",M3775&lt;&gt;"Paid",O3775=""),"",P3775/O3775)</f>
        <v/>
      </c>
      <c r="R3775" s="30" t="str">
        <f aca="false">IF(Q3775="","",Q3775+N(H3775)*0.000000001)</f>
        <v/>
      </c>
      <c r="S3775" s="25" t="str">
        <f aca="false">IF(R3775="","",SUMPRODUCT((I$5:I$4004=I3775)*ISNUMBER(R$5:R$4004)*(R$5:R$4004&gt;R3775))+1)</f>
        <v/>
      </c>
      <c r="T3775" s="25" t="str">
        <f aca="false">IF(S3775="","",IF(S3775&lt;=Setup!$B$5,"🏆 WINNER",""))</f>
        <v/>
      </c>
      <c r="U3775" s="24" t="str">
        <f aca="false">IF(S3775="","",I3775&amp;"|"&amp;S3775)</f>
        <v/>
      </c>
    </row>
    <row r="3776" customFormat="false" ht="15" hidden="false" customHeight="false" outlineLevel="0" collapsed="false">
      <c r="A3776" s="31" t="n">
        <v>3772</v>
      </c>
      <c r="B3776" s="32" t="str">
        <f aca="false">IF(OR(C3776="",I3776="",G3776=""),"",IFERROR(VLOOKUP(I3776,Setup!$A$9:$B$11,2,0),"???")&amp;"-"&amp;G3776&amp;"-"&amp;TEXT(COUNTIFS(I$5:I3776,I3776,G$5:G3776,G3776),"0000"))</f>
        <v/>
      </c>
      <c r="C3776" s="26"/>
      <c r="D3776" s="26"/>
      <c r="E3776" s="27"/>
      <c r="F3776" s="27"/>
      <c r="G3776" s="31" t="str">
        <f aca="false">IF(F3776="","",IF(F3776&lt;=5,"A",IF(F3776&lt;=8,"B",IF(F3776&lt;=10,"C","D"))))</f>
        <v/>
      </c>
      <c r="H3776" s="28"/>
      <c r="I3776" s="27"/>
      <c r="J3776" s="26"/>
      <c r="K3776" s="27"/>
      <c r="L3776" s="27"/>
      <c r="M3776" s="27"/>
      <c r="N3776" s="27"/>
      <c r="O3776" s="31" t="str">
        <f aca="false">IF(G3776="","",VLOOKUP(G3776,Setup!$A$14:$C$17,3,0))</f>
        <v/>
      </c>
      <c r="P3776" s="27"/>
      <c r="Q3776" s="33" t="str">
        <f aca="false">IF(OR(P3776="",M3776&lt;&gt;"Paid",O3776=""),"",P3776/O3776)</f>
        <v/>
      </c>
      <c r="R3776" s="34" t="str">
        <f aca="false">IF(Q3776="","",Q3776+N(H3776)*0.000000001)</f>
        <v/>
      </c>
      <c r="S3776" s="32" t="str">
        <f aca="false">IF(R3776="","",SUMPRODUCT((I$5:I$4004=I3776)*ISNUMBER(R$5:R$4004)*(R$5:R$4004&gt;R3776))+1)</f>
        <v/>
      </c>
      <c r="T3776" s="32" t="str">
        <f aca="false">IF(S3776="","",IF(S3776&lt;=Setup!$B$5,"🏆 WINNER",""))</f>
        <v/>
      </c>
      <c r="U3776" s="31" t="str">
        <f aca="false">IF(S3776="","",I3776&amp;"|"&amp;S3776)</f>
        <v/>
      </c>
    </row>
    <row r="3777" customFormat="false" ht="15" hidden="false" customHeight="false" outlineLevel="0" collapsed="false">
      <c r="A3777" s="24" t="n">
        <v>3773</v>
      </c>
      <c r="B3777" s="25" t="str">
        <f aca="false">IF(OR(C3777="",I3777="",G3777=""),"",IFERROR(VLOOKUP(I3777,Setup!$A$9:$B$11,2,0),"???")&amp;"-"&amp;G3777&amp;"-"&amp;TEXT(COUNTIFS(I$5:I3777,I3777,G$5:G3777,G3777),"0000"))</f>
        <v/>
      </c>
      <c r="C3777" s="26"/>
      <c r="D3777" s="26"/>
      <c r="E3777" s="27"/>
      <c r="F3777" s="27"/>
      <c r="G3777" s="24" t="str">
        <f aca="false">IF(F3777="","",IF(F3777&lt;=5,"A",IF(F3777&lt;=8,"B",IF(F3777&lt;=10,"C","D"))))</f>
        <v/>
      </c>
      <c r="H3777" s="28"/>
      <c r="I3777" s="27"/>
      <c r="J3777" s="26"/>
      <c r="K3777" s="27"/>
      <c r="L3777" s="27"/>
      <c r="M3777" s="27"/>
      <c r="N3777" s="27"/>
      <c r="O3777" s="24" t="str">
        <f aca="false">IF(G3777="","",VLOOKUP(G3777,Setup!$A$14:$C$17,3,0))</f>
        <v/>
      </c>
      <c r="P3777" s="27"/>
      <c r="Q3777" s="29" t="str">
        <f aca="false">IF(OR(P3777="",M3777&lt;&gt;"Paid",O3777=""),"",P3777/O3777)</f>
        <v/>
      </c>
      <c r="R3777" s="30" t="str">
        <f aca="false">IF(Q3777="","",Q3777+N(H3777)*0.000000001)</f>
        <v/>
      </c>
      <c r="S3777" s="25" t="str">
        <f aca="false">IF(R3777="","",SUMPRODUCT((I$5:I$4004=I3777)*ISNUMBER(R$5:R$4004)*(R$5:R$4004&gt;R3777))+1)</f>
        <v/>
      </c>
      <c r="T3777" s="25" t="str">
        <f aca="false">IF(S3777="","",IF(S3777&lt;=Setup!$B$5,"🏆 WINNER",""))</f>
        <v/>
      </c>
      <c r="U3777" s="24" t="str">
        <f aca="false">IF(S3777="","",I3777&amp;"|"&amp;S3777)</f>
        <v/>
      </c>
    </row>
    <row r="3778" customFormat="false" ht="15" hidden="false" customHeight="false" outlineLevel="0" collapsed="false">
      <c r="A3778" s="31" t="n">
        <v>3774</v>
      </c>
      <c r="B3778" s="32" t="str">
        <f aca="false">IF(OR(C3778="",I3778="",G3778=""),"",IFERROR(VLOOKUP(I3778,Setup!$A$9:$B$11,2,0),"???")&amp;"-"&amp;G3778&amp;"-"&amp;TEXT(COUNTIFS(I$5:I3778,I3778,G$5:G3778,G3778),"0000"))</f>
        <v/>
      </c>
      <c r="C3778" s="26"/>
      <c r="D3778" s="26"/>
      <c r="E3778" s="27"/>
      <c r="F3778" s="27"/>
      <c r="G3778" s="31" t="str">
        <f aca="false">IF(F3778="","",IF(F3778&lt;=5,"A",IF(F3778&lt;=8,"B",IF(F3778&lt;=10,"C","D"))))</f>
        <v/>
      </c>
      <c r="H3778" s="28"/>
      <c r="I3778" s="27"/>
      <c r="J3778" s="26"/>
      <c r="K3778" s="27"/>
      <c r="L3778" s="27"/>
      <c r="M3778" s="27"/>
      <c r="N3778" s="27"/>
      <c r="O3778" s="31" t="str">
        <f aca="false">IF(G3778="","",VLOOKUP(G3778,Setup!$A$14:$C$17,3,0))</f>
        <v/>
      </c>
      <c r="P3778" s="27"/>
      <c r="Q3778" s="33" t="str">
        <f aca="false">IF(OR(P3778="",M3778&lt;&gt;"Paid",O3778=""),"",P3778/O3778)</f>
        <v/>
      </c>
      <c r="R3778" s="34" t="str">
        <f aca="false">IF(Q3778="","",Q3778+N(H3778)*0.000000001)</f>
        <v/>
      </c>
      <c r="S3778" s="32" t="str">
        <f aca="false">IF(R3778="","",SUMPRODUCT((I$5:I$4004=I3778)*ISNUMBER(R$5:R$4004)*(R$5:R$4004&gt;R3778))+1)</f>
        <v/>
      </c>
      <c r="T3778" s="32" t="str">
        <f aca="false">IF(S3778="","",IF(S3778&lt;=Setup!$B$5,"🏆 WINNER",""))</f>
        <v/>
      </c>
      <c r="U3778" s="31" t="str">
        <f aca="false">IF(S3778="","",I3778&amp;"|"&amp;S3778)</f>
        <v/>
      </c>
    </row>
    <row r="3779" customFormat="false" ht="15" hidden="false" customHeight="false" outlineLevel="0" collapsed="false">
      <c r="A3779" s="24" t="n">
        <v>3775</v>
      </c>
      <c r="B3779" s="25" t="str">
        <f aca="false">IF(OR(C3779="",I3779="",G3779=""),"",IFERROR(VLOOKUP(I3779,Setup!$A$9:$B$11,2,0),"???")&amp;"-"&amp;G3779&amp;"-"&amp;TEXT(COUNTIFS(I$5:I3779,I3779,G$5:G3779,G3779),"0000"))</f>
        <v/>
      </c>
      <c r="C3779" s="26"/>
      <c r="D3779" s="26"/>
      <c r="E3779" s="27"/>
      <c r="F3779" s="27"/>
      <c r="G3779" s="24" t="str">
        <f aca="false">IF(F3779="","",IF(F3779&lt;=5,"A",IF(F3779&lt;=8,"B",IF(F3779&lt;=10,"C","D"))))</f>
        <v/>
      </c>
      <c r="H3779" s="28"/>
      <c r="I3779" s="27"/>
      <c r="J3779" s="26"/>
      <c r="K3779" s="27"/>
      <c r="L3779" s="27"/>
      <c r="M3779" s="27"/>
      <c r="N3779" s="27"/>
      <c r="O3779" s="24" t="str">
        <f aca="false">IF(G3779="","",VLOOKUP(G3779,Setup!$A$14:$C$17,3,0))</f>
        <v/>
      </c>
      <c r="P3779" s="27"/>
      <c r="Q3779" s="29" t="str">
        <f aca="false">IF(OR(P3779="",M3779&lt;&gt;"Paid",O3779=""),"",P3779/O3779)</f>
        <v/>
      </c>
      <c r="R3779" s="30" t="str">
        <f aca="false">IF(Q3779="","",Q3779+N(H3779)*0.000000001)</f>
        <v/>
      </c>
      <c r="S3779" s="25" t="str">
        <f aca="false">IF(R3779="","",SUMPRODUCT((I$5:I$4004=I3779)*ISNUMBER(R$5:R$4004)*(R$5:R$4004&gt;R3779))+1)</f>
        <v/>
      </c>
      <c r="T3779" s="25" t="str">
        <f aca="false">IF(S3779="","",IF(S3779&lt;=Setup!$B$5,"🏆 WINNER",""))</f>
        <v/>
      </c>
      <c r="U3779" s="24" t="str">
        <f aca="false">IF(S3779="","",I3779&amp;"|"&amp;S3779)</f>
        <v/>
      </c>
    </row>
    <row r="3780" customFormat="false" ht="15" hidden="false" customHeight="false" outlineLevel="0" collapsed="false">
      <c r="A3780" s="31" t="n">
        <v>3776</v>
      </c>
      <c r="B3780" s="32" t="str">
        <f aca="false">IF(OR(C3780="",I3780="",G3780=""),"",IFERROR(VLOOKUP(I3780,Setup!$A$9:$B$11,2,0),"???")&amp;"-"&amp;G3780&amp;"-"&amp;TEXT(COUNTIFS(I$5:I3780,I3780,G$5:G3780,G3780),"0000"))</f>
        <v/>
      </c>
      <c r="C3780" s="26"/>
      <c r="D3780" s="26"/>
      <c r="E3780" s="27"/>
      <c r="F3780" s="27"/>
      <c r="G3780" s="31" t="str">
        <f aca="false">IF(F3780="","",IF(F3780&lt;=5,"A",IF(F3780&lt;=8,"B",IF(F3780&lt;=10,"C","D"))))</f>
        <v/>
      </c>
      <c r="H3780" s="28"/>
      <c r="I3780" s="27"/>
      <c r="J3780" s="26"/>
      <c r="K3780" s="27"/>
      <c r="L3780" s="27"/>
      <c r="M3780" s="27"/>
      <c r="N3780" s="27"/>
      <c r="O3780" s="31" t="str">
        <f aca="false">IF(G3780="","",VLOOKUP(G3780,Setup!$A$14:$C$17,3,0))</f>
        <v/>
      </c>
      <c r="P3780" s="27"/>
      <c r="Q3780" s="33" t="str">
        <f aca="false">IF(OR(P3780="",M3780&lt;&gt;"Paid",O3780=""),"",P3780/O3780)</f>
        <v/>
      </c>
      <c r="R3780" s="34" t="str">
        <f aca="false">IF(Q3780="","",Q3780+N(H3780)*0.000000001)</f>
        <v/>
      </c>
      <c r="S3780" s="32" t="str">
        <f aca="false">IF(R3780="","",SUMPRODUCT((I$5:I$4004=I3780)*ISNUMBER(R$5:R$4004)*(R$5:R$4004&gt;R3780))+1)</f>
        <v/>
      </c>
      <c r="T3780" s="32" t="str">
        <f aca="false">IF(S3780="","",IF(S3780&lt;=Setup!$B$5,"🏆 WINNER",""))</f>
        <v/>
      </c>
      <c r="U3780" s="31" t="str">
        <f aca="false">IF(S3780="","",I3780&amp;"|"&amp;S3780)</f>
        <v/>
      </c>
    </row>
    <row r="3781" customFormat="false" ht="15" hidden="false" customHeight="false" outlineLevel="0" collapsed="false">
      <c r="A3781" s="24" t="n">
        <v>3777</v>
      </c>
      <c r="B3781" s="25" t="str">
        <f aca="false">IF(OR(C3781="",I3781="",G3781=""),"",IFERROR(VLOOKUP(I3781,Setup!$A$9:$B$11,2,0),"???")&amp;"-"&amp;G3781&amp;"-"&amp;TEXT(COUNTIFS(I$5:I3781,I3781,G$5:G3781,G3781),"0000"))</f>
        <v/>
      </c>
      <c r="C3781" s="26"/>
      <c r="D3781" s="26"/>
      <c r="E3781" s="27"/>
      <c r="F3781" s="27"/>
      <c r="G3781" s="24" t="str">
        <f aca="false">IF(F3781="","",IF(F3781&lt;=5,"A",IF(F3781&lt;=8,"B",IF(F3781&lt;=10,"C","D"))))</f>
        <v/>
      </c>
      <c r="H3781" s="28"/>
      <c r="I3781" s="27"/>
      <c r="J3781" s="26"/>
      <c r="K3781" s="27"/>
      <c r="L3781" s="27"/>
      <c r="M3781" s="27"/>
      <c r="N3781" s="27"/>
      <c r="O3781" s="24" t="str">
        <f aca="false">IF(G3781="","",VLOOKUP(G3781,Setup!$A$14:$C$17,3,0))</f>
        <v/>
      </c>
      <c r="P3781" s="27"/>
      <c r="Q3781" s="29" t="str">
        <f aca="false">IF(OR(P3781="",M3781&lt;&gt;"Paid",O3781=""),"",P3781/O3781)</f>
        <v/>
      </c>
      <c r="R3781" s="30" t="str">
        <f aca="false">IF(Q3781="","",Q3781+N(H3781)*0.000000001)</f>
        <v/>
      </c>
      <c r="S3781" s="25" t="str">
        <f aca="false">IF(R3781="","",SUMPRODUCT((I$5:I$4004=I3781)*ISNUMBER(R$5:R$4004)*(R$5:R$4004&gt;R3781))+1)</f>
        <v/>
      </c>
      <c r="T3781" s="25" t="str">
        <f aca="false">IF(S3781="","",IF(S3781&lt;=Setup!$B$5,"🏆 WINNER",""))</f>
        <v/>
      </c>
      <c r="U3781" s="24" t="str">
        <f aca="false">IF(S3781="","",I3781&amp;"|"&amp;S3781)</f>
        <v/>
      </c>
    </row>
    <row r="3782" customFormat="false" ht="15" hidden="false" customHeight="false" outlineLevel="0" collapsed="false">
      <c r="A3782" s="31" t="n">
        <v>3778</v>
      </c>
      <c r="B3782" s="32" t="str">
        <f aca="false">IF(OR(C3782="",I3782="",G3782=""),"",IFERROR(VLOOKUP(I3782,Setup!$A$9:$B$11,2,0),"???")&amp;"-"&amp;G3782&amp;"-"&amp;TEXT(COUNTIFS(I$5:I3782,I3782,G$5:G3782,G3782),"0000"))</f>
        <v/>
      </c>
      <c r="C3782" s="26"/>
      <c r="D3782" s="26"/>
      <c r="E3782" s="27"/>
      <c r="F3782" s="27"/>
      <c r="G3782" s="31" t="str">
        <f aca="false">IF(F3782="","",IF(F3782&lt;=5,"A",IF(F3782&lt;=8,"B",IF(F3782&lt;=10,"C","D"))))</f>
        <v/>
      </c>
      <c r="H3782" s="28"/>
      <c r="I3782" s="27"/>
      <c r="J3782" s="26"/>
      <c r="K3782" s="27"/>
      <c r="L3782" s="27"/>
      <c r="M3782" s="27"/>
      <c r="N3782" s="27"/>
      <c r="O3782" s="31" t="str">
        <f aca="false">IF(G3782="","",VLOOKUP(G3782,Setup!$A$14:$C$17,3,0))</f>
        <v/>
      </c>
      <c r="P3782" s="27"/>
      <c r="Q3782" s="33" t="str">
        <f aca="false">IF(OR(P3782="",M3782&lt;&gt;"Paid",O3782=""),"",P3782/O3782)</f>
        <v/>
      </c>
      <c r="R3782" s="34" t="str">
        <f aca="false">IF(Q3782="","",Q3782+N(H3782)*0.000000001)</f>
        <v/>
      </c>
      <c r="S3782" s="32" t="str">
        <f aca="false">IF(R3782="","",SUMPRODUCT((I$5:I$4004=I3782)*ISNUMBER(R$5:R$4004)*(R$5:R$4004&gt;R3782))+1)</f>
        <v/>
      </c>
      <c r="T3782" s="32" t="str">
        <f aca="false">IF(S3782="","",IF(S3782&lt;=Setup!$B$5,"🏆 WINNER",""))</f>
        <v/>
      </c>
      <c r="U3782" s="31" t="str">
        <f aca="false">IF(S3782="","",I3782&amp;"|"&amp;S3782)</f>
        <v/>
      </c>
    </row>
    <row r="3783" customFormat="false" ht="15" hidden="false" customHeight="false" outlineLevel="0" collapsed="false">
      <c r="A3783" s="24" t="n">
        <v>3779</v>
      </c>
      <c r="B3783" s="25" t="str">
        <f aca="false">IF(OR(C3783="",I3783="",G3783=""),"",IFERROR(VLOOKUP(I3783,Setup!$A$9:$B$11,2,0),"???")&amp;"-"&amp;G3783&amp;"-"&amp;TEXT(COUNTIFS(I$5:I3783,I3783,G$5:G3783,G3783),"0000"))</f>
        <v/>
      </c>
      <c r="C3783" s="26"/>
      <c r="D3783" s="26"/>
      <c r="E3783" s="27"/>
      <c r="F3783" s="27"/>
      <c r="G3783" s="24" t="str">
        <f aca="false">IF(F3783="","",IF(F3783&lt;=5,"A",IF(F3783&lt;=8,"B",IF(F3783&lt;=10,"C","D"))))</f>
        <v/>
      </c>
      <c r="H3783" s="28"/>
      <c r="I3783" s="27"/>
      <c r="J3783" s="26"/>
      <c r="K3783" s="27"/>
      <c r="L3783" s="27"/>
      <c r="M3783" s="27"/>
      <c r="N3783" s="27"/>
      <c r="O3783" s="24" t="str">
        <f aca="false">IF(G3783="","",VLOOKUP(G3783,Setup!$A$14:$C$17,3,0))</f>
        <v/>
      </c>
      <c r="P3783" s="27"/>
      <c r="Q3783" s="29" t="str">
        <f aca="false">IF(OR(P3783="",M3783&lt;&gt;"Paid",O3783=""),"",P3783/O3783)</f>
        <v/>
      </c>
      <c r="R3783" s="30" t="str">
        <f aca="false">IF(Q3783="","",Q3783+N(H3783)*0.000000001)</f>
        <v/>
      </c>
      <c r="S3783" s="25" t="str">
        <f aca="false">IF(R3783="","",SUMPRODUCT((I$5:I$4004=I3783)*ISNUMBER(R$5:R$4004)*(R$5:R$4004&gt;R3783))+1)</f>
        <v/>
      </c>
      <c r="T3783" s="25" t="str">
        <f aca="false">IF(S3783="","",IF(S3783&lt;=Setup!$B$5,"🏆 WINNER",""))</f>
        <v/>
      </c>
      <c r="U3783" s="24" t="str">
        <f aca="false">IF(S3783="","",I3783&amp;"|"&amp;S3783)</f>
        <v/>
      </c>
    </row>
    <row r="3784" customFormat="false" ht="15" hidden="false" customHeight="false" outlineLevel="0" collapsed="false">
      <c r="A3784" s="31" t="n">
        <v>3780</v>
      </c>
      <c r="B3784" s="32" t="str">
        <f aca="false">IF(OR(C3784="",I3784="",G3784=""),"",IFERROR(VLOOKUP(I3784,Setup!$A$9:$B$11,2,0),"???")&amp;"-"&amp;G3784&amp;"-"&amp;TEXT(COUNTIFS(I$5:I3784,I3784,G$5:G3784,G3784),"0000"))</f>
        <v/>
      </c>
      <c r="C3784" s="26"/>
      <c r="D3784" s="26"/>
      <c r="E3784" s="27"/>
      <c r="F3784" s="27"/>
      <c r="G3784" s="31" t="str">
        <f aca="false">IF(F3784="","",IF(F3784&lt;=5,"A",IF(F3784&lt;=8,"B",IF(F3784&lt;=10,"C","D"))))</f>
        <v/>
      </c>
      <c r="H3784" s="28"/>
      <c r="I3784" s="27"/>
      <c r="J3784" s="26"/>
      <c r="K3784" s="27"/>
      <c r="L3784" s="27"/>
      <c r="M3784" s="27"/>
      <c r="N3784" s="27"/>
      <c r="O3784" s="31" t="str">
        <f aca="false">IF(G3784="","",VLOOKUP(G3784,Setup!$A$14:$C$17,3,0))</f>
        <v/>
      </c>
      <c r="P3784" s="27"/>
      <c r="Q3784" s="33" t="str">
        <f aca="false">IF(OR(P3784="",M3784&lt;&gt;"Paid",O3784=""),"",P3784/O3784)</f>
        <v/>
      </c>
      <c r="R3784" s="34" t="str">
        <f aca="false">IF(Q3784="","",Q3784+N(H3784)*0.000000001)</f>
        <v/>
      </c>
      <c r="S3784" s="32" t="str">
        <f aca="false">IF(R3784="","",SUMPRODUCT((I$5:I$4004=I3784)*ISNUMBER(R$5:R$4004)*(R$5:R$4004&gt;R3784))+1)</f>
        <v/>
      </c>
      <c r="T3784" s="32" t="str">
        <f aca="false">IF(S3784="","",IF(S3784&lt;=Setup!$B$5,"🏆 WINNER",""))</f>
        <v/>
      </c>
      <c r="U3784" s="31" t="str">
        <f aca="false">IF(S3784="","",I3784&amp;"|"&amp;S3784)</f>
        <v/>
      </c>
    </row>
    <row r="3785" customFormat="false" ht="15" hidden="false" customHeight="false" outlineLevel="0" collapsed="false">
      <c r="A3785" s="24" t="n">
        <v>3781</v>
      </c>
      <c r="B3785" s="25" t="str">
        <f aca="false">IF(OR(C3785="",I3785="",G3785=""),"",IFERROR(VLOOKUP(I3785,Setup!$A$9:$B$11,2,0),"???")&amp;"-"&amp;G3785&amp;"-"&amp;TEXT(COUNTIFS(I$5:I3785,I3785,G$5:G3785,G3785),"0000"))</f>
        <v/>
      </c>
      <c r="C3785" s="26"/>
      <c r="D3785" s="26"/>
      <c r="E3785" s="27"/>
      <c r="F3785" s="27"/>
      <c r="G3785" s="24" t="str">
        <f aca="false">IF(F3785="","",IF(F3785&lt;=5,"A",IF(F3785&lt;=8,"B",IF(F3785&lt;=10,"C","D"))))</f>
        <v/>
      </c>
      <c r="H3785" s="28"/>
      <c r="I3785" s="27"/>
      <c r="J3785" s="26"/>
      <c r="K3785" s="27"/>
      <c r="L3785" s="27"/>
      <c r="M3785" s="27"/>
      <c r="N3785" s="27"/>
      <c r="O3785" s="24" t="str">
        <f aca="false">IF(G3785="","",VLOOKUP(G3785,Setup!$A$14:$C$17,3,0))</f>
        <v/>
      </c>
      <c r="P3785" s="27"/>
      <c r="Q3785" s="29" t="str">
        <f aca="false">IF(OR(P3785="",M3785&lt;&gt;"Paid",O3785=""),"",P3785/O3785)</f>
        <v/>
      </c>
      <c r="R3785" s="30" t="str">
        <f aca="false">IF(Q3785="","",Q3785+N(H3785)*0.000000001)</f>
        <v/>
      </c>
      <c r="S3785" s="25" t="str">
        <f aca="false">IF(R3785="","",SUMPRODUCT((I$5:I$4004=I3785)*ISNUMBER(R$5:R$4004)*(R$5:R$4004&gt;R3785))+1)</f>
        <v/>
      </c>
      <c r="T3785" s="25" t="str">
        <f aca="false">IF(S3785="","",IF(S3785&lt;=Setup!$B$5,"🏆 WINNER",""))</f>
        <v/>
      </c>
      <c r="U3785" s="24" t="str">
        <f aca="false">IF(S3785="","",I3785&amp;"|"&amp;S3785)</f>
        <v/>
      </c>
    </row>
    <row r="3786" customFormat="false" ht="15" hidden="false" customHeight="false" outlineLevel="0" collapsed="false">
      <c r="A3786" s="31" t="n">
        <v>3782</v>
      </c>
      <c r="B3786" s="32" t="str">
        <f aca="false">IF(OR(C3786="",I3786="",G3786=""),"",IFERROR(VLOOKUP(I3786,Setup!$A$9:$B$11,2,0),"???")&amp;"-"&amp;G3786&amp;"-"&amp;TEXT(COUNTIFS(I$5:I3786,I3786,G$5:G3786,G3786),"0000"))</f>
        <v/>
      </c>
      <c r="C3786" s="26"/>
      <c r="D3786" s="26"/>
      <c r="E3786" s="27"/>
      <c r="F3786" s="27"/>
      <c r="G3786" s="31" t="str">
        <f aca="false">IF(F3786="","",IF(F3786&lt;=5,"A",IF(F3786&lt;=8,"B",IF(F3786&lt;=10,"C","D"))))</f>
        <v/>
      </c>
      <c r="H3786" s="28"/>
      <c r="I3786" s="27"/>
      <c r="J3786" s="26"/>
      <c r="K3786" s="27"/>
      <c r="L3786" s="27"/>
      <c r="M3786" s="27"/>
      <c r="N3786" s="27"/>
      <c r="O3786" s="31" t="str">
        <f aca="false">IF(G3786="","",VLOOKUP(G3786,Setup!$A$14:$C$17,3,0))</f>
        <v/>
      </c>
      <c r="P3786" s="27"/>
      <c r="Q3786" s="33" t="str">
        <f aca="false">IF(OR(P3786="",M3786&lt;&gt;"Paid",O3786=""),"",P3786/O3786)</f>
        <v/>
      </c>
      <c r="R3786" s="34" t="str">
        <f aca="false">IF(Q3786="","",Q3786+N(H3786)*0.000000001)</f>
        <v/>
      </c>
      <c r="S3786" s="32" t="str">
        <f aca="false">IF(R3786="","",SUMPRODUCT((I$5:I$4004=I3786)*ISNUMBER(R$5:R$4004)*(R$5:R$4004&gt;R3786))+1)</f>
        <v/>
      </c>
      <c r="T3786" s="32" t="str">
        <f aca="false">IF(S3786="","",IF(S3786&lt;=Setup!$B$5,"🏆 WINNER",""))</f>
        <v/>
      </c>
      <c r="U3786" s="31" t="str">
        <f aca="false">IF(S3786="","",I3786&amp;"|"&amp;S3786)</f>
        <v/>
      </c>
    </row>
    <row r="3787" customFormat="false" ht="15" hidden="false" customHeight="false" outlineLevel="0" collapsed="false">
      <c r="A3787" s="24" t="n">
        <v>3783</v>
      </c>
      <c r="B3787" s="25" t="str">
        <f aca="false">IF(OR(C3787="",I3787="",G3787=""),"",IFERROR(VLOOKUP(I3787,Setup!$A$9:$B$11,2,0),"???")&amp;"-"&amp;G3787&amp;"-"&amp;TEXT(COUNTIFS(I$5:I3787,I3787,G$5:G3787,G3787),"0000"))</f>
        <v/>
      </c>
      <c r="C3787" s="26"/>
      <c r="D3787" s="26"/>
      <c r="E3787" s="27"/>
      <c r="F3787" s="27"/>
      <c r="G3787" s="24" t="str">
        <f aca="false">IF(F3787="","",IF(F3787&lt;=5,"A",IF(F3787&lt;=8,"B",IF(F3787&lt;=10,"C","D"))))</f>
        <v/>
      </c>
      <c r="H3787" s="28"/>
      <c r="I3787" s="27"/>
      <c r="J3787" s="26"/>
      <c r="K3787" s="27"/>
      <c r="L3787" s="27"/>
      <c r="M3787" s="27"/>
      <c r="N3787" s="27"/>
      <c r="O3787" s="24" t="str">
        <f aca="false">IF(G3787="","",VLOOKUP(G3787,Setup!$A$14:$C$17,3,0))</f>
        <v/>
      </c>
      <c r="P3787" s="27"/>
      <c r="Q3787" s="29" t="str">
        <f aca="false">IF(OR(P3787="",M3787&lt;&gt;"Paid",O3787=""),"",P3787/O3787)</f>
        <v/>
      </c>
      <c r="R3787" s="30" t="str">
        <f aca="false">IF(Q3787="","",Q3787+N(H3787)*0.000000001)</f>
        <v/>
      </c>
      <c r="S3787" s="25" t="str">
        <f aca="false">IF(R3787="","",SUMPRODUCT((I$5:I$4004=I3787)*ISNUMBER(R$5:R$4004)*(R$5:R$4004&gt;R3787))+1)</f>
        <v/>
      </c>
      <c r="T3787" s="25" t="str">
        <f aca="false">IF(S3787="","",IF(S3787&lt;=Setup!$B$5,"🏆 WINNER",""))</f>
        <v/>
      </c>
      <c r="U3787" s="24" t="str">
        <f aca="false">IF(S3787="","",I3787&amp;"|"&amp;S3787)</f>
        <v/>
      </c>
    </row>
    <row r="3788" customFormat="false" ht="15" hidden="false" customHeight="false" outlineLevel="0" collapsed="false">
      <c r="A3788" s="31" t="n">
        <v>3784</v>
      </c>
      <c r="B3788" s="32" t="str">
        <f aca="false">IF(OR(C3788="",I3788="",G3788=""),"",IFERROR(VLOOKUP(I3788,Setup!$A$9:$B$11,2,0),"???")&amp;"-"&amp;G3788&amp;"-"&amp;TEXT(COUNTIFS(I$5:I3788,I3788,G$5:G3788,G3788),"0000"))</f>
        <v/>
      </c>
      <c r="C3788" s="26"/>
      <c r="D3788" s="26"/>
      <c r="E3788" s="27"/>
      <c r="F3788" s="27"/>
      <c r="G3788" s="31" t="str">
        <f aca="false">IF(F3788="","",IF(F3788&lt;=5,"A",IF(F3788&lt;=8,"B",IF(F3788&lt;=10,"C","D"))))</f>
        <v/>
      </c>
      <c r="H3788" s="28"/>
      <c r="I3788" s="27"/>
      <c r="J3788" s="26"/>
      <c r="K3788" s="27"/>
      <c r="L3788" s="27"/>
      <c r="M3788" s="27"/>
      <c r="N3788" s="27"/>
      <c r="O3788" s="31" t="str">
        <f aca="false">IF(G3788="","",VLOOKUP(G3788,Setup!$A$14:$C$17,3,0))</f>
        <v/>
      </c>
      <c r="P3788" s="27"/>
      <c r="Q3788" s="33" t="str">
        <f aca="false">IF(OR(P3788="",M3788&lt;&gt;"Paid",O3788=""),"",P3788/O3788)</f>
        <v/>
      </c>
      <c r="R3788" s="34" t="str">
        <f aca="false">IF(Q3788="","",Q3788+N(H3788)*0.000000001)</f>
        <v/>
      </c>
      <c r="S3788" s="32" t="str">
        <f aca="false">IF(R3788="","",SUMPRODUCT((I$5:I$4004=I3788)*ISNUMBER(R$5:R$4004)*(R$5:R$4004&gt;R3788))+1)</f>
        <v/>
      </c>
      <c r="T3788" s="32" t="str">
        <f aca="false">IF(S3788="","",IF(S3788&lt;=Setup!$B$5,"🏆 WINNER",""))</f>
        <v/>
      </c>
      <c r="U3788" s="31" t="str">
        <f aca="false">IF(S3788="","",I3788&amp;"|"&amp;S3788)</f>
        <v/>
      </c>
    </row>
    <row r="3789" customFormat="false" ht="15" hidden="false" customHeight="false" outlineLevel="0" collapsed="false">
      <c r="A3789" s="24" t="n">
        <v>3785</v>
      </c>
      <c r="B3789" s="25" t="str">
        <f aca="false">IF(OR(C3789="",I3789="",G3789=""),"",IFERROR(VLOOKUP(I3789,Setup!$A$9:$B$11,2,0),"???")&amp;"-"&amp;G3789&amp;"-"&amp;TEXT(COUNTIFS(I$5:I3789,I3789,G$5:G3789,G3789),"0000"))</f>
        <v/>
      </c>
      <c r="C3789" s="26"/>
      <c r="D3789" s="26"/>
      <c r="E3789" s="27"/>
      <c r="F3789" s="27"/>
      <c r="G3789" s="24" t="str">
        <f aca="false">IF(F3789="","",IF(F3789&lt;=5,"A",IF(F3789&lt;=8,"B",IF(F3789&lt;=10,"C","D"))))</f>
        <v/>
      </c>
      <c r="H3789" s="28"/>
      <c r="I3789" s="27"/>
      <c r="J3789" s="26"/>
      <c r="K3789" s="27"/>
      <c r="L3789" s="27"/>
      <c r="M3789" s="27"/>
      <c r="N3789" s="27"/>
      <c r="O3789" s="24" t="str">
        <f aca="false">IF(G3789="","",VLOOKUP(G3789,Setup!$A$14:$C$17,3,0))</f>
        <v/>
      </c>
      <c r="P3789" s="27"/>
      <c r="Q3789" s="29" t="str">
        <f aca="false">IF(OR(P3789="",M3789&lt;&gt;"Paid",O3789=""),"",P3789/O3789)</f>
        <v/>
      </c>
      <c r="R3789" s="30" t="str">
        <f aca="false">IF(Q3789="","",Q3789+N(H3789)*0.000000001)</f>
        <v/>
      </c>
      <c r="S3789" s="25" t="str">
        <f aca="false">IF(R3789="","",SUMPRODUCT((I$5:I$4004=I3789)*ISNUMBER(R$5:R$4004)*(R$5:R$4004&gt;R3789))+1)</f>
        <v/>
      </c>
      <c r="T3789" s="25" t="str">
        <f aca="false">IF(S3789="","",IF(S3789&lt;=Setup!$B$5,"🏆 WINNER",""))</f>
        <v/>
      </c>
      <c r="U3789" s="24" t="str">
        <f aca="false">IF(S3789="","",I3789&amp;"|"&amp;S3789)</f>
        <v/>
      </c>
    </row>
    <row r="3790" customFormat="false" ht="15" hidden="false" customHeight="false" outlineLevel="0" collapsed="false">
      <c r="A3790" s="31" t="n">
        <v>3786</v>
      </c>
      <c r="B3790" s="32" t="str">
        <f aca="false">IF(OR(C3790="",I3790="",G3790=""),"",IFERROR(VLOOKUP(I3790,Setup!$A$9:$B$11,2,0),"???")&amp;"-"&amp;G3790&amp;"-"&amp;TEXT(COUNTIFS(I$5:I3790,I3790,G$5:G3790,G3790),"0000"))</f>
        <v/>
      </c>
      <c r="C3790" s="26"/>
      <c r="D3790" s="26"/>
      <c r="E3790" s="27"/>
      <c r="F3790" s="27"/>
      <c r="G3790" s="31" t="str">
        <f aca="false">IF(F3790="","",IF(F3790&lt;=5,"A",IF(F3790&lt;=8,"B",IF(F3790&lt;=10,"C","D"))))</f>
        <v/>
      </c>
      <c r="H3790" s="28"/>
      <c r="I3790" s="27"/>
      <c r="J3790" s="26"/>
      <c r="K3790" s="27"/>
      <c r="L3790" s="27"/>
      <c r="M3790" s="27"/>
      <c r="N3790" s="27"/>
      <c r="O3790" s="31" t="str">
        <f aca="false">IF(G3790="","",VLOOKUP(G3790,Setup!$A$14:$C$17,3,0))</f>
        <v/>
      </c>
      <c r="P3790" s="27"/>
      <c r="Q3790" s="33" t="str">
        <f aca="false">IF(OR(P3790="",M3790&lt;&gt;"Paid",O3790=""),"",P3790/O3790)</f>
        <v/>
      </c>
      <c r="R3790" s="34" t="str">
        <f aca="false">IF(Q3790="","",Q3790+N(H3790)*0.000000001)</f>
        <v/>
      </c>
      <c r="S3790" s="32" t="str">
        <f aca="false">IF(R3790="","",SUMPRODUCT((I$5:I$4004=I3790)*ISNUMBER(R$5:R$4004)*(R$5:R$4004&gt;R3790))+1)</f>
        <v/>
      </c>
      <c r="T3790" s="32" t="str">
        <f aca="false">IF(S3790="","",IF(S3790&lt;=Setup!$B$5,"🏆 WINNER",""))</f>
        <v/>
      </c>
      <c r="U3790" s="31" t="str">
        <f aca="false">IF(S3790="","",I3790&amp;"|"&amp;S3790)</f>
        <v/>
      </c>
    </row>
    <row r="3791" customFormat="false" ht="15" hidden="false" customHeight="false" outlineLevel="0" collapsed="false">
      <c r="A3791" s="24" t="n">
        <v>3787</v>
      </c>
      <c r="B3791" s="25" t="str">
        <f aca="false">IF(OR(C3791="",I3791="",G3791=""),"",IFERROR(VLOOKUP(I3791,Setup!$A$9:$B$11,2,0),"???")&amp;"-"&amp;G3791&amp;"-"&amp;TEXT(COUNTIFS(I$5:I3791,I3791,G$5:G3791,G3791),"0000"))</f>
        <v/>
      </c>
      <c r="C3791" s="26"/>
      <c r="D3791" s="26"/>
      <c r="E3791" s="27"/>
      <c r="F3791" s="27"/>
      <c r="G3791" s="24" t="str">
        <f aca="false">IF(F3791="","",IF(F3791&lt;=5,"A",IF(F3791&lt;=8,"B",IF(F3791&lt;=10,"C","D"))))</f>
        <v/>
      </c>
      <c r="H3791" s="28"/>
      <c r="I3791" s="27"/>
      <c r="J3791" s="26"/>
      <c r="K3791" s="27"/>
      <c r="L3791" s="27"/>
      <c r="M3791" s="27"/>
      <c r="N3791" s="27"/>
      <c r="O3791" s="24" t="str">
        <f aca="false">IF(G3791="","",VLOOKUP(G3791,Setup!$A$14:$C$17,3,0))</f>
        <v/>
      </c>
      <c r="P3791" s="27"/>
      <c r="Q3791" s="29" t="str">
        <f aca="false">IF(OR(P3791="",M3791&lt;&gt;"Paid",O3791=""),"",P3791/O3791)</f>
        <v/>
      </c>
      <c r="R3791" s="30" t="str">
        <f aca="false">IF(Q3791="","",Q3791+N(H3791)*0.000000001)</f>
        <v/>
      </c>
      <c r="S3791" s="25" t="str">
        <f aca="false">IF(R3791="","",SUMPRODUCT((I$5:I$4004=I3791)*ISNUMBER(R$5:R$4004)*(R$5:R$4004&gt;R3791))+1)</f>
        <v/>
      </c>
      <c r="T3791" s="25" t="str">
        <f aca="false">IF(S3791="","",IF(S3791&lt;=Setup!$B$5,"🏆 WINNER",""))</f>
        <v/>
      </c>
      <c r="U3791" s="24" t="str">
        <f aca="false">IF(S3791="","",I3791&amp;"|"&amp;S3791)</f>
        <v/>
      </c>
    </row>
    <row r="3792" customFormat="false" ht="15" hidden="false" customHeight="false" outlineLevel="0" collapsed="false">
      <c r="A3792" s="31" t="n">
        <v>3788</v>
      </c>
      <c r="B3792" s="32" t="str">
        <f aca="false">IF(OR(C3792="",I3792="",G3792=""),"",IFERROR(VLOOKUP(I3792,Setup!$A$9:$B$11,2,0),"???")&amp;"-"&amp;G3792&amp;"-"&amp;TEXT(COUNTIFS(I$5:I3792,I3792,G$5:G3792,G3792),"0000"))</f>
        <v/>
      </c>
      <c r="C3792" s="26"/>
      <c r="D3792" s="26"/>
      <c r="E3792" s="27"/>
      <c r="F3792" s="27"/>
      <c r="G3792" s="31" t="str">
        <f aca="false">IF(F3792="","",IF(F3792&lt;=5,"A",IF(F3792&lt;=8,"B",IF(F3792&lt;=10,"C","D"))))</f>
        <v/>
      </c>
      <c r="H3792" s="28"/>
      <c r="I3792" s="27"/>
      <c r="J3792" s="26"/>
      <c r="K3792" s="27"/>
      <c r="L3792" s="27"/>
      <c r="M3792" s="27"/>
      <c r="N3792" s="27"/>
      <c r="O3792" s="31" t="str">
        <f aca="false">IF(G3792="","",VLOOKUP(G3792,Setup!$A$14:$C$17,3,0))</f>
        <v/>
      </c>
      <c r="P3792" s="27"/>
      <c r="Q3792" s="33" t="str">
        <f aca="false">IF(OR(P3792="",M3792&lt;&gt;"Paid",O3792=""),"",P3792/O3792)</f>
        <v/>
      </c>
      <c r="R3792" s="34" t="str">
        <f aca="false">IF(Q3792="","",Q3792+N(H3792)*0.000000001)</f>
        <v/>
      </c>
      <c r="S3792" s="32" t="str">
        <f aca="false">IF(R3792="","",SUMPRODUCT((I$5:I$4004=I3792)*ISNUMBER(R$5:R$4004)*(R$5:R$4004&gt;R3792))+1)</f>
        <v/>
      </c>
      <c r="T3792" s="32" t="str">
        <f aca="false">IF(S3792="","",IF(S3792&lt;=Setup!$B$5,"🏆 WINNER",""))</f>
        <v/>
      </c>
      <c r="U3792" s="31" t="str">
        <f aca="false">IF(S3792="","",I3792&amp;"|"&amp;S3792)</f>
        <v/>
      </c>
    </row>
    <row r="3793" customFormat="false" ht="15" hidden="false" customHeight="false" outlineLevel="0" collapsed="false">
      <c r="A3793" s="24" t="n">
        <v>3789</v>
      </c>
      <c r="B3793" s="25" t="str">
        <f aca="false">IF(OR(C3793="",I3793="",G3793=""),"",IFERROR(VLOOKUP(I3793,Setup!$A$9:$B$11,2,0),"???")&amp;"-"&amp;G3793&amp;"-"&amp;TEXT(COUNTIFS(I$5:I3793,I3793,G$5:G3793,G3793),"0000"))</f>
        <v/>
      </c>
      <c r="C3793" s="26"/>
      <c r="D3793" s="26"/>
      <c r="E3793" s="27"/>
      <c r="F3793" s="27"/>
      <c r="G3793" s="24" t="str">
        <f aca="false">IF(F3793="","",IF(F3793&lt;=5,"A",IF(F3793&lt;=8,"B",IF(F3793&lt;=10,"C","D"))))</f>
        <v/>
      </c>
      <c r="H3793" s="28"/>
      <c r="I3793" s="27"/>
      <c r="J3793" s="26"/>
      <c r="K3793" s="27"/>
      <c r="L3793" s="27"/>
      <c r="M3793" s="27"/>
      <c r="N3793" s="27"/>
      <c r="O3793" s="24" t="str">
        <f aca="false">IF(G3793="","",VLOOKUP(G3793,Setup!$A$14:$C$17,3,0))</f>
        <v/>
      </c>
      <c r="P3793" s="27"/>
      <c r="Q3793" s="29" t="str">
        <f aca="false">IF(OR(P3793="",M3793&lt;&gt;"Paid",O3793=""),"",P3793/O3793)</f>
        <v/>
      </c>
      <c r="R3793" s="30" t="str">
        <f aca="false">IF(Q3793="","",Q3793+N(H3793)*0.000000001)</f>
        <v/>
      </c>
      <c r="S3793" s="25" t="str">
        <f aca="false">IF(R3793="","",SUMPRODUCT((I$5:I$4004=I3793)*ISNUMBER(R$5:R$4004)*(R$5:R$4004&gt;R3793))+1)</f>
        <v/>
      </c>
      <c r="T3793" s="25" t="str">
        <f aca="false">IF(S3793="","",IF(S3793&lt;=Setup!$B$5,"🏆 WINNER",""))</f>
        <v/>
      </c>
      <c r="U3793" s="24" t="str">
        <f aca="false">IF(S3793="","",I3793&amp;"|"&amp;S3793)</f>
        <v/>
      </c>
    </row>
    <row r="3794" customFormat="false" ht="15" hidden="false" customHeight="false" outlineLevel="0" collapsed="false">
      <c r="A3794" s="31" t="n">
        <v>3790</v>
      </c>
      <c r="B3794" s="32" t="str">
        <f aca="false">IF(OR(C3794="",I3794="",G3794=""),"",IFERROR(VLOOKUP(I3794,Setup!$A$9:$B$11,2,0),"???")&amp;"-"&amp;G3794&amp;"-"&amp;TEXT(COUNTIFS(I$5:I3794,I3794,G$5:G3794,G3794),"0000"))</f>
        <v/>
      </c>
      <c r="C3794" s="26"/>
      <c r="D3794" s="26"/>
      <c r="E3794" s="27"/>
      <c r="F3794" s="27"/>
      <c r="G3794" s="31" t="str">
        <f aca="false">IF(F3794="","",IF(F3794&lt;=5,"A",IF(F3794&lt;=8,"B",IF(F3794&lt;=10,"C","D"))))</f>
        <v/>
      </c>
      <c r="H3794" s="28"/>
      <c r="I3794" s="27"/>
      <c r="J3794" s="26"/>
      <c r="K3794" s="27"/>
      <c r="L3794" s="27"/>
      <c r="M3794" s="27"/>
      <c r="N3794" s="27"/>
      <c r="O3794" s="31" t="str">
        <f aca="false">IF(G3794="","",VLOOKUP(G3794,Setup!$A$14:$C$17,3,0))</f>
        <v/>
      </c>
      <c r="P3794" s="27"/>
      <c r="Q3794" s="33" t="str">
        <f aca="false">IF(OR(P3794="",M3794&lt;&gt;"Paid",O3794=""),"",P3794/O3794)</f>
        <v/>
      </c>
      <c r="R3794" s="34" t="str">
        <f aca="false">IF(Q3794="","",Q3794+N(H3794)*0.000000001)</f>
        <v/>
      </c>
      <c r="S3794" s="32" t="str">
        <f aca="false">IF(R3794="","",SUMPRODUCT((I$5:I$4004=I3794)*ISNUMBER(R$5:R$4004)*(R$5:R$4004&gt;R3794))+1)</f>
        <v/>
      </c>
      <c r="T3794" s="32" t="str">
        <f aca="false">IF(S3794="","",IF(S3794&lt;=Setup!$B$5,"🏆 WINNER",""))</f>
        <v/>
      </c>
      <c r="U3794" s="31" t="str">
        <f aca="false">IF(S3794="","",I3794&amp;"|"&amp;S3794)</f>
        <v/>
      </c>
    </row>
    <row r="3795" customFormat="false" ht="15" hidden="false" customHeight="false" outlineLevel="0" collapsed="false">
      <c r="A3795" s="24" t="n">
        <v>3791</v>
      </c>
      <c r="B3795" s="25" t="str">
        <f aca="false">IF(OR(C3795="",I3795="",G3795=""),"",IFERROR(VLOOKUP(I3795,Setup!$A$9:$B$11,2,0),"???")&amp;"-"&amp;G3795&amp;"-"&amp;TEXT(COUNTIFS(I$5:I3795,I3795,G$5:G3795,G3795),"0000"))</f>
        <v/>
      </c>
      <c r="C3795" s="26"/>
      <c r="D3795" s="26"/>
      <c r="E3795" s="27"/>
      <c r="F3795" s="27"/>
      <c r="G3795" s="24" t="str">
        <f aca="false">IF(F3795="","",IF(F3795&lt;=5,"A",IF(F3795&lt;=8,"B",IF(F3795&lt;=10,"C","D"))))</f>
        <v/>
      </c>
      <c r="H3795" s="28"/>
      <c r="I3795" s="27"/>
      <c r="J3795" s="26"/>
      <c r="K3795" s="27"/>
      <c r="L3795" s="27"/>
      <c r="M3795" s="27"/>
      <c r="N3795" s="27"/>
      <c r="O3795" s="24" t="str">
        <f aca="false">IF(G3795="","",VLOOKUP(G3795,Setup!$A$14:$C$17,3,0))</f>
        <v/>
      </c>
      <c r="P3795" s="27"/>
      <c r="Q3795" s="29" t="str">
        <f aca="false">IF(OR(P3795="",M3795&lt;&gt;"Paid",O3795=""),"",P3795/O3795)</f>
        <v/>
      </c>
      <c r="R3795" s="30" t="str">
        <f aca="false">IF(Q3795="","",Q3795+N(H3795)*0.000000001)</f>
        <v/>
      </c>
      <c r="S3795" s="25" t="str">
        <f aca="false">IF(R3795="","",SUMPRODUCT((I$5:I$4004=I3795)*ISNUMBER(R$5:R$4004)*(R$5:R$4004&gt;R3795))+1)</f>
        <v/>
      </c>
      <c r="T3795" s="25" t="str">
        <f aca="false">IF(S3795="","",IF(S3795&lt;=Setup!$B$5,"🏆 WINNER",""))</f>
        <v/>
      </c>
      <c r="U3795" s="24" t="str">
        <f aca="false">IF(S3795="","",I3795&amp;"|"&amp;S3795)</f>
        <v/>
      </c>
    </row>
    <row r="3796" customFormat="false" ht="15" hidden="false" customHeight="false" outlineLevel="0" collapsed="false">
      <c r="A3796" s="31" t="n">
        <v>3792</v>
      </c>
      <c r="B3796" s="32" t="str">
        <f aca="false">IF(OR(C3796="",I3796="",G3796=""),"",IFERROR(VLOOKUP(I3796,Setup!$A$9:$B$11,2,0),"???")&amp;"-"&amp;G3796&amp;"-"&amp;TEXT(COUNTIFS(I$5:I3796,I3796,G$5:G3796,G3796),"0000"))</f>
        <v/>
      </c>
      <c r="C3796" s="26"/>
      <c r="D3796" s="26"/>
      <c r="E3796" s="27"/>
      <c r="F3796" s="27"/>
      <c r="G3796" s="31" t="str">
        <f aca="false">IF(F3796="","",IF(F3796&lt;=5,"A",IF(F3796&lt;=8,"B",IF(F3796&lt;=10,"C","D"))))</f>
        <v/>
      </c>
      <c r="H3796" s="28"/>
      <c r="I3796" s="27"/>
      <c r="J3796" s="26"/>
      <c r="K3796" s="27"/>
      <c r="L3796" s="27"/>
      <c r="M3796" s="27"/>
      <c r="N3796" s="27"/>
      <c r="O3796" s="31" t="str">
        <f aca="false">IF(G3796="","",VLOOKUP(G3796,Setup!$A$14:$C$17,3,0))</f>
        <v/>
      </c>
      <c r="P3796" s="27"/>
      <c r="Q3796" s="33" t="str">
        <f aca="false">IF(OR(P3796="",M3796&lt;&gt;"Paid",O3796=""),"",P3796/O3796)</f>
        <v/>
      </c>
      <c r="R3796" s="34" t="str">
        <f aca="false">IF(Q3796="","",Q3796+N(H3796)*0.000000001)</f>
        <v/>
      </c>
      <c r="S3796" s="32" t="str">
        <f aca="false">IF(R3796="","",SUMPRODUCT((I$5:I$4004=I3796)*ISNUMBER(R$5:R$4004)*(R$5:R$4004&gt;R3796))+1)</f>
        <v/>
      </c>
      <c r="T3796" s="32" t="str">
        <f aca="false">IF(S3796="","",IF(S3796&lt;=Setup!$B$5,"🏆 WINNER",""))</f>
        <v/>
      </c>
      <c r="U3796" s="31" t="str">
        <f aca="false">IF(S3796="","",I3796&amp;"|"&amp;S3796)</f>
        <v/>
      </c>
    </row>
    <row r="3797" customFormat="false" ht="15" hidden="false" customHeight="false" outlineLevel="0" collapsed="false">
      <c r="A3797" s="24" t="n">
        <v>3793</v>
      </c>
      <c r="B3797" s="25" t="str">
        <f aca="false">IF(OR(C3797="",I3797="",G3797=""),"",IFERROR(VLOOKUP(I3797,Setup!$A$9:$B$11,2,0),"???")&amp;"-"&amp;G3797&amp;"-"&amp;TEXT(COUNTIFS(I$5:I3797,I3797,G$5:G3797,G3797),"0000"))</f>
        <v/>
      </c>
      <c r="C3797" s="26"/>
      <c r="D3797" s="26"/>
      <c r="E3797" s="27"/>
      <c r="F3797" s="27"/>
      <c r="G3797" s="24" t="str">
        <f aca="false">IF(F3797="","",IF(F3797&lt;=5,"A",IF(F3797&lt;=8,"B",IF(F3797&lt;=10,"C","D"))))</f>
        <v/>
      </c>
      <c r="H3797" s="28"/>
      <c r="I3797" s="27"/>
      <c r="J3797" s="26"/>
      <c r="K3797" s="27"/>
      <c r="L3797" s="27"/>
      <c r="M3797" s="27"/>
      <c r="N3797" s="27"/>
      <c r="O3797" s="24" t="str">
        <f aca="false">IF(G3797="","",VLOOKUP(G3797,Setup!$A$14:$C$17,3,0))</f>
        <v/>
      </c>
      <c r="P3797" s="27"/>
      <c r="Q3797" s="29" t="str">
        <f aca="false">IF(OR(P3797="",M3797&lt;&gt;"Paid",O3797=""),"",P3797/O3797)</f>
        <v/>
      </c>
      <c r="R3797" s="30" t="str">
        <f aca="false">IF(Q3797="","",Q3797+N(H3797)*0.000000001)</f>
        <v/>
      </c>
      <c r="S3797" s="25" t="str">
        <f aca="false">IF(R3797="","",SUMPRODUCT((I$5:I$4004=I3797)*ISNUMBER(R$5:R$4004)*(R$5:R$4004&gt;R3797))+1)</f>
        <v/>
      </c>
      <c r="T3797" s="25" t="str">
        <f aca="false">IF(S3797="","",IF(S3797&lt;=Setup!$B$5,"🏆 WINNER",""))</f>
        <v/>
      </c>
      <c r="U3797" s="24" t="str">
        <f aca="false">IF(S3797="","",I3797&amp;"|"&amp;S3797)</f>
        <v/>
      </c>
    </row>
    <row r="3798" customFormat="false" ht="15" hidden="false" customHeight="false" outlineLevel="0" collapsed="false">
      <c r="A3798" s="31" t="n">
        <v>3794</v>
      </c>
      <c r="B3798" s="32" t="str">
        <f aca="false">IF(OR(C3798="",I3798="",G3798=""),"",IFERROR(VLOOKUP(I3798,Setup!$A$9:$B$11,2,0),"???")&amp;"-"&amp;G3798&amp;"-"&amp;TEXT(COUNTIFS(I$5:I3798,I3798,G$5:G3798,G3798),"0000"))</f>
        <v/>
      </c>
      <c r="C3798" s="26"/>
      <c r="D3798" s="26"/>
      <c r="E3798" s="27"/>
      <c r="F3798" s="27"/>
      <c r="G3798" s="31" t="str">
        <f aca="false">IF(F3798="","",IF(F3798&lt;=5,"A",IF(F3798&lt;=8,"B",IF(F3798&lt;=10,"C","D"))))</f>
        <v/>
      </c>
      <c r="H3798" s="28"/>
      <c r="I3798" s="27"/>
      <c r="J3798" s="26"/>
      <c r="K3798" s="27"/>
      <c r="L3798" s="27"/>
      <c r="M3798" s="27"/>
      <c r="N3798" s="27"/>
      <c r="O3798" s="31" t="str">
        <f aca="false">IF(G3798="","",VLOOKUP(G3798,Setup!$A$14:$C$17,3,0))</f>
        <v/>
      </c>
      <c r="P3798" s="27"/>
      <c r="Q3798" s="33" t="str">
        <f aca="false">IF(OR(P3798="",M3798&lt;&gt;"Paid",O3798=""),"",P3798/O3798)</f>
        <v/>
      </c>
      <c r="R3798" s="34" t="str">
        <f aca="false">IF(Q3798="","",Q3798+N(H3798)*0.000000001)</f>
        <v/>
      </c>
      <c r="S3798" s="32" t="str">
        <f aca="false">IF(R3798="","",SUMPRODUCT((I$5:I$4004=I3798)*ISNUMBER(R$5:R$4004)*(R$5:R$4004&gt;R3798))+1)</f>
        <v/>
      </c>
      <c r="T3798" s="32" t="str">
        <f aca="false">IF(S3798="","",IF(S3798&lt;=Setup!$B$5,"🏆 WINNER",""))</f>
        <v/>
      </c>
      <c r="U3798" s="31" t="str">
        <f aca="false">IF(S3798="","",I3798&amp;"|"&amp;S3798)</f>
        <v/>
      </c>
    </row>
    <row r="3799" customFormat="false" ht="15" hidden="false" customHeight="false" outlineLevel="0" collapsed="false">
      <c r="A3799" s="24" t="n">
        <v>3795</v>
      </c>
      <c r="B3799" s="25" t="str">
        <f aca="false">IF(OR(C3799="",I3799="",G3799=""),"",IFERROR(VLOOKUP(I3799,Setup!$A$9:$B$11,2,0),"???")&amp;"-"&amp;G3799&amp;"-"&amp;TEXT(COUNTIFS(I$5:I3799,I3799,G$5:G3799,G3799),"0000"))</f>
        <v/>
      </c>
      <c r="C3799" s="26"/>
      <c r="D3799" s="26"/>
      <c r="E3799" s="27"/>
      <c r="F3799" s="27"/>
      <c r="G3799" s="24" t="str">
        <f aca="false">IF(F3799="","",IF(F3799&lt;=5,"A",IF(F3799&lt;=8,"B",IF(F3799&lt;=10,"C","D"))))</f>
        <v/>
      </c>
      <c r="H3799" s="28"/>
      <c r="I3799" s="27"/>
      <c r="J3799" s="26"/>
      <c r="K3799" s="27"/>
      <c r="L3799" s="27"/>
      <c r="M3799" s="27"/>
      <c r="N3799" s="27"/>
      <c r="O3799" s="24" t="str">
        <f aca="false">IF(G3799="","",VLOOKUP(G3799,Setup!$A$14:$C$17,3,0))</f>
        <v/>
      </c>
      <c r="P3799" s="27"/>
      <c r="Q3799" s="29" t="str">
        <f aca="false">IF(OR(P3799="",M3799&lt;&gt;"Paid",O3799=""),"",P3799/O3799)</f>
        <v/>
      </c>
      <c r="R3799" s="30" t="str">
        <f aca="false">IF(Q3799="","",Q3799+N(H3799)*0.000000001)</f>
        <v/>
      </c>
      <c r="S3799" s="25" t="str">
        <f aca="false">IF(R3799="","",SUMPRODUCT((I$5:I$4004=I3799)*ISNUMBER(R$5:R$4004)*(R$5:R$4004&gt;R3799))+1)</f>
        <v/>
      </c>
      <c r="T3799" s="25" t="str">
        <f aca="false">IF(S3799="","",IF(S3799&lt;=Setup!$B$5,"🏆 WINNER",""))</f>
        <v/>
      </c>
      <c r="U3799" s="24" t="str">
        <f aca="false">IF(S3799="","",I3799&amp;"|"&amp;S3799)</f>
        <v/>
      </c>
    </row>
    <row r="3800" customFormat="false" ht="15" hidden="false" customHeight="false" outlineLevel="0" collapsed="false">
      <c r="A3800" s="31" t="n">
        <v>3796</v>
      </c>
      <c r="B3800" s="32" t="str">
        <f aca="false">IF(OR(C3800="",I3800="",G3800=""),"",IFERROR(VLOOKUP(I3800,Setup!$A$9:$B$11,2,0),"???")&amp;"-"&amp;G3800&amp;"-"&amp;TEXT(COUNTIFS(I$5:I3800,I3800,G$5:G3800,G3800),"0000"))</f>
        <v/>
      </c>
      <c r="C3800" s="26"/>
      <c r="D3800" s="26"/>
      <c r="E3800" s="27"/>
      <c r="F3800" s="27"/>
      <c r="G3800" s="31" t="str">
        <f aca="false">IF(F3800="","",IF(F3800&lt;=5,"A",IF(F3800&lt;=8,"B",IF(F3800&lt;=10,"C","D"))))</f>
        <v/>
      </c>
      <c r="H3800" s="28"/>
      <c r="I3800" s="27"/>
      <c r="J3800" s="26"/>
      <c r="K3800" s="27"/>
      <c r="L3800" s="27"/>
      <c r="M3800" s="27"/>
      <c r="N3800" s="27"/>
      <c r="O3800" s="31" t="str">
        <f aca="false">IF(G3800="","",VLOOKUP(G3800,Setup!$A$14:$C$17,3,0))</f>
        <v/>
      </c>
      <c r="P3800" s="27"/>
      <c r="Q3800" s="33" t="str">
        <f aca="false">IF(OR(P3800="",M3800&lt;&gt;"Paid",O3800=""),"",P3800/O3800)</f>
        <v/>
      </c>
      <c r="R3800" s="34" t="str">
        <f aca="false">IF(Q3800="","",Q3800+N(H3800)*0.000000001)</f>
        <v/>
      </c>
      <c r="S3800" s="32" t="str">
        <f aca="false">IF(R3800="","",SUMPRODUCT((I$5:I$4004=I3800)*ISNUMBER(R$5:R$4004)*(R$5:R$4004&gt;R3800))+1)</f>
        <v/>
      </c>
      <c r="T3800" s="32" t="str">
        <f aca="false">IF(S3800="","",IF(S3800&lt;=Setup!$B$5,"🏆 WINNER",""))</f>
        <v/>
      </c>
      <c r="U3800" s="31" t="str">
        <f aca="false">IF(S3800="","",I3800&amp;"|"&amp;S3800)</f>
        <v/>
      </c>
    </row>
    <row r="3801" customFormat="false" ht="15" hidden="false" customHeight="false" outlineLevel="0" collapsed="false">
      <c r="A3801" s="24" t="n">
        <v>3797</v>
      </c>
      <c r="B3801" s="25" t="str">
        <f aca="false">IF(OR(C3801="",I3801="",G3801=""),"",IFERROR(VLOOKUP(I3801,Setup!$A$9:$B$11,2,0),"???")&amp;"-"&amp;G3801&amp;"-"&amp;TEXT(COUNTIFS(I$5:I3801,I3801,G$5:G3801,G3801),"0000"))</f>
        <v/>
      </c>
      <c r="C3801" s="26"/>
      <c r="D3801" s="26"/>
      <c r="E3801" s="27"/>
      <c r="F3801" s="27"/>
      <c r="G3801" s="24" t="str">
        <f aca="false">IF(F3801="","",IF(F3801&lt;=5,"A",IF(F3801&lt;=8,"B",IF(F3801&lt;=10,"C","D"))))</f>
        <v/>
      </c>
      <c r="H3801" s="28"/>
      <c r="I3801" s="27"/>
      <c r="J3801" s="26"/>
      <c r="K3801" s="27"/>
      <c r="L3801" s="27"/>
      <c r="M3801" s="27"/>
      <c r="N3801" s="27"/>
      <c r="O3801" s="24" t="str">
        <f aca="false">IF(G3801="","",VLOOKUP(G3801,Setup!$A$14:$C$17,3,0))</f>
        <v/>
      </c>
      <c r="P3801" s="27"/>
      <c r="Q3801" s="29" t="str">
        <f aca="false">IF(OR(P3801="",M3801&lt;&gt;"Paid",O3801=""),"",P3801/O3801)</f>
        <v/>
      </c>
      <c r="R3801" s="30" t="str">
        <f aca="false">IF(Q3801="","",Q3801+N(H3801)*0.000000001)</f>
        <v/>
      </c>
      <c r="S3801" s="25" t="str">
        <f aca="false">IF(R3801="","",SUMPRODUCT((I$5:I$4004=I3801)*ISNUMBER(R$5:R$4004)*(R$5:R$4004&gt;R3801))+1)</f>
        <v/>
      </c>
      <c r="T3801" s="25" t="str">
        <f aca="false">IF(S3801="","",IF(S3801&lt;=Setup!$B$5,"🏆 WINNER",""))</f>
        <v/>
      </c>
      <c r="U3801" s="24" t="str">
        <f aca="false">IF(S3801="","",I3801&amp;"|"&amp;S3801)</f>
        <v/>
      </c>
    </row>
    <row r="3802" customFormat="false" ht="15" hidden="false" customHeight="false" outlineLevel="0" collapsed="false">
      <c r="A3802" s="31" t="n">
        <v>3798</v>
      </c>
      <c r="B3802" s="32" t="str">
        <f aca="false">IF(OR(C3802="",I3802="",G3802=""),"",IFERROR(VLOOKUP(I3802,Setup!$A$9:$B$11,2,0),"???")&amp;"-"&amp;G3802&amp;"-"&amp;TEXT(COUNTIFS(I$5:I3802,I3802,G$5:G3802,G3802),"0000"))</f>
        <v/>
      </c>
      <c r="C3802" s="26"/>
      <c r="D3802" s="26"/>
      <c r="E3802" s="27"/>
      <c r="F3802" s="27"/>
      <c r="G3802" s="31" t="str">
        <f aca="false">IF(F3802="","",IF(F3802&lt;=5,"A",IF(F3802&lt;=8,"B",IF(F3802&lt;=10,"C","D"))))</f>
        <v/>
      </c>
      <c r="H3802" s="28"/>
      <c r="I3802" s="27"/>
      <c r="J3802" s="26"/>
      <c r="K3802" s="27"/>
      <c r="L3802" s="27"/>
      <c r="M3802" s="27"/>
      <c r="N3802" s="27"/>
      <c r="O3802" s="31" t="str">
        <f aca="false">IF(G3802="","",VLOOKUP(G3802,Setup!$A$14:$C$17,3,0))</f>
        <v/>
      </c>
      <c r="P3802" s="27"/>
      <c r="Q3802" s="33" t="str">
        <f aca="false">IF(OR(P3802="",M3802&lt;&gt;"Paid",O3802=""),"",P3802/O3802)</f>
        <v/>
      </c>
      <c r="R3802" s="34" t="str">
        <f aca="false">IF(Q3802="","",Q3802+N(H3802)*0.000000001)</f>
        <v/>
      </c>
      <c r="S3802" s="32" t="str">
        <f aca="false">IF(R3802="","",SUMPRODUCT((I$5:I$4004=I3802)*ISNUMBER(R$5:R$4004)*(R$5:R$4004&gt;R3802))+1)</f>
        <v/>
      </c>
      <c r="T3802" s="32" t="str">
        <f aca="false">IF(S3802="","",IF(S3802&lt;=Setup!$B$5,"🏆 WINNER",""))</f>
        <v/>
      </c>
      <c r="U3802" s="31" t="str">
        <f aca="false">IF(S3802="","",I3802&amp;"|"&amp;S3802)</f>
        <v/>
      </c>
    </row>
    <row r="3803" customFormat="false" ht="15" hidden="false" customHeight="false" outlineLevel="0" collapsed="false">
      <c r="A3803" s="24" t="n">
        <v>3799</v>
      </c>
      <c r="B3803" s="25" t="str">
        <f aca="false">IF(OR(C3803="",I3803="",G3803=""),"",IFERROR(VLOOKUP(I3803,Setup!$A$9:$B$11,2,0),"???")&amp;"-"&amp;G3803&amp;"-"&amp;TEXT(COUNTIFS(I$5:I3803,I3803,G$5:G3803,G3803),"0000"))</f>
        <v/>
      </c>
      <c r="C3803" s="26"/>
      <c r="D3803" s="26"/>
      <c r="E3803" s="27"/>
      <c r="F3803" s="27"/>
      <c r="G3803" s="24" t="str">
        <f aca="false">IF(F3803="","",IF(F3803&lt;=5,"A",IF(F3803&lt;=8,"B",IF(F3803&lt;=10,"C","D"))))</f>
        <v/>
      </c>
      <c r="H3803" s="28"/>
      <c r="I3803" s="27"/>
      <c r="J3803" s="26"/>
      <c r="K3803" s="27"/>
      <c r="L3803" s="27"/>
      <c r="M3803" s="27"/>
      <c r="N3803" s="27"/>
      <c r="O3803" s="24" t="str">
        <f aca="false">IF(G3803="","",VLOOKUP(G3803,Setup!$A$14:$C$17,3,0))</f>
        <v/>
      </c>
      <c r="P3803" s="27"/>
      <c r="Q3803" s="29" t="str">
        <f aca="false">IF(OR(P3803="",M3803&lt;&gt;"Paid",O3803=""),"",P3803/O3803)</f>
        <v/>
      </c>
      <c r="R3803" s="30" t="str">
        <f aca="false">IF(Q3803="","",Q3803+N(H3803)*0.000000001)</f>
        <v/>
      </c>
      <c r="S3803" s="25" t="str">
        <f aca="false">IF(R3803="","",SUMPRODUCT((I$5:I$4004=I3803)*ISNUMBER(R$5:R$4004)*(R$5:R$4004&gt;R3803))+1)</f>
        <v/>
      </c>
      <c r="T3803" s="25" t="str">
        <f aca="false">IF(S3803="","",IF(S3803&lt;=Setup!$B$5,"🏆 WINNER",""))</f>
        <v/>
      </c>
      <c r="U3803" s="24" t="str">
        <f aca="false">IF(S3803="","",I3803&amp;"|"&amp;S3803)</f>
        <v/>
      </c>
    </row>
    <row r="3804" customFormat="false" ht="15" hidden="false" customHeight="false" outlineLevel="0" collapsed="false">
      <c r="A3804" s="31" t="n">
        <v>3800</v>
      </c>
      <c r="B3804" s="32" t="str">
        <f aca="false">IF(OR(C3804="",I3804="",G3804=""),"",IFERROR(VLOOKUP(I3804,Setup!$A$9:$B$11,2,0),"???")&amp;"-"&amp;G3804&amp;"-"&amp;TEXT(COUNTIFS(I$5:I3804,I3804,G$5:G3804,G3804),"0000"))</f>
        <v/>
      </c>
      <c r="C3804" s="26"/>
      <c r="D3804" s="26"/>
      <c r="E3804" s="27"/>
      <c r="F3804" s="27"/>
      <c r="G3804" s="31" t="str">
        <f aca="false">IF(F3804="","",IF(F3804&lt;=5,"A",IF(F3804&lt;=8,"B",IF(F3804&lt;=10,"C","D"))))</f>
        <v/>
      </c>
      <c r="H3804" s="28"/>
      <c r="I3804" s="27"/>
      <c r="J3804" s="26"/>
      <c r="K3804" s="27"/>
      <c r="L3804" s="27"/>
      <c r="M3804" s="27"/>
      <c r="N3804" s="27"/>
      <c r="O3804" s="31" t="str">
        <f aca="false">IF(G3804="","",VLOOKUP(G3804,Setup!$A$14:$C$17,3,0))</f>
        <v/>
      </c>
      <c r="P3804" s="27"/>
      <c r="Q3804" s="33" t="str">
        <f aca="false">IF(OR(P3804="",M3804&lt;&gt;"Paid",O3804=""),"",P3804/O3804)</f>
        <v/>
      </c>
      <c r="R3804" s="34" t="str">
        <f aca="false">IF(Q3804="","",Q3804+N(H3804)*0.000000001)</f>
        <v/>
      </c>
      <c r="S3804" s="32" t="str">
        <f aca="false">IF(R3804="","",SUMPRODUCT((I$5:I$4004=I3804)*ISNUMBER(R$5:R$4004)*(R$5:R$4004&gt;R3804))+1)</f>
        <v/>
      </c>
      <c r="T3804" s="32" t="str">
        <f aca="false">IF(S3804="","",IF(S3804&lt;=Setup!$B$5,"🏆 WINNER",""))</f>
        <v/>
      </c>
      <c r="U3804" s="31" t="str">
        <f aca="false">IF(S3804="","",I3804&amp;"|"&amp;S3804)</f>
        <v/>
      </c>
    </row>
    <row r="3805" customFormat="false" ht="15" hidden="false" customHeight="false" outlineLevel="0" collapsed="false">
      <c r="A3805" s="24" t="n">
        <v>3801</v>
      </c>
      <c r="B3805" s="25" t="str">
        <f aca="false">IF(OR(C3805="",I3805="",G3805=""),"",IFERROR(VLOOKUP(I3805,Setup!$A$9:$B$11,2,0),"???")&amp;"-"&amp;G3805&amp;"-"&amp;TEXT(COUNTIFS(I$5:I3805,I3805,G$5:G3805,G3805),"0000"))</f>
        <v/>
      </c>
      <c r="C3805" s="26"/>
      <c r="D3805" s="26"/>
      <c r="E3805" s="27"/>
      <c r="F3805" s="27"/>
      <c r="G3805" s="24" t="str">
        <f aca="false">IF(F3805="","",IF(F3805&lt;=5,"A",IF(F3805&lt;=8,"B",IF(F3805&lt;=10,"C","D"))))</f>
        <v/>
      </c>
      <c r="H3805" s="28"/>
      <c r="I3805" s="27"/>
      <c r="J3805" s="26"/>
      <c r="K3805" s="27"/>
      <c r="L3805" s="27"/>
      <c r="M3805" s="27"/>
      <c r="N3805" s="27"/>
      <c r="O3805" s="24" t="str">
        <f aca="false">IF(G3805="","",VLOOKUP(G3805,Setup!$A$14:$C$17,3,0))</f>
        <v/>
      </c>
      <c r="P3805" s="27"/>
      <c r="Q3805" s="29" t="str">
        <f aca="false">IF(OR(P3805="",M3805&lt;&gt;"Paid",O3805=""),"",P3805/O3805)</f>
        <v/>
      </c>
      <c r="R3805" s="30" t="str">
        <f aca="false">IF(Q3805="","",Q3805+N(H3805)*0.000000001)</f>
        <v/>
      </c>
      <c r="S3805" s="25" t="str">
        <f aca="false">IF(R3805="","",SUMPRODUCT((I$5:I$4004=I3805)*ISNUMBER(R$5:R$4004)*(R$5:R$4004&gt;R3805))+1)</f>
        <v/>
      </c>
      <c r="T3805" s="25" t="str">
        <f aca="false">IF(S3805="","",IF(S3805&lt;=Setup!$B$5,"🏆 WINNER",""))</f>
        <v/>
      </c>
      <c r="U3805" s="24" t="str">
        <f aca="false">IF(S3805="","",I3805&amp;"|"&amp;S3805)</f>
        <v/>
      </c>
    </row>
    <row r="3806" customFormat="false" ht="15" hidden="false" customHeight="false" outlineLevel="0" collapsed="false">
      <c r="A3806" s="31" t="n">
        <v>3802</v>
      </c>
      <c r="B3806" s="32" t="str">
        <f aca="false">IF(OR(C3806="",I3806="",G3806=""),"",IFERROR(VLOOKUP(I3806,Setup!$A$9:$B$11,2,0),"???")&amp;"-"&amp;G3806&amp;"-"&amp;TEXT(COUNTIFS(I$5:I3806,I3806,G$5:G3806,G3806),"0000"))</f>
        <v/>
      </c>
      <c r="C3806" s="26"/>
      <c r="D3806" s="26"/>
      <c r="E3806" s="27"/>
      <c r="F3806" s="27"/>
      <c r="G3806" s="31" t="str">
        <f aca="false">IF(F3806="","",IF(F3806&lt;=5,"A",IF(F3806&lt;=8,"B",IF(F3806&lt;=10,"C","D"))))</f>
        <v/>
      </c>
      <c r="H3806" s="28"/>
      <c r="I3806" s="27"/>
      <c r="J3806" s="26"/>
      <c r="K3806" s="27"/>
      <c r="L3806" s="27"/>
      <c r="M3806" s="27"/>
      <c r="N3806" s="27"/>
      <c r="O3806" s="31" t="str">
        <f aca="false">IF(G3806="","",VLOOKUP(G3806,Setup!$A$14:$C$17,3,0))</f>
        <v/>
      </c>
      <c r="P3806" s="27"/>
      <c r="Q3806" s="33" t="str">
        <f aca="false">IF(OR(P3806="",M3806&lt;&gt;"Paid",O3806=""),"",P3806/O3806)</f>
        <v/>
      </c>
      <c r="R3806" s="34" t="str">
        <f aca="false">IF(Q3806="","",Q3806+N(H3806)*0.000000001)</f>
        <v/>
      </c>
      <c r="S3806" s="32" t="str">
        <f aca="false">IF(R3806="","",SUMPRODUCT((I$5:I$4004=I3806)*ISNUMBER(R$5:R$4004)*(R$5:R$4004&gt;R3806))+1)</f>
        <v/>
      </c>
      <c r="T3806" s="32" t="str">
        <f aca="false">IF(S3806="","",IF(S3806&lt;=Setup!$B$5,"🏆 WINNER",""))</f>
        <v/>
      </c>
      <c r="U3806" s="31" t="str">
        <f aca="false">IF(S3806="","",I3806&amp;"|"&amp;S3806)</f>
        <v/>
      </c>
    </row>
    <row r="3807" customFormat="false" ht="15" hidden="false" customHeight="false" outlineLevel="0" collapsed="false">
      <c r="A3807" s="24" t="n">
        <v>3803</v>
      </c>
      <c r="B3807" s="25" t="str">
        <f aca="false">IF(OR(C3807="",I3807="",G3807=""),"",IFERROR(VLOOKUP(I3807,Setup!$A$9:$B$11,2,0),"???")&amp;"-"&amp;G3807&amp;"-"&amp;TEXT(COUNTIFS(I$5:I3807,I3807,G$5:G3807,G3807),"0000"))</f>
        <v/>
      </c>
      <c r="C3807" s="26"/>
      <c r="D3807" s="26"/>
      <c r="E3807" s="27"/>
      <c r="F3807" s="27"/>
      <c r="G3807" s="24" t="str">
        <f aca="false">IF(F3807="","",IF(F3807&lt;=5,"A",IF(F3807&lt;=8,"B",IF(F3807&lt;=10,"C","D"))))</f>
        <v/>
      </c>
      <c r="H3807" s="28"/>
      <c r="I3807" s="27"/>
      <c r="J3807" s="26"/>
      <c r="K3807" s="27"/>
      <c r="L3807" s="27"/>
      <c r="M3807" s="27"/>
      <c r="N3807" s="27"/>
      <c r="O3807" s="24" t="str">
        <f aca="false">IF(G3807="","",VLOOKUP(G3807,Setup!$A$14:$C$17,3,0))</f>
        <v/>
      </c>
      <c r="P3807" s="27"/>
      <c r="Q3807" s="29" t="str">
        <f aca="false">IF(OR(P3807="",M3807&lt;&gt;"Paid",O3807=""),"",P3807/O3807)</f>
        <v/>
      </c>
      <c r="R3807" s="30" t="str">
        <f aca="false">IF(Q3807="","",Q3807+N(H3807)*0.000000001)</f>
        <v/>
      </c>
      <c r="S3807" s="25" t="str">
        <f aca="false">IF(R3807="","",SUMPRODUCT((I$5:I$4004=I3807)*ISNUMBER(R$5:R$4004)*(R$5:R$4004&gt;R3807))+1)</f>
        <v/>
      </c>
      <c r="T3807" s="25" t="str">
        <f aca="false">IF(S3807="","",IF(S3807&lt;=Setup!$B$5,"🏆 WINNER",""))</f>
        <v/>
      </c>
      <c r="U3807" s="24" t="str">
        <f aca="false">IF(S3807="","",I3807&amp;"|"&amp;S3807)</f>
        <v/>
      </c>
    </row>
    <row r="3808" customFormat="false" ht="15" hidden="false" customHeight="false" outlineLevel="0" collapsed="false">
      <c r="A3808" s="31" t="n">
        <v>3804</v>
      </c>
      <c r="B3808" s="32" t="str">
        <f aca="false">IF(OR(C3808="",I3808="",G3808=""),"",IFERROR(VLOOKUP(I3808,Setup!$A$9:$B$11,2,0),"???")&amp;"-"&amp;G3808&amp;"-"&amp;TEXT(COUNTIFS(I$5:I3808,I3808,G$5:G3808,G3808),"0000"))</f>
        <v/>
      </c>
      <c r="C3808" s="26"/>
      <c r="D3808" s="26"/>
      <c r="E3808" s="27"/>
      <c r="F3808" s="27"/>
      <c r="G3808" s="31" t="str">
        <f aca="false">IF(F3808="","",IF(F3808&lt;=5,"A",IF(F3808&lt;=8,"B",IF(F3808&lt;=10,"C","D"))))</f>
        <v/>
      </c>
      <c r="H3808" s="28"/>
      <c r="I3808" s="27"/>
      <c r="J3808" s="26"/>
      <c r="K3808" s="27"/>
      <c r="L3808" s="27"/>
      <c r="M3808" s="27"/>
      <c r="N3808" s="27"/>
      <c r="O3808" s="31" t="str">
        <f aca="false">IF(G3808="","",VLOOKUP(G3808,Setup!$A$14:$C$17,3,0))</f>
        <v/>
      </c>
      <c r="P3808" s="27"/>
      <c r="Q3808" s="33" t="str">
        <f aca="false">IF(OR(P3808="",M3808&lt;&gt;"Paid",O3808=""),"",P3808/O3808)</f>
        <v/>
      </c>
      <c r="R3808" s="34" t="str">
        <f aca="false">IF(Q3808="","",Q3808+N(H3808)*0.000000001)</f>
        <v/>
      </c>
      <c r="S3808" s="32" t="str">
        <f aca="false">IF(R3808="","",SUMPRODUCT((I$5:I$4004=I3808)*ISNUMBER(R$5:R$4004)*(R$5:R$4004&gt;R3808))+1)</f>
        <v/>
      </c>
      <c r="T3808" s="32" t="str">
        <f aca="false">IF(S3808="","",IF(S3808&lt;=Setup!$B$5,"🏆 WINNER",""))</f>
        <v/>
      </c>
      <c r="U3808" s="31" t="str">
        <f aca="false">IF(S3808="","",I3808&amp;"|"&amp;S3808)</f>
        <v/>
      </c>
    </row>
    <row r="3809" customFormat="false" ht="15" hidden="false" customHeight="false" outlineLevel="0" collapsed="false">
      <c r="A3809" s="24" t="n">
        <v>3805</v>
      </c>
      <c r="B3809" s="25" t="str">
        <f aca="false">IF(OR(C3809="",I3809="",G3809=""),"",IFERROR(VLOOKUP(I3809,Setup!$A$9:$B$11,2,0),"???")&amp;"-"&amp;G3809&amp;"-"&amp;TEXT(COUNTIFS(I$5:I3809,I3809,G$5:G3809,G3809),"0000"))</f>
        <v/>
      </c>
      <c r="C3809" s="26"/>
      <c r="D3809" s="26"/>
      <c r="E3809" s="27"/>
      <c r="F3809" s="27"/>
      <c r="G3809" s="24" t="str">
        <f aca="false">IF(F3809="","",IF(F3809&lt;=5,"A",IF(F3809&lt;=8,"B",IF(F3809&lt;=10,"C","D"))))</f>
        <v/>
      </c>
      <c r="H3809" s="28"/>
      <c r="I3809" s="27"/>
      <c r="J3809" s="26"/>
      <c r="K3809" s="27"/>
      <c r="L3809" s="27"/>
      <c r="M3809" s="27"/>
      <c r="N3809" s="27"/>
      <c r="O3809" s="24" t="str">
        <f aca="false">IF(G3809="","",VLOOKUP(G3809,Setup!$A$14:$C$17,3,0))</f>
        <v/>
      </c>
      <c r="P3809" s="27"/>
      <c r="Q3809" s="29" t="str">
        <f aca="false">IF(OR(P3809="",M3809&lt;&gt;"Paid",O3809=""),"",P3809/O3809)</f>
        <v/>
      </c>
      <c r="R3809" s="30" t="str">
        <f aca="false">IF(Q3809="","",Q3809+N(H3809)*0.000000001)</f>
        <v/>
      </c>
      <c r="S3809" s="25" t="str">
        <f aca="false">IF(R3809="","",SUMPRODUCT((I$5:I$4004=I3809)*ISNUMBER(R$5:R$4004)*(R$5:R$4004&gt;R3809))+1)</f>
        <v/>
      </c>
      <c r="T3809" s="25" t="str">
        <f aca="false">IF(S3809="","",IF(S3809&lt;=Setup!$B$5,"🏆 WINNER",""))</f>
        <v/>
      </c>
      <c r="U3809" s="24" t="str">
        <f aca="false">IF(S3809="","",I3809&amp;"|"&amp;S3809)</f>
        <v/>
      </c>
    </row>
    <row r="3810" customFormat="false" ht="15" hidden="false" customHeight="false" outlineLevel="0" collapsed="false">
      <c r="A3810" s="31" t="n">
        <v>3806</v>
      </c>
      <c r="B3810" s="32" t="str">
        <f aca="false">IF(OR(C3810="",I3810="",G3810=""),"",IFERROR(VLOOKUP(I3810,Setup!$A$9:$B$11,2,0),"???")&amp;"-"&amp;G3810&amp;"-"&amp;TEXT(COUNTIFS(I$5:I3810,I3810,G$5:G3810,G3810),"0000"))</f>
        <v/>
      </c>
      <c r="C3810" s="26"/>
      <c r="D3810" s="26"/>
      <c r="E3810" s="27"/>
      <c r="F3810" s="27"/>
      <c r="G3810" s="31" t="str">
        <f aca="false">IF(F3810="","",IF(F3810&lt;=5,"A",IF(F3810&lt;=8,"B",IF(F3810&lt;=10,"C","D"))))</f>
        <v/>
      </c>
      <c r="H3810" s="28"/>
      <c r="I3810" s="27"/>
      <c r="J3810" s="26"/>
      <c r="K3810" s="27"/>
      <c r="L3810" s="27"/>
      <c r="M3810" s="27"/>
      <c r="N3810" s="27"/>
      <c r="O3810" s="31" t="str">
        <f aca="false">IF(G3810="","",VLOOKUP(G3810,Setup!$A$14:$C$17,3,0))</f>
        <v/>
      </c>
      <c r="P3810" s="27"/>
      <c r="Q3810" s="33" t="str">
        <f aca="false">IF(OR(P3810="",M3810&lt;&gt;"Paid",O3810=""),"",P3810/O3810)</f>
        <v/>
      </c>
      <c r="R3810" s="34" t="str">
        <f aca="false">IF(Q3810="","",Q3810+N(H3810)*0.000000001)</f>
        <v/>
      </c>
      <c r="S3810" s="32" t="str">
        <f aca="false">IF(R3810="","",SUMPRODUCT((I$5:I$4004=I3810)*ISNUMBER(R$5:R$4004)*(R$5:R$4004&gt;R3810))+1)</f>
        <v/>
      </c>
      <c r="T3810" s="32" t="str">
        <f aca="false">IF(S3810="","",IF(S3810&lt;=Setup!$B$5,"🏆 WINNER",""))</f>
        <v/>
      </c>
      <c r="U3810" s="31" t="str">
        <f aca="false">IF(S3810="","",I3810&amp;"|"&amp;S3810)</f>
        <v/>
      </c>
    </row>
    <row r="3811" customFormat="false" ht="15" hidden="false" customHeight="false" outlineLevel="0" collapsed="false">
      <c r="A3811" s="24" t="n">
        <v>3807</v>
      </c>
      <c r="B3811" s="25" t="str">
        <f aca="false">IF(OR(C3811="",I3811="",G3811=""),"",IFERROR(VLOOKUP(I3811,Setup!$A$9:$B$11,2,0),"???")&amp;"-"&amp;G3811&amp;"-"&amp;TEXT(COUNTIFS(I$5:I3811,I3811,G$5:G3811,G3811),"0000"))</f>
        <v/>
      </c>
      <c r="C3811" s="26"/>
      <c r="D3811" s="26"/>
      <c r="E3811" s="27"/>
      <c r="F3811" s="27"/>
      <c r="G3811" s="24" t="str">
        <f aca="false">IF(F3811="","",IF(F3811&lt;=5,"A",IF(F3811&lt;=8,"B",IF(F3811&lt;=10,"C","D"))))</f>
        <v/>
      </c>
      <c r="H3811" s="28"/>
      <c r="I3811" s="27"/>
      <c r="J3811" s="26"/>
      <c r="K3811" s="27"/>
      <c r="L3811" s="27"/>
      <c r="M3811" s="27"/>
      <c r="N3811" s="27"/>
      <c r="O3811" s="24" t="str">
        <f aca="false">IF(G3811="","",VLOOKUP(G3811,Setup!$A$14:$C$17,3,0))</f>
        <v/>
      </c>
      <c r="P3811" s="27"/>
      <c r="Q3811" s="29" t="str">
        <f aca="false">IF(OR(P3811="",M3811&lt;&gt;"Paid",O3811=""),"",P3811/O3811)</f>
        <v/>
      </c>
      <c r="R3811" s="30" t="str">
        <f aca="false">IF(Q3811="","",Q3811+N(H3811)*0.000000001)</f>
        <v/>
      </c>
      <c r="S3811" s="25" t="str">
        <f aca="false">IF(R3811="","",SUMPRODUCT((I$5:I$4004=I3811)*ISNUMBER(R$5:R$4004)*(R$5:R$4004&gt;R3811))+1)</f>
        <v/>
      </c>
      <c r="T3811" s="25" t="str">
        <f aca="false">IF(S3811="","",IF(S3811&lt;=Setup!$B$5,"🏆 WINNER",""))</f>
        <v/>
      </c>
      <c r="U3811" s="24" t="str">
        <f aca="false">IF(S3811="","",I3811&amp;"|"&amp;S3811)</f>
        <v/>
      </c>
    </row>
    <row r="3812" customFormat="false" ht="15" hidden="false" customHeight="false" outlineLevel="0" collapsed="false">
      <c r="A3812" s="31" t="n">
        <v>3808</v>
      </c>
      <c r="B3812" s="32" t="str">
        <f aca="false">IF(OR(C3812="",I3812="",G3812=""),"",IFERROR(VLOOKUP(I3812,Setup!$A$9:$B$11,2,0),"???")&amp;"-"&amp;G3812&amp;"-"&amp;TEXT(COUNTIFS(I$5:I3812,I3812,G$5:G3812,G3812),"0000"))</f>
        <v/>
      </c>
      <c r="C3812" s="26"/>
      <c r="D3812" s="26"/>
      <c r="E3812" s="27"/>
      <c r="F3812" s="27"/>
      <c r="G3812" s="31" t="str">
        <f aca="false">IF(F3812="","",IF(F3812&lt;=5,"A",IF(F3812&lt;=8,"B",IF(F3812&lt;=10,"C","D"))))</f>
        <v/>
      </c>
      <c r="H3812" s="28"/>
      <c r="I3812" s="27"/>
      <c r="J3812" s="26"/>
      <c r="K3812" s="27"/>
      <c r="L3812" s="27"/>
      <c r="M3812" s="27"/>
      <c r="N3812" s="27"/>
      <c r="O3812" s="31" t="str">
        <f aca="false">IF(G3812="","",VLOOKUP(G3812,Setup!$A$14:$C$17,3,0))</f>
        <v/>
      </c>
      <c r="P3812" s="27"/>
      <c r="Q3812" s="33" t="str">
        <f aca="false">IF(OR(P3812="",M3812&lt;&gt;"Paid",O3812=""),"",P3812/O3812)</f>
        <v/>
      </c>
      <c r="R3812" s="34" t="str">
        <f aca="false">IF(Q3812="","",Q3812+N(H3812)*0.000000001)</f>
        <v/>
      </c>
      <c r="S3812" s="32" t="str">
        <f aca="false">IF(R3812="","",SUMPRODUCT((I$5:I$4004=I3812)*ISNUMBER(R$5:R$4004)*(R$5:R$4004&gt;R3812))+1)</f>
        <v/>
      </c>
      <c r="T3812" s="32" t="str">
        <f aca="false">IF(S3812="","",IF(S3812&lt;=Setup!$B$5,"🏆 WINNER",""))</f>
        <v/>
      </c>
      <c r="U3812" s="31" t="str">
        <f aca="false">IF(S3812="","",I3812&amp;"|"&amp;S3812)</f>
        <v/>
      </c>
    </row>
    <row r="3813" customFormat="false" ht="15" hidden="false" customHeight="false" outlineLevel="0" collapsed="false">
      <c r="A3813" s="24" t="n">
        <v>3809</v>
      </c>
      <c r="B3813" s="25" t="str">
        <f aca="false">IF(OR(C3813="",I3813="",G3813=""),"",IFERROR(VLOOKUP(I3813,Setup!$A$9:$B$11,2,0),"???")&amp;"-"&amp;G3813&amp;"-"&amp;TEXT(COUNTIFS(I$5:I3813,I3813,G$5:G3813,G3813),"0000"))</f>
        <v/>
      </c>
      <c r="C3813" s="26"/>
      <c r="D3813" s="26"/>
      <c r="E3813" s="27"/>
      <c r="F3813" s="27"/>
      <c r="G3813" s="24" t="str">
        <f aca="false">IF(F3813="","",IF(F3813&lt;=5,"A",IF(F3813&lt;=8,"B",IF(F3813&lt;=10,"C","D"))))</f>
        <v/>
      </c>
      <c r="H3813" s="28"/>
      <c r="I3813" s="27"/>
      <c r="J3813" s="26"/>
      <c r="K3813" s="27"/>
      <c r="L3813" s="27"/>
      <c r="M3813" s="27"/>
      <c r="N3813" s="27"/>
      <c r="O3813" s="24" t="str">
        <f aca="false">IF(G3813="","",VLOOKUP(G3813,Setup!$A$14:$C$17,3,0))</f>
        <v/>
      </c>
      <c r="P3813" s="27"/>
      <c r="Q3813" s="29" t="str">
        <f aca="false">IF(OR(P3813="",M3813&lt;&gt;"Paid",O3813=""),"",P3813/O3813)</f>
        <v/>
      </c>
      <c r="R3813" s="30" t="str">
        <f aca="false">IF(Q3813="","",Q3813+N(H3813)*0.000000001)</f>
        <v/>
      </c>
      <c r="S3813" s="25" t="str">
        <f aca="false">IF(R3813="","",SUMPRODUCT((I$5:I$4004=I3813)*ISNUMBER(R$5:R$4004)*(R$5:R$4004&gt;R3813))+1)</f>
        <v/>
      </c>
      <c r="T3813" s="25" t="str">
        <f aca="false">IF(S3813="","",IF(S3813&lt;=Setup!$B$5,"🏆 WINNER",""))</f>
        <v/>
      </c>
      <c r="U3813" s="24" t="str">
        <f aca="false">IF(S3813="","",I3813&amp;"|"&amp;S3813)</f>
        <v/>
      </c>
    </row>
    <row r="3814" customFormat="false" ht="15" hidden="false" customHeight="false" outlineLevel="0" collapsed="false">
      <c r="A3814" s="31" t="n">
        <v>3810</v>
      </c>
      <c r="B3814" s="32" t="str">
        <f aca="false">IF(OR(C3814="",I3814="",G3814=""),"",IFERROR(VLOOKUP(I3814,Setup!$A$9:$B$11,2,0),"???")&amp;"-"&amp;G3814&amp;"-"&amp;TEXT(COUNTIFS(I$5:I3814,I3814,G$5:G3814,G3814),"0000"))</f>
        <v/>
      </c>
      <c r="C3814" s="26"/>
      <c r="D3814" s="26"/>
      <c r="E3814" s="27"/>
      <c r="F3814" s="27"/>
      <c r="G3814" s="31" t="str">
        <f aca="false">IF(F3814="","",IF(F3814&lt;=5,"A",IF(F3814&lt;=8,"B",IF(F3814&lt;=10,"C","D"))))</f>
        <v/>
      </c>
      <c r="H3814" s="28"/>
      <c r="I3814" s="27"/>
      <c r="J3814" s="26"/>
      <c r="K3814" s="27"/>
      <c r="L3814" s="27"/>
      <c r="M3814" s="27"/>
      <c r="N3814" s="27"/>
      <c r="O3814" s="31" t="str">
        <f aca="false">IF(G3814="","",VLOOKUP(G3814,Setup!$A$14:$C$17,3,0))</f>
        <v/>
      </c>
      <c r="P3814" s="27"/>
      <c r="Q3814" s="33" t="str">
        <f aca="false">IF(OR(P3814="",M3814&lt;&gt;"Paid",O3814=""),"",P3814/O3814)</f>
        <v/>
      </c>
      <c r="R3814" s="34" t="str">
        <f aca="false">IF(Q3814="","",Q3814+N(H3814)*0.000000001)</f>
        <v/>
      </c>
      <c r="S3814" s="32" t="str">
        <f aca="false">IF(R3814="","",SUMPRODUCT((I$5:I$4004=I3814)*ISNUMBER(R$5:R$4004)*(R$5:R$4004&gt;R3814))+1)</f>
        <v/>
      </c>
      <c r="T3814" s="32" t="str">
        <f aca="false">IF(S3814="","",IF(S3814&lt;=Setup!$B$5,"🏆 WINNER",""))</f>
        <v/>
      </c>
      <c r="U3814" s="31" t="str">
        <f aca="false">IF(S3814="","",I3814&amp;"|"&amp;S3814)</f>
        <v/>
      </c>
    </row>
    <row r="3815" customFormat="false" ht="15" hidden="false" customHeight="false" outlineLevel="0" collapsed="false">
      <c r="A3815" s="24" t="n">
        <v>3811</v>
      </c>
      <c r="B3815" s="25" t="str">
        <f aca="false">IF(OR(C3815="",I3815="",G3815=""),"",IFERROR(VLOOKUP(I3815,Setup!$A$9:$B$11,2,0),"???")&amp;"-"&amp;G3815&amp;"-"&amp;TEXT(COUNTIFS(I$5:I3815,I3815,G$5:G3815,G3815),"0000"))</f>
        <v/>
      </c>
      <c r="C3815" s="26"/>
      <c r="D3815" s="26"/>
      <c r="E3815" s="27"/>
      <c r="F3815" s="27"/>
      <c r="G3815" s="24" t="str">
        <f aca="false">IF(F3815="","",IF(F3815&lt;=5,"A",IF(F3815&lt;=8,"B",IF(F3815&lt;=10,"C","D"))))</f>
        <v/>
      </c>
      <c r="H3815" s="28"/>
      <c r="I3815" s="27"/>
      <c r="J3815" s="26"/>
      <c r="K3815" s="27"/>
      <c r="L3815" s="27"/>
      <c r="M3815" s="27"/>
      <c r="N3815" s="27"/>
      <c r="O3815" s="24" t="str">
        <f aca="false">IF(G3815="","",VLOOKUP(G3815,Setup!$A$14:$C$17,3,0))</f>
        <v/>
      </c>
      <c r="P3815" s="27"/>
      <c r="Q3815" s="29" t="str">
        <f aca="false">IF(OR(P3815="",M3815&lt;&gt;"Paid",O3815=""),"",P3815/O3815)</f>
        <v/>
      </c>
      <c r="R3815" s="30" t="str">
        <f aca="false">IF(Q3815="","",Q3815+N(H3815)*0.000000001)</f>
        <v/>
      </c>
      <c r="S3815" s="25" t="str">
        <f aca="false">IF(R3815="","",SUMPRODUCT((I$5:I$4004=I3815)*ISNUMBER(R$5:R$4004)*(R$5:R$4004&gt;R3815))+1)</f>
        <v/>
      </c>
      <c r="T3815" s="25" t="str">
        <f aca="false">IF(S3815="","",IF(S3815&lt;=Setup!$B$5,"🏆 WINNER",""))</f>
        <v/>
      </c>
      <c r="U3815" s="24" t="str">
        <f aca="false">IF(S3815="","",I3815&amp;"|"&amp;S3815)</f>
        <v/>
      </c>
    </row>
    <row r="3816" customFormat="false" ht="15" hidden="false" customHeight="false" outlineLevel="0" collapsed="false">
      <c r="A3816" s="31" t="n">
        <v>3812</v>
      </c>
      <c r="B3816" s="32" t="str">
        <f aca="false">IF(OR(C3816="",I3816="",G3816=""),"",IFERROR(VLOOKUP(I3816,Setup!$A$9:$B$11,2,0),"???")&amp;"-"&amp;G3816&amp;"-"&amp;TEXT(COUNTIFS(I$5:I3816,I3816,G$5:G3816,G3816),"0000"))</f>
        <v/>
      </c>
      <c r="C3816" s="26"/>
      <c r="D3816" s="26"/>
      <c r="E3816" s="27"/>
      <c r="F3816" s="27"/>
      <c r="G3816" s="31" t="str">
        <f aca="false">IF(F3816="","",IF(F3816&lt;=5,"A",IF(F3816&lt;=8,"B",IF(F3816&lt;=10,"C","D"))))</f>
        <v/>
      </c>
      <c r="H3816" s="28"/>
      <c r="I3816" s="27"/>
      <c r="J3816" s="26"/>
      <c r="K3816" s="27"/>
      <c r="L3816" s="27"/>
      <c r="M3816" s="27"/>
      <c r="N3816" s="27"/>
      <c r="O3816" s="31" t="str">
        <f aca="false">IF(G3816="","",VLOOKUP(G3816,Setup!$A$14:$C$17,3,0))</f>
        <v/>
      </c>
      <c r="P3816" s="27"/>
      <c r="Q3816" s="33" t="str">
        <f aca="false">IF(OR(P3816="",M3816&lt;&gt;"Paid",O3816=""),"",P3816/O3816)</f>
        <v/>
      </c>
      <c r="R3816" s="34" t="str">
        <f aca="false">IF(Q3816="","",Q3816+N(H3816)*0.000000001)</f>
        <v/>
      </c>
      <c r="S3816" s="32" t="str">
        <f aca="false">IF(R3816="","",SUMPRODUCT((I$5:I$4004=I3816)*ISNUMBER(R$5:R$4004)*(R$5:R$4004&gt;R3816))+1)</f>
        <v/>
      </c>
      <c r="T3816" s="32" t="str">
        <f aca="false">IF(S3816="","",IF(S3816&lt;=Setup!$B$5,"🏆 WINNER",""))</f>
        <v/>
      </c>
      <c r="U3816" s="31" t="str">
        <f aca="false">IF(S3816="","",I3816&amp;"|"&amp;S3816)</f>
        <v/>
      </c>
    </row>
    <row r="3817" customFormat="false" ht="15" hidden="false" customHeight="false" outlineLevel="0" collapsed="false">
      <c r="A3817" s="24" t="n">
        <v>3813</v>
      </c>
      <c r="B3817" s="25" t="str">
        <f aca="false">IF(OR(C3817="",I3817="",G3817=""),"",IFERROR(VLOOKUP(I3817,Setup!$A$9:$B$11,2,0),"???")&amp;"-"&amp;G3817&amp;"-"&amp;TEXT(COUNTIFS(I$5:I3817,I3817,G$5:G3817,G3817),"0000"))</f>
        <v/>
      </c>
      <c r="C3817" s="26"/>
      <c r="D3817" s="26"/>
      <c r="E3817" s="27"/>
      <c r="F3817" s="27"/>
      <c r="G3817" s="24" t="str">
        <f aca="false">IF(F3817="","",IF(F3817&lt;=5,"A",IF(F3817&lt;=8,"B",IF(F3817&lt;=10,"C","D"))))</f>
        <v/>
      </c>
      <c r="H3817" s="28"/>
      <c r="I3817" s="27"/>
      <c r="J3817" s="26"/>
      <c r="K3817" s="27"/>
      <c r="L3817" s="27"/>
      <c r="M3817" s="27"/>
      <c r="N3817" s="27"/>
      <c r="O3817" s="24" t="str">
        <f aca="false">IF(G3817="","",VLOOKUP(G3817,Setup!$A$14:$C$17,3,0))</f>
        <v/>
      </c>
      <c r="P3817" s="27"/>
      <c r="Q3817" s="29" t="str">
        <f aca="false">IF(OR(P3817="",M3817&lt;&gt;"Paid",O3817=""),"",P3817/O3817)</f>
        <v/>
      </c>
      <c r="R3817" s="30" t="str">
        <f aca="false">IF(Q3817="","",Q3817+N(H3817)*0.000000001)</f>
        <v/>
      </c>
      <c r="S3817" s="25" t="str">
        <f aca="false">IF(R3817="","",SUMPRODUCT((I$5:I$4004=I3817)*ISNUMBER(R$5:R$4004)*(R$5:R$4004&gt;R3817))+1)</f>
        <v/>
      </c>
      <c r="T3817" s="25" t="str">
        <f aca="false">IF(S3817="","",IF(S3817&lt;=Setup!$B$5,"🏆 WINNER",""))</f>
        <v/>
      </c>
      <c r="U3817" s="24" t="str">
        <f aca="false">IF(S3817="","",I3817&amp;"|"&amp;S3817)</f>
        <v/>
      </c>
    </row>
    <row r="3818" customFormat="false" ht="15" hidden="false" customHeight="false" outlineLevel="0" collapsed="false">
      <c r="A3818" s="31" t="n">
        <v>3814</v>
      </c>
      <c r="B3818" s="32" t="str">
        <f aca="false">IF(OR(C3818="",I3818="",G3818=""),"",IFERROR(VLOOKUP(I3818,Setup!$A$9:$B$11,2,0),"???")&amp;"-"&amp;G3818&amp;"-"&amp;TEXT(COUNTIFS(I$5:I3818,I3818,G$5:G3818,G3818),"0000"))</f>
        <v/>
      </c>
      <c r="C3818" s="26"/>
      <c r="D3818" s="26"/>
      <c r="E3818" s="27"/>
      <c r="F3818" s="27"/>
      <c r="G3818" s="31" t="str">
        <f aca="false">IF(F3818="","",IF(F3818&lt;=5,"A",IF(F3818&lt;=8,"B",IF(F3818&lt;=10,"C","D"))))</f>
        <v/>
      </c>
      <c r="H3818" s="28"/>
      <c r="I3818" s="27"/>
      <c r="J3818" s="26"/>
      <c r="K3818" s="27"/>
      <c r="L3818" s="27"/>
      <c r="M3818" s="27"/>
      <c r="N3818" s="27"/>
      <c r="O3818" s="31" t="str">
        <f aca="false">IF(G3818="","",VLOOKUP(G3818,Setup!$A$14:$C$17,3,0))</f>
        <v/>
      </c>
      <c r="P3818" s="27"/>
      <c r="Q3818" s="33" t="str">
        <f aca="false">IF(OR(P3818="",M3818&lt;&gt;"Paid",O3818=""),"",P3818/O3818)</f>
        <v/>
      </c>
      <c r="R3818" s="34" t="str">
        <f aca="false">IF(Q3818="","",Q3818+N(H3818)*0.000000001)</f>
        <v/>
      </c>
      <c r="S3818" s="32" t="str">
        <f aca="false">IF(R3818="","",SUMPRODUCT((I$5:I$4004=I3818)*ISNUMBER(R$5:R$4004)*(R$5:R$4004&gt;R3818))+1)</f>
        <v/>
      </c>
      <c r="T3818" s="32" t="str">
        <f aca="false">IF(S3818="","",IF(S3818&lt;=Setup!$B$5,"🏆 WINNER",""))</f>
        <v/>
      </c>
      <c r="U3818" s="31" t="str">
        <f aca="false">IF(S3818="","",I3818&amp;"|"&amp;S3818)</f>
        <v/>
      </c>
    </row>
    <row r="3819" customFormat="false" ht="15" hidden="false" customHeight="false" outlineLevel="0" collapsed="false">
      <c r="A3819" s="24" t="n">
        <v>3815</v>
      </c>
      <c r="B3819" s="25" t="str">
        <f aca="false">IF(OR(C3819="",I3819="",G3819=""),"",IFERROR(VLOOKUP(I3819,Setup!$A$9:$B$11,2,0),"???")&amp;"-"&amp;G3819&amp;"-"&amp;TEXT(COUNTIFS(I$5:I3819,I3819,G$5:G3819,G3819),"0000"))</f>
        <v/>
      </c>
      <c r="C3819" s="26"/>
      <c r="D3819" s="26"/>
      <c r="E3819" s="27"/>
      <c r="F3819" s="27"/>
      <c r="G3819" s="24" t="str">
        <f aca="false">IF(F3819="","",IF(F3819&lt;=5,"A",IF(F3819&lt;=8,"B",IF(F3819&lt;=10,"C","D"))))</f>
        <v/>
      </c>
      <c r="H3819" s="28"/>
      <c r="I3819" s="27"/>
      <c r="J3819" s="26"/>
      <c r="K3819" s="27"/>
      <c r="L3819" s="27"/>
      <c r="M3819" s="27"/>
      <c r="N3819" s="27"/>
      <c r="O3819" s="24" t="str">
        <f aca="false">IF(G3819="","",VLOOKUP(G3819,Setup!$A$14:$C$17,3,0))</f>
        <v/>
      </c>
      <c r="P3819" s="27"/>
      <c r="Q3819" s="29" t="str">
        <f aca="false">IF(OR(P3819="",M3819&lt;&gt;"Paid",O3819=""),"",P3819/O3819)</f>
        <v/>
      </c>
      <c r="R3819" s="30" t="str">
        <f aca="false">IF(Q3819="","",Q3819+N(H3819)*0.000000001)</f>
        <v/>
      </c>
      <c r="S3819" s="25" t="str">
        <f aca="false">IF(R3819="","",SUMPRODUCT((I$5:I$4004=I3819)*ISNUMBER(R$5:R$4004)*(R$5:R$4004&gt;R3819))+1)</f>
        <v/>
      </c>
      <c r="T3819" s="25" t="str">
        <f aca="false">IF(S3819="","",IF(S3819&lt;=Setup!$B$5,"🏆 WINNER",""))</f>
        <v/>
      </c>
      <c r="U3819" s="24" t="str">
        <f aca="false">IF(S3819="","",I3819&amp;"|"&amp;S3819)</f>
        <v/>
      </c>
    </row>
    <row r="3820" customFormat="false" ht="15" hidden="false" customHeight="false" outlineLevel="0" collapsed="false">
      <c r="A3820" s="31" t="n">
        <v>3816</v>
      </c>
      <c r="B3820" s="32" t="str">
        <f aca="false">IF(OR(C3820="",I3820="",G3820=""),"",IFERROR(VLOOKUP(I3820,Setup!$A$9:$B$11,2,0),"???")&amp;"-"&amp;G3820&amp;"-"&amp;TEXT(COUNTIFS(I$5:I3820,I3820,G$5:G3820,G3820),"0000"))</f>
        <v/>
      </c>
      <c r="C3820" s="26"/>
      <c r="D3820" s="26"/>
      <c r="E3820" s="27"/>
      <c r="F3820" s="27"/>
      <c r="G3820" s="31" t="str">
        <f aca="false">IF(F3820="","",IF(F3820&lt;=5,"A",IF(F3820&lt;=8,"B",IF(F3820&lt;=10,"C","D"))))</f>
        <v/>
      </c>
      <c r="H3820" s="28"/>
      <c r="I3820" s="27"/>
      <c r="J3820" s="26"/>
      <c r="K3820" s="27"/>
      <c r="L3820" s="27"/>
      <c r="M3820" s="27"/>
      <c r="N3820" s="27"/>
      <c r="O3820" s="31" t="str">
        <f aca="false">IF(G3820="","",VLOOKUP(G3820,Setup!$A$14:$C$17,3,0))</f>
        <v/>
      </c>
      <c r="P3820" s="27"/>
      <c r="Q3820" s="33" t="str">
        <f aca="false">IF(OR(P3820="",M3820&lt;&gt;"Paid",O3820=""),"",P3820/O3820)</f>
        <v/>
      </c>
      <c r="R3820" s="34" t="str">
        <f aca="false">IF(Q3820="","",Q3820+N(H3820)*0.000000001)</f>
        <v/>
      </c>
      <c r="S3820" s="32" t="str">
        <f aca="false">IF(R3820="","",SUMPRODUCT((I$5:I$4004=I3820)*ISNUMBER(R$5:R$4004)*(R$5:R$4004&gt;R3820))+1)</f>
        <v/>
      </c>
      <c r="T3820" s="32" t="str">
        <f aca="false">IF(S3820="","",IF(S3820&lt;=Setup!$B$5,"🏆 WINNER",""))</f>
        <v/>
      </c>
      <c r="U3820" s="31" t="str">
        <f aca="false">IF(S3820="","",I3820&amp;"|"&amp;S3820)</f>
        <v/>
      </c>
    </row>
    <row r="3821" customFormat="false" ht="15" hidden="false" customHeight="false" outlineLevel="0" collapsed="false">
      <c r="A3821" s="24" t="n">
        <v>3817</v>
      </c>
      <c r="B3821" s="25" t="str">
        <f aca="false">IF(OR(C3821="",I3821="",G3821=""),"",IFERROR(VLOOKUP(I3821,Setup!$A$9:$B$11,2,0),"???")&amp;"-"&amp;G3821&amp;"-"&amp;TEXT(COUNTIFS(I$5:I3821,I3821,G$5:G3821,G3821),"0000"))</f>
        <v/>
      </c>
      <c r="C3821" s="26"/>
      <c r="D3821" s="26"/>
      <c r="E3821" s="27"/>
      <c r="F3821" s="27"/>
      <c r="G3821" s="24" t="str">
        <f aca="false">IF(F3821="","",IF(F3821&lt;=5,"A",IF(F3821&lt;=8,"B",IF(F3821&lt;=10,"C","D"))))</f>
        <v/>
      </c>
      <c r="H3821" s="28"/>
      <c r="I3821" s="27"/>
      <c r="J3821" s="26"/>
      <c r="K3821" s="27"/>
      <c r="L3821" s="27"/>
      <c r="M3821" s="27"/>
      <c r="N3821" s="27"/>
      <c r="O3821" s="24" t="str">
        <f aca="false">IF(G3821="","",VLOOKUP(G3821,Setup!$A$14:$C$17,3,0))</f>
        <v/>
      </c>
      <c r="P3821" s="27"/>
      <c r="Q3821" s="29" t="str">
        <f aca="false">IF(OR(P3821="",M3821&lt;&gt;"Paid",O3821=""),"",P3821/O3821)</f>
        <v/>
      </c>
      <c r="R3821" s="30" t="str">
        <f aca="false">IF(Q3821="","",Q3821+N(H3821)*0.000000001)</f>
        <v/>
      </c>
      <c r="S3821" s="25" t="str">
        <f aca="false">IF(R3821="","",SUMPRODUCT((I$5:I$4004=I3821)*ISNUMBER(R$5:R$4004)*(R$5:R$4004&gt;R3821))+1)</f>
        <v/>
      </c>
      <c r="T3821" s="25" t="str">
        <f aca="false">IF(S3821="","",IF(S3821&lt;=Setup!$B$5,"🏆 WINNER",""))</f>
        <v/>
      </c>
      <c r="U3821" s="24" t="str">
        <f aca="false">IF(S3821="","",I3821&amp;"|"&amp;S3821)</f>
        <v/>
      </c>
    </row>
    <row r="3822" customFormat="false" ht="15" hidden="false" customHeight="false" outlineLevel="0" collapsed="false">
      <c r="A3822" s="31" t="n">
        <v>3818</v>
      </c>
      <c r="B3822" s="32" t="str">
        <f aca="false">IF(OR(C3822="",I3822="",G3822=""),"",IFERROR(VLOOKUP(I3822,Setup!$A$9:$B$11,2,0),"???")&amp;"-"&amp;G3822&amp;"-"&amp;TEXT(COUNTIFS(I$5:I3822,I3822,G$5:G3822,G3822),"0000"))</f>
        <v/>
      </c>
      <c r="C3822" s="26"/>
      <c r="D3822" s="26"/>
      <c r="E3822" s="27"/>
      <c r="F3822" s="27"/>
      <c r="G3822" s="31" t="str">
        <f aca="false">IF(F3822="","",IF(F3822&lt;=5,"A",IF(F3822&lt;=8,"B",IF(F3822&lt;=10,"C","D"))))</f>
        <v/>
      </c>
      <c r="H3822" s="28"/>
      <c r="I3822" s="27"/>
      <c r="J3822" s="26"/>
      <c r="K3822" s="27"/>
      <c r="L3822" s="27"/>
      <c r="M3822" s="27"/>
      <c r="N3822" s="27"/>
      <c r="O3822" s="31" t="str">
        <f aca="false">IF(G3822="","",VLOOKUP(G3822,Setup!$A$14:$C$17,3,0))</f>
        <v/>
      </c>
      <c r="P3822" s="27"/>
      <c r="Q3822" s="33" t="str">
        <f aca="false">IF(OR(P3822="",M3822&lt;&gt;"Paid",O3822=""),"",P3822/O3822)</f>
        <v/>
      </c>
      <c r="R3822" s="34" t="str">
        <f aca="false">IF(Q3822="","",Q3822+N(H3822)*0.000000001)</f>
        <v/>
      </c>
      <c r="S3822" s="32" t="str">
        <f aca="false">IF(R3822="","",SUMPRODUCT((I$5:I$4004=I3822)*ISNUMBER(R$5:R$4004)*(R$5:R$4004&gt;R3822))+1)</f>
        <v/>
      </c>
      <c r="T3822" s="32" t="str">
        <f aca="false">IF(S3822="","",IF(S3822&lt;=Setup!$B$5,"🏆 WINNER",""))</f>
        <v/>
      </c>
      <c r="U3822" s="31" t="str">
        <f aca="false">IF(S3822="","",I3822&amp;"|"&amp;S3822)</f>
        <v/>
      </c>
    </row>
    <row r="3823" customFormat="false" ht="15" hidden="false" customHeight="false" outlineLevel="0" collapsed="false">
      <c r="A3823" s="24" t="n">
        <v>3819</v>
      </c>
      <c r="B3823" s="25" t="str">
        <f aca="false">IF(OR(C3823="",I3823="",G3823=""),"",IFERROR(VLOOKUP(I3823,Setup!$A$9:$B$11,2,0),"???")&amp;"-"&amp;G3823&amp;"-"&amp;TEXT(COUNTIFS(I$5:I3823,I3823,G$5:G3823,G3823),"0000"))</f>
        <v/>
      </c>
      <c r="C3823" s="26"/>
      <c r="D3823" s="26"/>
      <c r="E3823" s="27"/>
      <c r="F3823" s="27"/>
      <c r="G3823" s="24" t="str">
        <f aca="false">IF(F3823="","",IF(F3823&lt;=5,"A",IF(F3823&lt;=8,"B",IF(F3823&lt;=10,"C","D"))))</f>
        <v/>
      </c>
      <c r="H3823" s="28"/>
      <c r="I3823" s="27"/>
      <c r="J3823" s="26"/>
      <c r="K3823" s="27"/>
      <c r="L3823" s="27"/>
      <c r="M3823" s="27"/>
      <c r="N3823" s="27"/>
      <c r="O3823" s="24" t="str">
        <f aca="false">IF(G3823="","",VLOOKUP(G3823,Setup!$A$14:$C$17,3,0))</f>
        <v/>
      </c>
      <c r="P3823" s="27"/>
      <c r="Q3823" s="29" t="str">
        <f aca="false">IF(OR(P3823="",M3823&lt;&gt;"Paid",O3823=""),"",P3823/O3823)</f>
        <v/>
      </c>
      <c r="R3823" s="30" t="str">
        <f aca="false">IF(Q3823="","",Q3823+N(H3823)*0.000000001)</f>
        <v/>
      </c>
      <c r="S3823" s="25" t="str">
        <f aca="false">IF(R3823="","",SUMPRODUCT((I$5:I$4004=I3823)*ISNUMBER(R$5:R$4004)*(R$5:R$4004&gt;R3823))+1)</f>
        <v/>
      </c>
      <c r="T3823" s="25" t="str">
        <f aca="false">IF(S3823="","",IF(S3823&lt;=Setup!$B$5,"🏆 WINNER",""))</f>
        <v/>
      </c>
      <c r="U3823" s="24" t="str">
        <f aca="false">IF(S3823="","",I3823&amp;"|"&amp;S3823)</f>
        <v/>
      </c>
    </row>
    <row r="3824" customFormat="false" ht="15" hidden="false" customHeight="false" outlineLevel="0" collapsed="false">
      <c r="A3824" s="31" t="n">
        <v>3820</v>
      </c>
      <c r="B3824" s="32" t="str">
        <f aca="false">IF(OR(C3824="",I3824="",G3824=""),"",IFERROR(VLOOKUP(I3824,Setup!$A$9:$B$11,2,0),"???")&amp;"-"&amp;G3824&amp;"-"&amp;TEXT(COUNTIFS(I$5:I3824,I3824,G$5:G3824,G3824),"0000"))</f>
        <v/>
      </c>
      <c r="C3824" s="26"/>
      <c r="D3824" s="26"/>
      <c r="E3824" s="27"/>
      <c r="F3824" s="27"/>
      <c r="G3824" s="31" t="str">
        <f aca="false">IF(F3824="","",IF(F3824&lt;=5,"A",IF(F3824&lt;=8,"B",IF(F3824&lt;=10,"C","D"))))</f>
        <v/>
      </c>
      <c r="H3824" s="28"/>
      <c r="I3824" s="27"/>
      <c r="J3824" s="26"/>
      <c r="K3824" s="27"/>
      <c r="L3824" s="27"/>
      <c r="M3824" s="27"/>
      <c r="N3824" s="27"/>
      <c r="O3824" s="31" t="str">
        <f aca="false">IF(G3824="","",VLOOKUP(G3824,Setup!$A$14:$C$17,3,0))</f>
        <v/>
      </c>
      <c r="P3824" s="27"/>
      <c r="Q3824" s="33" t="str">
        <f aca="false">IF(OR(P3824="",M3824&lt;&gt;"Paid",O3824=""),"",P3824/O3824)</f>
        <v/>
      </c>
      <c r="R3824" s="34" t="str">
        <f aca="false">IF(Q3824="","",Q3824+N(H3824)*0.000000001)</f>
        <v/>
      </c>
      <c r="S3824" s="32" t="str">
        <f aca="false">IF(R3824="","",SUMPRODUCT((I$5:I$4004=I3824)*ISNUMBER(R$5:R$4004)*(R$5:R$4004&gt;R3824))+1)</f>
        <v/>
      </c>
      <c r="T3824" s="32" t="str">
        <f aca="false">IF(S3824="","",IF(S3824&lt;=Setup!$B$5,"🏆 WINNER",""))</f>
        <v/>
      </c>
      <c r="U3824" s="31" t="str">
        <f aca="false">IF(S3824="","",I3824&amp;"|"&amp;S3824)</f>
        <v/>
      </c>
    </row>
    <row r="3825" customFormat="false" ht="15" hidden="false" customHeight="false" outlineLevel="0" collapsed="false">
      <c r="A3825" s="24" t="n">
        <v>3821</v>
      </c>
      <c r="B3825" s="25" t="str">
        <f aca="false">IF(OR(C3825="",I3825="",G3825=""),"",IFERROR(VLOOKUP(I3825,Setup!$A$9:$B$11,2,0),"???")&amp;"-"&amp;G3825&amp;"-"&amp;TEXT(COUNTIFS(I$5:I3825,I3825,G$5:G3825,G3825),"0000"))</f>
        <v/>
      </c>
      <c r="C3825" s="26"/>
      <c r="D3825" s="26"/>
      <c r="E3825" s="27"/>
      <c r="F3825" s="27"/>
      <c r="G3825" s="24" t="str">
        <f aca="false">IF(F3825="","",IF(F3825&lt;=5,"A",IF(F3825&lt;=8,"B",IF(F3825&lt;=10,"C","D"))))</f>
        <v/>
      </c>
      <c r="H3825" s="28"/>
      <c r="I3825" s="27"/>
      <c r="J3825" s="26"/>
      <c r="K3825" s="27"/>
      <c r="L3825" s="27"/>
      <c r="M3825" s="27"/>
      <c r="N3825" s="27"/>
      <c r="O3825" s="24" t="str">
        <f aca="false">IF(G3825="","",VLOOKUP(G3825,Setup!$A$14:$C$17,3,0))</f>
        <v/>
      </c>
      <c r="P3825" s="27"/>
      <c r="Q3825" s="29" t="str">
        <f aca="false">IF(OR(P3825="",M3825&lt;&gt;"Paid",O3825=""),"",P3825/O3825)</f>
        <v/>
      </c>
      <c r="R3825" s="30" t="str">
        <f aca="false">IF(Q3825="","",Q3825+N(H3825)*0.000000001)</f>
        <v/>
      </c>
      <c r="S3825" s="25" t="str">
        <f aca="false">IF(R3825="","",SUMPRODUCT((I$5:I$4004=I3825)*ISNUMBER(R$5:R$4004)*(R$5:R$4004&gt;R3825))+1)</f>
        <v/>
      </c>
      <c r="T3825" s="25" t="str">
        <f aca="false">IF(S3825="","",IF(S3825&lt;=Setup!$B$5,"🏆 WINNER",""))</f>
        <v/>
      </c>
      <c r="U3825" s="24" t="str">
        <f aca="false">IF(S3825="","",I3825&amp;"|"&amp;S3825)</f>
        <v/>
      </c>
    </row>
    <row r="3826" customFormat="false" ht="15" hidden="false" customHeight="false" outlineLevel="0" collapsed="false">
      <c r="A3826" s="31" t="n">
        <v>3822</v>
      </c>
      <c r="B3826" s="32" t="str">
        <f aca="false">IF(OR(C3826="",I3826="",G3826=""),"",IFERROR(VLOOKUP(I3826,Setup!$A$9:$B$11,2,0),"???")&amp;"-"&amp;G3826&amp;"-"&amp;TEXT(COUNTIFS(I$5:I3826,I3826,G$5:G3826,G3826),"0000"))</f>
        <v/>
      </c>
      <c r="C3826" s="26"/>
      <c r="D3826" s="26"/>
      <c r="E3826" s="27"/>
      <c r="F3826" s="27"/>
      <c r="G3826" s="31" t="str">
        <f aca="false">IF(F3826="","",IF(F3826&lt;=5,"A",IF(F3826&lt;=8,"B",IF(F3826&lt;=10,"C","D"))))</f>
        <v/>
      </c>
      <c r="H3826" s="28"/>
      <c r="I3826" s="27"/>
      <c r="J3826" s="26"/>
      <c r="K3826" s="27"/>
      <c r="L3826" s="27"/>
      <c r="M3826" s="27"/>
      <c r="N3826" s="27"/>
      <c r="O3826" s="31" t="str">
        <f aca="false">IF(G3826="","",VLOOKUP(G3826,Setup!$A$14:$C$17,3,0))</f>
        <v/>
      </c>
      <c r="P3826" s="27"/>
      <c r="Q3826" s="33" t="str">
        <f aca="false">IF(OR(P3826="",M3826&lt;&gt;"Paid",O3826=""),"",P3826/O3826)</f>
        <v/>
      </c>
      <c r="R3826" s="34" t="str">
        <f aca="false">IF(Q3826="","",Q3826+N(H3826)*0.000000001)</f>
        <v/>
      </c>
      <c r="S3826" s="32" t="str">
        <f aca="false">IF(R3826="","",SUMPRODUCT((I$5:I$4004=I3826)*ISNUMBER(R$5:R$4004)*(R$5:R$4004&gt;R3826))+1)</f>
        <v/>
      </c>
      <c r="T3826" s="32" t="str">
        <f aca="false">IF(S3826="","",IF(S3826&lt;=Setup!$B$5,"🏆 WINNER",""))</f>
        <v/>
      </c>
      <c r="U3826" s="31" t="str">
        <f aca="false">IF(S3826="","",I3826&amp;"|"&amp;S3826)</f>
        <v/>
      </c>
    </row>
    <row r="3827" customFormat="false" ht="15" hidden="false" customHeight="false" outlineLevel="0" collapsed="false">
      <c r="A3827" s="24" t="n">
        <v>3823</v>
      </c>
      <c r="B3827" s="25" t="str">
        <f aca="false">IF(OR(C3827="",I3827="",G3827=""),"",IFERROR(VLOOKUP(I3827,Setup!$A$9:$B$11,2,0),"???")&amp;"-"&amp;G3827&amp;"-"&amp;TEXT(COUNTIFS(I$5:I3827,I3827,G$5:G3827,G3827),"0000"))</f>
        <v/>
      </c>
      <c r="C3827" s="26"/>
      <c r="D3827" s="26"/>
      <c r="E3827" s="27"/>
      <c r="F3827" s="27"/>
      <c r="G3827" s="24" t="str">
        <f aca="false">IF(F3827="","",IF(F3827&lt;=5,"A",IF(F3827&lt;=8,"B",IF(F3827&lt;=10,"C","D"))))</f>
        <v/>
      </c>
      <c r="H3827" s="28"/>
      <c r="I3827" s="27"/>
      <c r="J3827" s="26"/>
      <c r="K3827" s="27"/>
      <c r="L3827" s="27"/>
      <c r="M3827" s="27"/>
      <c r="N3827" s="27"/>
      <c r="O3827" s="24" t="str">
        <f aca="false">IF(G3827="","",VLOOKUP(G3827,Setup!$A$14:$C$17,3,0))</f>
        <v/>
      </c>
      <c r="P3827" s="27"/>
      <c r="Q3827" s="29" t="str">
        <f aca="false">IF(OR(P3827="",M3827&lt;&gt;"Paid",O3827=""),"",P3827/O3827)</f>
        <v/>
      </c>
      <c r="R3827" s="30" t="str">
        <f aca="false">IF(Q3827="","",Q3827+N(H3827)*0.000000001)</f>
        <v/>
      </c>
      <c r="S3827" s="25" t="str">
        <f aca="false">IF(R3827="","",SUMPRODUCT((I$5:I$4004=I3827)*ISNUMBER(R$5:R$4004)*(R$5:R$4004&gt;R3827))+1)</f>
        <v/>
      </c>
      <c r="T3827" s="25" t="str">
        <f aca="false">IF(S3827="","",IF(S3827&lt;=Setup!$B$5,"🏆 WINNER",""))</f>
        <v/>
      </c>
      <c r="U3827" s="24" t="str">
        <f aca="false">IF(S3827="","",I3827&amp;"|"&amp;S3827)</f>
        <v/>
      </c>
    </row>
    <row r="3828" customFormat="false" ht="15" hidden="false" customHeight="false" outlineLevel="0" collapsed="false">
      <c r="A3828" s="31" t="n">
        <v>3824</v>
      </c>
      <c r="B3828" s="32" t="str">
        <f aca="false">IF(OR(C3828="",I3828="",G3828=""),"",IFERROR(VLOOKUP(I3828,Setup!$A$9:$B$11,2,0),"???")&amp;"-"&amp;G3828&amp;"-"&amp;TEXT(COUNTIFS(I$5:I3828,I3828,G$5:G3828,G3828),"0000"))</f>
        <v/>
      </c>
      <c r="C3828" s="26"/>
      <c r="D3828" s="26"/>
      <c r="E3828" s="27"/>
      <c r="F3828" s="27"/>
      <c r="G3828" s="31" t="str">
        <f aca="false">IF(F3828="","",IF(F3828&lt;=5,"A",IF(F3828&lt;=8,"B",IF(F3828&lt;=10,"C","D"))))</f>
        <v/>
      </c>
      <c r="H3828" s="28"/>
      <c r="I3828" s="27"/>
      <c r="J3828" s="26"/>
      <c r="K3828" s="27"/>
      <c r="L3828" s="27"/>
      <c r="M3828" s="27"/>
      <c r="N3828" s="27"/>
      <c r="O3828" s="31" t="str">
        <f aca="false">IF(G3828="","",VLOOKUP(G3828,Setup!$A$14:$C$17,3,0))</f>
        <v/>
      </c>
      <c r="P3828" s="27"/>
      <c r="Q3828" s="33" t="str">
        <f aca="false">IF(OR(P3828="",M3828&lt;&gt;"Paid",O3828=""),"",P3828/O3828)</f>
        <v/>
      </c>
      <c r="R3828" s="34" t="str">
        <f aca="false">IF(Q3828="","",Q3828+N(H3828)*0.000000001)</f>
        <v/>
      </c>
      <c r="S3828" s="32" t="str">
        <f aca="false">IF(R3828="","",SUMPRODUCT((I$5:I$4004=I3828)*ISNUMBER(R$5:R$4004)*(R$5:R$4004&gt;R3828))+1)</f>
        <v/>
      </c>
      <c r="T3828" s="32" t="str">
        <f aca="false">IF(S3828="","",IF(S3828&lt;=Setup!$B$5,"🏆 WINNER",""))</f>
        <v/>
      </c>
      <c r="U3828" s="31" t="str">
        <f aca="false">IF(S3828="","",I3828&amp;"|"&amp;S3828)</f>
        <v/>
      </c>
    </row>
    <row r="3829" customFormat="false" ht="15" hidden="false" customHeight="false" outlineLevel="0" collapsed="false">
      <c r="A3829" s="24" t="n">
        <v>3825</v>
      </c>
      <c r="B3829" s="25" t="str">
        <f aca="false">IF(OR(C3829="",I3829="",G3829=""),"",IFERROR(VLOOKUP(I3829,Setup!$A$9:$B$11,2,0),"???")&amp;"-"&amp;G3829&amp;"-"&amp;TEXT(COUNTIFS(I$5:I3829,I3829,G$5:G3829,G3829),"0000"))</f>
        <v/>
      </c>
      <c r="C3829" s="26"/>
      <c r="D3829" s="26"/>
      <c r="E3829" s="27"/>
      <c r="F3829" s="27"/>
      <c r="G3829" s="24" t="str">
        <f aca="false">IF(F3829="","",IF(F3829&lt;=5,"A",IF(F3829&lt;=8,"B",IF(F3829&lt;=10,"C","D"))))</f>
        <v/>
      </c>
      <c r="H3829" s="28"/>
      <c r="I3829" s="27"/>
      <c r="J3829" s="26"/>
      <c r="K3829" s="27"/>
      <c r="L3829" s="27"/>
      <c r="M3829" s="27"/>
      <c r="N3829" s="27"/>
      <c r="O3829" s="24" t="str">
        <f aca="false">IF(G3829="","",VLOOKUP(G3829,Setup!$A$14:$C$17,3,0))</f>
        <v/>
      </c>
      <c r="P3829" s="27"/>
      <c r="Q3829" s="29" t="str">
        <f aca="false">IF(OR(P3829="",M3829&lt;&gt;"Paid",O3829=""),"",P3829/O3829)</f>
        <v/>
      </c>
      <c r="R3829" s="30" t="str">
        <f aca="false">IF(Q3829="","",Q3829+N(H3829)*0.000000001)</f>
        <v/>
      </c>
      <c r="S3829" s="25" t="str">
        <f aca="false">IF(R3829="","",SUMPRODUCT((I$5:I$4004=I3829)*ISNUMBER(R$5:R$4004)*(R$5:R$4004&gt;R3829))+1)</f>
        <v/>
      </c>
      <c r="T3829" s="25" t="str">
        <f aca="false">IF(S3829="","",IF(S3829&lt;=Setup!$B$5,"🏆 WINNER",""))</f>
        <v/>
      </c>
      <c r="U3829" s="24" t="str">
        <f aca="false">IF(S3829="","",I3829&amp;"|"&amp;S3829)</f>
        <v/>
      </c>
    </row>
    <row r="3830" customFormat="false" ht="15" hidden="false" customHeight="false" outlineLevel="0" collapsed="false">
      <c r="A3830" s="31" t="n">
        <v>3826</v>
      </c>
      <c r="B3830" s="32" t="str">
        <f aca="false">IF(OR(C3830="",I3830="",G3830=""),"",IFERROR(VLOOKUP(I3830,Setup!$A$9:$B$11,2,0),"???")&amp;"-"&amp;G3830&amp;"-"&amp;TEXT(COUNTIFS(I$5:I3830,I3830,G$5:G3830,G3830),"0000"))</f>
        <v/>
      </c>
      <c r="C3830" s="26"/>
      <c r="D3830" s="26"/>
      <c r="E3830" s="27"/>
      <c r="F3830" s="27"/>
      <c r="G3830" s="31" t="str">
        <f aca="false">IF(F3830="","",IF(F3830&lt;=5,"A",IF(F3830&lt;=8,"B",IF(F3830&lt;=10,"C","D"))))</f>
        <v/>
      </c>
      <c r="H3830" s="28"/>
      <c r="I3830" s="27"/>
      <c r="J3830" s="26"/>
      <c r="K3830" s="27"/>
      <c r="L3830" s="27"/>
      <c r="M3830" s="27"/>
      <c r="N3830" s="27"/>
      <c r="O3830" s="31" t="str">
        <f aca="false">IF(G3830="","",VLOOKUP(G3830,Setup!$A$14:$C$17,3,0))</f>
        <v/>
      </c>
      <c r="P3830" s="27"/>
      <c r="Q3830" s="33" t="str">
        <f aca="false">IF(OR(P3830="",M3830&lt;&gt;"Paid",O3830=""),"",P3830/O3830)</f>
        <v/>
      </c>
      <c r="R3830" s="34" t="str">
        <f aca="false">IF(Q3830="","",Q3830+N(H3830)*0.000000001)</f>
        <v/>
      </c>
      <c r="S3830" s="32" t="str">
        <f aca="false">IF(R3830="","",SUMPRODUCT((I$5:I$4004=I3830)*ISNUMBER(R$5:R$4004)*(R$5:R$4004&gt;R3830))+1)</f>
        <v/>
      </c>
      <c r="T3830" s="32" t="str">
        <f aca="false">IF(S3830="","",IF(S3830&lt;=Setup!$B$5,"🏆 WINNER",""))</f>
        <v/>
      </c>
      <c r="U3830" s="31" t="str">
        <f aca="false">IF(S3830="","",I3830&amp;"|"&amp;S3830)</f>
        <v/>
      </c>
    </row>
    <row r="3831" customFormat="false" ht="15" hidden="false" customHeight="false" outlineLevel="0" collapsed="false">
      <c r="A3831" s="24" t="n">
        <v>3827</v>
      </c>
      <c r="B3831" s="25" t="str">
        <f aca="false">IF(OR(C3831="",I3831="",G3831=""),"",IFERROR(VLOOKUP(I3831,Setup!$A$9:$B$11,2,0),"???")&amp;"-"&amp;G3831&amp;"-"&amp;TEXT(COUNTIFS(I$5:I3831,I3831,G$5:G3831,G3831),"0000"))</f>
        <v/>
      </c>
      <c r="C3831" s="26"/>
      <c r="D3831" s="26"/>
      <c r="E3831" s="27"/>
      <c r="F3831" s="27"/>
      <c r="G3831" s="24" t="str">
        <f aca="false">IF(F3831="","",IF(F3831&lt;=5,"A",IF(F3831&lt;=8,"B",IF(F3831&lt;=10,"C","D"))))</f>
        <v/>
      </c>
      <c r="H3831" s="28"/>
      <c r="I3831" s="27"/>
      <c r="J3831" s="26"/>
      <c r="K3831" s="27"/>
      <c r="L3831" s="27"/>
      <c r="M3831" s="27"/>
      <c r="N3831" s="27"/>
      <c r="O3831" s="24" t="str">
        <f aca="false">IF(G3831="","",VLOOKUP(G3831,Setup!$A$14:$C$17,3,0))</f>
        <v/>
      </c>
      <c r="P3831" s="27"/>
      <c r="Q3831" s="29" t="str">
        <f aca="false">IF(OR(P3831="",M3831&lt;&gt;"Paid",O3831=""),"",P3831/O3831)</f>
        <v/>
      </c>
      <c r="R3831" s="30" t="str">
        <f aca="false">IF(Q3831="","",Q3831+N(H3831)*0.000000001)</f>
        <v/>
      </c>
      <c r="S3831" s="25" t="str">
        <f aca="false">IF(R3831="","",SUMPRODUCT((I$5:I$4004=I3831)*ISNUMBER(R$5:R$4004)*(R$5:R$4004&gt;R3831))+1)</f>
        <v/>
      </c>
      <c r="T3831" s="25" t="str">
        <f aca="false">IF(S3831="","",IF(S3831&lt;=Setup!$B$5,"🏆 WINNER",""))</f>
        <v/>
      </c>
      <c r="U3831" s="24" t="str">
        <f aca="false">IF(S3831="","",I3831&amp;"|"&amp;S3831)</f>
        <v/>
      </c>
    </row>
    <row r="3832" customFormat="false" ht="15" hidden="false" customHeight="false" outlineLevel="0" collapsed="false">
      <c r="A3832" s="31" t="n">
        <v>3828</v>
      </c>
      <c r="B3832" s="32" t="str">
        <f aca="false">IF(OR(C3832="",I3832="",G3832=""),"",IFERROR(VLOOKUP(I3832,Setup!$A$9:$B$11,2,0),"???")&amp;"-"&amp;G3832&amp;"-"&amp;TEXT(COUNTIFS(I$5:I3832,I3832,G$5:G3832,G3832),"0000"))</f>
        <v/>
      </c>
      <c r="C3832" s="26"/>
      <c r="D3832" s="26"/>
      <c r="E3832" s="27"/>
      <c r="F3832" s="27"/>
      <c r="G3832" s="31" t="str">
        <f aca="false">IF(F3832="","",IF(F3832&lt;=5,"A",IF(F3832&lt;=8,"B",IF(F3832&lt;=10,"C","D"))))</f>
        <v/>
      </c>
      <c r="H3832" s="28"/>
      <c r="I3832" s="27"/>
      <c r="J3832" s="26"/>
      <c r="K3832" s="27"/>
      <c r="L3832" s="27"/>
      <c r="M3832" s="27"/>
      <c r="N3832" s="27"/>
      <c r="O3832" s="31" t="str">
        <f aca="false">IF(G3832="","",VLOOKUP(G3832,Setup!$A$14:$C$17,3,0))</f>
        <v/>
      </c>
      <c r="P3832" s="27"/>
      <c r="Q3832" s="33" t="str">
        <f aca="false">IF(OR(P3832="",M3832&lt;&gt;"Paid",O3832=""),"",P3832/O3832)</f>
        <v/>
      </c>
      <c r="R3832" s="34" t="str">
        <f aca="false">IF(Q3832="","",Q3832+N(H3832)*0.000000001)</f>
        <v/>
      </c>
      <c r="S3832" s="32" t="str">
        <f aca="false">IF(R3832="","",SUMPRODUCT((I$5:I$4004=I3832)*ISNUMBER(R$5:R$4004)*(R$5:R$4004&gt;R3832))+1)</f>
        <v/>
      </c>
      <c r="T3832" s="32" t="str">
        <f aca="false">IF(S3832="","",IF(S3832&lt;=Setup!$B$5,"🏆 WINNER",""))</f>
        <v/>
      </c>
      <c r="U3832" s="31" t="str">
        <f aca="false">IF(S3832="","",I3832&amp;"|"&amp;S3832)</f>
        <v/>
      </c>
    </row>
    <row r="3833" customFormat="false" ht="15" hidden="false" customHeight="false" outlineLevel="0" collapsed="false">
      <c r="A3833" s="24" t="n">
        <v>3829</v>
      </c>
      <c r="B3833" s="25" t="str">
        <f aca="false">IF(OR(C3833="",I3833="",G3833=""),"",IFERROR(VLOOKUP(I3833,Setup!$A$9:$B$11,2,0),"???")&amp;"-"&amp;G3833&amp;"-"&amp;TEXT(COUNTIFS(I$5:I3833,I3833,G$5:G3833,G3833),"0000"))</f>
        <v/>
      </c>
      <c r="C3833" s="26"/>
      <c r="D3833" s="26"/>
      <c r="E3833" s="27"/>
      <c r="F3833" s="27"/>
      <c r="G3833" s="24" t="str">
        <f aca="false">IF(F3833="","",IF(F3833&lt;=5,"A",IF(F3833&lt;=8,"B",IF(F3833&lt;=10,"C","D"))))</f>
        <v/>
      </c>
      <c r="H3833" s="28"/>
      <c r="I3833" s="27"/>
      <c r="J3833" s="26"/>
      <c r="K3833" s="27"/>
      <c r="L3833" s="27"/>
      <c r="M3833" s="27"/>
      <c r="N3833" s="27"/>
      <c r="O3833" s="24" t="str">
        <f aca="false">IF(G3833="","",VLOOKUP(G3833,Setup!$A$14:$C$17,3,0))</f>
        <v/>
      </c>
      <c r="P3833" s="27"/>
      <c r="Q3833" s="29" t="str">
        <f aca="false">IF(OR(P3833="",M3833&lt;&gt;"Paid",O3833=""),"",P3833/O3833)</f>
        <v/>
      </c>
      <c r="R3833" s="30" t="str">
        <f aca="false">IF(Q3833="","",Q3833+N(H3833)*0.000000001)</f>
        <v/>
      </c>
      <c r="S3833" s="25" t="str">
        <f aca="false">IF(R3833="","",SUMPRODUCT((I$5:I$4004=I3833)*ISNUMBER(R$5:R$4004)*(R$5:R$4004&gt;R3833))+1)</f>
        <v/>
      </c>
      <c r="T3833" s="25" t="str">
        <f aca="false">IF(S3833="","",IF(S3833&lt;=Setup!$B$5,"🏆 WINNER",""))</f>
        <v/>
      </c>
      <c r="U3833" s="24" t="str">
        <f aca="false">IF(S3833="","",I3833&amp;"|"&amp;S3833)</f>
        <v/>
      </c>
    </row>
    <row r="3834" customFormat="false" ht="15" hidden="false" customHeight="false" outlineLevel="0" collapsed="false">
      <c r="A3834" s="31" t="n">
        <v>3830</v>
      </c>
      <c r="B3834" s="32" t="str">
        <f aca="false">IF(OR(C3834="",I3834="",G3834=""),"",IFERROR(VLOOKUP(I3834,Setup!$A$9:$B$11,2,0),"???")&amp;"-"&amp;G3834&amp;"-"&amp;TEXT(COUNTIFS(I$5:I3834,I3834,G$5:G3834,G3834),"0000"))</f>
        <v/>
      </c>
      <c r="C3834" s="26"/>
      <c r="D3834" s="26"/>
      <c r="E3834" s="27"/>
      <c r="F3834" s="27"/>
      <c r="G3834" s="31" t="str">
        <f aca="false">IF(F3834="","",IF(F3834&lt;=5,"A",IF(F3834&lt;=8,"B",IF(F3834&lt;=10,"C","D"))))</f>
        <v/>
      </c>
      <c r="H3834" s="28"/>
      <c r="I3834" s="27"/>
      <c r="J3834" s="26"/>
      <c r="K3834" s="27"/>
      <c r="L3834" s="27"/>
      <c r="M3834" s="27"/>
      <c r="N3834" s="27"/>
      <c r="O3834" s="31" t="str">
        <f aca="false">IF(G3834="","",VLOOKUP(G3834,Setup!$A$14:$C$17,3,0))</f>
        <v/>
      </c>
      <c r="P3834" s="27"/>
      <c r="Q3834" s="33" t="str">
        <f aca="false">IF(OR(P3834="",M3834&lt;&gt;"Paid",O3834=""),"",P3834/O3834)</f>
        <v/>
      </c>
      <c r="R3834" s="34" t="str">
        <f aca="false">IF(Q3834="","",Q3834+N(H3834)*0.000000001)</f>
        <v/>
      </c>
      <c r="S3834" s="32" t="str">
        <f aca="false">IF(R3834="","",SUMPRODUCT((I$5:I$4004=I3834)*ISNUMBER(R$5:R$4004)*(R$5:R$4004&gt;R3834))+1)</f>
        <v/>
      </c>
      <c r="T3834" s="32" t="str">
        <f aca="false">IF(S3834="","",IF(S3834&lt;=Setup!$B$5,"🏆 WINNER",""))</f>
        <v/>
      </c>
      <c r="U3834" s="31" t="str">
        <f aca="false">IF(S3834="","",I3834&amp;"|"&amp;S3834)</f>
        <v/>
      </c>
    </row>
    <row r="3835" customFormat="false" ht="15" hidden="false" customHeight="false" outlineLevel="0" collapsed="false">
      <c r="A3835" s="24" t="n">
        <v>3831</v>
      </c>
      <c r="B3835" s="25" t="str">
        <f aca="false">IF(OR(C3835="",I3835="",G3835=""),"",IFERROR(VLOOKUP(I3835,Setup!$A$9:$B$11,2,0),"???")&amp;"-"&amp;G3835&amp;"-"&amp;TEXT(COUNTIFS(I$5:I3835,I3835,G$5:G3835,G3835),"0000"))</f>
        <v/>
      </c>
      <c r="C3835" s="26"/>
      <c r="D3835" s="26"/>
      <c r="E3835" s="27"/>
      <c r="F3835" s="27"/>
      <c r="G3835" s="24" t="str">
        <f aca="false">IF(F3835="","",IF(F3835&lt;=5,"A",IF(F3835&lt;=8,"B",IF(F3835&lt;=10,"C","D"))))</f>
        <v/>
      </c>
      <c r="H3835" s="28"/>
      <c r="I3835" s="27"/>
      <c r="J3835" s="26"/>
      <c r="K3835" s="27"/>
      <c r="L3835" s="27"/>
      <c r="M3835" s="27"/>
      <c r="N3835" s="27"/>
      <c r="O3835" s="24" t="str">
        <f aca="false">IF(G3835="","",VLOOKUP(G3835,Setup!$A$14:$C$17,3,0))</f>
        <v/>
      </c>
      <c r="P3835" s="27"/>
      <c r="Q3835" s="29" t="str">
        <f aca="false">IF(OR(P3835="",M3835&lt;&gt;"Paid",O3835=""),"",P3835/O3835)</f>
        <v/>
      </c>
      <c r="R3835" s="30" t="str">
        <f aca="false">IF(Q3835="","",Q3835+N(H3835)*0.000000001)</f>
        <v/>
      </c>
      <c r="S3835" s="25" t="str">
        <f aca="false">IF(R3835="","",SUMPRODUCT((I$5:I$4004=I3835)*ISNUMBER(R$5:R$4004)*(R$5:R$4004&gt;R3835))+1)</f>
        <v/>
      </c>
      <c r="T3835" s="25" t="str">
        <f aca="false">IF(S3835="","",IF(S3835&lt;=Setup!$B$5,"🏆 WINNER",""))</f>
        <v/>
      </c>
      <c r="U3835" s="24" t="str">
        <f aca="false">IF(S3835="","",I3835&amp;"|"&amp;S3835)</f>
        <v/>
      </c>
    </row>
    <row r="3836" customFormat="false" ht="15" hidden="false" customHeight="false" outlineLevel="0" collapsed="false">
      <c r="A3836" s="31" t="n">
        <v>3832</v>
      </c>
      <c r="B3836" s="32" t="str">
        <f aca="false">IF(OR(C3836="",I3836="",G3836=""),"",IFERROR(VLOOKUP(I3836,Setup!$A$9:$B$11,2,0),"???")&amp;"-"&amp;G3836&amp;"-"&amp;TEXT(COUNTIFS(I$5:I3836,I3836,G$5:G3836,G3836),"0000"))</f>
        <v/>
      </c>
      <c r="C3836" s="26"/>
      <c r="D3836" s="26"/>
      <c r="E3836" s="27"/>
      <c r="F3836" s="27"/>
      <c r="G3836" s="31" t="str">
        <f aca="false">IF(F3836="","",IF(F3836&lt;=5,"A",IF(F3836&lt;=8,"B",IF(F3836&lt;=10,"C","D"))))</f>
        <v/>
      </c>
      <c r="H3836" s="28"/>
      <c r="I3836" s="27"/>
      <c r="J3836" s="26"/>
      <c r="K3836" s="27"/>
      <c r="L3836" s="27"/>
      <c r="M3836" s="27"/>
      <c r="N3836" s="27"/>
      <c r="O3836" s="31" t="str">
        <f aca="false">IF(G3836="","",VLOOKUP(G3836,Setup!$A$14:$C$17,3,0))</f>
        <v/>
      </c>
      <c r="P3836" s="27"/>
      <c r="Q3836" s="33" t="str">
        <f aca="false">IF(OR(P3836="",M3836&lt;&gt;"Paid",O3836=""),"",P3836/O3836)</f>
        <v/>
      </c>
      <c r="R3836" s="34" t="str">
        <f aca="false">IF(Q3836="","",Q3836+N(H3836)*0.000000001)</f>
        <v/>
      </c>
      <c r="S3836" s="32" t="str">
        <f aca="false">IF(R3836="","",SUMPRODUCT((I$5:I$4004=I3836)*ISNUMBER(R$5:R$4004)*(R$5:R$4004&gt;R3836))+1)</f>
        <v/>
      </c>
      <c r="T3836" s="32" t="str">
        <f aca="false">IF(S3836="","",IF(S3836&lt;=Setup!$B$5,"🏆 WINNER",""))</f>
        <v/>
      </c>
      <c r="U3836" s="31" t="str">
        <f aca="false">IF(S3836="","",I3836&amp;"|"&amp;S3836)</f>
        <v/>
      </c>
    </row>
    <row r="3837" customFormat="false" ht="15" hidden="false" customHeight="false" outlineLevel="0" collapsed="false">
      <c r="A3837" s="24" t="n">
        <v>3833</v>
      </c>
      <c r="B3837" s="25" t="str">
        <f aca="false">IF(OR(C3837="",I3837="",G3837=""),"",IFERROR(VLOOKUP(I3837,Setup!$A$9:$B$11,2,0),"???")&amp;"-"&amp;G3837&amp;"-"&amp;TEXT(COUNTIFS(I$5:I3837,I3837,G$5:G3837,G3837),"0000"))</f>
        <v/>
      </c>
      <c r="C3837" s="26"/>
      <c r="D3837" s="26"/>
      <c r="E3837" s="27"/>
      <c r="F3837" s="27"/>
      <c r="G3837" s="24" t="str">
        <f aca="false">IF(F3837="","",IF(F3837&lt;=5,"A",IF(F3837&lt;=8,"B",IF(F3837&lt;=10,"C","D"))))</f>
        <v/>
      </c>
      <c r="H3837" s="28"/>
      <c r="I3837" s="27"/>
      <c r="J3837" s="26"/>
      <c r="K3837" s="27"/>
      <c r="L3837" s="27"/>
      <c r="M3837" s="27"/>
      <c r="N3837" s="27"/>
      <c r="O3837" s="24" t="str">
        <f aca="false">IF(G3837="","",VLOOKUP(G3837,Setup!$A$14:$C$17,3,0))</f>
        <v/>
      </c>
      <c r="P3837" s="27"/>
      <c r="Q3837" s="29" t="str">
        <f aca="false">IF(OR(P3837="",M3837&lt;&gt;"Paid",O3837=""),"",P3837/O3837)</f>
        <v/>
      </c>
      <c r="R3837" s="30" t="str">
        <f aca="false">IF(Q3837="","",Q3837+N(H3837)*0.000000001)</f>
        <v/>
      </c>
      <c r="S3837" s="25" t="str">
        <f aca="false">IF(R3837="","",SUMPRODUCT((I$5:I$4004=I3837)*ISNUMBER(R$5:R$4004)*(R$5:R$4004&gt;R3837))+1)</f>
        <v/>
      </c>
      <c r="T3837" s="25" t="str">
        <f aca="false">IF(S3837="","",IF(S3837&lt;=Setup!$B$5,"🏆 WINNER",""))</f>
        <v/>
      </c>
      <c r="U3837" s="24" t="str">
        <f aca="false">IF(S3837="","",I3837&amp;"|"&amp;S3837)</f>
        <v/>
      </c>
    </row>
    <row r="3838" customFormat="false" ht="15" hidden="false" customHeight="false" outlineLevel="0" collapsed="false">
      <c r="A3838" s="31" t="n">
        <v>3834</v>
      </c>
      <c r="B3838" s="32" t="str">
        <f aca="false">IF(OR(C3838="",I3838="",G3838=""),"",IFERROR(VLOOKUP(I3838,Setup!$A$9:$B$11,2,0),"???")&amp;"-"&amp;G3838&amp;"-"&amp;TEXT(COUNTIFS(I$5:I3838,I3838,G$5:G3838,G3838),"0000"))</f>
        <v/>
      </c>
      <c r="C3838" s="26"/>
      <c r="D3838" s="26"/>
      <c r="E3838" s="27"/>
      <c r="F3838" s="27"/>
      <c r="G3838" s="31" t="str">
        <f aca="false">IF(F3838="","",IF(F3838&lt;=5,"A",IF(F3838&lt;=8,"B",IF(F3838&lt;=10,"C","D"))))</f>
        <v/>
      </c>
      <c r="H3838" s="28"/>
      <c r="I3838" s="27"/>
      <c r="J3838" s="26"/>
      <c r="K3838" s="27"/>
      <c r="L3838" s="27"/>
      <c r="M3838" s="27"/>
      <c r="N3838" s="27"/>
      <c r="O3838" s="31" t="str">
        <f aca="false">IF(G3838="","",VLOOKUP(G3838,Setup!$A$14:$C$17,3,0))</f>
        <v/>
      </c>
      <c r="P3838" s="27"/>
      <c r="Q3838" s="33" t="str">
        <f aca="false">IF(OR(P3838="",M3838&lt;&gt;"Paid",O3838=""),"",P3838/O3838)</f>
        <v/>
      </c>
      <c r="R3838" s="34" t="str">
        <f aca="false">IF(Q3838="","",Q3838+N(H3838)*0.000000001)</f>
        <v/>
      </c>
      <c r="S3838" s="32" t="str">
        <f aca="false">IF(R3838="","",SUMPRODUCT((I$5:I$4004=I3838)*ISNUMBER(R$5:R$4004)*(R$5:R$4004&gt;R3838))+1)</f>
        <v/>
      </c>
      <c r="T3838" s="32" t="str">
        <f aca="false">IF(S3838="","",IF(S3838&lt;=Setup!$B$5,"🏆 WINNER",""))</f>
        <v/>
      </c>
      <c r="U3838" s="31" t="str">
        <f aca="false">IF(S3838="","",I3838&amp;"|"&amp;S3838)</f>
        <v/>
      </c>
    </row>
    <row r="3839" customFormat="false" ht="15" hidden="false" customHeight="false" outlineLevel="0" collapsed="false">
      <c r="A3839" s="24" t="n">
        <v>3835</v>
      </c>
      <c r="B3839" s="25" t="str">
        <f aca="false">IF(OR(C3839="",I3839="",G3839=""),"",IFERROR(VLOOKUP(I3839,Setup!$A$9:$B$11,2,0),"???")&amp;"-"&amp;G3839&amp;"-"&amp;TEXT(COUNTIFS(I$5:I3839,I3839,G$5:G3839,G3839),"0000"))</f>
        <v/>
      </c>
      <c r="C3839" s="26"/>
      <c r="D3839" s="26"/>
      <c r="E3839" s="27"/>
      <c r="F3839" s="27"/>
      <c r="G3839" s="24" t="str">
        <f aca="false">IF(F3839="","",IF(F3839&lt;=5,"A",IF(F3839&lt;=8,"B",IF(F3839&lt;=10,"C","D"))))</f>
        <v/>
      </c>
      <c r="H3839" s="28"/>
      <c r="I3839" s="27"/>
      <c r="J3839" s="26"/>
      <c r="K3839" s="27"/>
      <c r="L3839" s="27"/>
      <c r="M3839" s="27"/>
      <c r="N3839" s="27"/>
      <c r="O3839" s="24" t="str">
        <f aca="false">IF(G3839="","",VLOOKUP(G3839,Setup!$A$14:$C$17,3,0))</f>
        <v/>
      </c>
      <c r="P3839" s="27"/>
      <c r="Q3839" s="29" t="str">
        <f aca="false">IF(OR(P3839="",M3839&lt;&gt;"Paid",O3839=""),"",P3839/O3839)</f>
        <v/>
      </c>
      <c r="R3839" s="30" t="str">
        <f aca="false">IF(Q3839="","",Q3839+N(H3839)*0.000000001)</f>
        <v/>
      </c>
      <c r="S3839" s="25" t="str">
        <f aca="false">IF(R3839="","",SUMPRODUCT((I$5:I$4004=I3839)*ISNUMBER(R$5:R$4004)*(R$5:R$4004&gt;R3839))+1)</f>
        <v/>
      </c>
      <c r="T3839" s="25" t="str">
        <f aca="false">IF(S3839="","",IF(S3839&lt;=Setup!$B$5,"🏆 WINNER",""))</f>
        <v/>
      </c>
      <c r="U3839" s="24" t="str">
        <f aca="false">IF(S3839="","",I3839&amp;"|"&amp;S3839)</f>
        <v/>
      </c>
    </row>
    <row r="3840" customFormat="false" ht="15" hidden="false" customHeight="false" outlineLevel="0" collapsed="false">
      <c r="A3840" s="31" t="n">
        <v>3836</v>
      </c>
      <c r="B3840" s="32" t="str">
        <f aca="false">IF(OR(C3840="",I3840="",G3840=""),"",IFERROR(VLOOKUP(I3840,Setup!$A$9:$B$11,2,0),"???")&amp;"-"&amp;G3840&amp;"-"&amp;TEXT(COUNTIFS(I$5:I3840,I3840,G$5:G3840,G3840),"0000"))</f>
        <v/>
      </c>
      <c r="C3840" s="26"/>
      <c r="D3840" s="26"/>
      <c r="E3840" s="27"/>
      <c r="F3840" s="27"/>
      <c r="G3840" s="31" t="str">
        <f aca="false">IF(F3840="","",IF(F3840&lt;=5,"A",IF(F3840&lt;=8,"B",IF(F3840&lt;=10,"C","D"))))</f>
        <v/>
      </c>
      <c r="H3840" s="28"/>
      <c r="I3840" s="27"/>
      <c r="J3840" s="26"/>
      <c r="K3840" s="27"/>
      <c r="L3840" s="27"/>
      <c r="M3840" s="27"/>
      <c r="N3840" s="27"/>
      <c r="O3840" s="31" t="str">
        <f aca="false">IF(G3840="","",VLOOKUP(G3840,Setup!$A$14:$C$17,3,0))</f>
        <v/>
      </c>
      <c r="P3840" s="27"/>
      <c r="Q3840" s="33" t="str">
        <f aca="false">IF(OR(P3840="",M3840&lt;&gt;"Paid",O3840=""),"",P3840/O3840)</f>
        <v/>
      </c>
      <c r="R3840" s="34" t="str">
        <f aca="false">IF(Q3840="","",Q3840+N(H3840)*0.000000001)</f>
        <v/>
      </c>
      <c r="S3840" s="32" t="str">
        <f aca="false">IF(R3840="","",SUMPRODUCT((I$5:I$4004=I3840)*ISNUMBER(R$5:R$4004)*(R$5:R$4004&gt;R3840))+1)</f>
        <v/>
      </c>
      <c r="T3840" s="32" t="str">
        <f aca="false">IF(S3840="","",IF(S3840&lt;=Setup!$B$5,"🏆 WINNER",""))</f>
        <v/>
      </c>
      <c r="U3840" s="31" t="str">
        <f aca="false">IF(S3840="","",I3840&amp;"|"&amp;S3840)</f>
        <v/>
      </c>
    </row>
    <row r="3841" customFormat="false" ht="15" hidden="false" customHeight="false" outlineLevel="0" collapsed="false">
      <c r="A3841" s="24" t="n">
        <v>3837</v>
      </c>
      <c r="B3841" s="25" t="str">
        <f aca="false">IF(OR(C3841="",I3841="",G3841=""),"",IFERROR(VLOOKUP(I3841,Setup!$A$9:$B$11,2,0),"???")&amp;"-"&amp;G3841&amp;"-"&amp;TEXT(COUNTIFS(I$5:I3841,I3841,G$5:G3841,G3841),"0000"))</f>
        <v/>
      </c>
      <c r="C3841" s="26"/>
      <c r="D3841" s="26"/>
      <c r="E3841" s="27"/>
      <c r="F3841" s="27"/>
      <c r="G3841" s="24" t="str">
        <f aca="false">IF(F3841="","",IF(F3841&lt;=5,"A",IF(F3841&lt;=8,"B",IF(F3841&lt;=10,"C","D"))))</f>
        <v/>
      </c>
      <c r="H3841" s="28"/>
      <c r="I3841" s="27"/>
      <c r="J3841" s="26"/>
      <c r="K3841" s="27"/>
      <c r="L3841" s="27"/>
      <c r="M3841" s="27"/>
      <c r="N3841" s="27"/>
      <c r="O3841" s="24" t="str">
        <f aca="false">IF(G3841="","",VLOOKUP(G3841,Setup!$A$14:$C$17,3,0))</f>
        <v/>
      </c>
      <c r="P3841" s="27"/>
      <c r="Q3841" s="29" t="str">
        <f aca="false">IF(OR(P3841="",M3841&lt;&gt;"Paid",O3841=""),"",P3841/O3841)</f>
        <v/>
      </c>
      <c r="R3841" s="30" t="str">
        <f aca="false">IF(Q3841="","",Q3841+N(H3841)*0.000000001)</f>
        <v/>
      </c>
      <c r="S3841" s="25" t="str">
        <f aca="false">IF(R3841="","",SUMPRODUCT((I$5:I$4004=I3841)*ISNUMBER(R$5:R$4004)*(R$5:R$4004&gt;R3841))+1)</f>
        <v/>
      </c>
      <c r="T3841" s="25" t="str">
        <f aca="false">IF(S3841="","",IF(S3841&lt;=Setup!$B$5,"🏆 WINNER",""))</f>
        <v/>
      </c>
      <c r="U3841" s="24" t="str">
        <f aca="false">IF(S3841="","",I3841&amp;"|"&amp;S3841)</f>
        <v/>
      </c>
    </row>
    <row r="3842" customFormat="false" ht="15" hidden="false" customHeight="false" outlineLevel="0" collapsed="false">
      <c r="A3842" s="31" t="n">
        <v>3838</v>
      </c>
      <c r="B3842" s="32" t="str">
        <f aca="false">IF(OR(C3842="",I3842="",G3842=""),"",IFERROR(VLOOKUP(I3842,Setup!$A$9:$B$11,2,0),"???")&amp;"-"&amp;G3842&amp;"-"&amp;TEXT(COUNTIFS(I$5:I3842,I3842,G$5:G3842,G3842),"0000"))</f>
        <v/>
      </c>
      <c r="C3842" s="26"/>
      <c r="D3842" s="26"/>
      <c r="E3842" s="27"/>
      <c r="F3842" s="27"/>
      <c r="G3842" s="31" t="str">
        <f aca="false">IF(F3842="","",IF(F3842&lt;=5,"A",IF(F3842&lt;=8,"B",IF(F3842&lt;=10,"C","D"))))</f>
        <v/>
      </c>
      <c r="H3842" s="28"/>
      <c r="I3842" s="27"/>
      <c r="J3842" s="26"/>
      <c r="K3842" s="27"/>
      <c r="L3842" s="27"/>
      <c r="M3842" s="27"/>
      <c r="N3842" s="27"/>
      <c r="O3842" s="31" t="str">
        <f aca="false">IF(G3842="","",VLOOKUP(G3842,Setup!$A$14:$C$17,3,0))</f>
        <v/>
      </c>
      <c r="P3842" s="27"/>
      <c r="Q3842" s="33" t="str">
        <f aca="false">IF(OR(P3842="",M3842&lt;&gt;"Paid",O3842=""),"",P3842/O3842)</f>
        <v/>
      </c>
      <c r="R3842" s="34" t="str">
        <f aca="false">IF(Q3842="","",Q3842+N(H3842)*0.000000001)</f>
        <v/>
      </c>
      <c r="S3842" s="32" t="str">
        <f aca="false">IF(R3842="","",SUMPRODUCT((I$5:I$4004=I3842)*ISNUMBER(R$5:R$4004)*(R$5:R$4004&gt;R3842))+1)</f>
        <v/>
      </c>
      <c r="T3842" s="32" t="str">
        <f aca="false">IF(S3842="","",IF(S3842&lt;=Setup!$B$5,"🏆 WINNER",""))</f>
        <v/>
      </c>
      <c r="U3842" s="31" t="str">
        <f aca="false">IF(S3842="","",I3842&amp;"|"&amp;S3842)</f>
        <v/>
      </c>
    </row>
    <row r="3843" customFormat="false" ht="15" hidden="false" customHeight="false" outlineLevel="0" collapsed="false">
      <c r="A3843" s="24" t="n">
        <v>3839</v>
      </c>
      <c r="B3843" s="25" t="str">
        <f aca="false">IF(OR(C3843="",I3843="",G3843=""),"",IFERROR(VLOOKUP(I3843,Setup!$A$9:$B$11,2,0),"???")&amp;"-"&amp;G3843&amp;"-"&amp;TEXT(COUNTIFS(I$5:I3843,I3843,G$5:G3843,G3843),"0000"))</f>
        <v/>
      </c>
      <c r="C3843" s="26"/>
      <c r="D3843" s="26"/>
      <c r="E3843" s="27"/>
      <c r="F3843" s="27"/>
      <c r="G3843" s="24" t="str">
        <f aca="false">IF(F3843="","",IF(F3843&lt;=5,"A",IF(F3843&lt;=8,"B",IF(F3843&lt;=10,"C","D"))))</f>
        <v/>
      </c>
      <c r="H3843" s="28"/>
      <c r="I3843" s="27"/>
      <c r="J3843" s="26"/>
      <c r="K3843" s="27"/>
      <c r="L3843" s="27"/>
      <c r="M3843" s="27"/>
      <c r="N3843" s="27"/>
      <c r="O3843" s="24" t="str">
        <f aca="false">IF(G3843="","",VLOOKUP(G3843,Setup!$A$14:$C$17,3,0))</f>
        <v/>
      </c>
      <c r="P3843" s="27"/>
      <c r="Q3843" s="29" t="str">
        <f aca="false">IF(OR(P3843="",M3843&lt;&gt;"Paid",O3843=""),"",P3843/O3843)</f>
        <v/>
      </c>
      <c r="R3843" s="30" t="str">
        <f aca="false">IF(Q3843="","",Q3843+N(H3843)*0.000000001)</f>
        <v/>
      </c>
      <c r="S3843" s="25" t="str">
        <f aca="false">IF(R3843="","",SUMPRODUCT((I$5:I$4004=I3843)*ISNUMBER(R$5:R$4004)*(R$5:R$4004&gt;R3843))+1)</f>
        <v/>
      </c>
      <c r="T3843" s="25" t="str">
        <f aca="false">IF(S3843="","",IF(S3843&lt;=Setup!$B$5,"🏆 WINNER",""))</f>
        <v/>
      </c>
      <c r="U3843" s="24" t="str">
        <f aca="false">IF(S3843="","",I3843&amp;"|"&amp;S3843)</f>
        <v/>
      </c>
    </row>
    <row r="3844" customFormat="false" ht="15" hidden="false" customHeight="false" outlineLevel="0" collapsed="false">
      <c r="A3844" s="31" t="n">
        <v>3840</v>
      </c>
      <c r="B3844" s="32" t="str">
        <f aca="false">IF(OR(C3844="",I3844="",G3844=""),"",IFERROR(VLOOKUP(I3844,Setup!$A$9:$B$11,2,0),"???")&amp;"-"&amp;G3844&amp;"-"&amp;TEXT(COUNTIFS(I$5:I3844,I3844,G$5:G3844,G3844),"0000"))</f>
        <v/>
      </c>
      <c r="C3844" s="26"/>
      <c r="D3844" s="26"/>
      <c r="E3844" s="27"/>
      <c r="F3844" s="27"/>
      <c r="G3844" s="31" t="str">
        <f aca="false">IF(F3844="","",IF(F3844&lt;=5,"A",IF(F3844&lt;=8,"B",IF(F3844&lt;=10,"C","D"))))</f>
        <v/>
      </c>
      <c r="H3844" s="28"/>
      <c r="I3844" s="27"/>
      <c r="J3844" s="26"/>
      <c r="K3844" s="27"/>
      <c r="L3844" s="27"/>
      <c r="M3844" s="27"/>
      <c r="N3844" s="27"/>
      <c r="O3844" s="31" t="str">
        <f aca="false">IF(G3844="","",VLOOKUP(G3844,Setup!$A$14:$C$17,3,0))</f>
        <v/>
      </c>
      <c r="P3844" s="27"/>
      <c r="Q3844" s="33" t="str">
        <f aca="false">IF(OR(P3844="",M3844&lt;&gt;"Paid",O3844=""),"",P3844/O3844)</f>
        <v/>
      </c>
      <c r="R3844" s="34" t="str">
        <f aca="false">IF(Q3844="","",Q3844+N(H3844)*0.000000001)</f>
        <v/>
      </c>
      <c r="S3844" s="32" t="str">
        <f aca="false">IF(R3844="","",SUMPRODUCT((I$5:I$4004=I3844)*ISNUMBER(R$5:R$4004)*(R$5:R$4004&gt;R3844))+1)</f>
        <v/>
      </c>
      <c r="T3844" s="32" t="str">
        <f aca="false">IF(S3844="","",IF(S3844&lt;=Setup!$B$5,"🏆 WINNER",""))</f>
        <v/>
      </c>
      <c r="U3844" s="31" t="str">
        <f aca="false">IF(S3844="","",I3844&amp;"|"&amp;S3844)</f>
        <v/>
      </c>
    </row>
    <row r="3845" customFormat="false" ht="15" hidden="false" customHeight="false" outlineLevel="0" collapsed="false">
      <c r="A3845" s="24" t="n">
        <v>3841</v>
      </c>
      <c r="B3845" s="25" t="str">
        <f aca="false">IF(OR(C3845="",I3845="",G3845=""),"",IFERROR(VLOOKUP(I3845,Setup!$A$9:$B$11,2,0),"???")&amp;"-"&amp;G3845&amp;"-"&amp;TEXT(COUNTIFS(I$5:I3845,I3845,G$5:G3845,G3845),"0000"))</f>
        <v/>
      </c>
      <c r="C3845" s="26"/>
      <c r="D3845" s="26"/>
      <c r="E3845" s="27"/>
      <c r="F3845" s="27"/>
      <c r="G3845" s="24" t="str">
        <f aca="false">IF(F3845="","",IF(F3845&lt;=5,"A",IF(F3845&lt;=8,"B",IF(F3845&lt;=10,"C","D"))))</f>
        <v/>
      </c>
      <c r="H3845" s="28"/>
      <c r="I3845" s="27"/>
      <c r="J3845" s="26"/>
      <c r="K3845" s="27"/>
      <c r="L3845" s="27"/>
      <c r="M3845" s="27"/>
      <c r="N3845" s="27"/>
      <c r="O3845" s="24" t="str">
        <f aca="false">IF(G3845="","",VLOOKUP(G3845,Setup!$A$14:$C$17,3,0))</f>
        <v/>
      </c>
      <c r="P3845" s="27"/>
      <c r="Q3845" s="29" t="str">
        <f aca="false">IF(OR(P3845="",M3845&lt;&gt;"Paid",O3845=""),"",P3845/O3845)</f>
        <v/>
      </c>
      <c r="R3845" s="30" t="str">
        <f aca="false">IF(Q3845="","",Q3845+N(H3845)*0.000000001)</f>
        <v/>
      </c>
      <c r="S3845" s="25" t="str">
        <f aca="false">IF(R3845="","",SUMPRODUCT((I$5:I$4004=I3845)*ISNUMBER(R$5:R$4004)*(R$5:R$4004&gt;R3845))+1)</f>
        <v/>
      </c>
      <c r="T3845" s="25" t="str">
        <f aca="false">IF(S3845="","",IF(S3845&lt;=Setup!$B$5,"🏆 WINNER",""))</f>
        <v/>
      </c>
      <c r="U3845" s="24" t="str">
        <f aca="false">IF(S3845="","",I3845&amp;"|"&amp;S3845)</f>
        <v/>
      </c>
    </row>
    <row r="3846" customFormat="false" ht="15" hidden="false" customHeight="false" outlineLevel="0" collapsed="false">
      <c r="A3846" s="31" t="n">
        <v>3842</v>
      </c>
      <c r="B3846" s="32" t="str">
        <f aca="false">IF(OR(C3846="",I3846="",G3846=""),"",IFERROR(VLOOKUP(I3846,Setup!$A$9:$B$11,2,0),"???")&amp;"-"&amp;G3846&amp;"-"&amp;TEXT(COUNTIFS(I$5:I3846,I3846,G$5:G3846,G3846),"0000"))</f>
        <v/>
      </c>
      <c r="C3846" s="26"/>
      <c r="D3846" s="26"/>
      <c r="E3846" s="27"/>
      <c r="F3846" s="27"/>
      <c r="G3846" s="31" t="str">
        <f aca="false">IF(F3846="","",IF(F3846&lt;=5,"A",IF(F3846&lt;=8,"B",IF(F3846&lt;=10,"C","D"))))</f>
        <v/>
      </c>
      <c r="H3846" s="28"/>
      <c r="I3846" s="27"/>
      <c r="J3846" s="26"/>
      <c r="K3846" s="27"/>
      <c r="L3846" s="27"/>
      <c r="M3846" s="27"/>
      <c r="N3846" s="27"/>
      <c r="O3846" s="31" t="str">
        <f aca="false">IF(G3846="","",VLOOKUP(G3846,Setup!$A$14:$C$17,3,0))</f>
        <v/>
      </c>
      <c r="P3846" s="27"/>
      <c r="Q3846" s="33" t="str">
        <f aca="false">IF(OR(P3846="",M3846&lt;&gt;"Paid",O3846=""),"",P3846/O3846)</f>
        <v/>
      </c>
      <c r="R3846" s="34" t="str">
        <f aca="false">IF(Q3846="","",Q3846+N(H3846)*0.000000001)</f>
        <v/>
      </c>
      <c r="S3846" s="32" t="str">
        <f aca="false">IF(R3846="","",SUMPRODUCT((I$5:I$4004=I3846)*ISNUMBER(R$5:R$4004)*(R$5:R$4004&gt;R3846))+1)</f>
        <v/>
      </c>
      <c r="T3846" s="32" t="str">
        <f aca="false">IF(S3846="","",IF(S3846&lt;=Setup!$B$5,"🏆 WINNER",""))</f>
        <v/>
      </c>
      <c r="U3846" s="31" t="str">
        <f aca="false">IF(S3846="","",I3846&amp;"|"&amp;S3846)</f>
        <v/>
      </c>
    </row>
    <row r="3847" customFormat="false" ht="15" hidden="false" customHeight="false" outlineLevel="0" collapsed="false">
      <c r="A3847" s="24" t="n">
        <v>3843</v>
      </c>
      <c r="B3847" s="25" t="str">
        <f aca="false">IF(OR(C3847="",I3847="",G3847=""),"",IFERROR(VLOOKUP(I3847,Setup!$A$9:$B$11,2,0),"???")&amp;"-"&amp;G3847&amp;"-"&amp;TEXT(COUNTIFS(I$5:I3847,I3847,G$5:G3847,G3847),"0000"))</f>
        <v/>
      </c>
      <c r="C3847" s="26"/>
      <c r="D3847" s="26"/>
      <c r="E3847" s="27"/>
      <c r="F3847" s="27"/>
      <c r="G3847" s="24" t="str">
        <f aca="false">IF(F3847="","",IF(F3847&lt;=5,"A",IF(F3847&lt;=8,"B",IF(F3847&lt;=10,"C","D"))))</f>
        <v/>
      </c>
      <c r="H3847" s="28"/>
      <c r="I3847" s="27"/>
      <c r="J3847" s="26"/>
      <c r="K3847" s="27"/>
      <c r="L3847" s="27"/>
      <c r="M3847" s="27"/>
      <c r="N3847" s="27"/>
      <c r="O3847" s="24" t="str">
        <f aca="false">IF(G3847="","",VLOOKUP(G3847,Setup!$A$14:$C$17,3,0))</f>
        <v/>
      </c>
      <c r="P3847" s="27"/>
      <c r="Q3847" s="29" t="str">
        <f aca="false">IF(OR(P3847="",M3847&lt;&gt;"Paid",O3847=""),"",P3847/O3847)</f>
        <v/>
      </c>
      <c r="R3847" s="30" t="str">
        <f aca="false">IF(Q3847="","",Q3847+N(H3847)*0.000000001)</f>
        <v/>
      </c>
      <c r="S3847" s="25" t="str">
        <f aca="false">IF(R3847="","",SUMPRODUCT((I$5:I$4004=I3847)*ISNUMBER(R$5:R$4004)*(R$5:R$4004&gt;R3847))+1)</f>
        <v/>
      </c>
      <c r="T3847" s="25" t="str">
        <f aca="false">IF(S3847="","",IF(S3847&lt;=Setup!$B$5,"🏆 WINNER",""))</f>
        <v/>
      </c>
      <c r="U3847" s="24" t="str">
        <f aca="false">IF(S3847="","",I3847&amp;"|"&amp;S3847)</f>
        <v/>
      </c>
    </row>
    <row r="3848" customFormat="false" ht="15" hidden="false" customHeight="false" outlineLevel="0" collapsed="false">
      <c r="A3848" s="31" t="n">
        <v>3844</v>
      </c>
      <c r="B3848" s="32" t="str">
        <f aca="false">IF(OR(C3848="",I3848="",G3848=""),"",IFERROR(VLOOKUP(I3848,Setup!$A$9:$B$11,2,0),"???")&amp;"-"&amp;G3848&amp;"-"&amp;TEXT(COUNTIFS(I$5:I3848,I3848,G$5:G3848,G3848),"0000"))</f>
        <v/>
      </c>
      <c r="C3848" s="26"/>
      <c r="D3848" s="26"/>
      <c r="E3848" s="27"/>
      <c r="F3848" s="27"/>
      <c r="G3848" s="31" t="str">
        <f aca="false">IF(F3848="","",IF(F3848&lt;=5,"A",IF(F3848&lt;=8,"B",IF(F3848&lt;=10,"C","D"))))</f>
        <v/>
      </c>
      <c r="H3848" s="28"/>
      <c r="I3848" s="27"/>
      <c r="J3848" s="26"/>
      <c r="K3848" s="27"/>
      <c r="L3848" s="27"/>
      <c r="M3848" s="27"/>
      <c r="N3848" s="27"/>
      <c r="O3848" s="31" t="str">
        <f aca="false">IF(G3848="","",VLOOKUP(G3848,Setup!$A$14:$C$17,3,0))</f>
        <v/>
      </c>
      <c r="P3848" s="27"/>
      <c r="Q3848" s="33" t="str">
        <f aca="false">IF(OR(P3848="",M3848&lt;&gt;"Paid",O3848=""),"",P3848/O3848)</f>
        <v/>
      </c>
      <c r="R3848" s="34" t="str">
        <f aca="false">IF(Q3848="","",Q3848+N(H3848)*0.000000001)</f>
        <v/>
      </c>
      <c r="S3848" s="32" t="str">
        <f aca="false">IF(R3848="","",SUMPRODUCT((I$5:I$4004=I3848)*ISNUMBER(R$5:R$4004)*(R$5:R$4004&gt;R3848))+1)</f>
        <v/>
      </c>
      <c r="T3848" s="32" t="str">
        <f aca="false">IF(S3848="","",IF(S3848&lt;=Setup!$B$5,"🏆 WINNER",""))</f>
        <v/>
      </c>
      <c r="U3848" s="31" t="str">
        <f aca="false">IF(S3848="","",I3848&amp;"|"&amp;S3848)</f>
        <v/>
      </c>
    </row>
    <row r="3849" customFormat="false" ht="15" hidden="false" customHeight="false" outlineLevel="0" collapsed="false">
      <c r="A3849" s="24" t="n">
        <v>3845</v>
      </c>
      <c r="B3849" s="25" t="str">
        <f aca="false">IF(OR(C3849="",I3849="",G3849=""),"",IFERROR(VLOOKUP(I3849,Setup!$A$9:$B$11,2,0),"???")&amp;"-"&amp;G3849&amp;"-"&amp;TEXT(COUNTIFS(I$5:I3849,I3849,G$5:G3849,G3849),"0000"))</f>
        <v/>
      </c>
      <c r="C3849" s="26"/>
      <c r="D3849" s="26"/>
      <c r="E3849" s="27"/>
      <c r="F3849" s="27"/>
      <c r="G3849" s="24" t="str">
        <f aca="false">IF(F3849="","",IF(F3849&lt;=5,"A",IF(F3849&lt;=8,"B",IF(F3849&lt;=10,"C","D"))))</f>
        <v/>
      </c>
      <c r="H3849" s="28"/>
      <c r="I3849" s="27"/>
      <c r="J3849" s="26"/>
      <c r="K3849" s="27"/>
      <c r="L3849" s="27"/>
      <c r="M3849" s="27"/>
      <c r="N3849" s="27"/>
      <c r="O3849" s="24" t="str">
        <f aca="false">IF(G3849="","",VLOOKUP(G3849,Setup!$A$14:$C$17,3,0))</f>
        <v/>
      </c>
      <c r="P3849" s="27"/>
      <c r="Q3849" s="29" t="str">
        <f aca="false">IF(OR(P3849="",M3849&lt;&gt;"Paid",O3849=""),"",P3849/O3849)</f>
        <v/>
      </c>
      <c r="R3849" s="30" t="str">
        <f aca="false">IF(Q3849="","",Q3849+N(H3849)*0.000000001)</f>
        <v/>
      </c>
      <c r="S3849" s="25" t="str">
        <f aca="false">IF(R3849="","",SUMPRODUCT((I$5:I$4004=I3849)*ISNUMBER(R$5:R$4004)*(R$5:R$4004&gt;R3849))+1)</f>
        <v/>
      </c>
      <c r="T3849" s="25" t="str">
        <f aca="false">IF(S3849="","",IF(S3849&lt;=Setup!$B$5,"🏆 WINNER",""))</f>
        <v/>
      </c>
      <c r="U3849" s="24" t="str">
        <f aca="false">IF(S3849="","",I3849&amp;"|"&amp;S3849)</f>
        <v/>
      </c>
    </row>
    <row r="3850" customFormat="false" ht="15" hidden="false" customHeight="false" outlineLevel="0" collapsed="false">
      <c r="A3850" s="31" t="n">
        <v>3846</v>
      </c>
      <c r="B3850" s="32" t="str">
        <f aca="false">IF(OR(C3850="",I3850="",G3850=""),"",IFERROR(VLOOKUP(I3850,Setup!$A$9:$B$11,2,0),"???")&amp;"-"&amp;G3850&amp;"-"&amp;TEXT(COUNTIFS(I$5:I3850,I3850,G$5:G3850,G3850),"0000"))</f>
        <v/>
      </c>
      <c r="C3850" s="26"/>
      <c r="D3850" s="26"/>
      <c r="E3850" s="27"/>
      <c r="F3850" s="27"/>
      <c r="G3850" s="31" t="str">
        <f aca="false">IF(F3850="","",IF(F3850&lt;=5,"A",IF(F3850&lt;=8,"B",IF(F3850&lt;=10,"C","D"))))</f>
        <v/>
      </c>
      <c r="H3850" s="28"/>
      <c r="I3850" s="27"/>
      <c r="J3850" s="26"/>
      <c r="K3850" s="27"/>
      <c r="L3850" s="27"/>
      <c r="M3850" s="27"/>
      <c r="N3850" s="27"/>
      <c r="O3850" s="31" t="str">
        <f aca="false">IF(G3850="","",VLOOKUP(G3850,Setup!$A$14:$C$17,3,0))</f>
        <v/>
      </c>
      <c r="P3850" s="27"/>
      <c r="Q3850" s="33" t="str">
        <f aca="false">IF(OR(P3850="",M3850&lt;&gt;"Paid",O3850=""),"",P3850/O3850)</f>
        <v/>
      </c>
      <c r="R3850" s="34" t="str">
        <f aca="false">IF(Q3850="","",Q3850+N(H3850)*0.000000001)</f>
        <v/>
      </c>
      <c r="S3850" s="32" t="str">
        <f aca="false">IF(R3850="","",SUMPRODUCT((I$5:I$4004=I3850)*ISNUMBER(R$5:R$4004)*(R$5:R$4004&gt;R3850))+1)</f>
        <v/>
      </c>
      <c r="T3850" s="32" t="str">
        <f aca="false">IF(S3850="","",IF(S3850&lt;=Setup!$B$5,"🏆 WINNER",""))</f>
        <v/>
      </c>
      <c r="U3850" s="31" t="str">
        <f aca="false">IF(S3850="","",I3850&amp;"|"&amp;S3850)</f>
        <v/>
      </c>
    </row>
    <row r="3851" customFormat="false" ht="15" hidden="false" customHeight="false" outlineLevel="0" collapsed="false">
      <c r="A3851" s="24" t="n">
        <v>3847</v>
      </c>
      <c r="B3851" s="25" t="str">
        <f aca="false">IF(OR(C3851="",I3851="",G3851=""),"",IFERROR(VLOOKUP(I3851,Setup!$A$9:$B$11,2,0),"???")&amp;"-"&amp;G3851&amp;"-"&amp;TEXT(COUNTIFS(I$5:I3851,I3851,G$5:G3851,G3851),"0000"))</f>
        <v/>
      </c>
      <c r="C3851" s="26"/>
      <c r="D3851" s="26"/>
      <c r="E3851" s="27"/>
      <c r="F3851" s="27"/>
      <c r="G3851" s="24" t="str">
        <f aca="false">IF(F3851="","",IF(F3851&lt;=5,"A",IF(F3851&lt;=8,"B",IF(F3851&lt;=10,"C","D"))))</f>
        <v/>
      </c>
      <c r="H3851" s="28"/>
      <c r="I3851" s="27"/>
      <c r="J3851" s="26"/>
      <c r="K3851" s="27"/>
      <c r="L3851" s="27"/>
      <c r="M3851" s="27"/>
      <c r="N3851" s="27"/>
      <c r="O3851" s="24" t="str">
        <f aca="false">IF(G3851="","",VLOOKUP(G3851,Setup!$A$14:$C$17,3,0))</f>
        <v/>
      </c>
      <c r="P3851" s="27"/>
      <c r="Q3851" s="29" t="str">
        <f aca="false">IF(OR(P3851="",M3851&lt;&gt;"Paid",O3851=""),"",P3851/O3851)</f>
        <v/>
      </c>
      <c r="R3851" s="30" t="str">
        <f aca="false">IF(Q3851="","",Q3851+N(H3851)*0.000000001)</f>
        <v/>
      </c>
      <c r="S3851" s="25" t="str">
        <f aca="false">IF(R3851="","",SUMPRODUCT((I$5:I$4004=I3851)*ISNUMBER(R$5:R$4004)*(R$5:R$4004&gt;R3851))+1)</f>
        <v/>
      </c>
      <c r="T3851" s="25" t="str">
        <f aca="false">IF(S3851="","",IF(S3851&lt;=Setup!$B$5,"🏆 WINNER",""))</f>
        <v/>
      </c>
      <c r="U3851" s="24" t="str">
        <f aca="false">IF(S3851="","",I3851&amp;"|"&amp;S3851)</f>
        <v/>
      </c>
    </row>
    <row r="3852" customFormat="false" ht="15" hidden="false" customHeight="false" outlineLevel="0" collapsed="false">
      <c r="A3852" s="31" t="n">
        <v>3848</v>
      </c>
      <c r="B3852" s="32" t="str">
        <f aca="false">IF(OR(C3852="",I3852="",G3852=""),"",IFERROR(VLOOKUP(I3852,Setup!$A$9:$B$11,2,0),"???")&amp;"-"&amp;G3852&amp;"-"&amp;TEXT(COUNTIFS(I$5:I3852,I3852,G$5:G3852,G3852),"0000"))</f>
        <v/>
      </c>
      <c r="C3852" s="26"/>
      <c r="D3852" s="26"/>
      <c r="E3852" s="27"/>
      <c r="F3852" s="27"/>
      <c r="G3852" s="31" t="str">
        <f aca="false">IF(F3852="","",IF(F3852&lt;=5,"A",IF(F3852&lt;=8,"B",IF(F3852&lt;=10,"C","D"))))</f>
        <v/>
      </c>
      <c r="H3852" s="28"/>
      <c r="I3852" s="27"/>
      <c r="J3852" s="26"/>
      <c r="K3852" s="27"/>
      <c r="L3852" s="27"/>
      <c r="M3852" s="27"/>
      <c r="N3852" s="27"/>
      <c r="O3852" s="31" t="str">
        <f aca="false">IF(G3852="","",VLOOKUP(G3852,Setup!$A$14:$C$17,3,0))</f>
        <v/>
      </c>
      <c r="P3852" s="27"/>
      <c r="Q3852" s="33" t="str">
        <f aca="false">IF(OR(P3852="",M3852&lt;&gt;"Paid",O3852=""),"",P3852/O3852)</f>
        <v/>
      </c>
      <c r="R3852" s="34" t="str">
        <f aca="false">IF(Q3852="","",Q3852+N(H3852)*0.000000001)</f>
        <v/>
      </c>
      <c r="S3852" s="32" t="str">
        <f aca="false">IF(R3852="","",SUMPRODUCT((I$5:I$4004=I3852)*ISNUMBER(R$5:R$4004)*(R$5:R$4004&gt;R3852))+1)</f>
        <v/>
      </c>
      <c r="T3852" s="32" t="str">
        <f aca="false">IF(S3852="","",IF(S3852&lt;=Setup!$B$5,"🏆 WINNER",""))</f>
        <v/>
      </c>
      <c r="U3852" s="31" t="str">
        <f aca="false">IF(S3852="","",I3852&amp;"|"&amp;S3852)</f>
        <v/>
      </c>
    </row>
    <row r="3853" customFormat="false" ht="15" hidden="false" customHeight="false" outlineLevel="0" collapsed="false">
      <c r="A3853" s="24" t="n">
        <v>3849</v>
      </c>
      <c r="B3853" s="25" t="str">
        <f aca="false">IF(OR(C3853="",I3853="",G3853=""),"",IFERROR(VLOOKUP(I3853,Setup!$A$9:$B$11,2,0),"???")&amp;"-"&amp;G3853&amp;"-"&amp;TEXT(COUNTIFS(I$5:I3853,I3853,G$5:G3853,G3853),"0000"))</f>
        <v/>
      </c>
      <c r="C3853" s="26"/>
      <c r="D3853" s="26"/>
      <c r="E3853" s="27"/>
      <c r="F3853" s="27"/>
      <c r="G3853" s="24" t="str">
        <f aca="false">IF(F3853="","",IF(F3853&lt;=5,"A",IF(F3853&lt;=8,"B",IF(F3853&lt;=10,"C","D"))))</f>
        <v/>
      </c>
      <c r="H3853" s="28"/>
      <c r="I3853" s="27"/>
      <c r="J3853" s="26"/>
      <c r="K3853" s="27"/>
      <c r="L3853" s="27"/>
      <c r="M3853" s="27"/>
      <c r="N3853" s="27"/>
      <c r="O3853" s="24" t="str">
        <f aca="false">IF(G3853="","",VLOOKUP(G3853,Setup!$A$14:$C$17,3,0))</f>
        <v/>
      </c>
      <c r="P3853" s="27"/>
      <c r="Q3853" s="29" t="str">
        <f aca="false">IF(OR(P3853="",M3853&lt;&gt;"Paid",O3853=""),"",P3853/O3853)</f>
        <v/>
      </c>
      <c r="R3853" s="30" t="str">
        <f aca="false">IF(Q3853="","",Q3853+N(H3853)*0.000000001)</f>
        <v/>
      </c>
      <c r="S3853" s="25" t="str">
        <f aca="false">IF(R3853="","",SUMPRODUCT((I$5:I$4004=I3853)*ISNUMBER(R$5:R$4004)*(R$5:R$4004&gt;R3853))+1)</f>
        <v/>
      </c>
      <c r="T3853" s="25" t="str">
        <f aca="false">IF(S3853="","",IF(S3853&lt;=Setup!$B$5,"🏆 WINNER",""))</f>
        <v/>
      </c>
      <c r="U3853" s="24" t="str">
        <f aca="false">IF(S3853="","",I3853&amp;"|"&amp;S3853)</f>
        <v/>
      </c>
    </row>
    <row r="3854" customFormat="false" ht="15" hidden="false" customHeight="false" outlineLevel="0" collapsed="false">
      <c r="A3854" s="31" t="n">
        <v>3850</v>
      </c>
      <c r="B3854" s="32" t="str">
        <f aca="false">IF(OR(C3854="",I3854="",G3854=""),"",IFERROR(VLOOKUP(I3854,Setup!$A$9:$B$11,2,0),"???")&amp;"-"&amp;G3854&amp;"-"&amp;TEXT(COUNTIFS(I$5:I3854,I3854,G$5:G3854,G3854),"0000"))</f>
        <v/>
      </c>
      <c r="C3854" s="26"/>
      <c r="D3854" s="26"/>
      <c r="E3854" s="27"/>
      <c r="F3854" s="27"/>
      <c r="G3854" s="31" t="str">
        <f aca="false">IF(F3854="","",IF(F3854&lt;=5,"A",IF(F3854&lt;=8,"B",IF(F3854&lt;=10,"C","D"))))</f>
        <v/>
      </c>
      <c r="H3854" s="28"/>
      <c r="I3854" s="27"/>
      <c r="J3854" s="26"/>
      <c r="K3854" s="27"/>
      <c r="L3854" s="27"/>
      <c r="M3854" s="27"/>
      <c r="N3854" s="27"/>
      <c r="O3854" s="31" t="str">
        <f aca="false">IF(G3854="","",VLOOKUP(G3854,Setup!$A$14:$C$17,3,0))</f>
        <v/>
      </c>
      <c r="P3854" s="27"/>
      <c r="Q3854" s="33" t="str">
        <f aca="false">IF(OR(P3854="",M3854&lt;&gt;"Paid",O3854=""),"",P3854/O3854)</f>
        <v/>
      </c>
      <c r="R3854" s="34" t="str">
        <f aca="false">IF(Q3854="","",Q3854+N(H3854)*0.000000001)</f>
        <v/>
      </c>
      <c r="S3854" s="32" t="str">
        <f aca="false">IF(R3854="","",SUMPRODUCT((I$5:I$4004=I3854)*ISNUMBER(R$5:R$4004)*(R$5:R$4004&gt;R3854))+1)</f>
        <v/>
      </c>
      <c r="T3854" s="32" t="str">
        <f aca="false">IF(S3854="","",IF(S3854&lt;=Setup!$B$5,"🏆 WINNER",""))</f>
        <v/>
      </c>
      <c r="U3854" s="31" t="str">
        <f aca="false">IF(S3854="","",I3854&amp;"|"&amp;S3854)</f>
        <v/>
      </c>
    </row>
    <row r="3855" customFormat="false" ht="15" hidden="false" customHeight="false" outlineLevel="0" collapsed="false">
      <c r="A3855" s="24" t="n">
        <v>3851</v>
      </c>
      <c r="B3855" s="25" t="str">
        <f aca="false">IF(OR(C3855="",I3855="",G3855=""),"",IFERROR(VLOOKUP(I3855,Setup!$A$9:$B$11,2,0),"???")&amp;"-"&amp;G3855&amp;"-"&amp;TEXT(COUNTIFS(I$5:I3855,I3855,G$5:G3855,G3855),"0000"))</f>
        <v/>
      </c>
      <c r="C3855" s="26"/>
      <c r="D3855" s="26"/>
      <c r="E3855" s="27"/>
      <c r="F3855" s="27"/>
      <c r="G3855" s="24" t="str">
        <f aca="false">IF(F3855="","",IF(F3855&lt;=5,"A",IF(F3855&lt;=8,"B",IF(F3855&lt;=10,"C","D"))))</f>
        <v/>
      </c>
      <c r="H3855" s="28"/>
      <c r="I3855" s="27"/>
      <c r="J3855" s="26"/>
      <c r="K3855" s="27"/>
      <c r="L3855" s="27"/>
      <c r="M3855" s="27"/>
      <c r="N3855" s="27"/>
      <c r="O3855" s="24" t="str">
        <f aca="false">IF(G3855="","",VLOOKUP(G3855,Setup!$A$14:$C$17,3,0))</f>
        <v/>
      </c>
      <c r="P3855" s="27"/>
      <c r="Q3855" s="29" t="str">
        <f aca="false">IF(OR(P3855="",M3855&lt;&gt;"Paid",O3855=""),"",P3855/O3855)</f>
        <v/>
      </c>
      <c r="R3855" s="30" t="str">
        <f aca="false">IF(Q3855="","",Q3855+N(H3855)*0.000000001)</f>
        <v/>
      </c>
      <c r="S3855" s="25" t="str">
        <f aca="false">IF(R3855="","",SUMPRODUCT((I$5:I$4004=I3855)*ISNUMBER(R$5:R$4004)*(R$5:R$4004&gt;R3855))+1)</f>
        <v/>
      </c>
      <c r="T3855" s="25" t="str">
        <f aca="false">IF(S3855="","",IF(S3855&lt;=Setup!$B$5,"🏆 WINNER",""))</f>
        <v/>
      </c>
      <c r="U3855" s="24" t="str">
        <f aca="false">IF(S3855="","",I3855&amp;"|"&amp;S3855)</f>
        <v/>
      </c>
    </row>
    <row r="3856" customFormat="false" ht="15" hidden="false" customHeight="false" outlineLevel="0" collapsed="false">
      <c r="A3856" s="31" t="n">
        <v>3852</v>
      </c>
      <c r="B3856" s="32" t="str">
        <f aca="false">IF(OR(C3856="",I3856="",G3856=""),"",IFERROR(VLOOKUP(I3856,Setup!$A$9:$B$11,2,0),"???")&amp;"-"&amp;G3856&amp;"-"&amp;TEXT(COUNTIFS(I$5:I3856,I3856,G$5:G3856,G3856),"0000"))</f>
        <v/>
      </c>
      <c r="C3856" s="26"/>
      <c r="D3856" s="26"/>
      <c r="E3856" s="27"/>
      <c r="F3856" s="27"/>
      <c r="G3856" s="31" t="str">
        <f aca="false">IF(F3856="","",IF(F3856&lt;=5,"A",IF(F3856&lt;=8,"B",IF(F3856&lt;=10,"C","D"))))</f>
        <v/>
      </c>
      <c r="H3856" s="28"/>
      <c r="I3856" s="27"/>
      <c r="J3856" s="26"/>
      <c r="K3856" s="27"/>
      <c r="L3856" s="27"/>
      <c r="M3856" s="27"/>
      <c r="N3856" s="27"/>
      <c r="O3856" s="31" t="str">
        <f aca="false">IF(G3856="","",VLOOKUP(G3856,Setup!$A$14:$C$17,3,0))</f>
        <v/>
      </c>
      <c r="P3856" s="27"/>
      <c r="Q3856" s="33" t="str">
        <f aca="false">IF(OR(P3856="",M3856&lt;&gt;"Paid",O3856=""),"",P3856/O3856)</f>
        <v/>
      </c>
      <c r="R3856" s="34" t="str">
        <f aca="false">IF(Q3856="","",Q3856+N(H3856)*0.000000001)</f>
        <v/>
      </c>
      <c r="S3856" s="32" t="str">
        <f aca="false">IF(R3856="","",SUMPRODUCT((I$5:I$4004=I3856)*ISNUMBER(R$5:R$4004)*(R$5:R$4004&gt;R3856))+1)</f>
        <v/>
      </c>
      <c r="T3856" s="32" t="str">
        <f aca="false">IF(S3856="","",IF(S3856&lt;=Setup!$B$5,"🏆 WINNER",""))</f>
        <v/>
      </c>
      <c r="U3856" s="31" t="str">
        <f aca="false">IF(S3856="","",I3856&amp;"|"&amp;S3856)</f>
        <v/>
      </c>
    </row>
    <row r="3857" customFormat="false" ht="15" hidden="false" customHeight="false" outlineLevel="0" collapsed="false">
      <c r="A3857" s="24" t="n">
        <v>3853</v>
      </c>
      <c r="B3857" s="25" t="str">
        <f aca="false">IF(OR(C3857="",I3857="",G3857=""),"",IFERROR(VLOOKUP(I3857,Setup!$A$9:$B$11,2,0),"???")&amp;"-"&amp;G3857&amp;"-"&amp;TEXT(COUNTIFS(I$5:I3857,I3857,G$5:G3857,G3857),"0000"))</f>
        <v/>
      </c>
      <c r="C3857" s="26"/>
      <c r="D3857" s="26"/>
      <c r="E3857" s="27"/>
      <c r="F3857" s="27"/>
      <c r="G3857" s="24" t="str">
        <f aca="false">IF(F3857="","",IF(F3857&lt;=5,"A",IF(F3857&lt;=8,"B",IF(F3857&lt;=10,"C","D"))))</f>
        <v/>
      </c>
      <c r="H3857" s="28"/>
      <c r="I3857" s="27"/>
      <c r="J3857" s="26"/>
      <c r="K3857" s="27"/>
      <c r="L3857" s="27"/>
      <c r="M3857" s="27"/>
      <c r="N3857" s="27"/>
      <c r="O3857" s="24" t="str">
        <f aca="false">IF(G3857="","",VLOOKUP(G3857,Setup!$A$14:$C$17,3,0))</f>
        <v/>
      </c>
      <c r="P3857" s="27"/>
      <c r="Q3857" s="29" t="str">
        <f aca="false">IF(OR(P3857="",M3857&lt;&gt;"Paid",O3857=""),"",P3857/O3857)</f>
        <v/>
      </c>
      <c r="R3857" s="30" t="str">
        <f aca="false">IF(Q3857="","",Q3857+N(H3857)*0.000000001)</f>
        <v/>
      </c>
      <c r="S3857" s="25" t="str">
        <f aca="false">IF(R3857="","",SUMPRODUCT((I$5:I$4004=I3857)*ISNUMBER(R$5:R$4004)*(R$5:R$4004&gt;R3857))+1)</f>
        <v/>
      </c>
      <c r="T3857" s="25" t="str">
        <f aca="false">IF(S3857="","",IF(S3857&lt;=Setup!$B$5,"🏆 WINNER",""))</f>
        <v/>
      </c>
      <c r="U3857" s="24" t="str">
        <f aca="false">IF(S3857="","",I3857&amp;"|"&amp;S3857)</f>
        <v/>
      </c>
    </row>
    <row r="3858" customFormat="false" ht="15" hidden="false" customHeight="false" outlineLevel="0" collapsed="false">
      <c r="A3858" s="31" t="n">
        <v>3854</v>
      </c>
      <c r="B3858" s="32" t="str">
        <f aca="false">IF(OR(C3858="",I3858="",G3858=""),"",IFERROR(VLOOKUP(I3858,Setup!$A$9:$B$11,2,0),"???")&amp;"-"&amp;G3858&amp;"-"&amp;TEXT(COUNTIFS(I$5:I3858,I3858,G$5:G3858,G3858),"0000"))</f>
        <v/>
      </c>
      <c r="C3858" s="26"/>
      <c r="D3858" s="26"/>
      <c r="E3858" s="27"/>
      <c r="F3858" s="27"/>
      <c r="G3858" s="31" t="str">
        <f aca="false">IF(F3858="","",IF(F3858&lt;=5,"A",IF(F3858&lt;=8,"B",IF(F3858&lt;=10,"C","D"))))</f>
        <v/>
      </c>
      <c r="H3858" s="28"/>
      <c r="I3858" s="27"/>
      <c r="J3858" s="26"/>
      <c r="K3858" s="27"/>
      <c r="L3858" s="27"/>
      <c r="M3858" s="27"/>
      <c r="N3858" s="27"/>
      <c r="O3858" s="31" t="str">
        <f aca="false">IF(G3858="","",VLOOKUP(G3858,Setup!$A$14:$C$17,3,0))</f>
        <v/>
      </c>
      <c r="P3858" s="27"/>
      <c r="Q3858" s="33" t="str">
        <f aca="false">IF(OR(P3858="",M3858&lt;&gt;"Paid",O3858=""),"",P3858/O3858)</f>
        <v/>
      </c>
      <c r="R3858" s="34" t="str">
        <f aca="false">IF(Q3858="","",Q3858+N(H3858)*0.000000001)</f>
        <v/>
      </c>
      <c r="S3858" s="32" t="str">
        <f aca="false">IF(R3858="","",SUMPRODUCT((I$5:I$4004=I3858)*ISNUMBER(R$5:R$4004)*(R$5:R$4004&gt;R3858))+1)</f>
        <v/>
      </c>
      <c r="T3858" s="32" t="str">
        <f aca="false">IF(S3858="","",IF(S3858&lt;=Setup!$B$5,"🏆 WINNER",""))</f>
        <v/>
      </c>
      <c r="U3858" s="31" t="str">
        <f aca="false">IF(S3858="","",I3858&amp;"|"&amp;S3858)</f>
        <v/>
      </c>
    </row>
    <row r="3859" customFormat="false" ht="15" hidden="false" customHeight="false" outlineLevel="0" collapsed="false">
      <c r="A3859" s="24" t="n">
        <v>3855</v>
      </c>
      <c r="B3859" s="25" t="str">
        <f aca="false">IF(OR(C3859="",I3859="",G3859=""),"",IFERROR(VLOOKUP(I3859,Setup!$A$9:$B$11,2,0),"???")&amp;"-"&amp;G3859&amp;"-"&amp;TEXT(COUNTIFS(I$5:I3859,I3859,G$5:G3859,G3859),"0000"))</f>
        <v/>
      </c>
      <c r="C3859" s="26"/>
      <c r="D3859" s="26"/>
      <c r="E3859" s="27"/>
      <c r="F3859" s="27"/>
      <c r="G3859" s="24" t="str">
        <f aca="false">IF(F3859="","",IF(F3859&lt;=5,"A",IF(F3859&lt;=8,"B",IF(F3859&lt;=10,"C","D"))))</f>
        <v/>
      </c>
      <c r="H3859" s="28"/>
      <c r="I3859" s="27"/>
      <c r="J3859" s="26"/>
      <c r="K3859" s="27"/>
      <c r="L3859" s="27"/>
      <c r="M3859" s="27"/>
      <c r="N3859" s="27"/>
      <c r="O3859" s="24" t="str">
        <f aca="false">IF(G3859="","",VLOOKUP(G3859,Setup!$A$14:$C$17,3,0))</f>
        <v/>
      </c>
      <c r="P3859" s="27"/>
      <c r="Q3859" s="29" t="str">
        <f aca="false">IF(OR(P3859="",M3859&lt;&gt;"Paid",O3859=""),"",P3859/O3859)</f>
        <v/>
      </c>
      <c r="R3859" s="30" t="str">
        <f aca="false">IF(Q3859="","",Q3859+N(H3859)*0.000000001)</f>
        <v/>
      </c>
      <c r="S3859" s="25" t="str">
        <f aca="false">IF(R3859="","",SUMPRODUCT((I$5:I$4004=I3859)*ISNUMBER(R$5:R$4004)*(R$5:R$4004&gt;R3859))+1)</f>
        <v/>
      </c>
      <c r="T3859" s="25" t="str">
        <f aca="false">IF(S3859="","",IF(S3859&lt;=Setup!$B$5,"🏆 WINNER",""))</f>
        <v/>
      </c>
      <c r="U3859" s="24" t="str">
        <f aca="false">IF(S3859="","",I3859&amp;"|"&amp;S3859)</f>
        <v/>
      </c>
    </row>
    <row r="3860" customFormat="false" ht="15" hidden="false" customHeight="false" outlineLevel="0" collapsed="false">
      <c r="A3860" s="31" t="n">
        <v>3856</v>
      </c>
      <c r="B3860" s="32" t="str">
        <f aca="false">IF(OR(C3860="",I3860="",G3860=""),"",IFERROR(VLOOKUP(I3860,Setup!$A$9:$B$11,2,0),"???")&amp;"-"&amp;G3860&amp;"-"&amp;TEXT(COUNTIFS(I$5:I3860,I3860,G$5:G3860,G3860),"0000"))</f>
        <v/>
      </c>
      <c r="C3860" s="26"/>
      <c r="D3860" s="26"/>
      <c r="E3860" s="27"/>
      <c r="F3860" s="27"/>
      <c r="G3860" s="31" t="str">
        <f aca="false">IF(F3860="","",IF(F3860&lt;=5,"A",IF(F3860&lt;=8,"B",IF(F3860&lt;=10,"C","D"))))</f>
        <v/>
      </c>
      <c r="H3860" s="28"/>
      <c r="I3860" s="27"/>
      <c r="J3860" s="26"/>
      <c r="K3860" s="27"/>
      <c r="L3860" s="27"/>
      <c r="M3860" s="27"/>
      <c r="N3860" s="27"/>
      <c r="O3860" s="31" t="str">
        <f aca="false">IF(G3860="","",VLOOKUP(G3860,Setup!$A$14:$C$17,3,0))</f>
        <v/>
      </c>
      <c r="P3860" s="27"/>
      <c r="Q3860" s="33" t="str">
        <f aca="false">IF(OR(P3860="",M3860&lt;&gt;"Paid",O3860=""),"",P3860/O3860)</f>
        <v/>
      </c>
      <c r="R3860" s="34" t="str">
        <f aca="false">IF(Q3860="","",Q3860+N(H3860)*0.000000001)</f>
        <v/>
      </c>
      <c r="S3860" s="32" t="str">
        <f aca="false">IF(R3860="","",SUMPRODUCT((I$5:I$4004=I3860)*ISNUMBER(R$5:R$4004)*(R$5:R$4004&gt;R3860))+1)</f>
        <v/>
      </c>
      <c r="T3860" s="32" t="str">
        <f aca="false">IF(S3860="","",IF(S3860&lt;=Setup!$B$5,"🏆 WINNER",""))</f>
        <v/>
      </c>
      <c r="U3860" s="31" t="str">
        <f aca="false">IF(S3860="","",I3860&amp;"|"&amp;S3860)</f>
        <v/>
      </c>
    </row>
    <row r="3861" customFormat="false" ht="15" hidden="false" customHeight="false" outlineLevel="0" collapsed="false">
      <c r="A3861" s="24" t="n">
        <v>3857</v>
      </c>
      <c r="B3861" s="25" t="str">
        <f aca="false">IF(OR(C3861="",I3861="",G3861=""),"",IFERROR(VLOOKUP(I3861,Setup!$A$9:$B$11,2,0),"???")&amp;"-"&amp;G3861&amp;"-"&amp;TEXT(COUNTIFS(I$5:I3861,I3861,G$5:G3861,G3861),"0000"))</f>
        <v/>
      </c>
      <c r="C3861" s="26"/>
      <c r="D3861" s="26"/>
      <c r="E3861" s="27"/>
      <c r="F3861" s="27"/>
      <c r="G3861" s="24" t="str">
        <f aca="false">IF(F3861="","",IF(F3861&lt;=5,"A",IF(F3861&lt;=8,"B",IF(F3861&lt;=10,"C","D"))))</f>
        <v/>
      </c>
      <c r="H3861" s="28"/>
      <c r="I3861" s="27"/>
      <c r="J3861" s="26"/>
      <c r="K3861" s="27"/>
      <c r="L3861" s="27"/>
      <c r="M3861" s="27"/>
      <c r="N3861" s="27"/>
      <c r="O3861" s="24" t="str">
        <f aca="false">IF(G3861="","",VLOOKUP(G3861,Setup!$A$14:$C$17,3,0))</f>
        <v/>
      </c>
      <c r="P3861" s="27"/>
      <c r="Q3861" s="29" t="str">
        <f aca="false">IF(OR(P3861="",M3861&lt;&gt;"Paid",O3861=""),"",P3861/O3861)</f>
        <v/>
      </c>
      <c r="R3861" s="30" t="str">
        <f aca="false">IF(Q3861="","",Q3861+N(H3861)*0.000000001)</f>
        <v/>
      </c>
      <c r="S3861" s="25" t="str">
        <f aca="false">IF(R3861="","",SUMPRODUCT((I$5:I$4004=I3861)*ISNUMBER(R$5:R$4004)*(R$5:R$4004&gt;R3861))+1)</f>
        <v/>
      </c>
      <c r="T3861" s="25" t="str">
        <f aca="false">IF(S3861="","",IF(S3861&lt;=Setup!$B$5,"🏆 WINNER",""))</f>
        <v/>
      </c>
      <c r="U3861" s="24" t="str">
        <f aca="false">IF(S3861="","",I3861&amp;"|"&amp;S3861)</f>
        <v/>
      </c>
    </row>
    <row r="3862" customFormat="false" ht="15" hidden="false" customHeight="false" outlineLevel="0" collapsed="false">
      <c r="A3862" s="31" t="n">
        <v>3858</v>
      </c>
      <c r="B3862" s="32" t="str">
        <f aca="false">IF(OR(C3862="",I3862="",G3862=""),"",IFERROR(VLOOKUP(I3862,Setup!$A$9:$B$11,2,0),"???")&amp;"-"&amp;G3862&amp;"-"&amp;TEXT(COUNTIFS(I$5:I3862,I3862,G$5:G3862,G3862),"0000"))</f>
        <v/>
      </c>
      <c r="C3862" s="26"/>
      <c r="D3862" s="26"/>
      <c r="E3862" s="27"/>
      <c r="F3862" s="27"/>
      <c r="G3862" s="31" t="str">
        <f aca="false">IF(F3862="","",IF(F3862&lt;=5,"A",IF(F3862&lt;=8,"B",IF(F3862&lt;=10,"C","D"))))</f>
        <v/>
      </c>
      <c r="H3862" s="28"/>
      <c r="I3862" s="27"/>
      <c r="J3862" s="26"/>
      <c r="K3862" s="27"/>
      <c r="L3862" s="27"/>
      <c r="M3862" s="27"/>
      <c r="N3862" s="27"/>
      <c r="O3862" s="31" t="str">
        <f aca="false">IF(G3862="","",VLOOKUP(G3862,Setup!$A$14:$C$17,3,0))</f>
        <v/>
      </c>
      <c r="P3862" s="27"/>
      <c r="Q3862" s="33" t="str">
        <f aca="false">IF(OR(P3862="",M3862&lt;&gt;"Paid",O3862=""),"",P3862/O3862)</f>
        <v/>
      </c>
      <c r="R3862" s="34" t="str">
        <f aca="false">IF(Q3862="","",Q3862+N(H3862)*0.000000001)</f>
        <v/>
      </c>
      <c r="S3862" s="32" t="str">
        <f aca="false">IF(R3862="","",SUMPRODUCT((I$5:I$4004=I3862)*ISNUMBER(R$5:R$4004)*(R$5:R$4004&gt;R3862))+1)</f>
        <v/>
      </c>
      <c r="T3862" s="32" t="str">
        <f aca="false">IF(S3862="","",IF(S3862&lt;=Setup!$B$5,"🏆 WINNER",""))</f>
        <v/>
      </c>
      <c r="U3862" s="31" t="str">
        <f aca="false">IF(S3862="","",I3862&amp;"|"&amp;S3862)</f>
        <v/>
      </c>
    </row>
    <row r="3863" customFormat="false" ht="15" hidden="false" customHeight="false" outlineLevel="0" collapsed="false">
      <c r="A3863" s="24" t="n">
        <v>3859</v>
      </c>
      <c r="B3863" s="25" t="str">
        <f aca="false">IF(OR(C3863="",I3863="",G3863=""),"",IFERROR(VLOOKUP(I3863,Setup!$A$9:$B$11,2,0),"???")&amp;"-"&amp;G3863&amp;"-"&amp;TEXT(COUNTIFS(I$5:I3863,I3863,G$5:G3863,G3863),"0000"))</f>
        <v/>
      </c>
      <c r="C3863" s="26"/>
      <c r="D3863" s="26"/>
      <c r="E3863" s="27"/>
      <c r="F3863" s="27"/>
      <c r="G3863" s="24" t="str">
        <f aca="false">IF(F3863="","",IF(F3863&lt;=5,"A",IF(F3863&lt;=8,"B",IF(F3863&lt;=10,"C","D"))))</f>
        <v/>
      </c>
      <c r="H3863" s="28"/>
      <c r="I3863" s="27"/>
      <c r="J3863" s="26"/>
      <c r="K3863" s="27"/>
      <c r="L3863" s="27"/>
      <c r="M3863" s="27"/>
      <c r="N3863" s="27"/>
      <c r="O3863" s="24" t="str">
        <f aca="false">IF(G3863="","",VLOOKUP(G3863,Setup!$A$14:$C$17,3,0))</f>
        <v/>
      </c>
      <c r="P3863" s="27"/>
      <c r="Q3863" s="29" t="str">
        <f aca="false">IF(OR(P3863="",M3863&lt;&gt;"Paid",O3863=""),"",P3863/O3863)</f>
        <v/>
      </c>
      <c r="R3863" s="30" t="str">
        <f aca="false">IF(Q3863="","",Q3863+N(H3863)*0.000000001)</f>
        <v/>
      </c>
      <c r="S3863" s="25" t="str">
        <f aca="false">IF(R3863="","",SUMPRODUCT((I$5:I$4004=I3863)*ISNUMBER(R$5:R$4004)*(R$5:R$4004&gt;R3863))+1)</f>
        <v/>
      </c>
      <c r="T3863" s="25" t="str">
        <f aca="false">IF(S3863="","",IF(S3863&lt;=Setup!$B$5,"🏆 WINNER",""))</f>
        <v/>
      </c>
      <c r="U3863" s="24" t="str">
        <f aca="false">IF(S3863="","",I3863&amp;"|"&amp;S3863)</f>
        <v/>
      </c>
    </row>
    <row r="3864" customFormat="false" ht="15" hidden="false" customHeight="false" outlineLevel="0" collapsed="false">
      <c r="A3864" s="31" t="n">
        <v>3860</v>
      </c>
      <c r="B3864" s="32" t="str">
        <f aca="false">IF(OR(C3864="",I3864="",G3864=""),"",IFERROR(VLOOKUP(I3864,Setup!$A$9:$B$11,2,0),"???")&amp;"-"&amp;G3864&amp;"-"&amp;TEXT(COUNTIFS(I$5:I3864,I3864,G$5:G3864,G3864),"0000"))</f>
        <v/>
      </c>
      <c r="C3864" s="26"/>
      <c r="D3864" s="26"/>
      <c r="E3864" s="27"/>
      <c r="F3864" s="27"/>
      <c r="G3864" s="31" t="str">
        <f aca="false">IF(F3864="","",IF(F3864&lt;=5,"A",IF(F3864&lt;=8,"B",IF(F3864&lt;=10,"C","D"))))</f>
        <v/>
      </c>
      <c r="H3864" s="28"/>
      <c r="I3864" s="27"/>
      <c r="J3864" s="26"/>
      <c r="K3864" s="27"/>
      <c r="L3864" s="27"/>
      <c r="M3864" s="27"/>
      <c r="N3864" s="27"/>
      <c r="O3864" s="31" t="str">
        <f aca="false">IF(G3864="","",VLOOKUP(G3864,Setup!$A$14:$C$17,3,0))</f>
        <v/>
      </c>
      <c r="P3864" s="27"/>
      <c r="Q3864" s="33" t="str">
        <f aca="false">IF(OR(P3864="",M3864&lt;&gt;"Paid",O3864=""),"",P3864/O3864)</f>
        <v/>
      </c>
      <c r="R3864" s="34" t="str">
        <f aca="false">IF(Q3864="","",Q3864+N(H3864)*0.000000001)</f>
        <v/>
      </c>
      <c r="S3864" s="32" t="str">
        <f aca="false">IF(R3864="","",SUMPRODUCT((I$5:I$4004=I3864)*ISNUMBER(R$5:R$4004)*(R$5:R$4004&gt;R3864))+1)</f>
        <v/>
      </c>
      <c r="T3864" s="32" t="str">
        <f aca="false">IF(S3864="","",IF(S3864&lt;=Setup!$B$5,"🏆 WINNER",""))</f>
        <v/>
      </c>
      <c r="U3864" s="31" t="str">
        <f aca="false">IF(S3864="","",I3864&amp;"|"&amp;S3864)</f>
        <v/>
      </c>
    </row>
    <row r="3865" customFormat="false" ht="15" hidden="false" customHeight="false" outlineLevel="0" collapsed="false">
      <c r="A3865" s="24" t="n">
        <v>3861</v>
      </c>
      <c r="B3865" s="25" t="str">
        <f aca="false">IF(OR(C3865="",I3865="",G3865=""),"",IFERROR(VLOOKUP(I3865,Setup!$A$9:$B$11,2,0),"???")&amp;"-"&amp;G3865&amp;"-"&amp;TEXT(COUNTIFS(I$5:I3865,I3865,G$5:G3865,G3865),"0000"))</f>
        <v/>
      </c>
      <c r="C3865" s="26"/>
      <c r="D3865" s="26"/>
      <c r="E3865" s="27"/>
      <c r="F3865" s="27"/>
      <c r="G3865" s="24" t="str">
        <f aca="false">IF(F3865="","",IF(F3865&lt;=5,"A",IF(F3865&lt;=8,"B",IF(F3865&lt;=10,"C","D"))))</f>
        <v/>
      </c>
      <c r="H3865" s="28"/>
      <c r="I3865" s="27"/>
      <c r="J3865" s="26"/>
      <c r="K3865" s="27"/>
      <c r="L3865" s="27"/>
      <c r="M3865" s="27"/>
      <c r="N3865" s="27"/>
      <c r="O3865" s="24" t="str">
        <f aca="false">IF(G3865="","",VLOOKUP(G3865,Setup!$A$14:$C$17,3,0))</f>
        <v/>
      </c>
      <c r="P3865" s="27"/>
      <c r="Q3865" s="29" t="str">
        <f aca="false">IF(OR(P3865="",M3865&lt;&gt;"Paid",O3865=""),"",P3865/O3865)</f>
        <v/>
      </c>
      <c r="R3865" s="30" t="str">
        <f aca="false">IF(Q3865="","",Q3865+N(H3865)*0.000000001)</f>
        <v/>
      </c>
      <c r="S3865" s="25" t="str">
        <f aca="false">IF(R3865="","",SUMPRODUCT((I$5:I$4004=I3865)*ISNUMBER(R$5:R$4004)*(R$5:R$4004&gt;R3865))+1)</f>
        <v/>
      </c>
      <c r="T3865" s="25" t="str">
        <f aca="false">IF(S3865="","",IF(S3865&lt;=Setup!$B$5,"🏆 WINNER",""))</f>
        <v/>
      </c>
      <c r="U3865" s="24" t="str">
        <f aca="false">IF(S3865="","",I3865&amp;"|"&amp;S3865)</f>
        <v/>
      </c>
    </row>
    <row r="3866" customFormat="false" ht="15" hidden="false" customHeight="false" outlineLevel="0" collapsed="false">
      <c r="A3866" s="31" t="n">
        <v>3862</v>
      </c>
      <c r="B3866" s="32" t="str">
        <f aca="false">IF(OR(C3866="",I3866="",G3866=""),"",IFERROR(VLOOKUP(I3866,Setup!$A$9:$B$11,2,0),"???")&amp;"-"&amp;G3866&amp;"-"&amp;TEXT(COUNTIFS(I$5:I3866,I3866,G$5:G3866,G3866),"0000"))</f>
        <v/>
      </c>
      <c r="C3866" s="26"/>
      <c r="D3866" s="26"/>
      <c r="E3866" s="27"/>
      <c r="F3866" s="27"/>
      <c r="G3866" s="31" t="str">
        <f aca="false">IF(F3866="","",IF(F3866&lt;=5,"A",IF(F3866&lt;=8,"B",IF(F3866&lt;=10,"C","D"))))</f>
        <v/>
      </c>
      <c r="H3866" s="28"/>
      <c r="I3866" s="27"/>
      <c r="J3866" s="26"/>
      <c r="K3866" s="27"/>
      <c r="L3866" s="27"/>
      <c r="M3866" s="27"/>
      <c r="N3866" s="27"/>
      <c r="O3866" s="31" t="str">
        <f aca="false">IF(G3866="","",VLOOKUP(G3866,Setup!$A$14:$C$17,3,0))</f>
        <v/>
      </c>
      <c r="P3866" s="27"/>
      <c r="Q3866" s="33" t="str">
        <f aca="false">IF(OR(P3866="",M3866&lt;&gt;"Paid",O3866=""),"",P3866/O3866)</f>
        <v/>
      </c>
      <c r="R3866" s="34" t="str">
        <f aca="false">IF(Q3866="","",Q3866+N(H3866)*0.000000001)</f>
        <v/>
      </c>
      <c r="S3866" s="32" t="str">
        <f aca="false">IF(R3866="","",SUMPRODUCT((I$5:I$4004=I3866)*ISNUMBER(R$5:R$4004)*(R$5:R$4004&gt;R3866))+1)</f>
        <v/>
      </c>
      <c r="T3866" s="32" t="str">
        <f aca="false">IF(S3866="","",IF(S3866&lt;=Setup!$B$5,"🏆 WINNER",""))</f>
        <v/>
      </c>
      <c r="U3866" s="31" t="str">
        <f aca="false">IF(S3866="","",I3866&amp;"|"&amp;S3866)</f>
        <v/>
      </c>
    </row>
    <row r="3867" customFormat="false" ht="15" hidden="false" customHeight="false" outlineLevel="0" collapsed="false">
      <c r="A3867" s="24" t="n">
        <v>3863</v>
      </c>
      <c r="B3867" s="25" t="str">
        <f aca="false">IF(OR(C3867="",I3867="",G3867=""),"",IFERROR(VLOOKUP(I3867,Setup!$A$9:$B$11,2,0),"???")&amp;"-"&amp;G3867&amp;"-"&amp;TEXT(COUNTIFS(I$5:I3867,I3867,G$5:G3867,G3867),"0000"))</f>
        <v/>
      </c>
      <c r="C3867" s="26"/>
      <c r="D3867" s="26"/>
      <c r="E3867" s="27"/>
      <c r="F3867" s="27"/>
      <c r="G3867" s="24" t="str">
        <f aca="false">IF(F3867="","",IF(F3867&lt;=5,"A",IF(F3867&lt;=8,"B",IF(F3867&lt;=10,"C","D"))))</f>
        <v/>
      </c>
      <c r="H3867" s="28"/>
      <c r="I3867" s="27"/>
      <c r="J3867" s="26"/>
      <c r="K3867" s="27"/>
      <c r="L3867" s="27"/>
      <c r="M3867" s="27"/>
      <c r="N3867" s="27"/>
      <c r="O3867" s="24" t="str">
        <f aca="false">IF(G3867="","",VLOOKUP(G3867,Setup!$A$14:$C$17,3,0))</f>
        <v/>
      </c>
      <c r="P3867" s="27"/>
      <c r="Q3867" s="29" t="str">
        <f aca="false">IF(OR(P3867="",M3867&lt;&gt;"Paid",O3867=""),"",P3867/O3867)</f>
        <v/>
      </c>
      <c r="R3867" s="30" t="str">
        <f aca="false">IF(Q3867="","",Q3867+N(H3867)*0.000000001)</f>
        <v/>
      </c>
      <c r="S3867" s="25" t="str">
        <f aca="false">IF(R3867="","",SUMPRODUCT((I$5:I$4004=I3867)*ISNUMBER(R$5:R$4004)*(R$5:R$4004&gt;R3867))+1)</f>
        <v/>
      </c>
      <c r="T3867" s="25" t="str">
        <f aca="false">IF(S3867="","",IF(S3867&lt;=Setup!$B$5,"🏆 WINNER",""))</f>
        <v/>
      </c>
      <c r="U3867" s="24" t="str">
        <f aca="false">IF(S3867="","",I3867&amp;"|"&amp;S3867)</f>
        <v/>
      </c>
    </row>
    <row r="3868" customFormat="false" ht="15" hidden="false" customHeight="false" outlineLevel="0" collapsed="false">
      <c r="A3868" s="31" t="n">
        <v>3864</v>
      </c>
      <c r="B3868" s="32" t="str">
        <f aca="false">IF(OR(C3868="",I3868="",G3868=""),"",IFERROR(VLOOKUP(I3868,Setup!$A$9:$B$11,2,0),"???")&amp;"-"&amp;G3868&amp;"-"&amp;TEXT(COUNTIFS(I$5:I3868,I3868,G$5:G3868,G3868),"0000"))</f>
        <v/>
      </c>
      <c r="C3868" s="26"/>
      <c r="D3868" s="26"/>
      <c r="E3868" s="27"/>
      <c r="F3868" s="27"/>
      <c r="G3868" s="31" t="str">
        <f aca="false">IF(F3868="","",IF(F3868&lt;=5,"A",IF(F3868&lt;=8,"B",IF(F3868&lt;=10,"C","D"))))</f>
        <v/>
      </c>
      <c r="H3868" s="28"/>
      <c r="I3868" s="27"/>
      <c r="J3868" s="26"/>
      <c r="K3868" s="27"/>
      <c r="L3868" s="27"/>
      <c r="M3868" s="27"/>
      <c r="N3868" s="27"/>
      <c r="O3868" s="31" t="str">
        <f aca="false">IF(G3868="","",VLOOKUP(G3868,Setup!$A$14:$C$17,3,0))</f>
        <v/>
      </c>
      <c r="P3868" s="27"/>
      <c r="Q3868" s="33" t="str">
        <f aca="false">IF(OR(P3868="",M3868&lt;&gt;"Paid",O3868=""),"",P3868/O3868)</f>
        <v/>
      </c>
      <c r="R3868" s="34" t="str">
        <f aca="false">IF(Q3868="","",Q3868+N(H3868)*0.000000001)</f>
        <v/>
      </c>
      <c r="S3868" s="32" t="str">
        <f aca="false">IF(R3868="","",SUMPRODUCT((I$5:I$4004=I3868)*ISNUMBER(R$5:R$4004)*(R$5:R$4004&gt;R3868))+1)</f>
        <v/>
      </c>
      <c r="T3868" s="32" t="str">
        <f aca="false">IF(S3868="","",IF(S3868&lt;=Setup!$B$5,"🏆 WINNER",""))</f>
        <v/>
      </c>
      <c r="U3868" s="31" t="str">
        <f aca="false">IF(S3868="","",I3868&amp;"|"&amp;S3868)</f>
        <v/>
      </c>
    </row>
    <row r="3869" customFormat="false" ht="15" hidden="false" customHeight="false" outlineLevel="0" collapsed="false">
      <c r="A3869" s="24" t="n">
        <v>3865</v>
      </c>
      <c r="B3869" s="25" t="str">
        <f aca="false">IF(OR(C3869="",I3869="",G3869=""),"",IFERROR(VLOOKUP(I3869,Setup!$A$9:$B$11,2,0),"???")&amp;"-"&amp;G3869&amp;"-"&amp;TEXT(COUNTIFS(I$5:I3869,I3869,G$5:G3869,G3869),"0000"))</f>
        <v/>
      </c>
      <c r="C3869" s="26"/>
      <c r="D3869" s="26"/>
      <c r="E3869" s="27"/>
      <c r="F3869" s="27"/>
      <c r="G3869" s="24" t="str">
        <f aca="false">IF(F3869="","",IF(F3869&lt;=5,"A",IF(F3869&lt;=8,"B",IF(F3869&lt;=10,"C","D"))))</f>
        <v/>
      </c>
      <c r="H3869" s="28"/>
      <c r="I3869" s="27"/>
      <c r="J3869" s="26"/>
      <c r="K3869" s="27"/>
      <c r="L3869" s="27"/>
      <c r="M3869" s="27"/>
      <c r="N3869" s="27"/>
      <c r="O3869" s="24" t="str">
        <f aca="false">IF(G3869="","",VLOOKUP(G3869,Setup!$A$14:$C$17,3,0))</f>
        <v/>
      </c>
      <c r="P3869" s="27"/>
      <c r="Q3869" s="29" t="str">
        <f aca="false">IF(OR(P3869="",M3869&lt;&gt;"Paid",O3869=""),"",P3869/O3869)</f>
        <v/>
      </c>
      <c r="R3869" s="30" t="str">
        <f aca="false">IF(Q3869="","",Q3869+N(H3869)*0.000000001)</f>
        <v/>
      </c>
      <c r="S3869" s="25" t="str">
        <f aca="false">IF(R3869="","",SUMPRODUCT((I$5:I$4004=I3869)*ISNUMBER(R$5:R$4004)*(R$5:R$4004&gt;R3869))+1)</f>
        <v/>
      </c>
      <c r="T3869" s="25" t="str">
        <f aca="false">IF(S3869="","",IF(S3869&lt;=Setup!$B$5,"🏆 WINNER",""))</f>
        <v/>
      </c>
      <c r="U3869" s="24" t="str">
        <f aca="false">IF(S3869="","",I3869&amp;"|"&amp;S3869)</f>
        <v/>
      </c>
    </row>
    <row r="3870" customFormat="false" ht="15" hidden="false" customHeight="false" outlineLevel="0" collapsed="false">
      <c r="A3870" s="31" t="n">
        <v>3866</v>
      </c>
      <c r="B3870" s="32" t="str">
        <f aca="false">IF(OR(C3870="",I3870="",G3870=""),"",IFERROR(VLOOKUP(I3870,Setup!$A$9:$B$11,2,0),"???")&amp;"-"&amp;G3870&amp;"-"&amp;TEXT(COUNTIFS(I$5:I3870,I3870,G$5:G3870,G3870),"0000"))</f>
        <v/>
      </c>
      <c r="C3870" s="26"/>
      <c r="D3870" s="26"/>
      <c r="E3870" s="27"/>
      <c r="F3870" s="27"/>
      <c r="G3870" s="31" t="str">
        <f aca="false">IF(F3870="","",IF(F3870&lt;=5,"A",IF(F3870&lt;=8,"B",IF(F3870&lt;=10,"C","D"))))</f>
        <v/>
      </c>
      <c r="H3870" s="28"/>
      <c r="I3870" s="27"/>
      <c r="J3870" s="26"/>
      <c r="K3870" s="27"/>
      <c r="L3870" s="27"/>
      <c r="M3870" s="27"/>
      <c r="N3870" s="27"/>
      <c r="O3870" s="31" t="str">
        <f aca="false">IF(G3870="","",VLOOKUP(G3870,Setup!$A$14:$C$17,3,0))</f>
        <v/>
      </c>
      <c r="P3870" s="27"/>
      <c r="Q3870" s="33" t="str">
        <f aca="false">IF(OR(P3870="",M3870&lt;&gt;"Paid",O3870=""),"",P3870/O3870)</f>
        <v/>
      </c>
      <c r="R3870" s="34" t="str">
        <f aca="false">IF(Q3870="","",Q3870+N(H3870)*0.000000001)</f>
        <v/>
      </c>
      <c r="S3870" s="32" t="str">
        <f aca="false">IF(R3870="","",SUMPRODUCT((I$5:I$4004=I3870)*ISNUMBER(R$5:R$4004)*(R$5:R$4004&gt;R3870))+1)</f>
        <v/>
      </c>
      <c r="T3870" s="32" t="str">
        <f aca="false">IF(S3870="","",IF(S3870&lt;=Setup!$B$5,"🏆 WINNER",""))</f>
        <v/>
      </c>
      <c r="U3870" s="31" t="str">
        <f aca="false">IF(S3870="","",I3870&amp;"|"&amp;S3870)</f>
        <v/>
      </c>
    </row>
    <row r="3871" customFormat="false" ht="15" hidden="false" customHeight="false" outlineLevel="0" collapsed="false">
      <c r="A3871" s="24" t="n">
        <v>3867</v>
      </c>
      <c r="B3871" s="25" t="str">
        <f aca="false">IF(OR(C3871="",I3871="",G3871=""),"",IFERROR(VLOOKUP(I3871,Setup!$A$9:$B$11,2,0),"???")&amp;"-"&amp;G3871&amp;"-"&amp;TEXT(COUNTIFS(I$5:I3871,I3871,G$5:G3871,G3871),"0000"))</f>
        <v/>
      </c>
      <c r="C3871" s="26"/>
      <c r="D3871" s="26"/>
      <c r="E3871" s="27"/>
      <c r="F3871" s="27"/>
      <c r="G3871" s="24" t="str">
        <f aca="false">IF(F3871="","",IF(F3871&lt;=5,"A",IF(F3871&lt;=8,"B",IF(F3871&lt;=10,"C","D"))))</f>
        <v/>
      </c>
      <c r="H3871" s="28"/>
      <c r="I3871" s="27"/>
      <c r="J3871" s="26"/>
      <c r="K3871" s="27"/>
      <c r="L3871" s="27"/>
      <c r="M3871" s="27"/>
      <c r="N3871" s="27"/>
      <c r="O3871" s="24" t="str">
        <f aca="false">IF(G3871="","",VLOOKUP(G3871,Setup!$A$14:$C$17,3,0))</f>
        <v/>
      </c>
      <c r="P3871" s="27"/>
      <c r="Q3871" s="29" t="str">
        <f aca="false">IF(OR(P3871="",M3871&lt;&gt;"Paid",O3871=""),"",P3871/O3871)</f>
        <v/>
      </c>
      <c r="R3871" s="30" t="str">
        <f aca="false">IF(Q3871="","",Q3871+N(H3871)*0.000000001)</f>
        <v/>
      </c>
      <c r="S3871" s="25" t="str">
        <f aca="false">IF(R3871="","",SUMPRODUCT((I$5:I$4004=I3871)*ISNUMBER(R$5:R$4004)*(R$5:R$4004&gt;R3871))+1)</f>
        <v/>
      </c>
      <c r="T3871" s="25" t="str">
        <f aca="false">IF(S3871="","",IF(S3871&lt;=Setup!$B$5,"🏆 WINNER",""))</f>
        <v/>
      </c>
      <c r="U3871" s="24" t="str">
        <f aca="false">IF(S3871="","",I3871&amp;"|"&amp;S3871)</f>
        <v/>
      </c>
    </row>
    <row r="3872" customFormat="false" ht="15" hidden="false" customHeight="false" outlineLevel="0" collapsed="false">
      <c r="A3872" s="31" t="n">
        <v>3868</v>
      </c>
      <c r="B3872" s="32" t="str">
        <f aca="false">IF(OR(C3872="",I3872="",G3872=""),"",IFERROR(VLOOKUP(I3872,Setup!$A$9:$B$11,2,0),"???")&amp;"-"&amp;G3872&amp;"-"&amp;TEXT(COUNTIFS(I$5:I3872,I3872,G$5:G3872,G3872),"0000"))</f>
        <v/>
      </c>
      <c r="C3872" s="26"/>
      <c r="D3872" s="26"/>
      <c r="E3872" s="27"/>
      <c r="F3872" s="27"/>
      <c r="G3872" s="31" t="str">
        <f aca="false">IF(F3872="","",IF(F3872&lt;=5,"A",IF(F3872&lt;=8,"B",IF(F3872&lt;=10,"C","D"))))</f>
        <v/>
      </c>
      <c r="H3872" s="28"/>
      <c r="I3872" s="27"/>
      <c r="J3872" s="26"/>
      <c r="K3872" s="27"/>
      <c r="L3872" s="27"/>
      <c r="M3872" s="27"/>
      <c r="N3872" s="27"/>
      <c r="O3872" s="31" t="str">
        <f aca="false">IF(G3872="","",VLOOKUP(G3872,Setup!$A$14:$C$17,3,0))</f>
        <v/>
      </c>
      <c r="P3872" s="27"/>
      <c r="Q3872" s="33" t="str">
        <f aca="false">IF(OR(P3872="",M3872&lt;&gt;"Paid",O3872=""),"",P3872/O3872)</f>
        <v/>
      </c>
      <c r="R3872" s="34" t="str">
        <f aca="false">IF(Q3872="","",Q3872+N(H3872)*0.000000001)</f>
        <v/>
      </c>
      <c r="S3872" s="32" t="str">
        <f aca="false">IF(R3872="","",SUMPRODUCT((I$5:I$4004=I3872)*ISNUMBER(R$5:R$4004)*(R$5:R$4004&gt;R3872))+1)</f>
        <v/>
      </c>
      <c r="T3872" s="32" t="str">
        <f aca="false">IF(S3872="","",IF(S3872&lt;=Setup!$B$5,"🏆 WINNER",""))</f>
        <v/>
      </c>
      <c r="U3872" s="31" t="str">
        <f aca="false">IF(S3872="","",I3872&amp;"|"&amp;S3872)</f>
        <v/>
      </c>
    </row>
    <row r="3873" customFormat="false" ht="15" hidden="false" customHeight="false" outlineLevel="0" collapsed="false">
      <c r="A3873" s="24" t="n">
        <v>3869</v>
      </c>
      <c r="B3873" s="25" t="str">
        <f aca="false">IF(OR(C3873="",I3873="",G3873=""),"",IFERROR(VLOOKUP(I3873,Setup!$A$9:$B$11,2,0),"???")&amp;"-"&amp;G3873&amp;"-"&amp;TEXT(COUNTIFS(I$5:I3873,I3873,G$5:G3873,G3873),"0000"))</f>
        <v/>
      </c>
      <c r="C3873" s="26"/>
      <c r="D3873" s="26"/>
      <c r="E3873" s="27"/>
      <c r="F3873" s="27"/>
      <c r="G3873" s="24" t="str">
        <f aca="false">IF(F3873="","",IF(F3873&lt;=5,"A",IF(F3873&lt;=8,"B",IF(F3873&lt;=10,"C","D"))))</f>
        <v/>
      </c>
      <c r="H3873" s="28"/>
      <c r="I3873" s="27"/>
      <c r="J3873" s="26"/>
      <c r="K3873" s="27"/>
      <c r="L3873" s="27"/>
      <c r="M3873" s="27"/>
      <c r="N3873" s="27"/>
      <c r="O3873" s="24" t="str">
        <f aca="false">IF(G3873="","",VLOOKUP(G3873,Setup!$A$14:$C$17,3,0))</f>
        <v/>
      </c>
      <c r="P3873" s="27"/>
      <c r="Q3873" s="29" t="str">
        <f aca="false">IF(OR(P3873="",M3873&lt;&gt;"Paid",O3873=""),"",P3873/O3873)</f>
        <v/>
      </c>
      <c r="R3873" s="30" t="str">
        <f aca="false">IF(Q3873="","",Q3873+N(H3873)*0.000000001)</f>
        <v/>
      </c>
      <c r="S3873" s="25" t="str">
        <f aca="false">IF(R3873="","",SUMPRODUCT((I$5:I$4004=I3873)*ISNUMBER(R$5:R$4004)*(R$5:R$4004&gt;R3873))+1)</f>
        <v/>
      </c>
      <c r="T3873" s="25" t="str">
        <f aca="false">IF(S3873="","",IF(S3873&lt;=Setup!$B$5,"🏆 WINNER",""))</f>
        <v/>
      </c>
      <c r="U3873" s="24" t="str">
        <f aca="false">IF(S3873="","",I3873&amp;"|"&amp;S3873)</f>
        <v/>
      </c>
    </row>
    <row r="3874" customFormat="false" ht="15" hidden="false" customHeight="false" outlineLevel="0" collapsed="false">
      <c r="A3874" s="31" t="n">
        <v>3870</v>
      </c>
      <c r="B3874" s="32" t="str">
        <f aca="false">IF(OR(C3874="",I3874="",G3874=""),"",IFERROR(VLOOKUP(I3874,Setup!$A$9:$B$11,2,0),"???")&amp;"-"&amp;G3874&amp;"-"&amp;TEXT(COUNTIFS(I$5:I3874,I3874,G$5:G3874,G3874),"0000"))</f>
        <v/>
      </c>
      <c r="C3874" s="26"/>
      <c r="D3874" s="26"/>
      <c r="E3874" s="27"/>
      <c r="F3874" s="27"/>
      <c r="G3874" s="31" t="str">
        <f aca="false">IF(F3874="","",IF(F3874&lt;=5,"A",IF(F3874&lt;=8,"B",IF(F3874&lt;=10,"C","D"))))</f>
        <v/>
      </c>
      <c r="H3874" s="28"/>
      <c r="I3874" s="27"/>
      <c r="J3874" s="26"/>
      <c r="K3874" s="27"/>
      <c r="L3874" s="27"/>
      <c r="M3874" s="27"/>
      <c r="N3874" s="27"/>
      <c r="O3874" s="31" t="str">
        <f aca="false">IF(G3874="","",VLOOKUP(G3874,Setup!$A$14:$C$17,3,0))</f>
        <v/>
      </c>
      <c r="P3874" s="27"/>
      <c r="Q3874" s="33" t="str">
        <f aca="false">IF(OR(P3874="",M3874&lt;&gt;"Paid",O3874=""),"",P3874/O3874)</f>
        <v/>
      </c>
      <c r="R3874" s="34" t="str">
        <f aca="false">IF(Q3874="","",Q3874+N(H3874)*0.000000001)</f>
        <v/>
      </c>
      <c r="S3874" s="32" t="str">
        <f aca="false">IF(R3874="","",SUMPRODUCT((I$5:I$4004=I3874)*ISNUMBER(R$5:R$4004)*(R$5:R$4004&gt;R3874))+1)</f>
        <v/>
      </c>
      <c r="T3874" s="32" t="str">
        <f aca="false">IF(S3874="","",IF(S3874&lt;=Setup!$B$5,"🏆 WINNER",""))</f>
        <v/>
      </c>
      <c r="U3874" s="31" t="str">
        <f aca="false">IF(S3874="","",I3874&amp;"|"&amp;S3874)</f>
        <v/>
      </c>
    </row>
    <row r="3875" customFormat="false" ht="15" hidden="false" customHeight="false" outlineLevel="0" collapsed="false">
      <c r="A3875" s="24" t="n">
        <v>3871</v>
      </c>
      <c r="B3875" s="25" t="str">
        <f aca="false">IF(OR(C3875="",I3875="",G3875=""),"",IFERROR(VLOOKUP(I3875,Setup!$A$9:$B$11,2,0),"???")&amp;"-"&amp;G3875&amp;"-"&amp;TEXT(COUNTIFS(I$5:I3875,I3875,G$5:G3875,G3875),"0000"))</f>
        <v/>
      </c>
      <c r="C3875" s="26"/>
      <c r="D3875" s="26"/>
      <c r="E3875" s="27"/>
      <c r="F3875" s="27"/>
      <c r="G3875" s="24" t="str">
        <f aca="false">IF(F3875="","",IF(F3875&lt;=5,"A",IF(F3875&lt;=8,"B",IF(F3875&lt;=10,"C","D"))))</f>
        <v/>
      </c>
      <c r="H3875" s="28"/>
      <c r="I3875" s="27"/>
      <c r="J3875" s="26"/>
      <c r="K3875" s="27"/>
      <c r="L3875" s="27"/>
      <c r="M3875" s="27"/>
      <c r="N3875" s="27"/>
      <c r="O3875" s="24" t="str">
        <f aca="false">IF(G3875="","",VLOOKUP(G3875,Setup!$A$14:$C$17,3,0))</f>
        <v/>
      </c>
      <c r="P3875" s="27"/>
      <c r="Q3875" s="29" t="str">
        <f aca="false">IF(OR(P3875="",M3875&lt;&gt;"Paid",O3875=""),"",P3875/O3875)</f>
        <v/>
      </c>
      <c r="R3875" s="30" t="str">
        <f aca="false">IF(Q3875="","",Q3875+N(H3875)*0.000000001)</f>
        <v/>
      </c>
      <c r="S3875" s="25" t="str">
        <f aca="false">IF(R3875="","",SUMPRODUCT((I$5:I$4004=I3875)*ISNUMBER(R$5:R$4004)*(R$5:R$4004&gt;R3875))+1)</f>
        <v/>
      </c>
      <c r="T3875" s="25" t="str">
        <f aca="false">IF(S3875="","",IF(S3875&lt;=Setup!$B$5,"🏆 WINNER",""))</f>
        <v/>
      </c>
      <c r="U3875" s="24" t="str">
        <f aca="false">IF(S3875="","",I3875&amp;"|"&amp;S3875)</f>
        <v/>
      </c>
    </row>
    <row r="3876" customFormat="false" ht="15" hidden="false" customHeight="false" outlineLevel="0" collapsed="false">
      <c r="A3876" s="31" t="n">
        <v>3872</v>
      </c>
      <c r="B3876" s="32" t="str">
        <f aca="false">IF(OR(C3876="",I3876="",G3876=""),"",IFERROR(VLOOKUP(I3876,Setup!$A$9:$B$11,2,0),"???")&amp;"-"&amp;G3876&amp;"-"&amp;TEXT(COUNTIFS(I$5:I3876,I3876,G$5:G3876,G3876),"0000"))</f>
        <v/>
      </c>
      <c r="C3876" s="26"/>
      <c r="D3876" s="26"/>
      <c r="E3876" s="27"/>
      <c r="F3876" s="27"/>
      <c r="G3876" s="31" t="str">
        <f aca="false">IF(F3876="","",IF(F3876&lt;=5,"A",IF(F3876&lt;=8,"B",IF(F3876&lt;=10,"C","D"))))</f>
        <v/>
      </c>
      <c r="H3876" s="28"/>
      <c r="I3876" s="27"/>
      <c r="J3876" s="26"/>
      <c r="K3876" s="27"/>
      <c r="L3876" s="27"/>
      <c r="M3876" s="27"/>
      <c r="N3876" s="27"/>
      <c r="O3876" s="31" t="str">
        <f aca="false">IF(G3876="","",VLOOKUP(G3876,Setup!$A$14:$C$17,3,0))</f>
        <v/>
      </c>
      <c r="P3876" s="27"/>
      <c r="Q3876" s="33" t="str">
        <f aca="false">IF(OR(P3876="",M3876&lt;&gt;"Paid",O3876=""),"",P3876/O3876)</f>
        <v/>
      </c>
      <c r="R3876" s="34" t="str">
        <f aca="false">IF(Q3876="","",Q3876+N(H3876)*0.000000001)</f>
        <v/>
      </c>
      <c r="S3876" s="32" t="str">
        <f aca="false">IF(R3876="","",SUMPRODUCT((I$5:I$4004=I3876)*ISNUMBER(R$5:R$4004)*(R$5:R$4004&gt;R3876))+1)</f>
        <v/>
      </c>
      <c r="T3876" s="32" t="str">
        <f aca="false">IF(S3876="","",IF(S3876&lt;=Setup!$B$5,"🏆 WINNER",""))</f>
        <v/>
      </c>
      <c r="U3876" s="31" t="str">
        <f aca="false">IF(S3876="","",I3876&amp;"|"&amp;S3876)</f>
        <v/>
      </c>
    </row>
    <row r="3877" customFormat="false" ht="15" hidden="false" customHeight="false" outlineLevel="0" collapsed="false">
      <c r="A3877" s="24" t="n">
        <v>3873</v>
      </c>
      <c r="B3877" s="25" t="str">
        <f aca="false">IF(OR(C3877="",I3877="",G3877=""),"",IFERROR(VLOOKUP(I3877,Setup!$A$9:$B$11,2,0),"???")&amp;"-"&amp;G3877&amp;"-"&amp;TEXT(COUNTIFS(I$5:I3877,I3877,G$5:G3877,G3877),"0000"))</f>
        <v/>
      </c>
      <c r="C3877" s="26"/>
      <c r="D3877" s="26"/>
      <c r="E3877" s="27"/>
      <c r="F3877" s="27"/>
      <c r="G3877" s="24" t="str">
        <f aca="false">IF(F3877="","",IF(F3877&lt;=5,"A",IF(F3877&lt;=8,"B",IF(F3877&lt;=10,"C","D"))))</f>
        <v/>
      </c>
      <c r="H3877" s="28"/>
      <c r="I3877" s="27"/>
      <c r="J3877" s="26"/>
      <c r="K3877" s="27"/>
      <c r="L3877" s="27"/>
      <c r="M3877" s="27"/>
      <c r="N3877" s="27"/>
      <c r="O3877" s="24" t="str">
        <f aca="false">IF(G3877="","",VLOOKUP(G3877,Setup!$A$14:$C$17,3,0))</f>
        <v/>
      </c>
      <c r="P3877" s="27"/>
      <c r="Q3877" s="29" t="str">
        <f aca="false">IF(OR(P3877="",M3877&lt;&gt;"Paid",O3877=""),"",P3877/O3877)</f>
        <v/>
      </c>
      <c r="R3877" s="30" t="str">
        <f aca="false">IF(Q3877="","",Q3877+N(H3877)*0.000000001)</f>
        <v/>
      </c>
      <c r="S3877" s="25" t="str">
        <f aca="false">IF(R3877="","",SUMPRODUCT((I$5:I$4004=I3877)*ISNUMBER(R$5:R$4004)*(R$5:R$4004&gt;R3877))+1)</f>
        <v/>
      </c>
      <c r="T3877" s="25" t="str">
        <f aca="false">IF(S3877="","",IF(S3877&lt;=Setup!$B$5,"🏆 WINNER",""))</f>
        <v/>
      </c>
      <c r="U3877" s="24" t="str">
        <f aca="false">IF(S3877="","",I3877&amp;"|"&amp;S3877)</f>
        <v/>
      </c>
    </row>
    <row r="3878" customFormat="false" ht="15" hidden="false" customHeight="false" outlineLevel="0" collapsed="false">
      <c r="A3878" s="31" t="n">
        <v>3874</v>
      </c>
      <c r="B3878" s="32" t="str">
        <f aca="false">IF(OR(C3878="",I3878="",G3878=""),"",IFERROR(VLOOKUP(I3878,Setup!$A$9:$B$11,2,0),"???")&amp;"-"&amp;G3878&amp;"-"&amp;TEXT(COUNTIFS(I$5:I3878,I3878,G$5:G3878,G3878),"0000"))</f>
        <v/>
      </c>
      <c r="C3878" s="26"/>
      <c r="D3878" s="26"/>
      <c r="E3878" s="27"/>
      <c r="F3878" s="27"/>
      <c r="G3878" s="31" t="str">
        <f aca="false">IF(F3878="","",IF(F3878&lt;=5,"A",IF(F3878&lt;=8,"B",IF(F3878&lt;=10,"C","D"))))</f>
        <v/>
      </c>
      <c r="H3878" s="28"/>
      <c r="I3878" s="27"/>
      <c r="J3878" s="26"/>
      <c r="K3878" s="27"/>
      <c r="L3878" s="27"/>
      <c r="M3878" s="27"/>
      <c r="N3878" s="27"/>
      <c r="O3878" s="31" t="str">
        <f aca="false">IF(G3878="","",VLOOKUP(G3878,Setup!$A$14:$C$17,3,0))</f>
        <v/>
      </c>
      <c r="P3878" s="27"/>
      <c r="Q3878" s="33" t="str">
        <f aca="false">IF(OR(P3878="",M3878&lt;&gt;"Paid",O3878=""),"",P3878/O3878)</f>
        <v/>
      </c>
      <c r="R3878" s="34" t="str">
        <f aca="false">IF(Q3878="","",Q3878+N(H3878)*0.000000001)</f>
        <v/>
      </c>
      <c r="S3878" s="32" t="str">
        <f aca="false">IF(R3878="","",SUMPRODUCT((I$5:I$4004=I3878)*ISNUMBER(R$5:R$4004)*(R$5:R$4004&gt;R3878))+1)</f>
        <v/>
      </c>
      <c r="T3878" s="32" t="str">
        <f aca="false">IF(S3878="","",IF(S3878&lt;=Setup!$B$5,"🏆 WINNER",""))</f>
        <v/>
      </c>
      <c r="U3878" s="31" t="str">
        <f aca="false">IF(S3878="","",I3878&amp;"|"&amp;S3878)</f>
        <v/>
      </c>
    </row>
    <row r="3879" customFormat="false" ht="15" hidden="false" customHeight="false" outlineLevel="0" collapsed="false">
      <c r="A3879" s="24" t="n">
        <v>3875</v>
      </c>
      <c r="B3879" s="25" t="str">
        <f aca="false">IF(OR(C3879="",I3879="",G3879=""),"",IFERROR(VLOOKUP(I3879,Setup!$A$9:$B$11,2,0),"???")&amp;"-"&amp;G3879&amp;"-"&amp;TEXT(COUNTIFS(I$5:I3879,I3879,G$5:G3879,G3879),"0000"))</f>
        <v/>
      </c>
      <c r="C3879" s="26"/>
      <c r="D3879" s="26"/>
      <c r="E3879" s="27"/>
      <c r="F3879" s="27"/>
      <c r="G3879" s="24" t="str">
        <f aca="false">IF(F3879="","",IF(F3879&lt;=5,"A",IF(F3879&lt;=8,"B",IF(F3879&lt;=10,"C","D"))))</f>
        <v/>
      </c>
      <c r="H3879" s="28"/>
      <c r="I3879" s="27"/>
      <c r="J3879" s="26"/>
      <c r="K3879" s="27"/>
      <c r="L3879" s="27"/>
      <c r="M3879" s="27"/>
      <c r="N3879" s="27"/>
      <c r="O3879" s="24" t="str">
        <f aca="false">IF(G3879="","",VLOOKUP(G3879,Setup!$A$14:$C$17,3,0))</f>
        <v/>
      </c>
      <c r="P3879" s="27"/>
      <c r="Q3879" s="29" t="str">
        <f aca="false">IF(OR(P3879="",M3879&lt;&gt;"Paid",O3879=""),"",P3879/O3879)</f>
        <v/>
      </c>
      <c r="R3879" s="30" t="str">
        <f aca="false">IF(Q3879="","",Q3879+N(H3879)*0.000000001)</f>
        <v/>
      </c>
      <c r="S3879" s="25" t="str">
        <f aca="false">IF(R3879="","",SUMPRODUCT((I$5:I$4004=I3879)*ISNUMBER(R$5:R$4004)*(R$5:R$4004&gt;R3879))+1)</f>
        <v/>
      </c>
      <c r="T3879" s="25" t="str">
        <f aca="false">IF(S3879="","",IF(S3879&lt;=Setup!$B$5,"🏆 WINNER",""))</f>
        <v/>
      </c>
      <c r="U3879" s="24" t="str">
        <f aca="false">IF(S3879="","",I3879&amp;"|"&amp;S3879)</f>
        <v/>
      </c>
    </row>
    <row r="3880" customFormat="false" ht="15" hidden="false" customHeight="false" outlineLevel="0" collapsed="false">
      <c r="A3880" s="31" t="n">
        <v>3876</v>
      </c>
      <c r="B3880" s="32" t="str">
        <f aca="false">IF(OR(C3880="",I3880="",G3880=""),"",IFERROR(VLOOKUP(I3880,Setup!$A$9:$B$11,2,0),"???")&amp;"-"&amp;G3880&amp;"-"&amp;TEXT(COUNTIFS(I$5:I3880,I3880,G$5:G3880,G3880),"0000"))</f>
        <v/>
      </c>
      <c r="C3880" s="26"/>
      <c r="D3880" s="26"/>
      <c r="E3880" s="27"/>
      <c r="F3880" s="27"/>
      <c r="G3880" s="31" t="str">
        <f aca="false">IF(F3880="","",IF(F3880&lt;=5,"A",IF(F3880&lt;=8,"B",IF(F3880&lt;=10,"C","D"))))</f>
        <v/>
      </c>
      <c r="H3880" s="28"/>
      <c r="I3880" s="27"/>
      <c r="J3880" s="26"/>
      <c r="K3880" s="27"/>
      <c r="L3880" s="27"/>
      <c r="M3880" s="27"/>
      <c r="N3880" s="27"/>
      <c r="O3880" s="31" t="str">
        <f aca="false">IF(G3880="","",VLOOKUP(G3880,Setup!$A$14:$C$17,3,0))</f>
        <v/>
      </c>
      <c r="P3880" s="27"/>
      <c r="Q3880" s="33" t="str">
        <f aca="false">IF(OR(P3880="",M3880&lt;&gt;"Paid",O3880=""),"",P3880/O3880)</f>
        <v/>
      </c>
      <c r="R3880" s="34" t="str">
        <f aca="false">IF(Q3880="","",Q3880+N(H3880)*0.000000001)</f>
        <v/>
      </c>
      <c r="S3880" s="32" t="str">
        <f aca="false">IF(R3880="","",SUMPRODUCT((I$5:I$4004=I3880)*ISNUMBER(R$5:R$4004)*(R$5:R$4004&gt;R3880))+1)</f>
        <v/>
      </c>
      <c r="T3880" s="32" t="str">
        <f aca="false">IF(S3880="","",IF(S3880&lt;=Setup!$B$5,"🏆 WINNER",""))</f>
        <v/>
      </c>
      <c r="U3880" s="31" t="str">
        <f aca="false">IF(S3880="","",I3880&amp;"|"&amp;S3880)</f>
        <v/>
      </c>
    </row>
    <row r="3881" customFormat="false" ht="15" hidden="false" customHeight="false" outlineLevel="0" collapsed="false">
      <c r="A3881" s="24" t="n">
        <v>3877</v>
      </c>
      <c r="B3881" s="25" t="str">
        <f aca="false">IF(OR(C3881="",I3881="",G3881=""),"",IFERROR(VLOOKUP(I3881,Setup!$A$9:$B$11,2,0),"???")&amp;"-"&amp;G3881&amp;"-"&amp;TEXT(COUNTIFS(I$5:I3881,I3881,G$5:G3881,G3881),"0000"))</f>
        <v/>
      </c>
      <c r="C3881" s="26"/>
      <c r="D3881" s="26"/>
      <c r="E3881" s="27"/>
      <c r="F3881" s="27"/>
      <c r="G3881" s="24" t="str">
        <f aca="false">IF(F3881="","",IF(F3881&lt;=5,"A",IF(F3881&lt;=8,"B",IF(F3881&lt;=10,"C","D"))))</f>
        <v/>
      </c>
      <c r="H3881" s="28"/>
      <c r="I3881" s="27"/>
      <c r="J3881" s="26"/>
      <c r="K3881" s="27"/>
      <c r="L3881" s="27"/>
      <c r="M3881" s="27"/>
      <c r="N3881" s="27"/>
      <c r="O3881" s="24" t="str">
        <f aca="false">IF(G3881="","",VLOOKUP(G3881,Setup!$A$14:$C$17,3,0))</f>
        <v/>
      </c>
      <c r="P3881" s="27"/>
      <c r="Q3881" s="29" t="str">
        <f aca="false">IF(OR(P3881="",M3881&lt;&gt;"Paid",O3881=""),"",P3881/O3881)</f>
        <v/>
      </c>
      <c r="R3881" s="30" t="str">
        <f aca="false">IF(Q3881="","",Q3881+N(H3881)*0.000000001)</f>
        <v/>
      </c>
      <c r="S3881" s="25" t="str">
        <f aca="false">IF(R3881="","",SUMPRODUCT((I$5:I$4004=I3881)*ISNUMBER(R$5:R$4004)*(R$5:R$4004&gt;R3881))+1)</f>
        <v/>
      </c>
      <c r="T3881" s="25" t="str">
        <f aca="false">IF(S3881="","",IF(S3881&lt;=Setup!$B$5,"🏆 WINNER",""))</f>
        <v/>
      </c>
      <c r="U3881" s="24" t="str">
        <f aca="false">IF(S3881="","",I3881&amp;"|"&amp;S3881)</f>
        <v/>
      </c>
    </row>
    <row r="3882" customFormat="false" ht="15" hidden="false" customHeight="false" outlineLevel="0" collapsed="false">
      <c r="A3882" s="31" t="n">
        <v>3878</v>
      </c>
      <c r="B3882" s="32" t="str">
        <f aca="false">IF(OR(C3882="",I3882="",G3882=""),"",IFERROR(VLOOKUP(I3882,Setup!$A$9:$B$11,2,0),"???")&amp;"-"&amp;G3882&amp;"-"&amp;TEXT(COUNTIFS(I$5:I3882,I3882,G$5:G3882,G3882),"0000"))</f>
        <v/>
      </c>
      <c r="C3882" s="26"/>
      <c r="D3882" s="26"/>
      <c r="E3882" s="27"/>
      <c r="F3882" s="27"/>
      <c r="G3882" s="31" t="str">
        <f aca="false">IF(F3882="","",IF(F3882&lt;=5,"A",IF(F3882&lt;=8,"B",IF(F3882&lt;=10,"C","D"))))</f>
        <v/>
      </c>
      <c r="H3882" s="28"/>
      <c r="I3882" s="27"/>
      <c r="J3882" s="26"/>
      <c r="K3882" s="27"/>
      <c r="L3882" s="27"/>
      <c r="M3882" s="27"/>
      <c r="N3882" s="27"/>
      <c r="O3882" s="31" t="str">
        <f aca="false">IF(G3882="","",VLOOKUP(G3882,Setup!$A$14:$C$17,3,0))</f>
        <v/>
      </c>
      <c r="P3882" s="27"/>
      <c r="Q3882" s="33" t="str">
        <f aca="false">IF(OR(P3882="",M3882&lt;&gt;"Paid",O3882=""),"",P3882/O3882)</f>
        <v/>
      </c>
      <c r="R3882" s="34" t="str">
        <f aca="false">IF(Q3882="","",Q3882+N(H3882)*0.000000001)</f>
        <v/>
      </c>
      <c r="S3882" s="32" t="str">
        <f aca="false">IF(R3882="","",SUMPRODUCT((I$5:I$4004=I3882)*ISNUMBER(R$5:R$4004)*(R$5:R$4004&gt;R3882))+1)</f>
        <v/>
      </c>
      <c r="T3882" s="32" t="str">
        <f aca="false">IF(S3882="","",IF(S3882&lt;=Setup!$B$5,"🏆 WINNER",""))</f>
        <v/>
      </c>
      <c r="U3882" s="31" t="str">
        <f aca="false">IF(S3882="","",I3882&amp;"|"&amp;S3882)</f>
        <v/>
      </c>
    </row>
    <row r="3883" customFormat="false" ht="15" hidden="false" customHeight="false" outlineLevel="0" collapsed="false">
      <c r="A3883" s="24" t="n">
        <v>3879</v>
      </c>
      <c r="B3883" s="25" t="str">
        <f aca="false">IF(OR(C3883="",I3883="",G3883=""),"",IFERROR(VLOOKUP(I3883,Setup!$A$9:$B$11,2,0),"???")&amp;"-"&amp;G3883&amp;"-"&amp;TEXT(COUNTIFS(I$5:I3883,I3883,G$5:G3883,G3883),"0000"))</f>
        <v/>
      </c>
      <c r="C3883" s="26"/>
      <c r="D3883" s="26"/>
      <c r="E3883" s="27"/>
      <c r="F3883" s="27"/>
      <c r="G3883" s="24" t="str">
        <f aca="false">IF(F3883="","",IF(F3883&lt;=5,"A",IF(F3883&lt;=8,"B",IF(F3883&lt;=10,"C","D"))))</f>
        <v/>
      </c>
      <c r="H3883" s="28"/>
      <c r="I3883" s="27"/>
      <c r="J3883" s="26"/>
      <c r="K3883" s="27"/>
      <c r="L3883" s="27"/>
      <c r="M3883" s="27"/>
      <c r="N3883" s="27"/>
      <c r="O3883" s="24" t="str">
        <f aca="false">IF(G3883="","",VLOOKUP(G3883,Setup!$A$14:$C$17,3,0))</f>
        <v/>
      </c>
      <c r="P3883" s="27"/>
      <c r="Q3883" s="29" t="str">
        <f aca="false">IF(OR(P3883="",M3883&lt;&gt;"Paid",O3883=""),"",P3883/O3883)</f>
        <v/>
      </c>
      <c r="R3883" s="30" t="str">
        <f aca="false">IF(Q3883="","",Q3883+N(H3883)*0.000000001)</f>
        <v/>
      </c>
      <c r="S3883" s="25" t="str">
        <f aca="false">IF(R3883="","",SUMPRODUCT((I$5:I$4004=I3883)*ISNUMBER(R$5:R$4004)*(R$5:R$4004&gt;R3883))+1)</f>
        <v/>
      </c>
      <c r="T3883" s="25" t="str">
        <f aca="false">IF(S3883="","",IF(S3883&lt;=Setup!$B$5,"🏆 WINNER",""))</f>
        <v/>
      </c>
      <c r="U3883" s="24" t="str">
        <f aca="false">IF(S3883="","",I3883&amp;"|"&amp;S3883)</f>
        <v/>
      </c>
    </row>
    <row r="3884" customFormat="false" ht="15" hidden="false" customHeight="false" outlineLevel="0" collapsed="false">
      <c r="A3884" s="31" t="n">
        <v>3880</v>
      </c>
      <c r="B3884" s="32" t="str">
        <f aca="false">IF(OR(C3884="",I3884="",G3884=""),"",IFERROR(VLOOKUP(I3884,Setup!$A$9:$B$11,2,0),"???")&amp;"-"&amp;G3884&amp;"-"&amp;TEXT(COUNTIFS(I$5:I3884,I3884,G$5:G3884,G3884),"0000"))</f>
        <v/>
      </c>
      <c r="C3884" s="26"/>
      <c r="D3884" s="26"/>
      <c r="E3884" s="27"/>
      <c r="F3884" s="27"/>
      <c r="G3884" s="31" t="str">
        <f aca="false">IF(F3884="","",IF(F3884&lt;=5,"A",IF(F3884&lt;=8,"B",IF(F3884&lt;=10,"C","D"))))</f>
        <v/>
      </c>
      <c r="H3884" s="28"/>
      <c r="I3884" s="27"/>
      <c r="J3884" s="26"/>
      <c r="K3884" s="27"/>
      <c r="L3884" s="27"/>
      <c r="M3884" s="27"/>
      <c r="N3884" s="27"/>
      <c r="O3884" s="31" t="str">
        <f aca="false">IF(G3884="","",VLOOKUP(G3884,Setup!$A$14:$C$17,3,0))</f>
        <v/>
      </c>
      <c r="P3884" s="27"/>
      <c r="Q3884" s="33" t="str">
        <f aca="false">IF(OR(P3884="",M3884&lt;&gt;"Paid",O3884=""),"",P3884/O3884)</f>
        <v/>
      </c>
      <c r="R3884" s="34" t="str">
        <f aca="false">IF(Q3884="","",Q3884+N(H3884)*0.000000001)</f>
        <v/>
      </c>
      <c r="S3884" s="32" t="str">
        <f aca="false">IF(R3884="","",SUMPRODUCT((I$5:I$4004=I3884)*ISNUMBER(R$5:R$4004)*(R$5:R$4004&gt;R3884))+1)</f>
        <v/>
      </c>
      <c r="T3884" s="32" t="str">
        <f aca="false">IF(S3884="","",IF(S3884&lt;=Setup!$B$5,"🏆 WINNER",""))</f>
        <v/>
      </c>
      <c r="U3884" s="31" t="str">
        <f aca="false">IF(S3884="","",I3884&amp;"|"&amp;S3884)</f>
        <v/>
      </c>
    </row>
    <row r="3885" customFormat="false" ht="15" hidden="false" customHeight="false" outlineLevel="0" collapsed="false">
      <c r="A3885" s="24" t="n">
        <v>3881</v>
      </c>
      <c r="B3885" s="25" t="str">
        <f aca="false">IF(OR(C3885="",I3885="",G3885=""),"",IFERROR(VLOOKUP(I3885,Setup!$A$9:$B$11,2,0),"???")&amp;"-"&amp;G3885&amp;"-"&amp;TEXT(COUNTIFS(I$5:I3885,I3885,G$5:G3885,G3885),"0000"))</f>
        <v/>
      </c>
      <c r="C3885" s="26"/>
      <c r="D3885" s="26"/>
      <c r="E3885" s="27"/>
      <c r="F3885" s="27"/>
      <c r="G3885" s="24" t="str">
        <f aca="false">IF(F3885="","",IF(F3885&lt;=5,"A",IF(F3885&lt;=8,"B",IF(F3885&lt;=10,"C","D"))))</f>
        <v/>
      </c>
      <c r="H3885" s="28"/>
      <c r="I3885" s="27"/>
      <c r="J3885" s="26"/>
      <c r="K3885" s="27"/>
      <c r="L3885" s="27"/>
      <c r="M3885" s="27"/>
      <c r="N3885" s="27"/>
      <c r="O3885" s="24" t="str">
        <f aca="false">IF(G3885="","",VLOOKUP(G3885,Setup!$A$14:$C$17,3,0))</f>
        <v/>
      </c>
      <c r="P3885" s="27"/>
      <c r="Q3885" s="29" t="str">
        <f aca="false">IF(OR(P3885="",M3885&lt;&gt;"Paid",O3885=""),"",P3885/O3885)</f>
        <v/>
      </c>
      <c r="R3885" s="30" t="str">
        <f aca="false">IF(Q3885="","",Q3885+N(H3885)*0.000000001)</f>
        <v/>
      </c>
      <c r="S3885" s="25" t="str">
        <f aca="false">IF(R3885="","",SUMPRODUCT((I$5:I$4004=I3885)*ISNUMBER(R$5:R$4004)*(R$5:R$4004&gt;R3885))+1)</f>
        <v/>
      </c>
      <c r="T3885" s="25" t="str">
        <f aca="false">IF(S3885="","",IF(S3885&lt;=Setup!$B$5,"🏆 WINNER",""))</f>
        <v/>
      </c>
      <c r="U3885" s="24" t="str">
        <f aca="false">IF(S3885="","",I3885&amp;"|"&amp;S3885)</f>
        <v/>
      </c>
    </row>
    <row r="3886" customFormat="false" ht="15" hidden="false" customHeight="false" outlineLevel="0" collapsed="false">
      <c r="A3886" s="31" t="n">
        <v>3882</v>
      </c>
      <c r="B3886" s="32" t="str">
        <f aca="false">IF(OR(C3886="",I3886="",G3886=""),"",IFERROR(VLOOKUP(I3886,Setup!$A$9:$B$11,2,0),"???")&amp;"-"&amp;G3886&amp;"-"&amp;TEXT(COUNTIFS(I$5:I3886,I3886,G$5:G3886,G3886),"0000"))</f>
        <v/>
      </c>
      <c r="C3886" s="26"/>
      <c r="D3886" s="26"/>
      <c r="E3886" s="27"/>
      <c r="F3886" s="27"/>
      <c r="G3886" s="31" t="str">
        <f aca="false">IF(F3886="","",IF(F3886&lt;=5,"A",IF(F3886&lt;=8,"B",IF(F3886&lt;=10,"C","D"))))</f>
        <v/>
      </c>
      <c r="H3886" s="28"/>
      <c r="I3886" s="27"/>
      <c r="J3886" s="26"/>
      <c r="K3886" s="27"/>
      <c r="L3886" s="27"/>
      <c r="M3886" s="27"/>
      <c r="N3886" s="27"/>
      <c r="O3886" s="31" t="str">
        <f aca="false">IF(G3886="","",VLOOKUP(G3886,Setup!$A$14:$C$17,3,0))</f>
        <v/>
      </c>
      <c r="P3886" s="27"/>
      <c r="Q3886" s="33" t="str">
        <f aca="false">IF(OR(P3886="",M3886&lt;&gt;"Paid",O3886=""),"",P3886/O3886)</f>
        <v/>
      </c>
      <c r="R3886" s="34" t="str">
        <f aca="false">IF(Q3886="","",Q3886+N(H3886)*0.000000001)</f>
        <v/>
      </c>
      <c r="S3886" s="32" t="str">
        <f aca="false">IF(R3886="","",SUMPRODUCT((I$5:I$4004=I3886)*ISNUMBER(R$5:R$4004)*(R$5:R$4004&gt;R3886))+1)</f>
        <v/>
      </c>
      <c r="T3886" s="32" t="str">
        <f aca="false">IF(S3886="","",IF(S3886&lt;=Setup!$B$5,"🏆 WINNER",""))</f>
        <v/>
      </c>
      <c r="U3886" s="31" t="str">
        <f aca="false">IF(S3886="","",I3886&amp;"|"&amp;S3886)</f>
        <v/>
      </c>
    </row>
    <row r="3887" customFormat="false" ht="15" hidden="false" customHeight="false" outlineLevel="0" collapsed="false">
      <c r="A3887" s="24" t="n">
        <v>3883</v>
      </c>
      <c r="B3887" s="25" t="str">
        <f aca="false">IF(OR(C3887="",I3887="",G3887=""),"",IFERROR(VLOOKUP(I3887,Setup!$A$9:$B$11,2,0),"???")&amp;"-"&amp;G3887&amp;"-"&amp;TEXT(COUNTIFS(I$5:I3887,I3887,G$5:G3887,G3887),"0000"))</f>
        <v/>
      </c>
      <c r="C3887" s="26"/>
      <c r="D3887" s="26"/>
      <c r="E3887" s="27"/>
      <c r="F3887" s="27"/>
      <c r="G3887" s="24" t="str">
        <f aca="false">IF(F3887="","",IF(F3887&lt;=5,"A",IF(F3887&lt;=8,"B",IF(F3887&lt;=10,"C","D"))))</f>
        <v/>
      </c>
      <c r="H3887" s="28"/>
      <c r="I3887" s="27"/>
      <c r="J3887" s="26"/>
      <c r="K3887" s="27"/>
      <c r="L3887" s="27"/>
      <c r="M3887" s="27"/>
      <c r="N3887" s="27"/>
      <c r="O3887" s="24" t="str">
        <f aca="false">IF(G3887="","",VLOOKUP(G3887,Setup!$A$14:$C$17,3,0))</f>
        <v/>
      </c>
      <c r="P3887" s="27"/>
      <c r="Q3887" s="29" t="str">
        <f aca="false">IF(OR(P3887="",M3887&lt;&gt;"Paid",O3887=""),"",P3887/O3887)</f>
        <v/>
      </c>
      <c r="R3887" s="30" t="str">
        <f aca="false">IF(Q3887="","",Q3887+N(H3887)*0.000000001)</f>
        <v/>
      </c>
      <c r="S3887" s="25" t="str">
        <f aca="false">IF(R3887="","",SUMPRODUCT((I$5:I$4004=I3887)*ISNUMBER(R$5:R$4004)*(R$5:R$4004&gt;R3887))+1)</f>
        <v/>
      </c>
      <c r="T3887" s="25" t="str">
        <f aca="false">IF(S3887="","",IF(S3887&lt;=Setup!$B$5,"🏆 WINNER",""))</f>
        <v/>
      </c>
      <c r="U3887" s="24" t="str">
        <f aca="false">IF(S3887="","",I3887&amp;"|"&amp;S3887)</f>
        <v/>
      </c>
    </row>
    <row r="3888" customFormat="false" ht="15" hidden="false" customHeight="false" outlineLevel="0" collapsed="false">
      <c r="A3888" s="31" t="n">
        <v>3884</v>
      </c>
      <c r="B3888" s="32" t="str">
        <f aca="false">IF(OR(C3888="",I3888="",G3888=""),"",IFERROR(VLOOKUP(I3888,Setup!$A$9:$B$11,2,0),"???")&amp;"-"&amp;G3888&amp;"-"&amp;TEXT(COUNTIFS(I$5:I3888,I3888,G$5:G3888,G3888),"0000"))</f>
        <v/>
      </c>
      <c r="C3888" s="26"/>
      <c r="D3888" s="26"/>
      <c r="E3888" s="27"/>
      <c r="F3888" s="27"/>
      <c r="G3888" s="31" t="str">
        <f aca="false">IF(F3888="","",IF(F3888&lt;=5,"A",IF(F3888&lt;=8,"B",IF(F3888&lt;=10,"C","D"))))</f>
        <v/>
      </c>
      <c r="H3888" s="28"/>
      <c r="I3888" s="27"/>
      <c r="J3888" s="26"/>
      <c r="K3888" s="27"/>
      <c r="L3888" s="27"/>
      <c r="M3888" s="27"/>
      <c r="N3888" s="27"/>
      <c r="O3888" s="31" t="str">
        <f aca="false">IF(G3888="","",VLOOKUP(G3888,Setup!$A$14:$C$17,3,0))</f>
        <v/>
      </c>
      <c r="P3888" s="27"/>
      <c r="Q3888" s="33" t="str">
        <f aca="false">IF(OR(P3888="",M3888&lt;&gt;"Paid",O3888=""),"",P3888/O3888)</f>
        <v/>
      </c>
      <c r="R3888" s="34" t="str">
        <f aca="false">IF(Q3888="","",Q3888+N(H3888)*0.000000001)</f>
        <v/>
      </c>
      <c r="S3888" s="32" t="str">
        <f aca="false">IF(R3888="","",SUMPRODUCT((I$5:I$4004=I3888)*ISNUMBER(R$5:R$4004)*(R$5:R$4004&gt;R3888))+1)</f>
        <v/>
      </c>
      <c r="T3888" s="32" t="str">
        <f aca="false">IF(S3888="","",IF(S3888&lt;=Setup!$B$5,"🏆 WINNER",""))</f>
        <v/>
      </c>
      <c r="U3888" s="31" t="str">
        <f aca="false">IF(S3888="","",I3888&amp;"|"&amp;S3888)</f>
        <v/>
      </c>
    </row>
    <row r="3889" customFormat="false" ht="15" hidden="false" customHeight="false" outlineLevel="0" collapsed="false">
      <c r="A3889" s="24" t="n">
        <v>3885</v>
      </c>
      <c r="B3889" s="25" t="str">
        <f aca="false">IF(OR(C3889="",I3889="",G3889=""),"",IFERROR(VLOOKUP(I3889,Setup!$A$9:$B$11,2,0),"???")&amp;"-"&amp;G3889&amp;"-"&amp;TEXT(COUNTIFS(I$5:I3889,I3889,G$5:G3889,G3889),"0000"))</f>
        <v/>
      </c>
      <c r="C3889" s="26"/>
      <c r="D3889" s="26"/>
      <c r="E3889" s="27"/>
      <c r="F3889" s="27"/>
      <c r="G3889" s="24" t="str">
        <f aca="false">IF(F3889="","",IF(F3889&lt;=5,"A",IF(F3889&lt;=8,"B",IF(F3889&lt;=10,"C","D"))))</f>
        <v/>
      </c>
      <c r="H3889" s="28"/>
      <c r="I3889" s="27"/>
      <c r="J3889" s="26"/>
      <c r="K3889" s="27"/>
      <c r="L3889" s="27"/>
      <c r="M3889" s="27"/>
      <c r="N3889" s="27"/>
      <c r="O3889" s="24" t="str">
        <f aca="false">IF(G3889="","",VLOOKUP(G3889,Setup!$A$14:$C$17,3,0))</f>
        <v/>
      </c>
      <c r="P3889" s="27"/>
      <c r="Q3889" s="29" t="str">
        <f aca="false">IF(OR(P3889="",M3889&lt;&gt;"Paid",O3889=""),"",P3889/O3889)</f>
        <v/>
      </c>
      <c r="R3889" s="30" t="str">
        <f aca="false">IF(Q3889="","",Q3889+N(H3889)*0.000000001)</f>
        <v/>
      </c>
      <c r="S3889" s="25" t="str">
        <f aca="false">IF(R3889="","",SUMPRODUCT((I$5:I$4004=I3889)*ISNUMBER(R$5:R$4004)*(R$5:R$4004&gt;R3889))+1)</f>
        <v/>
      </c>
      <c r="T3889" s="25" t="str">
        <f aca="false">IF(S3889="","",IF(S3889&lt;=Setup!$B$5,"🏆 WINNER",""))</f>
        <v/>
      </c>
      <c r="U3889" s="24" t="str">
        <f aca="false">IF(S3889="","",I3889&amp;"|"&amp;S3889)</f>
        <v/>
      </c>
    </row>
    <row r="3890" customFormat="false" ht="15" hidden="false" customHeight="false" outlineLevel="0" collapsed="false">
      <c r="A3890" s="31" t="n">
        <v>3886</v>
      </c>
      <c r="B3890" s="32" t="str">
        <f aca="false">IF(OR(C3890="",I3890="",G3890=""),"",IFERROR(VLOOKUP(I3890,Setup!$A$9:$B$11,2,0),"???")&amp;"-"&amp;G3890&amp;"-"&amp;TEXT(COUNTIFS(I$5:I3890,I3890,G$5:G3890,G3890),"0000"))</f>
        <v/>
      </c>
      <c r="C3890" s="26"/>
      <c r="D3890" s="26"/>
      <c r="E3890" s="27"/>
      <c r="F3890" s="27"/>
      <c r="G3890" s="31" t="str">
        <f aca="false">IF(F3890="","",IF(F3890&lt;=5,"A",IF(F3890&lt;=8,"B",IF(F3890&lt;=10,"C","D"))))</f>
        <v/>
      </c>
      <c r="H3890" s="28"/>
      <c r="I3890" s="27"/>
      <c r="J3890" s="26"/>
      <c r="K3890" s="27"/>
      <c r="L3890" s="27"/>
      <c r="M3890" s="27"/>
      <c r="N3890" s="27"/>
      <c r="O3890" s="31" t="str">
        <f aca="false">IF(G3890="","",VLOOKUP(G3890,Setup!$A$14:$C$17,3,0))</f>
        <v/>
      </c>
      <c r="P3890" s="27"/>
      <c r="Q3890" s="33" t="str">
        <f aca="false">IF(OR(P3890="",M3890&lt;&gt;"Paid",O3890=""),"",P3890/O3890)</f>
        <v/>
      </c>
      <c r="R3890" s="34" t="str">
        <f aca="false">IF(Q3890="","",Q3890+N(H3890)*0.000000001)</f>
        <v/>
      </c>
      <c r="S3890" s="32" t="str">
        <f aca="false">IF(R3890="","",SUMPRODUCT((I$5:I$4004=I3890)*ISNUMBER(R$5:R$4004)*(R$5:R$4004&gt;R3890))+1)</f>
        <v/>
      </c>
      <c r="T3890" s="32" t="str">
        <f aca="false">IF(S3890="","",IF(S3890&lt;=Setup!$B$5,"🏆 WINNER",""))</f>
        <v/>
      </c>
      <c r="U3890" s="31" t="str">
        <f aca="false">IF(S3890="","",I3890&amp;"|"&amp;S3890)</f>
        <v/>
      </c>
    </row>
    <row r="3891" customFormat="false" ht="15" hidden="false" customHeight="false" outlineLevel="0" collapsed="false">
      <c r="A3891" s="24" t="n">
        <v>3887</v>
      </c>
      <c r="B3891" s="25" t="str">
        <f aca="false">IF(OR(C3891="",I3891="",G3891=""),"",IFERROR(VLOOKUP(I3891,Setup!$A$9:$B$11,2,0),"???")&amp;"-"&amp;G3891&amp;"-"&amp;TEXT(COUNTIFS(I$5:I3891,I3891,G$5:G3891,G3891),"0000"))</f>
        <v/>
      </c>
      <c r="C3891" s="26"/>
      <c r="D3891" s="26"/>
      <c r="E3891" s="27"/>
      <c r="F3891" s="27"/>
      <c r="G3891" s="24" t="str">
        <f aca="false">IF(F3891="","",IF(F3891&lt;=5,"A",IF(F3891&lt;=8,"B",IF(F3891&lt;=10,"C","D"))))</f>
        <v/>
      </c>
      <c r="H3891" s="28"/>
      <c r="I3891" s="27"/>
      <c r="J3891" s="26"/>
      <c r="K3891" s="27"/>
      <c r="L3891" s="27"/>
      <c r="M3891" s="27"/>
      <c r="N3891" s="27"/>
      <c r="O3891" s="24" t="str">
        <f aca="false">IF(G3891="","",VLOOKUP(G3891,Setup!$A$14:$C$17,3,0))</f>
        <v/>
      </c>
      <c r="P3891" s="27"/>
      <c r="Q3891" s="29" t="str">
        <f aca="false">IF(OR(P3891="",M3891&lt;&gt;"Paid",O3891=""),"",P3891/O3891)</f>
        <v/>
      </c>
      <c r="R3891" s="30" t="str">
        <f aca="false">IF(Q3891="","",Q3891+N(H3891)*0.000000001)</f>
        <v/>
      </c>
      <c r="S3891" s="25" t="str">
        <f aca="false">IF(R3891="","",SUMPRODUCT((I$5:I$4004=I3891)*ISNUMBER(R$5:R$4004)*(R$5:R$4004&gt;R3891))+1)</f>
        <v/>
      </c>
      <c r="T3891" s="25" t="str">
        <f aca="false">IF(S3891="","",IF(S3891&lt;=Setup!$B$5,"🏆 WINNER",""))</f>
        <v/>
      </c>
      <c r="U3891" s="24" t="str">
        <f aca="false">IF(S3891="","",I3891&amp;"|"&amp;S3891)</f>
        <v/>
      </c>
    </row>
    <row r="3892" customFormat="false" ht="15" hidden="false" customHeight="false" outlineLevel="0" collapsed="false">
      <c r="A3892" s="31" t="n">
        <v>3888</v>
      </c>
      <c r="B3892" s="32" t="str">
        <f aca="false">IF(OR(C3892="",I3892="",G3892=""),"",IFERROR(VLOOKUP(I3892,Setup!$A$9:$B$11,2,0),"???")&amp;"-"&amp;G3892&amp;"-"&amp;TEXT(COUNTIFS(I$5:I3892,I3892,G$5:G3892,G3892),"0000"))</f>
        <v/>
      </c>
      <c r="C3892" s="26"/>
      <c r="D3892" s="26"/>
      <c r="E3892" s="27"/>
      <c r="F3892" s="27"/>
      <c r="G3892" s="31" t="str">
        <f aca="false">IF(F3892="","",IF(F3892&lt;=5,"A",IF(F3892&lt;=8,"B",IF(F3892&lt;=10,"C","D"))))</f>
        <v/>
      </c>
      <c r="H3892" s="28"/>
      <c r="I3892" s="27"/>
      <c r="J3892" s="26"/>
      <c r="K3892" s="27"/>
      <c r="L3892" s="27"/>
      <c r="M3892" s="27"/>
      <c r="N3892" s="27"/>
      <c r="O3892" s="31" t="str">
        <f aca="false">IF(G3892="","",VLOOKUP(G3892,Setup!$A$14:$C$17,3,0))</f>
        <v/>
      </c>
      <c r="P3892" s="27"/>
      <c r="Q3892" s="33" t="str">
        <f aca="false">IF(OR(P3892="",M3892&lt;&gt;"Paid",O3892=""),"",P3892/O3892)</f>
        <v/>
      </c>
      <c r="R3892" s="34" t="str">
        <f aca="false">IF(Q3892="","",Q3892+N(H3892)*0.000000001)</f>
        <v/>
      </c>
      <c r="S3892" s="32" t="str">
        <f aca="false">IF(R3892="","",SUMPRODUCT((I$5:I$4004=I3892)*ISNUMBER(R$5:R$4004)*(R$5:R$4004&gt;R3892))+1)</f>
        <v/>
      </c>
      <c r="T3892" s="32" t="str">
        <f aca="false">IF(S3892="","",IF(S3892&lt;=Setup!$B$5,"🏆 WINNER",""))</f>
        <v/>
      </c>
      <c r="U3892" s="31" t="str">
        <f aca="false">IF(S3892="","",I3892&amp;"|"&amp;S3892)</f>
        <v/>
      </c>
    </row>
    <row r="3893" customFormat="false" ht="15" hidden="false" customHeight="false" outlineLevel="0" collapsed="false">
      <c r="A3893" s="24" t="n">
        <v>3889</v>
      </c>
      <c r="B3893" s="25" t="str">
        <f aca="false">IF(OR(C3893="",I3893="",G3893=""),"",IFERROR(VLOOKUP(I3893,Setup!$A$9:$B$11,2,0),"???")&amp;"-"&amp;G3893&amp;"-"&amp;TEXT(COUNTIFS(I$5:I3893,I3893,G$5:G3893,G3893),"0000"))</f>
        <v/>
      </c>
      <c r="C3893" s="26"/>
      <c r="D3893" s="26"/>
      <c r="E3893" s="27"/>
      <c r="F3893" s="27"/>
      <c r="G3893" s="24" t="str">
        <f aca="false">IF(F3893="","",IF(F3893&lt;=5,"A",IF(F3893&lt;=8,"B",IF(F3893&lt;=10,"C","D"))))</f>
        <v/>
      </c>
      <c r="H3893" s="28"/>
      <c r="I3893" s="27"/>
      <c r="J3893" s="26"/>
      <c r="K3893" s="27"/>
      <c r="L3893" s="27"/>
      <c r="M3893" s="27"/>
      <c r="N3893" s="27"/>
      <c r="O3893" s="24" t="str">
        <f aca="false">IF(G3893="","",VLOOKUP(G3893,Setup!$A$14:$C$17,3,0))</f>
        <v/>
      </c>
      <c r="P3893" s="27"/>
      <c r="Q3893" s="29" t="str">
        <f aca="false">IF(OR(P3893="",M3893&lt;&gt;"Paid",O3893=""),"",P3893/O3893)</f>
        <v/>
      </c>
      <c r="R3893" s="30" t="str">
        <f aca="false">IF(Q3893="","",Q3893+N(H3893)*0.000000001)</f>
        <v/>
      </c>
      <c r="S3893" s="25" t="str">
        <f aca="false">IF(R3893="","",SUMPRODUCT((I$5:I$4004=I3893)*ISNUMBER(R$5:R$4004)*(R$5:R$4004&gt;R3893))+1)</f>
        <v/>
      </c>
      <c r="T3893" s="25" t="str">
        <f aca="false">IF(S3893="","",IF(S3893&lt;=Setup!$B$5,"🏆 WINNER",""))</f>
        <v/>
      </c>
      <c r="U3893" s="24" t="str">
        <f aca="false">IF(S3893="","",I3893&amp;"|"&amp;S3893)</f>
        <v/>
      </c>
    </row>
    <row r="3894" customFormat="false" ht="15" hidden="false" customHeight="false" outlineLevel="0" collapsed="false">
      <c r="A3894" s="31" t="n">
        <v>3890</v>
      </c>
      <c r="B3894" s="32" t="str">
        <f aca="false">IF(OR(C3894="",I3894="",G3894=""),"",IFERROR(VLOOKUP(I3894,Setup!$A$9:$B$11,2,0),"???")&amp;"-"&amp;G3894&amp;"-"&amp;TEXT(COUNTIFS(I$5:I3894,I3894,G$5:G3894,G3894),"0000"))</f>
        <v/>
      </c>
      <c r="C3894" s="26"/>
      <c r="D3894" s="26"/>
      <c r="E3894" s="27"/>
      <c r="F3894" s="27"/>
      <c r="G3894" s="31" t="str">
        <f aca="false">IF(F3894="","",IF(F3894&lt;=5,"A",IF(F3894&lt;=8,"B",IF(F3894&lt;=10,"C","D"))))</f>
        <v/>
      </c>
      <c r="H3894" s="28"/>
      <c r="I3894" s="27"/>
      <c r="J3894" s="26"/>
      <c r="K3894" s="27"/>
      <c r="L3894" s="27"/>
      <c r="M3894" s="27"/>
      <c r="N3894" s="27"/>
      <c r="O3894" s="31" t="str">
        <f aca="false">IF(G3894="","",VLOOKUP(G3894,Setup!$A$14:$C$17,3,0))</f>
        <v/>
      </c>
      <c r="P3894" s="27"/>
      <c r="Q3894" s="33" t="str">
        <f aca="false">IF(OR(P3894="",M3894&lt;&gt;"Paid",O3894=""),"",P3894/O3894)</f>
        <v/>
      </c>
      <c r="R3894" s="34" t="str">
        <f aca="false">IF(Q3894="","",Q3894+N(H3894)*0.000000001)</f>
        <v/>
      </c>
      <c r="S3894" s="32" t="str">
        <f aca="false">IF(R3894="","",SUMPRODUCT((I$5:I$4004=I3894)*ISNUMBER(R$5:R$4004)*(R$5:R$4004&gt;R3894))+1)</f>
        <v/>
      </c>
      <c r="T3894" s="32" t="str">
        <f aca="false">IF(S3894="","",IF(S3894&lt;=Setup!$B$5,"🏆 WINNER",""))</f>
        <v/>
      </c>
      <c r="U3894" s="31" t="str">
        <f aca="false">IF(S3894="","",I3894&amp;"|"&amp;S3894)</f>
        <v/>
      </c>
    </row>
    <row r="3895" customFormat="false" ht="15" hidden="false" customHeight="false" outlineLevel="0" collapsed="false">
      <c r="A3895" s="24" t="n">
        <v>3891</v>
      </c>
      <c r="B3895" s="25" t="str">
        <f aca="false">IF(OR(C3895="",I3895="",G3895=""),"",IFERROR(VLOOKUP(I3895,Setup!$A$9:$B$11,2,0),"???")&amp;"-"&amp;G3895&amp;"-"&amp;TEXT(COUNTIFS(I$5:I3895,I3895,G$5:G3895,G3895),"0000"))</f>
        <v/>
      </c>
      <c r="C3895" s="26"/>
      <c r="D3895" s="26"/>
      <c r="E3895" s="27"/>
      <c r="F3895" s="27"/>
      <c r="G3895" s="24" t="str">
        <f aca="false">IF(F3895="","",IF(F3895&lt;=5,"A",IF(F3895&lt;=8,"B",IF(F3895&lt;=10,"C","D"))))</f>
        <v/>
      </c>
      <c r="H3895" s="28"/>
      <c r="I3895" s="27"/>
      <c r="J3895" s="26"/>
      <c r="K3895" s="27"/>
      <c r="L3895" s="27"/>
      <c r="M3895" s="27"/>
      <c r="N3895" s="27"/>
      <c r="O3895" s="24" t="str">
        <f aca="false">IF(G3895="","",VLOOKUP(G3895,Setup!$A$14:$C$17,3,0))</f>
        <v/>
      </c>
      <c r="P3895" s="27"/>
      <c r="Q3895" s="29" t="str">
        <f aca="false">IF(OR(P3895="",M3895&lt;&gt;"Paid",O3895=""),"",P3895/O3895)</f>
        <v/>
      </c>
      <c r="R3895" s="30" t="str">
        <f aca="false">IF(Q3895="","",Q3895+N(H3895)*0.000000001)</f>
        <v/>
      </c>
      <c r="S3895" s="25" t="str">
        <f aca="false">IF(R3895="","",SUMPRODUCT((I$5:I$4004=I3895)*ISNUMBER(R$5:R$4004)*(R$5:R$4004&gt;R3895))+1)</f>
        <v/>
      </c>
      <c r="T3895" s="25" t="str">
        <f aca="false">IF(S3895="","",IF(S3895&lt;=Setup!$B$5,"🏆 WINNER",""))</f>
        <v/>
      </c>
      <c r="U3895" s="24" t="str">
        <f aca="false">IF(S3895="","",I3895&amp;"|"&amp;S3895)</f>
        <v/>
      </c>
    </row>
    <row r="3896" customFormat="false" ht="15" hidden="false" customHeight="false" outlineLevel="0" collapsed="false">
      <c r="A3896" s="31" t="n">
        <v>3892</v>
      </c>
      <c r="B3896" s="32" t="str">
        <f aca="false">IF(OR(C3896="",I3896="",G3896=""),"",IFERROR(VLOOKUP(I3896,Setup!$A$9:$B$11,2,0),"???")&amp;"-"&amp;G3896&amp;"-"&amp;TEXT(COUNTIFS(I$5:I3896,I3896,G$5:G3896,G3896),"0000"))</f>
        <v/>
      </c>
      <c r="C3896" s="26"/>
      <c r="D3896" s="26"/>
      <c r="E3896" s="27"/>
      <c r="F3896" s="27"/>
      <c r="G3896" s="31" t="str">
        <f aca="false">IF(F3896="","",IF(F3896&lt;=5,"A",IF(F3896&lt;=8,"B",IF(F3896&lt;=10,"C","D"))))</f>
        <v/>
      </c>
      <c r="H3896" s="28"/>
      <c r="I3896" s="27"/>
      <c r="J3896" s="26"/>
      <c r="K3896" s="27"/>
      <c r="L3896" s="27"/>
      <c r="M3896" s="27"/>
      <c r="N3896" s="27"/>
      <c r="O3896" s="31" t="str">
        <f aca="false">IF(G3896="","",VLOOKUP(G3896,Setup!$A$14:$C$17,3,0))</f>
        <v/>
      </c>
      <c r="P3896" s="27"/>
      <c r="Q3896" s="33" t="str">
        <f aca="false">IF(OR(P3896="",M3896&lt;&gt;"Paid",O3896=""),"",P3896/O3896)</f>
        <v/>
      </c>
      <c r="R3896" s="34" t="str">
        <f aca="false">IF(Q3896="","",Q3896+N(H3896)*0.000000001)</f>
        <v/>
      </c>
      <c r="S3896" s="32" t="str">
        <f aca="false">IF(R3896="","",SUMPRODUCT((I$5:I$4004=I3896)*ISNUMBER(R$5:R$4004)*(R$5:R$4004&gt;R3896))+1)</f>
        <v/>
      </c>
      <c r="T3896" s="32" t="str">
        <f aca="false">IF(S3896="","",IF(S3896&lt;=Setup!$B$5,"🏆 WINNER",""))</f>
        <v/>
      </c>
      <c r="U3896" s="31" t="str">
        <f aca="false">IF(S3896="","",I3896&amp;"|"&amp;S3896)</f>
        <v/>
      </c>
    </row>
    <row r="3897" customFormat="false" ht="15" hidden="false" customHeight="false" outlineLevel="0" collapsed="false">
      <c r="A3897" s="24" t="n">
        <v>3893</v>
      </c>
      <c r="B3897" s="25" t="str">
        <f aca="false">IF(OR(C3897="",I3897="",G3897=""),"",IFERROR(VLOOKUP(I3897,Setup!$A$9:$B$11,2,0),"???")&amp;"-"&amp;G3897&amp;"-"&amp;TEXT(COUNTIFS(I$5:I3897,I3897,G$5:G3897,G3897),"0000"))</f>
        <v/>
      </c>
      <c r="C3897" s="26"/>
      <c r="D3897" s="26"/>
      <c r="E3897" s="27"/>
      <c r="F3897" s="27"/>
      <c r="G3897" s="24" t="str">
        <f aca="false">IF(F3897="","",IF(F3897&lt;=5,"A",IF(F3897&lt;=8,"B",IF(F3897&lt;=10,"C","D"))))</f>
        <v/>
      </c>
      <c r="H3897" s="28"/>
      <c r="I3897" s="27"/>
      <c r="J3897" s="26"/>
      <c r="K3897" s="27"/>
      <c r="L3897" s="27"/>
      <c r="M3897" s="27"/>
      <c r="N3897" s="27"/>
      <c r="O3897" s="24" t="str">
        <f aca="false">IF(G3897="","",VLOOKUP(G3897,Setup!$A$14:$C$17,3,0))</f>
        <v/>
      </c>
      <c r="P3897" s="27"/>
      <c r="Q3897" s="29" t="str">
        <f aca="false">IF(OR(P3897="",M3897&lt;&gt;"Paid",O3897=""),"",P3897/O3897)</f>
        <v/>
      </c>
      <c r="R3897" s="30" t="str">
        <f aca="false">IF(Q3897="","",Q3897+N(H3897)*0.000000001)</f>
        <v/>
      </c>
      <c r="S3897" s="25" t="str">
        <f aca="false">IF(R3897="","",SUMPRODUCT((I$5:I$4004=I3897)*ISNUMBER(R$5:R$4004)*(R$5:R$4004&gt;R3897))+1)</f>
        <v/>
      </c>
      <c r="T3897" s="25" t="str">
        <f aca="false">IF(S3897="","",IF(S3897&lt;=Setup!$B$5,"🏆 WINNER",""))</f>
        <v/>
      </c>
      <c r="U3897" s="24" t="str">
        <f aca="false">IF(S3897="","",I3897&amp;"|"&amp;S3897)</f>
        <v/>
      </c>
    </row>
    <row r="3898" customFormat="false" ht="15" hidden="false" customHeight="false" outlineLevel="0" collapsed="false">
      <c r="A3898" s="31" t="n">
        <v>3894</v>
      </c>
      <c r="B3898" s="32" t="str">
        <f aca="false">IF(OR(C3898="",I3898="",G3898=""),"",IFERROR(VLOOKUP(I3898,Setup!$A$9:$B$11,2,0),"???")&amp;"-"&amp;G3898&amp;"-"&amp;TEXT(COUNTIFS(I$5:I3898,I3898,G$5:G3898,G3898),"0000"))</f>
        <v/>
      </c>
      <c r="C3898" s="26"/>
      <c r="D3898" s="26"/>
      <c r="E3898" s="27"/>
      <c r="F3898" s="27"/>
      <c r="G3898" s="31" t="str">
        <f aca="false">IF(F3898="","",IF(F3898&lt;=5,"A",IF(F3898&lt;=8,"B",IF(F3898&lt;=10,"C","D"))))</f>
        <v/>
      </c>
      <c r="H3898" s="28"/>
      <c r="I3898" s="27"/>
      <c r="J3898" s="26"/>
      <c r="K3898" s="27"/>
      <c r="L3898" s="27"/>
      <c r="M3898" s="27"/>
      <c r="N3898" s="27"/>
      <c r="O3898" s="31" t="str">
        <f aca="false">IF(G3898="","",VLOOKUP(G3898,Setup!$A$14:$C$17,3,0))</f>
        <v/>
      </c>
      <c r="P3898" s="27"/>
      <c r="Q3898" s="33" t="str">
        <f aca="false">IF(OR(P3898="",M3898&lt;&gt;"Paid",O3898=""),"",P3898/O3898)</f>
        <v/>
      </c>
      <c r="R3898" s="34" t="str">
        <f aca="false">IF(Q3898="","",Q3898+N(H3898)*0.000000001)</f>
        <v/>
      </c>
      <c r="S3898" s="32" t="str">
        <f aca="false">IF(R3898="","",SUMPRODUCT((I$5:I$4004=I3898)*ISNUMBER(R$5:R$4004)*(R$5:R$4004&gt;R3898))+1)</f>
        <v/>
      </c>
      <c r="T3898" s="32" t="str">
        <f aca="false">IF(S3898="","",IF(S3898&lt;=Setup!$B$5,"🏆 WINNER",""))</f>
        <v/>
      </c>
      <c r="U3898" s="31" t="str">
        <f aca="false">IF(S3898="","",I3898&amp;"|"&amp;S3898)</f>
        <v/>
      </c>
    </row>
    <row r="3899" customFormat="false" ht="15" hidden="false" customHeight="false" outlineLevel="0" collapsed="false">
      <c r="A3899" s="24" t="n">
        <v>3895</v>
      </c>
      <c r="B3899" s="25" t="str">
        <f aca="false">IF(OR(C3899="",I3899="",G3899=""),"",IFERROR(VLOOKUP(I3899,Setup!$A$9:$B$11,2,0),"???")&amp;"-"&amp;G3899&amp;"-"&amp;TEXT(COUNTIFS(I$5:I3899,I3899,G$5:G3899,G3899),"0000"))</f>
        <v/>
      </c>
      <c r="C3899" s="26"/>
      <c r="D3899" s="26"/>
      <c r="E3899" s="27"/>
      <c r="F3899" s="27"/>
      <c r="G3899" s="24" t="str">
        <f aca="false">IF(F3899="","",IF(F3899&lt;=5,"A",IF(F3899&lt;=8,"B",IF(F3899&lt;=10,"C","D"))))</f>
        <v/>
      </c>
      <c r="H3899" s="28"/>
      <c r="I3899" s="27"/>
      <c r="J3899" s="26"/>
      <c r="K3899" s="27"/>
      <c r="L3899" s="27"/>
      <c r="M3899" s="27"/>
      <c r="N3899" s="27"/>
      <c r="O3899" s="24" t="str">
        <f aca="false">IF(G3899="","",VLOOKUP(G3899,Setup!$A$14:$C$17,3,0))</f>
        <v/>
      </c>
      <c r="P3899" s="27"/>
      <c r="Q3899" s="29" t="str">
        <f aca="false">IF(OR(P3899="",M3899&lt;&gt;"Paid",O3899=""),"",P3899/O3899)</f>
        <v/>
      </c>
      <c r="R3899" s="30" t="str">
        <f aca="false">IF(Q3899="","",Q3899+N(H3899)*0.000000001)</f>
        <v/>
      </c>
      <c r="S3899" s="25" t="str">
        <f aca="false">IF(R3899="","",SUMPRODUCT((I$5:I$4004=I3899)*ISNUMBER(R$5:R$4004)*(R$5:R$4004&gt;R3899))+1)</f>
        <v/>
      </c>
      <c r="T3899" s="25" t="str">
        <f aca="false">IF(S3899="","",IF(S3899&lt;=Setup!$B$5,"🏆 WINNER",""))</f>
        <v/>
      </c>
      <c r="U3899" s="24" t="str">
        <f aca="false">IF(S3899="","",I3899&amp;"|"&amp;S3899)</f>
        <v/>
      </c>
    </row>
    <row r="3900" customFormat="false" ht="15" hidden="false" customHeight="false" outlineLevel="0" collapsed="false">
      <c r="A3900" s="31" t="n">
        <v>3896</v>
      </c>
      <c r="B3900" s="32" t="str">
        <f aca="false">IF(OR(C3900="",I3900="",G3900=""),"",IFERROR(VLOOKUP(I3900,Setup!$A$9:$B$11,2,0),"???")&amp;"-"&amp;G3900&amp;"-"&amp;TEXT(COUNTIFS(I$5:I3900,I3900,G$5:G3900,G3900),"0000"))</f>
        <v/>
      </c>
      <c r="C3900" s="26"/>
      <c r="D3900" s="26"/>
      <c r="E3900" s="27"/>
      <c r="F3900" s="27"/>
      <c r="G3900" s="31" t="str">
        <f aca="false">IF(F3900="","",IF(F3900&lt;=5,"A",IF(F3900&lt;=8,"B",IF(F3900&lt;=10,"C","D"))))</f>
        <v/>
      </c>
      <c r="H3900" s="28"/>
      <c r="I3900" s="27"/>
      <c r="J3900" s="26"/>
      <c r="K3900" s="27"/>
      <c r="L3900" s="27"/>
      <c r="M3900" s="27"/>
      <c r="N3900" s="27"/>
      <c r="O3900" s="31" t="str">
        <f aca="false">IF(G3900="","",VLOOKUP(G3900,Setup!$A$14:$C$17,3,0))</f>
        <v/>
      </c>
      <c r="P3900" s="27"/>
      <c r="Q3900" s="33" t="str">
        <f aca="false">IF(OR(P3900="",M3900&lt;&gt;"Paid",O3900=""),"",P3900/O3900)</f>
        <v/>
      </c>
      <c r="R3900" s="34" t="str">
        <f aca="false">IF(Q3900="","",Q3900+N(H3900)*0.000000001)</f>
        <v/>
      </c>
      <c r="S3900" s="32" t="str">
        <f aca="false">IF(R3900="","",SUMPRODUCT((I$5:I$4004=I3900)*ISNUMBER(R$5:R$4004)*(R$5:R$4004&gt;R3900))+1)</f>
        <v/>
      </c>
      <c r="T3900" s="32" t="str">
        <f aca="false">IF(S3900="","",IF(S3900&lt;=Setup!$B$5,"🏆 WINNER",""))</f>
        <v/>
      </c>
      <c r="U3900" s="31" t="str">
        <f aca="false">IF(S3900="","",I3900&amp;"|"&amp;S3900)</f>
        <v/>
      </c>
    </row>
    <row r="3901" customFormat="false" ht="15" hidden="false" customHeight="false" outlineLevel="0" collapsed="false">
      <c r="A3901" s="24" t="n">
        <v>3897</v>
      </c>
      <c r="B3901" s="25" t="str">
        <f aca="false">IF(OR(C3901="",I3901="",G3901=""),"",IFERROR(VLOOKUP(I3901,Setup!$A$9:$B$11,2,0),"???")&amp;"-"&amp;G3901&amp;"-"&amp;TEXT(COUNTIFS(I$5:I3901,I3901,G$5:G3901,G3901),"0000"))</f>
        <v/>
      </c>
      <c r="C3901" s="26"/>
      <c r="D3901" s="26"/>
      <c r="E3901" s="27"/>
      <c r="F3901" s="27"/>
      <c r="G3901" s="24" t="str">
        <f aca="false">IF(F3901="","",IF(F3901&lt;=5,"A",IF(F3901&lt;=8,"B",IF(F3901&lt;=10,"C","D"))))</f>
        <v/>
      </c>
      <c r="H3901" s="28"/>
      <c r="I3901" s="27"/>
      <c r="J3901" s="26"/>
      <c r="K3901" s="27"/>
      <c r="L3901" s="27"/>
      <c r="M3901" s="27"/>
      <c r="N3901" s="27"/>
      <c r="O3901" s="24" t="str">
        <f aca="false">IF(G3901="","",VLOOKUP(G3901,Setup!$A$14:$C$17,3,0))</f>
        <v/>
      </c>
      <c r="P3901" s="27"/>
      <c r="Q3901" s="29" t="str">
        <f aca="false">IF(OR(P3901="",M3901&lt;&gt;"Paid",O3901=""),"",P3901/O3901)</f>
        <v/>
      </c>
      <c r="R3901" s="30" t="str">
        <f aca="false">IF(Q3901="","",Q3901+N(H3901)*0.000000001)</f>
        <v/>
      </c>
      <c r="S3901" s="25" t="str">
        <f aca="false">IF(R3901="","",SUMPRODUCT((I$5:I$4004=I3901)*ISNUMBER(R$5:R$4004)*(R$5:R$4004&gt;R3901))+1)</f>
        <v/>
      </c>
      <c r="T3901" s="25" t="str">
        <f aca="false">IF(S3901="","",IF(S3901&lt;=Setup!$B$5,"🏆 WINNER",""))</f>
        <v/>
      </c>
      <c r="U3901" s="24" t="str">
        <f aca="false">IF(S3901="","",I3901&amp;"|"&amp;S3901)</f>
        <v/>
      </c>
    </row>
    <row r="3902" customFormat="false" ht="15" hidden="false" customHeight="false" outlineLevel="0" collapsed="false">
      <c r="A3902" s="31" t="n">
        <v>3898</v>
      </c>
      <c r="B3902" s="32" t="str">
        <f aca="false">IF(OR(C3902="",I3902="",G3902=""),"",IFERROR(VLOOKUP(I3902,Setup!$A$9:$B$11,2,0),"???")&amp;"-"&amp;G3902&amp;"-"&amp;TEXT(COUNTIFS(I$5:I3902,I3902,G$5:G3902,G3902),"0000"))</f>
        <v/>
      </c>
      <c r="C3902" s="26"/>
      <c r="D3902" s="26"/>
      <c r="E3902" s="27"/>
      <c r="F3902" s="27"/>
      <c r="G3902" s="31" t="str">
        <f aca="false">IF(F3902="","",IF(F3902&lt;=5,"A",IF(F3902&lt;=8,"B",IF(F3902&lt;=10,"C","D"))))</f>
        <v/>
      </c>
      <c r="H3902" s="28"/>
      <c r="I3902" s="27"/>
      <c r="J3902" s="26"/>
      <c r="K3902" s="27"/>
      <c r="L3902" s="27"/>
      <c r="M3902" s="27"/>
      <c r="N3902" s="27"/>
      <c r="O3902" s="31" t="str">
        <f aca="false">IF(G3902="","",VLOOKUP(G3902,Setup!$A$14:$C$17,3,0))</f>
        <v/>
      </c>
      <c r="P3902" s="27"/>
      <c r="Q3902" s="33" t="str">
        <f aca="false">IF(OR(P3902="",M3902&lt;&gt;"Paid",O3902=""),"",P3902/O3902)</f>
        <v/>
      </c>
      <c r="R3902" s="34" t="str">
        <f aca="false">IF(Q3902="","",Q3902+N(H3902)*0.000000001)</f>
        <v/>
      </c>
      <c r="S3902" s="32" t="str">
        <f aca="false">IF(R3902="","",SUMPRODUCT((I$5:I$4004=I3902)*ISNUMBER(R$5:R$4004)*(R$5:R$4004&gt;R3902))+1)</f>
        <v/>
      </c>
      <c r="T3902" s="32" t="str">
        <f aca="false">IF(S3902="","",IF(S3902&lt;=Setup!$B$5,"🏆 WINNER",""))</f>
        <v/>
      </c>
      <c r="U3902" s="31" t="str">
        <f aca="false">IF(S3902="","",I3902&amp;"|"&amp;S3902)</f>
        <v/>
      </c>
    </row>
    <row r="3903" customFormat="false" ht="15" hidden="false" customHeight="false" outlineLevel="0" collapsed="false">
      <c r="A3903" s="24" t="n">
        <v>3899</v>
      </c>
      <c r="B3903" s="25" t="str">
        <f aca="false">IF(OR(C3903="",I3903="",G3903=""),"",IFERROR(VLOOKUP(I3903,Setup!$A$9:$B$11,2,0),"???")&amp;"-"&amp;G3903&amp;"-"&amp;TEXT(COUNTIFS(I$5:I3903,I3903,G$5:G3903,G3903),"0000"))</f>
        <v/>
      </c>
      <c r="C3903" s="26"/>
      <c r="D3903" s="26"/>
      <c r="E3903" s="27"/>
      <c r="F3903" s="27"/>
      <c r="G3903" s="24" t="str">
        <f aca="false">IF(F3903="","",IF(F3903&lt;=5,"A",IF(F3903&lt;=8,"B",IF(F3903&lt;=10,"C","D"))))</f>
        <v/>
      </c>
      <c r="H3903" s="28"/>
      <c r="I3903" s="27"/>
      <c r="J3903" s="26"/>
      <c r="K3903" s="27"/>
      <c r="L3903" s="27"/>
      <c r="M3903" s="27"/>
      <c r="N3903" s="27"/>
      <c r="O3903" s="24" t="str">
        <f aca="false">IF(G3903="","",VLOOKUP(G3903,Setup!$A$14:$C$17,3,0))</f>
        <v/>
      </c>
      <c r="P3903" s="27"/>
      <c r="Q3903" s="29" t="str">
        <f aca="false">IF(OR(P3903="",M3903&lt;&gt;"Paid",O3903=""),"",P3903/O3903)</f>
        <v/>
      </c>
      <c r="R3903" s="30" t="str">
        <f aca="false">IF(Q3903="","",Q3903+N(H3903)*0.000000001)</f>
        <v/>
      </c>
      <c r="S3903" s="25" t="str">
        <f aca="false">IF(R3903="","",SUMPRODUCT((I$5:I$4004=I3903)*ISNUMBER(R$5:R$4004)*(R$5:R$4004&gt;R3903))+1)</f>
        <v/>
      </c>
      <c r="T3903" s="25" t="str">
        <f aca="false">IF(S3903="","",IF(S3903&lt;=Setup!$B$5,"🏆 WINNER",""))</f>
        <v/>
      </c>
      <c r="U3903" s="24" t="str">
        <f aca="false">IF(S3903="","",I3903&amp;"|"&amp;S3903)</f>
        <v/>
      </c>
    </row>
    <row r="3904" customFormat="false" ht="15" hidden="false" customHeight="false" outlineLevel="0" collapsed="false">
      <c r="A3904" s="31" t="n">
        <v>3900</v>
      </c>
      <c r="B3904" s="32" t="str">
        <f aca="false">IF(OR(C3904="",I3904="",G3904=""),"",IFERROR(VLOOKUP(I3904,Setup!$A$9:$B$11,2,0),"???")&amp;"-"&amp;G3904&amp;"-"&amp;TEXT(COUNTIFS(I$5:I3904,I3904,G$5:G3904,G3904),"0000"))</f>
        <v/>
      </c>
      <c r="C3904" s="26"/>
      <c r="D3904" s="26"/>
      <c r="E3904" s="27"/>
      <c r="F3904" s="27"/>
      <c r="G3904" s="31" t="str">
        <f aca="false">IF(F3904="","",IF(F3904&lt;=5,"A",IF(F3904&lt;=8,"B",IF(F3904&lt;=10,"C","D"))))</f>
        <v/>
      </c>
      <c r="H3904" s="28"/>
      <c r="I3904" s="27"/>
      <c r="J3904" s="26"/>
      <c r="K3904" s="27"/>
      <c r="L3904" s="27"/>
      <c r="M3904" s="27"/>
      <c r="N3904" s="27"/>
      <c r="O3904" s="31" t="str">
        <f aca="false">IF(G3904="","",VLOOKUP(G3904,Setup!$A$14:$C$17,3,0))</f>
        <v/>
      </c>
      <c r="P3904" s="27"/>
      <c r="Q3904" s="33" t="str">
        <f aca="false">IF(OR(P3904="",M3904&lt;&gt;"Paid",O3904=""),"",P3904/O3904)</f>
        <v/>
      </c>
      <c r="R3904" s="34" t="str">
        <f aca="false">IF(Q3904="","",Q3904+N(H3904)*0.000000001)</f>
        <v/>
      </c>
      <c r="S3904" s="32" t="str">
        <f aca="false">IF(R3904="","",SUMPRODUCT((I$5:I$4004=I3904)*ISNUMBER(R$5:R$4004)*(R$5:R$4004&gt;R3904))+1)</f>
        <v/>
      </c>
      <c r="T3904" s="32" t="str">
        <f aca="false">IF(S3904="","",IF(S3904&lt;=Setup!$B$5,"🏆 WINNER",""))</f>
        <v/>
      </c>
      <c r="U3904" s="31" t="str">
        <f aca="false">IF(S3904="","",I3904&amp;"|"&amp;S3904)</f>
        <v/>
      </c>
    </row>
    <row r="3905" customFormat="false" ht="15" hidden="false" customHeight="false" outlineLevel="0" collapsed="false">
      <c r="A3905" s="24" t="n">
        <v>3901</v>
      </c>
      <c r="B3905" s="25" t="str">
        <f aca="false">IF(OR(C3905="",I3905="",G3905=""),"",IFERROR(VLOOKUP(I3905,Setup!$A$9:$B$11,2,0),"???")&amp;"-"&amp;G3905&amp;"-"&amp;TEXT(COUNTIFS(I$5:I3905,I3905,G$5:G3905,G3905),"0000"))</f>
        <v/>
      </c>
      <c r="C3905" s="26"/>
      <c r="D3905" s="26"/>
      <c r="E3905" s="27"/>
      <c r="F3905" s="27"/>
      <c r="G3905" s="24" t="str">
        <f aca="false">IF(F3905="","",IF(F3905&lt;=5,"A",IF(F3905&lt;=8,"B",IF(F3905&lt;=10,"C","D"))))</f>
        <v/>
      </c>
      <c r="H3905" s="28"/>
      <c r="I3905" s="27"/>
      <c r="J3905" s="26"/>
      <c r="K3905" s="27"/>
      <c r="L3905" s="27"/>
      <c r="M3905" s="27"/>
      <c r="N3905" s="27"/>
      <c r="O3905" s="24" t="str">
        <f aca="false">IF(G3905="","",VLOOKUP(G3905,Setup!$A$14:$C$17,3,0))</f>
        <v/>
      </c>
      <c r="P3905" s="27"/>
      <c r="Q3905" s="29" t="str">
        <f aca="false">IF(OR(P3905="",M3905&lt;&gt;"Paid",O3905=""),"",P3905/O3905)</f>
        <v/>
      </c>
      <c r="R3905" s="30" t="str">
        <f aca="false">IF(Q3905="","",Q3905+N(H3905)*0.000000001)</f>
        <v/>
      </c>
      <c r="S3905" s="25" t="str">
        <f aca="false">IF(R3905="","",SUMPRODUCT((I$5:I$4004=I3905)*ISNUMBER(R$5:R$4004)*(R$5:R$4004&gt;R3905))+1)</f>
        <v/>
      </c>
      <c r="T3905" s="25" t="str">
        <f aca="false">IF(S3905="","",IF(S3905&lt;=Setup!$B$5,"🏆 WINNER",""))</f>
        <v/>
      </c>
      <c r="U3905" s="24" t="str">
        <f aca="false">IF(S3905="","",I3905&amp;"|"&amp;S3905)</f>
        <v/>
      </c>
    </row>
    <row r="3906" customFormat="false" ht="15" hidden="false" customHeight="false" outlineLevel="0" collapsed="false">
      <c r="A3906" s="31" t="n">
        <v>3902</v>
      </c>
      <c r="B3906" s="32" t="str">
        <f aca="false">IF(OR(C3906="",I3906="",G3906=""),"",IFERROR(VLOOKUP(I3906,Setup!$A$9:$B$11,2,0),"???")&amp;"-"&amp;G3906&amp;"-"&amp;TEXT(COUNTIFS(I$5:I3906,I3906,G$5:G3906,G3906),"0000"))</f>
        <v/>
      </c>
      <c r="C3906" s="26"/>
      <c r="D3906" s="26"/>
      <c r="E3906" s="27"/>
      <c r="F3906" s="27"/>
      <c r="G3906" s="31" t="str">
        <f aca="false">IF(F3906="","",IF(F3906&lt;=5,"A",IF(F3906&lt;=8,"B",IF(F3906&lt;=10,"C","D"))))</f>
        <v/>
      </c>
      <c r="H3906" s="28"/>
      <c r="I3906" s="27"/>
      <c r="J3906" s="26"/>
      <c r="K3906" s="27"/>
      <c r="L3906" s="27"/>
      <c r="M3906" s="27"/>
      <c r="N3906" s="27"/>
      <c r="O3906" s="31" t="str">
        <f aca="false">IF(G3906="","",VLOOKUP(G3906,Setup!$A$14:$C$17,3,0))</f>
        <v/>
      </c>
      <c r="P3906" s="27"/>
      <c r="Q3906" s="33" t="str">
        <f aca="false">IF(OR(P3906="",M3906&lt;&gt;"Paid",O3906=""),"",P3906/O3906)</f>
        <v/>
      </c>
      <c r="R3906" s="34" t="str">
        <f aca="false">IF(Q3906="","",Q3906+N(H3906)*0.000000001)</f>
        <v/>
      </c>
      <c r="S3906" s="32" t="str">
        <f aca="false">IF(R3906="","",SUMPRODUCT((I$5:I$4004=I3906)*ISNUMBER(R$5:R$4004)*(R$5:R$4004&gt;R3906))+1)</f>
        <v/>
      </c>
      <c r="T3906" s="32" t="str">
        <f aca="false">IF(S3906="","",IF(S3906&lt;=Setup!$B$5,"🏆 WINNER",""))</f>
        <v/>
      </c>
      <c r="U3906" s="31" t="str">
        <f aca="false">IF(S3906="","",I3906&amp;"|"&amp;S3906)</f>
        <v/>
      </c>
    </row>
    <row r="3907" customFormat="false" ht="15" hidden="false" customHeight="false" outlineLevel="0" collapsed="false">
      <c r="A3907" s="24" t="n">
        <v>3903</v>
      </c>
      <c r="B3907" s="25" t="str">
        <f aca="false">IF(OR(C3907="",I3907="",G3907=""),"",IFERROR(VLOOKUP(I3907,Setup!$A$9:$B$11,2,0),"???")&amp;"-"&amp;G3907&amp;"-"&amp;TEXT(COUNTIFS(I$5:I3907,I3907,G$5:G3907,G3907),"0000"))</f>
        <v/>
      </c>
      <c r="C3907" s="26"/>
      <c r="D3907" s="26"/>
      <c r="E3907" s="27"/>
      <c r="F3907" s="27"/>
      <c r="G3907" s="24" t="str">
        <f aca="false">IF(F3907="","",IF(F3907&lt;=5,"A",IF(F3907&lt;=8,"B",IF(F3907&lt;=10,"C","D"))))</f>
        <v/>
      </c>
      <c r="H3907" s="28"/>
      <c r="I3907" s="27"/>
      <c r="J3907" s="26"/>
      <c r="K3907" s="27"/>
      <c r="L3907" s="27"/>
      <c r="M3907" s="27"/>
      <c r="N3907" s="27"/>
      <c r="O3907" s="24" t="str">
        <f aca="false">IF(G3907="","",VLOOKUP(G3907,Setup!$A$14:$C$17,3,0))</f>
        <v/>
      </c>
      <c r="P3907" s="27"/>
      <c r="Q3907" s="29" t="str">
        <f aca="false">IF(OR(P3907="",M3907&lt;&gt;"Paid",O3907=""),"",P3907/O3907)</f>
        <v/>
      </c>
      <c r="R3907" s="30" t="str">
        <f aca="false">IF(Q3907="","",Q3907+N(H3907)*0.000000001)</f>
        <v/>
      </c>
      <c r="S3907" s="25" t="str">
        <f aca="false">IF(R3907="","",SUMPRODUCT((I$5:I$4004=I3907)*ISNUMBER(R$5:R$4004)*(R$5:R$4004&gt;R3907))+1)</f>
        <v/>
      </c>
      <c r="T3907" s="25" t="str">
        <f aca="false">IF(S3907="","",IF(S3907&lt;=Setup!$B$5,"🏆 WINNER",""))</f>
        <v/>
      </c>
      <c r="U3907" s="24" t="str">
        <f aca="false">IF(S3907="","",I3907&amp;"|"&amp;S3907)</f>
        <v/>
      </c>
    </row>
    <row r="3908" customFormat="false" ht="15" hidden="false" customHeight="false" outlineLevel="0" collapsed="false">
      <c r="A3908" s="31" t="n">
        <v>3904</v>
      </c>
      <c r="B3908" s="32" t="str">
        <f aca="false">IF(OR(C3908="",I3908="",G3908=""),"",IFERROR(VLOOKUP(I3908,Setup!$A$9:$B$11,2,0),"???")&amp;"-"&amp;G3908&amp;"-"&amp;TEXT(COUNTIFS(I$5:I3908,I3908,G$5:G3908,G3908),"0000"))</f>
        <v/>
      </c>
      <c r="C3908" s="26"/>
      <c r="D3908" s="26"/>
      <c r="E3908" s="27"/>
      <c r="F3908" s="27"/>
      <c r="G3908" s="31" t="str">
        <f aca="false">IF(F3908="","",IF(F3908&lt;=5,"A",IF(F3908&lt;=8,"B",IF(F3908&lt;=10,"C","D"))))</f>
        <v/>
      </c>
      <c r="H3908" s="28"/>
      <c r="I3908" s="27"/>
      <c r="J3908" s="26"/>
      <c r="K3908" s="27"/>
      <c r="L3908" s="27"/>
      <c r="M3908" s="27"/>
      <c r="N3908" s="27"/>
      <c r="O3908" s="31" t="str">
        <f aca="false">IF(G3908="","",VLOOKUP(G3908,Setup!$A$14:$C$17,3,0))</f>
        <v/>
      </c>
      <c r="P3908" s="27"/>
      <c r="Q3908" s="33" t="str">
        <f aca="false">IF(OR(P3908="",M3908&lt;&gt;"Paid",O3908=""),"",P3908/O3908)</f>
        <v/>
      </c>
      <c r="R3908" s="34" t="str">
        <f aca="false">IF(Q3908="","",Q3908+N(H3908)*0.000000001)</f>
        <v/>
      </c>
      <c r="S3908" s="32" t="str">
        <f aca="false">IF(R3908="","",SUMPRODUCT((I$5:I$4004=I3908)*ISNUMBER(R$5:R$4004)*(R$5:R$4004&gt;R3908))+1)</f>
        <v/>
      </c>
      <c r="T3908" s="32" t="str">
        <f aca="false">IF(S3908="","",IF(S3908&lt;=Setup!$B$5,"🏆 WINNER",""))</f>
        <v/>
      </c>
      <c r="U3908" s="31" t="str">
        <f aca="false">IF(S3908="","",I3908&amp;"|"&amp;S3908)</f>
        <v/>
      </c>
    </row>
    <row r="3909" customFormat="false" ht="15" hidden="false" customHeight="false" outlineLevel="0" collapsed="false">
      <c r="A3909" s="24" t="n">
        <v>3905</v>
      </c>
      <c r="B3909" s="25" t="str">
        <f aca="false">IF(OR(C3909="",I3909="",G3909=""),"",IFERROR(VLOOKUP(I3909,Setup!$A$9:$B$11,2,0),"???")&amp;"-"&amp;G3909&amp;"-"&amp;TEXT(COUNTIFS(I$5:I3909,I3909,G$5:G3909,G3909),"0000"))</f>
        <v/>
      </c>
      <c r="C3909" s="26"/>
      <c r="D3909" s="26"/>
      <c r="E3909" s="27"/>
      <c r="F3909" s="27"/>
      <c r="G3909" s="24" t="str">
        <f aca="false">IF(F3909="","",IF(F3909&lt;=5,"A",IF(F3909&lt;=8,"B",IF(F3909&lt;=10,"C","D"))))</f>
        <v/>
      </c>
      <c r="H3909" s="28"/>
      <c r="I3909" s="27"/>
      <c r="J3909" s="26"/>
      <c r="K3909" s="27"/>
      <c r="L3909" s="27"/>
      <c r="M3909" s="27"/>
      <c r="N3909" s="27"/>
      <c r="O3909" s="24" t="str">
        <f aca="false">IF(G3909="","",VLOOKUP(G3909,Setup!$A$14:$C$17,3,0))</f>
        <v/>
      </c>
      <c r="P3909" s="27"/>
      <c r="Q3909" s="29" t="str">
        <f aca="false">IF(OR(P3909="",M3909&lt;&gt;"Paid",O3909=""),"",P3909/O3909)</f>
        <v/>
      </c>
      <c r="R3909" s="30" t="str">
        <f aca="false">IF(Q3909="","",Q3909+N(H3909)*0.000000001)</f>
        <v/>
      </c>
      <c r="S3909" s="25" t="str">
        <f aca="false">IF(R3909="","",SUMPRODUCT((I$5:I$4004=I3909)*ISNUMBER(R$5:R$4004)*(R$5:R$4004&gt;R3909))+1)</f>
        <v/>
      </c>
      <c r="T3909" s="25" t="str">
        <f aca="false">IF(S3909="","",IF(S3909&lt;=Setup!$B$5,"🏆 WINNER",""))</f>
        <v/>
      </c>
      <c r="U3909" s="24" t="str">
        <f aca="false">IF(S3909="","",I3909&amp;"|"&amp;S3909)</f>
        <v/>
      </c>
    </row>
    <row r="3910" customFormat="false" ht="15" hidden="false" customHeight="false" outlineLevel="0" collapsed="false">
      <c r="A3910" s="31" t="n">
        <v>3906</v>
      </c>
      <c r="B3910" s="32" t="str">
        <f aca="false">IF(OR(C3910="",I3910="",G3910=""),"",IFERROR(VLOOKUP(I3910,Setup!$A$9:$B$11,2,0),"???")&amp;"-"&amp;G3910&amp;"-"&amp;TEXT(COUNTIFS(I$5:I3910,I3910,G$5:G3910,G3910),"0000"))</f>
        <v/>
      </c>
      <c r="C3910" s="26"/>
      <c r="D3910" s="26"/>
      <c r="E3910" s="27"/>
      <c r="F3910" s="27"/>
      <c r="G3910" s="31" t="str">
        <f aca="false">IF(F3910="","",IF(F3910&lt;=5,"A",IF(F3910&lt;=8,"B",IF(F3910&lt;=10,"C","D"))))</f>
        <v/>
      </c>
      <c r="H3910" s="28"/>
      <c r="I3910" s="27"/>
      <c r="J3910" s="26"/>
      <c r="K3910" s="27"/>
      <c r="L3910" s="27"/>
      <c r="M3910" s="27"/>
      <c r="N3910" s="27"/>
      <c r="O3910" s="31" t="str">
        <f aca="false">IF(G3910="","",VLOOKUP(G3910,Setup!$A$14:$C$17,3,0))</f>
        <v/>
      </c>
      <c r="P3910" s="27"/>
      <c r="Q3910" s="33" t="str">
        <f aca="false">IF(OR(P3910="",M3910&lt;&gt;"Paid",O3910=""),"",P3910/O3910)</f>
        <v/>
      </c>
      <c r="R3910" s="34" t="str">
        <f aca="false">IF(Q3910="","",Q3910+N(H3910)*0.000000001)</f>
        <v/>
      </c>
      <c r="S3910" s="32" t="str">
        <f aca="false">IF(R3910="","",SUMPRODUCT((I$5:I$4004=I3910)*ISNUMBER(R$5:R$4004)*(R$5:R$4004&gt;R3910))+1)</f>
        <v/>
      </c>
      <c r="T3910" s="32" t="str">
        <f aca="false">IF(S3910="","",IF(S3910&lt;=Setup!$B$5,"🏆 WINNER",""))</f>
        <v/>
      </c>
      <c r="U3910" s="31" t="str">
        <f aca="false">IF(S3910="","",I3910&amp;"|"&amp;S3910)</f>
        <v/>
      </c>
    </row>
    <row r="3911" customFormat="false" ht="15" hidden="false" customHeight="false" outlineLevel="0" collapsed="false">
      <c r="A3911" s="24" t="n">
        <v>3907</v>
      </c>
      <c r="B3911" s="25" t="str">
        <f aca="false">IF(OR(C3911="",I3911="",G3911=""),"",IFERROR(VLOOKUP(I3911,Setup!$A$9:$B$11,2,0),"???")&amp;"-"&amp;G3911&amp;"-"&amp;TEXT(COUNTIFS(I$5:I3911,I3911,G$5:G3911,G3911),"0000"))</f>
        <v/>
      </c>
      <c r="C3911" s="26"/>
      <c r="D3911" s="26"/>
      <c r="E3911" s="27"/>
      <c r="F3911" s="27"/>
      <c r="G3911" s="24" t="str">
        <f aca="false">IF(F3911="","",IF(F3911&lt;=5,"A",IF(F3911&lt;=8,"B",IF(F3911&lt;=10,"C","D"))))</f>
        <v/>
      </c>
      <c r="H3911" s="28"/>
      <c r="I3911" s="27"/>
      <c r="J3911" s="26"/>
      <c r="K3911" s="27"/>
      <c r="L3911" s="27"/>
      <c r="M3911" s="27"/>
      <c r="N3911" s="27"/>
      <c r="O3911" s="24" t="str">
        <f aca="false">IF(G3911="","",VLOOKUP(G3911,Setup!$A$14:$C$17,3,0))</f>
        <v/>
      </c>
      <c r="P3911" s="27"/>
      <c r="Q3911" s="29" t="str">
        <f aca="false">IF(OR(P3911="",M3911&lt;&gt;"Paid",O3911=""),"",P3911/O3911)</f>
        <v/>
      </c>
      <c r="R3911" s="30" t="str">
        <f aca="false">IF(Q3911="","",Q3911+N(H3911)*0.000000001)</f>
        <v/>
      </c>
      <c r="S3911" s="25" t="str">
        <f aca="false">IF(R3911="","",SUMPRODUCT((I$5:I$4004=I3911)*ISNUMBER(R$5:R$4004)*(R$5:R$4004&gt;R3911))+1)</f>
        <v/>
      </c>
      <c r="T3911" s="25" t="str">
        <f aca="false">IF(S3911="","",IF(S3911&lt;=Setup!$B$5,"🏆 WINNER",""))</f>
        <v/>
      </c>
      <c r="U3911" s="24" t="str">
        <f aca="false">IF(S3911="","",I3911&amp;"|"&amp;S3911)</f>
        <v/>
      </c>
    </row>
    <row r="3912" customFormat="false" ht="15" hidden="false" customHeight="false" outlineLevel="0" collapsed="false">
      <c r="A3912" s="31" t="n">
        <v>3908</v>
      </c>
      <c r="B3912" s="32" t="str">
        <f aca="false">IF(OR(C3912="",I3912="",G3912=""),"",IFERROR(VLOOKUP(I3912,Setup!$A$9:$B$11,2,0),"???")&amp;"-"&amp;G3912&amp;"-"&amp;TEXT(COUNTIFS(I$5:I3912,I3912,G$5:G3912,G3912),"0000"))</f>
        <v/>
      </c>
      <c r="C3912" s="26"/>
      <c r="D3912" s="26"/>
      <c r="E3912" s="27"/>
      <c r="F3912" s="27"/>
      <c r="G3912" s="31" t="str">
        <f aca="false">IF(F3912="","",IF(F3912&lt;=5,"A",IF(F3912&lt;=8,"B",IF(F3912&lt;=10,"C","D"))))</f>
        <v/>
      </c>
      <c r="H3912" s="28"/>
      <c r="I3912" s="27"/>
      <c r="J3912" s="26"/>
      <c r="K3912" s="27"/>
      <c r="L3912" s="27"/>
      <c r="M3912" s="27"/>
      <c r="N3912" s="27"/>
      <c r="O3912" s="31" t="str">
        <f aca="false">IF(G3912="","",VLOOKUP(G3912,Setup!$A$14:$C$17,3,0))</f>
        <v/>
      </c>
      <c r="P3912" s="27"/>
      <c r="Q3912" s="33" t="str">
        <f aca="false">IF(OR(P3912="",M3912&lt;&gt;"Paid",O3912=""),"",P3912/O3912)</f>
        <v/>
      </c>
      <c r="R3912" s="34" t="str">
        <f aca="false">IF(Q3912="","",Q3912+N(H3912)*0.000000001)</f>
        <v/>
      </c>
      <c r="S3912" s="32" t="str">
        <f aca="false">IF(R3912="","",SUMPRODUCT((I$5:I$4004=I3912)*ISNUMBER(R$5:R$4004)*(R$5:R$4004&gt;R3912))+1)</f>
        <v/>
      </c>
      <c r="T3912" s="32" t="str">
        <f aca="false">IF(S3912="","",IF(S3912&lt;=Setup!$B$5,"🏆 WINNER",""))</f>
        <v/>
      </c>
      <c r="U3912" s="31" t="str">
        <f aca="false">IF(S3912="","",I3912&amp;"|"&amp;S3912)</f>
        <v/>
      </c>
    </row>
    <row r="3913" customFormat="false" ht="15" hidden="false" customHeight="false" outlineLevel="0" collapsed="false">
      <c r="A3913" s="24" t="n">
        <v>3909</v>
      </c>
      <c r="B3913" s="25" t="str">
        <f aca="false">IF(OR(C3913="",I3913="",G3913=""),"",IFERROR(VLOOKUP(I3913,Setup!$A$9:$B$11,2,0),"???")&amp;"-"&amp;G3913&amp;"-"&amp;TEXT(COUNTIFS(I$5:I3913,I3913,G$5:G3913,G3913),"0000"))</f>
        <v/>
      </c>
      <c r="C3913" s="26"/>
      <c r="D3913" s="26"/>
      <c r="E3913" s="27"/>
      <c r="F3913" s="27"/>
      <c r="G3913" s="24" t="str">
        <f aca="false">IF(F3913="","",IF(F3913&lt;=5,"A",IF(F3913&lt;=8,"B",IF(F3913&lt;=10,"C","D"))))</f>
        <v/>
      </c>
      <c r="H3913" s="28"/>
      <c r="I3913" s="27"/>
      <c r="J3913" s="26"/>
      <c r="K3913" s="27"/>
      <c r="L3913" s="27"/>
      <c r="M3913" s="27"/>
      <c r="N3913" s="27"/>
      <c r="O3913" s="24" t="str">
        <f aca="false">IF(G3913="","",VLOOKUP(G3913,Setup!$A$14:$C$17,3,0))</f>
        <v/>
      </c>
      <c r="P3913" s="27"/>
      <c r="Q3913" s="29" t="str">
        <f aca="false">IF(OR(P3913="",M3913&lt;&gt;"Paid",O3913=""),"",P3913/O3913)</f>
        <v/>
      </c>
      <c r="R3913" s="30" t="str">
        <f aca="false">IF(Q3913="","",Q3913+N(H3913)*0.000000001)</f>
        <v/>
      </c>
      <c r="S3913" s="25" t="str">
        <f aca="false">IF(R3913="","",SUMPRODUCT((I$5:I$4004=I3913)*ISNUMBER(R$5:R$4004)*(R$5:R$4004&gt;R3913))+1)</f>
        <v/>
      </c>
      <c r="T3913" s="25" t="str">
        <f aca="false">IF(S3913="","",IF(S3913&lt;=Setup!$B$5,"🏆 WINNER",""))</f>
        <v/>
      </c>
      <c r="U3913" s="24" t="str">
        <f aca="false">IF(S3913="","",I3913&amp;"|"&amp;S3913)</f>
        <v/>
      </c>
    </row>
    <row r="3914" customFormat="false" ht="15" hidden="false" customHeight="false" outlineLevel="0" collapsed="false">
      <c r="A3914" s="31" t="n">
        <v>3910</v>
      </c>
      <c r="B3914" s="32" t="str">
        <f aca="false">IF(OR(C3914="",I3914="",G3914=""),"",IFERROR(VLOOKUP(I3914,Setup!$A$9:$B$11,2,0),"???")&amp;"-"&amp;G3914&amp;"-"&amp;TEXT(COUNTIFS(I$5:I3914,I3914,G$5:G3914,G3914),"0000"))</f>
        <v/>
      </c>
      <c r="C3914" s="26"/>
      <c r="D3914" s="26"/>
      <c r="E3914" s="27"/>
      <c r="F3914" s="27"/>
      <c r="G3914" s="31" t="str">
        <f aca="false">IF(F3914="","",IF(F3914&lt;=5,"A",IF(F3914&lt;=8,"B",IF(F3914&lt;=10,"C","D"))))</f>
        <v/>
      </c>
      <c r="H3914" s="28"/>
      <c r="I3914" s="27"/>
      <c r="J3914" s="26"/>
      <c r="K3914" s="27"/>
      <c r="L3914" s="27"/>
      <c r="M3914" s="27"/>
      <c r="N3914" s="27"/>
      <c r="O3914" s="31" t="str">
        <f aca="false">IF(G3914="","",VLOOKUP(G3914,Setup!$A$14:$C$17,3,0))</f>
        <v/>
      </c>
      <c r="P3914" s="27"/>
      <c r="Q3914" s="33" t="str">
        <f aca="false">IF(OR(P3914="",M3914&lt;&gt;"Paid",O3914=""),"",P3914/O3914)</f>
        <v/>
      </c>
      <c r="R3914" s="34" t="str">
        <f aca="false">IF(Q3914="","",Q3914+N(H3914)*0.000000001)</f>
        <v/>
      </c>
      <c r="S3914" s="32" t="str">
        <f aca="false">IF(R3914="","",SUMPRODUCT((I$5:I$4004=I3914)*ISNUMBER(R$5:R$4004)*(R$5:R$4004&gt;R3914))+1)</f>
        <v/>
      </c>
      <c r="T3914" s="32" t="str">
        <f aca="false">IF(S3914="","",IF(S3914&lt;=Setup!$B$5,"🏆 WINNER",""))</f>
        <v/>
      </c>
      <c r="U3914" s="31" t="str">
        <f aca="false">IF(S3914="","",I3914&amp;"|"&amp;S3914)</f>
        <v/>
      </c>
    </row>
    <row r="3915" customFormat="false" ht="15" hidden="false" customHeight="false" outlineLevel="0" collapsed="false">
      <c r="A3915" s="24" t="n">
        <v>3911</v>
      </c>
      <c r="B3915" s="25" t="str">
        <f aca="false">IF(OR(C3915="",I3915="",G3915=""),"",IFERROR(VLOOKUP(I3915,Setup!$A$9:$B$11,2,0),"???")&amp;"-"&amp;G3915&amp;"-"&amp;TEXT(COUNTIFS(I$5:I3915,I3915,G$5:G3915,G3915),"0000"))</f>
        <v/>
      </c>
      <c r="C3915" s="26"/>
      <c r="D3915" s="26"/>
      <c r="E3915" s="27"/>
      <c r="F3915" s="27"/>
      <c r="G3915" s="24" t="str">
        <f aca="false">IF(F3915="","",IF(F3915&lt;=5,"A",IF(F3915&lt;=8,"B",IF(F3915&lt;=10,"C","D"))))</f>
        <v/>
      </c>
      <c r="H3915" s="28"/>
      <c r="I3915" s="27"/>
      <c r="J3915" s="26"/>
      <c r="K3915" s="27"/>
      <c r="L3915" s="27"/>
      <c r="M3915" s="27"/>
      <c r="N3915" s="27"/>
      <c r="O3915" s="24" t="str">
        <f aca="false">IF(G3915="","",VLOOKUP(G3915,Setup!$A$14:$C$17,3,0))</f>
        <v/>
      </c>
      <c r="P3915" s="27"/>
      <c r="Q3915" s="29" t="str">
        <f aca="false">IF(OR(P3915="",M3915&lt;&gt;"Paid",O3915=""),"",P3915/O3915)</f>
        <v/>
      </c>
      <c r="R3915" s="30" t="str">
        <f aca="false">IF(Q3915="","",Q3915+N(H3915)*0.000000001)</f>
        <v/>
      </c>
      <c r="S3915" s="25" t="str">
        <f aca="false">IF(R3915="","",SUMPRODUCT((I$5:I$4004=I3915)*ISNUMBER(R$5:R$4004)*(R$5:R$4004&gt;R3915))+1)</f>
        <v/>
      </c>
      <c r="T3915" s="25" t="str">
        <f aca="false">IF(S3915="","",IF(S3915&lt;=Setup!$B$5,"🏆 WINNER",""))</f>
        <v/>
      </c>
      <c r="U3915" s="24" t="str">
        <f aca="false">IF(S3915="","",I3915&amp;"|"&amp;S3915)</f>
        <v/>
      </c>
    </row>
    <row r="3916" customFormat="false" ht="15" hidden="false" customHeight="false" outlineLevel="0" collapsed="false">
      <c r="A3916" s="31" t="n">
        <v>3912</v>
      </c>
      <c r="B3916" s="32" t="str">
        <f aca="false">IF(OR(C3916="",I3916="",G3916=""),"",IFERROR(VLOOKUP(I3916,Setup!$A$9:$B$11,2,0),"???")&amp;"-"&amp;G3916&amp;"-"&amp;TEXT(COUNTIFS(I$5:I3916,I3916,G$5:G3916,G3916),"0000"))</f>
        <v/>
      </c>
      <c r="C3916" s="26"/>
      <c r="D3916" s="26"/>
      <c r="E3916" s="27"/>
      <c r="F3916" s="27"/>
      <c r="G3916" s="31" t="str">
        <f aca="false">IF(F3916="","",IF(F3916&lt;=5,"A",IF(F3916&lt;=8,"B",IF(F3916&lt;=10,"C","D"))))</f>
        <v/>
      </c>
      <c r="H3916" s="28"/>
      <c r="I3916" s="27"/>
      <c r="J3916" s="26"/>
      <c r="K3916" s="27"/>
      <c r="L3916" s="27"/>
      <c r="M3916" s="27"/>
      <c r="N3916" s="27"/>
      <c r="O3916" s="31" t="str">
        <f aca="false">IF(G3916="","",VLOOKUP(G3916,Setup!$A$14:$C$17,3,0))</f>
        <v/>
      </c>
      <c r="P3916" s="27"/>
      <c r="Q3916" s="33" t="str">
        <f aca="false">IF(OR(P3916="",M3916&lt;&gt;"Paid",O3916=""),"",P3916/O3916)</f>
        <v/>
      </c>
      <c r="R3916" s="34" t="str">
        <f aca="false">IF(Q3916="","",Q3916+N(H3916)*0.000000001)</f>
        <v/>
      </c>
      <c r="S3916" s="32" t="str">
        <f aca="false">IF(R3916="","",SUMPRODUCT((I$5:I$4004=I3916)*ISNUMBER(R$5:R$4004)*(R$5:R$4004&gt;R3916))+1)</f>
        <v/>
      </c>
      <c r="T3916" s="32" t="str">
        <f aca="false">IF(S3916="","",IF(S3916&lt;=Setup!$B$5,"🏆 WINNER",""))</f>
        <v/>
      </c>
      <c r="U3916" s="31" t="str">
        <f aca="false">IF(S3916="","",I3916&amp;"|"&amp;S3916)</f>
        <v/>
      </c>
    </row>
    <row r="3917" customFormat="false" ht="15" hidden="false" customHeight="false" outlineLevel="0" collapsed="false">
      <c r="A3917" s="24" t="n">
        <v>3913</v>
      </c>
      <c r="B3917" s="25" t="str">
        <f aca="false">IF(OR(C3917="",I3917="",G3917=""),"",IFERROR(VLOOKUP(I3917,Setup!$A$9:$B$11,2,0),"???")&amp;"-"&amp;G3917&amp;"-"&amp;TEXT(COUNTIFS(I$5:I3917,I3917,G$5:G3917,G3917),"0000"))</f>
        <v/>
      </c>
      <c r="C3917" s="26"/>
      <c r="D3917" s="26"/>
      <c r="E3917" s="27"/>
      <c r="F3917" s="27"/>
      <c r="G3917" s="24" t="str">
        <f aca="false">IF(F3917="","",IF(F3917&lt;=5,"A",IF(F3917&lt;=8,"B",IF(F3917&lt;=10,"C","D"))))</f>
        <v/>
      </c>
      <c r="H3917" s="28"/>
      <c r="I3917" s="27"/>
      <c r="J3917" s="26"/>
      <c r="K3917" s="27"/>
      <c r="L3917" s="27"/>
      <c r="M3917" s="27"/>
      <c r="N3917" s="27"/>
      <c r="O3917" s="24" t="str">
        <f aca="false">IF(G3917="","",VLOOKUP(G3917,Setup!$A$14:$C$17,3,0))</f>
        <v/>
      </c>
      <c r="P3917" s="27"/>
      <c r="Q3917" s="29" t="str">
        <f aca="false">IF(OR(P3917="",M3917&lt;&gt;"Paid",O3917=""),"",P3917/O3917)</f>
        <v/>
      </c>
      <c r="R3917" s="30" t="str">
        <f aca="false">IF(Q3917="","",Q3917+N(H3917)*0.000000001)</f>
        <v/>
      </c>
      <c r="S3917" s="25" t="str">
        <f aca="false">IF(R3917="","",SUMPRODUCT((I$5:I$4004=I3917)*ISNUMBER(R$5:R$4004)*(R$5:R$4004&gt;R3917))+1)</f>
        <v/>
      </c>
      <c r="T3917" s="25" t="str">
        <f aca="false">IF(S3917="","",IF(S3917&lt;=Setup!$B$5,"🏆 WINNER",""))</f>
        <v/>
      </c>
      <c r="U3917" s="24" t="str">
        <f aca="false">IF(S3917="","",I3917&amp;"|"&amp;S3917)</f>
        <v/>
      </c>
    </row>
    <row r="3918" customFormat="false" ht="15" hidden="false" customHeight="false" outlineLevel="0" collapsed="false">
      <c r="A3918" s="31" t="n">
        <v>3914</v>
      </c>
      <c r="B3918" s="32" t="str">
        <f aca="false">IF(OR(C3918="",I3918="",G3918=""),"",IFERROR(VLOOKUP(I3918,Setup!$A$9:$B$11,2,0),"???")&amp;"-"&amp;G3918&amp;"-"&amp;TEXT(COUNTIFS(I$5:I3918,I3918,G$5:G3918,G3918),"0000"))</f>
        <v/>
      </c>
      <c r="C3918" s="26"/>
      <c r="D3918" s="26"/>
      <c r="E3918" s="27"/>
      <c r="F3918" s="27"/>
      <c r="G3918" s="31" t="str">
        <f aca="false">IF(F3918="","",IF(F3918&lt;=5,"A",IF(F3918&lt;=8,"B",IF(F3918&lt;=10,"C","D"))))</f>
        <v/>
      </c>
      <c r="H3918" s="28"/>
      <c r="I3918" s="27"/>
      <c r="J3918" s="26"/>
      <c r="K3918" s="27"/>
      <c r="L3918" s="27"/>
      <c r="M3918" s="27"/>
      <c r="N3918" s="27"/>
      <c r="O3918" s="31" t="str">
        <f aca="false">IF(G3918="","",VLOOKUP(G3918,Setup!$A$14:$C$17,3,0))</f>
        <v/>
      </c>
      <c r="P3918" s="27"/>
      <c r="Q3918" s="33" t="str">
        <f aca="false">IF(OR(P3918="",M3918&lt;&gt;"Paid",O3918=""),"",P3918/O3918)</f>
        <v/>
      </c>
      <c r="R3918" s="34" t="str">
        <f aca="false">IF(Q3918="","",Q3918+N(H3918)*0.000000001)</f>
        <v/>
      </c>
      <c r="S3918" s="32" t="str">
        <f aca="false">IF(R3918="","",SUMPRODUCT((I$5:I$4004=I3918)*ISNUMBER(R$5:R$4004)*(R$5:R$4004&gt;R3918))+1)</f>
        <v/>
      </c>
      <c r="T3918" s="32" t="str">
        <f aca="false">IF(S3918="","",IF(S3918&lt;=Setup!$B$5,"🏆 WINNER",""))</f>
        <v/>
      </c>
      <c r="U3918" s="31" t="str">
        <f aca="false">IF(S3918="","",I3918&amp;"|"&amp;S3918)</f>
        <v/>
      </c>
    </row>
    <row r="3919" customFormat="false" ht="15" hidden="false" customHeight="false" outlineLevel="0" collapsed="false">
      <c r="A3919" s="24" t="n">
        <v>3915</v>
      </c>
      <c r="B3919" s="25" t="str">
        <f aca="false">IF(OR(C3919="",I3919="",G3919=""),"",IFERROR(VLOOKUP(I3919,Setup!$A$9:$B$11,2,0),"???")&amp;"-"&amp;G3919&amp;"-"&amp;TEXT(COUNTIFS(I$5:I3919,I3919,G$5:G3919,G3919),"0000"))</f>
        <v/>
      </c>
      <c r="C3919" s="26"/>
      <c r="D3919" s="26"/>
      <c r="E3919" s="27"/>
      <c r="F3919" s="27"/>
      <c r="G3919" s="24" t="str">
        <f aca="false">IF(F3919="","",IF(F3919&lt;=5,"A",IF(F3919&lt;=8,"B",IF(F3919&lt;=10,"C","D"))))</f>
        <v/>
      </c>
      <c r="H3919" s="28"/>
      <c r="I3919" s="27"/>
      <c r="J3919" s="26"/>
      <c r="K3919" s="27"/>
      <c r="L3919" s="27"/>
      <c r="M3919" s="27"/>
      <c r="N3919" s="27"/>
      <c r="O3919" s="24" t="str">
        <f aca="false">IF(G3919="","",VLOOKUP(G3919,Setup!$A$14:$C$17,3,0))</f>
        <v/>
      </c>
      <c r="P3919" s="27"/>
      <c r="Q3919" s="29" t="str">
        <f aca="false">IF(OR(P3919="",M3919&lt;&gt;"Paid",O3919=""),"",P3919/O3919)</f>
        <v/>
      </c>
      <c r="R3919" s="30" t="str">
        <f aca="false">IF(Q3919="","",Q3919+N(H3919)*0.000000001)</f>
        <v/>
      </c>
      <c r="S3919" s="25" t="str">
        <f aca="false">IF(R3919="","",SUMPRODUCT((I$5:I$4004=I3919)*ISNUMBER(R$5:R$4004)*(R$5:R$4004&gt;R3919))+1)</f>
        <v/>
      </c>
      <c r="T3919" s="25" t="str">
        <f aca="false">IF(S3919="","",IF(S3919&lt;=Setup!$B$5,"🏆 WINNER",""))</f>
        <v/>
      </c>
      <c r="U3919" s="24" t="str">
        <f aca="false">IF(S3919="","",I3919&amp;"|"&amp;S3919)</f>
        <v/>
      </c>
    </row>
    <row r="3920" customFormat="false" ht="15" hidden="false" customHeight="false" outlineLevel="0" collapsed="false">
      <c r="A3920" s="31" t="n">
        <v>3916</v>
      </c>
      <c r="B3920" s="32" t="str">
        <f aca="false">IF(OR(C3920="",I3920="",G3920=""),"",IFERROR(VLOOKUP(I3920,Setup!$A$9:$B$11,2,0),"???")&amp;"-"&amp;G3920&amp;"-"&amp;TEXT(COUNTIFS(I$5:I3920,I3920,G$5:G3920,G3920),"0000"))</f>
        <v/>
      </c>
      <c r="C3920" s="26"/>
      <c r="D3920" s="26"/>
      <c r="E3920" s="27"/>
      <c r="F3920" s="27"/>
      <c r="G3920" s="31" t="str">
        <f aca="false">IF(F3920="","",IF(F3920&lt;=5,"A",IF(F3920&lt;=8,"B",IF(F3920&lt;=10,"C","D"))))</f>
        <v/>
      </c>
      <c r="H3920" s="28"/>
      <c r="I3920" s="27"/>
      <c r="J3920" s="26"/>
      <c r="K3920" s="27"/>
      <c r="L3920" s="27"/>
      <c r="M3920" s="27"/>
      <c r="N3920" s="27"/>
      <c r="O3920" s="31" t="str">
        <f aca="false">IF(G3920="","",VLOOKUP(G3920,Setup!$A$14:$C$17,3,0))</f>
        <v/>
      </c>
      <c r="P3920" s="27"/>
      <c r="Q3920" s="33" t="str">
        <f aca="false">IF(OR(P3920="",M3920&lt;&gt;"Paid",O3920=""),"",P3920/O3920)</f>
        <v/>
      </c>
      <c r="R3920" s="34" t="str">
        <f aca="false">IF(Q3920="","",Q3920+N(H3920)*0.000000001)</f>
        <v/>
      </c>
      <c r="S3920" s="32" t="str">
        <f aca="false">IF(R3920="","",SUMPRODUCT((I$5:I$4004=I3920)*ISNUMBER(R$5:R$4004)*(R$5:R$4004&gt;R3920))+1)</f>
        <v/>
      </c>
      <c r="T3920" s="32" t="str">
        <f aca="false">IF(S3920="","",IF(S3920&lt;=Setup!$B$5,"🏆 WINNER",""))</f>
        <v/>
      </c>
      <c r="U3920" s="31" t="str">
        <f aca="false">IF(S3920="","",I3920&amp;"|"&amp;S3920)</f>
        <v/>
      </c>
    </row>
    <row r="3921" customFormat="false" ht="15" hidden="false" customHeight="false" outlineLevel="0" collapsed="false">
      <c r="A3921" s="24" t="n">
        <v>3917</v>
      </c>
      <c r="B3921" s="25" t="str">
        <f aca="false">IF(OR(C3921="",I3921="",G3921=""),"",IFERROR(VLOOKUP(I3921,Setup!$A$9:$B$11,2,0),"???")&amp;"-"&amp;G3921&amp;"-"&amp;TEXT(COUNTIFS(I$5:I3921,I3921,G$5:G3921,G3921),"0000"))</f>
        <v/>
      </c>
      <c r="C3921" s="26"/>
      <c r="D3921" s="26"/>
      <c r="E3921" s="27"/>
      <c r="F3921" s="27"/>
      <c r="G3921" s="24" t="str">
        <f aca="false">IF(F3921="","",IF(F3921&lt;=5,"A",IF(F3921&lt;=8,"B",IF(F3921&lt;=10,"C","D"))))</f>
        <v/>
      </c>
      <c r="H3921" s="28"/>
      <c r="I3921" s="27"/>
      <c r="J3921" s="26"/>
      <c r="K3921" s="27"/>
      <c r="L3921" s="27"/>
      <c r="M3921" s="27"/>
      <c r="N3921" s="27"/>
      <c r="O3921" s="24" t="str">
        <f aca="false">IF(G3921="","",VLOOKUP(G3921,Setup!$A$14:$C$17,3,0))</f>
        <v/>
      </c>
      <c r="P3921" s="27"/>
      <c r="Q3921" s="29" t="str">
        <f aca="false">IF(OR(P3921="",M3921&lt;&gt;"Paid",O3921=""),"",P3921/O3921)</f>
        <v/>
      </c>
      <c r="R3921" s="30" t="str">
        <f aca="false">IF(Q3921="","",Q3921+N(H3921)*0.000000001)</f>
        <v/>
      </c>
      <c r="S3921" s="25" t="str">
        <f aca="false">IF(R3921="","",SUMPRODUCT((I$5:I$4004=I3921)*ISNUMBER(R$5:R$4004)*(R$5:R$4004&gt;R3921))+1)</f>
        <v/>
      </c>
      <c r="T3921" s="25" t="str">
        <f aca="false">IF(S3921="","",IF(S3921&lt;=Setup!$B$5,"🏆 WINNER",""))</f>
        <v/>
      </c>
      <c r="U3921" s="24" t="str">
        <f aca="false">IF(S3921="","",I3921&amp;"|"&amp;S3921)</f>
        <v/>
      </c>
    </row>
    <row r="3922" customFormat="false" ht="15" hidden="false" customHeight="false" outlineLevel="0" collapsed="false">
      <c r="A3922" s="31" t="n">
        <v>3918</v>
      </c>
      <c r="B3922" s="32" t="str">
        <f aca="false">IF(OR(C3922="",I3922="",G3922=""),"",IFERROR(VLOOKUP(I3922,Setup!$A$9:$B$11,2,0),"???")&amp;"-"&amp;G3922&amp;"-"&amp;TEXT(COUNTIFS(I$5:I3922,I3922,G$5:G3922,G3922),"0000"))</f>
        <v/>
      </c>
      <c r="C3922" s="26"/>
      <c r="D3922" s="26"/>
      <c r="E3922" s="27"/>
      <c r="F3922" s="27"/>
      <c r="G3922" s="31" t="str">
        <f aca="false">IF(F3922="","",IF(F3922&lt;=5,"A",IF(F3922&lt;=8,"B",IF(F3922&lt;=10,"C","D"))))</f>
        <v/>
      </c>
      <c r="H3922" s="28"/>
      <c r="I3922" s="27"/>
      <c r="J3922" s="26"/>
      <c r="K3922" s="27"/>
      <c r="L3922" s="27"/>
      <c r="M3922" s="27"/>
      <c r="N3922" s="27"/>
      <c r="O3922" s="31" t="str">
        <f aca="false">IF(G3922="","",VLOOKUP(G3922,Setup!$A$14:$C$17,3,0))</f>
        <v/>
      </c>
      <c r="P3922" s="27"/>
      <c r="Q3922" s="33" t="str">
        <f aca="false">IF(OR(P3922="",M3922&lt;&gt;"Paid",O3922=""),"",P3922/O3922)</f>
        <v/>
      </c>
      <c r="R3922" s="34" t="str">
        <f aca="false">IF(Q3922="","",Q3922+N(H3922)*0.000000001)</f>
        <v/>
      </c>
      <c r="S3922" s="32" t="str">
        <f aca="false">IF(R3922="","",SUMPRODUCT((I$5:I$4004=I3922)*ISNUMBER(R$5:R$4004)*(R$5:R$4004&gt;R3922))+1)</f>
        <v/>
      </c>
      <c r="T3922" s="32" t="str">
        <f aca="false">IF(S3922="","",IF(S3922&lt;=Setup!$B$5,"🏆 WINNER",""))</f>
        <v/>
      </c>
      <c r="U3922" s="31" t="str">
        <f aca="false">IF(S3922="","",I3922&amp;"|"&amp;S3922)</f>
        <v/>
      </c>
    </row>
    <row r="3923" customFormat="false" ht="15" hidden="false" customHeight="false" outlineLevel="0" collapsed="false">
      <c r="A3923" s="24" t="n">
        <v>3919</v>
      </c>
      <c r="B3923" s="25" t="str">
        <f aca="false">IF(OR(C3923="",I3923="",G3923=""),"",IFERROR(VLOOKUP(I3923,Setup!$A$9:$B$11,2,0),"???")&amp;"-"&amp;G3923&amp;"-"&amp;TEXT(COUNTIFS(I$5:I3923,I3923,G$5:G3923,G3923),"0000"))</f>
        <v/>
      </c>
      <c r="C3923" s="26"/>
      <c r="D3923" s="26"/>
      <c r="E3923" s="27"/>
      <c r="F3923" s="27"/>
      <c r="G3923" s="24" t="str">
        <f aca="false">IF(F3923="","",IF(F3923&lt;=5,"A",IF(F3923&lt;=8,"B",IF(F3923&lt;=10,"C","D"))))</f>
        <v/>
      </c>
      <c r="H3923" s="28"/>
      <c r="I3923" s="27"/>
      <c r="J3923" s="26"/>
      <c r="K3923" s="27"/>
      <c r="L3923" s="27"/>
      <c r="M3923" s="27"/>
      <c r="N3923" s="27"/>
      <c r="O3923" s="24" t="str">
        <f aca="false">IF(G3923="","",VLOOKUP(G3923,Setup!$A$14:$C$17,3,0))</f>
        <v/>
      </c>
      <c r="P3923" s="27"/>
      <c r="Q3923" s="29" t="str">
        <f aca="false">IF(OR(P3923="",M3923&lt;&gt;"Paid",O3923=""),"",P3923/O3923)</f>
        <v/>
      </c>
      <c r="R3923" s="30" t="str">
        <f aca="false">IF(Q3923="","",Q3923+N(H3923)*0.000000001)</f>
        <v/>
      </c>
      <c r="S3923" s="25" t="str">
        <f aca="false">IF(R3923="","",SUMPRODUCT((I$5:I$4004=I3923)*ISNUMBER(R$5:R$4004)*(R$5:R$4004&gt;R3923))+1)</f>
        <v/>
      </c>
      <c r="T3923" s="25" t="str">
        <f aca="false">IF(S3923="","",IF(S3923&lt;=Setup!$B$5,"🏆 WINNER",""))</f>
        <v/>
      </c>
      <c r="U3923" s="24" t="str">
        <f aca="false">IF(S3923="","",I3923&amp;"|"&amp;S3923)</f>
        <v/>
      </c>
    </row>
    <row r="3924" customFormat="false" ht="15" hidden="false" customHeight="false" outlineLevel="0" collapsed="false">
      <c r="A3924" s="31" t="n">
        <v>3920</v>
      </c>
      <c r="B3924" s="32" t="str">
        <f aca="false">IF(OR(C3924="",I3924="",G3924=""),"",IFERROR(VLOOKUP(I3924,Setup!$A$9:$B$11,2,0),"???")&amp;"-"&amp;G3924&amp;"-"&amp;TEXT(COUNTIFS(I$5:I3924,I3924,G$5:G3924,G3924),"0000"))</f>
        <v/>
      </c>
      <c r="C3924" s="26"/>
      <c r="D3924" s="26"/>
      <c r="E3924" s="27"/>
      <c r="F3924" s="27"/>
      <c r="G3924" s="31" t="str">
        <f aca="false">IF(F3924="","",IF(F3924&lt;=5,"A",IF(F3924&lt;=8,"B",IF(F3924&lt;=10,"C","D"))))</f>
        <v/>
      </c>
      <c r="H3924" s="28"/>
      <c r="I3924" s="27"/>
      <c r="J3924" s="26"/>
      <c r="K3924" s="27"/>
      <c r="L3924" s="27"/>
      <c r="M3924" s="27"/>
      <c r="N3924" s="27"/>
      <c r="O3924" s="31" t="str">
        <f aca="false">IF(G3924="","",VLOOKUP(G3924,Setup!$A$14:$C$17,3,0))</f>
        <v/>
      </c>
      <c r="P3924" s="27"/>
      <c r="Q3924" s="33" t="str">
        <f aca="false">IF(OR(P3924="",M3924&lt;&gt;"Paid",O3924=""),"",P3924/O3924)</f>
        <v/>
      </c>
      <c r="R3924" s="34" t="str">
        <f aca="false">IF(Q3924="","",Q3924+N(H3924)*0.000000001)</f>
        <v/>
      </c>
      <c r="S3924" s="32" t="str">
        <f aca="false">IF(R3924="","",SUMPRODUCT((I$5:I$4004=I3924)*ISNUMBER(R$5:R$4004)*(R$5:R$4004&gt;R3924))+1)</f>
        <v/>
      </c>
      <c r="T3924" s="32" t="str">
        <f aca="false">IF(S3924="","",IF(S3924&lt;=Setup!$B$5,"🏆 WINNER",""))</f>
        <v/>
      </c>
      <c r="U3924" s="31" t="str">
        <f aca="false">IF(S3924="","",I3924&amp;"|"&amp;S3924)</f>
        <v/>
      </c>
    </row>
    <row r="3925" customFormat="false" ht="15" hidden="false" customHeight="false" outlineLevel="0" collapsed="false">
      <c r="A3925" s="24" t="n">
        <v>3921</v>
      </c>
      <c r="B3925" s="25" t="str">
        <f aca="false">IF(OR(C3925="",I3925="",G3925=""),"",IFERROR(VLOOKUP(I3925,Setup!$A$9:$B$11,2,0),"???")&amp;"-"&amp;G3925&amp;"-"&amp;TEXT(COUNTIFS(I$5:I3925,I3925,G$5:G3925,G3925),"0000"))</f>
        <v/>
      </c>
      <c r="C3925" s="26"/>
      <c r="D3925" s="26"/>
      <c r="E3925" s="27"/>
      <c r="F3925" s="27"/>
      <c r="G3925" s="24" t="str">
        <f aca="false">IF(F3925="","",IF(F3925&lt;=5,"A",IF(F3925&lt;=8,"B",IF(F3925&lt;=10,"C","D"))))</f>
        <v/>
      </c>
      <c r="H3925" s="28"/>
      <c r="I3925" s="27"/>
      <c r="J3925" s="26"/>
      <c r="K3925" s="27"/>
      <c r="L3925" s="27"/>
      <c r="M3925" s="27"/>
      <c r="N3925" s="27"/>
      <c r="O3925" s="24" t="str">
        <f aca="false">IF(G3925="","",VLOOKUP(G3925,Setup!$A$14:$C$17,3,0))</f>
        <v/>
      </c>
      <c r="P3925" s="27"/>
      <c r="Q3925" s="29" t="str">
        <f aca="false">IF(OR(P3925="",M3925&lt;&gt;"Paid",O3925=""),"",P3925/O3925)</f>
        <v/>
      </c>
      <c r="R3925" s="30" t="str">
        <f aca="false">IF(Q3925="","",Q3925+N(H3925)*0.000000001)</f>
        <v/>
      </c>
      <c r="S3925" s="25" t="str">
        <f aca="false">IF(R3925="","",SUMPRODUCT((I$5:I$4004=I3925)*ISNUMBER(R$5:R$4004)*(R$5:R$4004&gt;R3925))+1)</f>
        <v/>
      </c>
      <c r="T3925" s="25" t="str">
        <f aca="false">IF(S3925="","",IF(S3925&lt;=Setup!$B$5,"🏆 WINNER",""))</f>
        <v/>
      </c>
      <c r="U3925" s="24" t="str">
        <f aca="false">IF(S3925="","",I3925&amp;"|"&amp;S3925)</f>
        <v/>
      </c>
    </row>
    <row r="3926" customFormat="false" ht="15" hidden="false" customHeight="false" outlineLevel="0" collapsed="false">
      <c r="A3926" s="31" t="n">
        <v>3922</v>
      </c>
      <c r="B3926" s="32" t="str">
        <f aca="false">IF(OR(C3926="",I3926="",G3926=""),"",IFERROR(VLOOKUP(I3926,Setup!$A$9:$B$11,2,0),"???")&amp;"-"&amp;G3926&amp;"-"&amp;TEXT(COUNTIFS(I$5:I3926,I3926,G$5:G3926,G3926),"0000"))</f>
        <v/>
      </c>
      <c r="C3926" s="26"/>
      <c r="D3926" s="26"/>
      <c r="E3926" s="27"/>
      <c r="F3926" s="27"/>
      <c r="G3926" s="31" t="str">
        <f aca="false">IF(F3926="","",IF(F3926&lt;=5,"A",IF(F3926&lt;=8,"B",IF(F3926&lt;=10,"C","D"))))</f>
        <v/>
      </c>
      <c r="H3926" s="28"/>
      <c r="I3926" s="27"/>
      <c r="J3926" s="26"/>
      <c r="K3926" s="27"/>
      <c r="L3926" s="27"/>
      <c r="M3926" s="27"/>
      <c r="N3926" s="27"/>
      <c r="O3926" s="31" t="str">
        <f aca="false">IF(G3926="","",VLOOKUP(G3926,Setup!$A$14:$C$17,3,0))</f>
        <v/>
      </c>
      <c r="P3926" s="27"/>
      <c r="Q3926" s="33" t="str">
        <f aca="false">IF(OR(P3926="",M3926&lt;&gt;"Paid",O3926=""),"",P3926/O3926)</f>
        <v/>
      </c>
      <c r="R3926" s="34" t="str">
        <f aca="false">IF(Q3926="","",Q3926+N(H3926)*0.000000001)</f>
        <v/>
      </c>
      <c r="S3926" s="32" t="str">
        <f aca="false">IF(R3926="","",SUMPRODUCT((I$5:I$4004=I3926)*ISNUMBER(R$5:R$4004)*(R$5:R$4004&gt;R3926))+1)</f>
        <v/>
      </c>
      <c r="T3926" s="32" t="str">
        <f aca="false">IF(S3926="","",IF(S3926&lt;=Setup!$B$5,"🏆 WINNER",""))</f>
        <v/>
      </c>
      <c r="U3926" s="31" t="str">
        <f aca="false">IF(S3926="","",I3926&amp;"|"&amp;S3926)</f>
        <v/>
      </c>
    </row>
    <row r="3927" customFormat="false" ht="15" hidden="false" customHeight="false" outlineLevel="0" collapsed="false">
      <c r="A3927" s="24" t="n">
        <v>3923</v>
      </c>
      <c r="B3927" s="25" t="str">
        <f aca="false">IF(OR(C3927="",I3927="",G3927=""),"",IFERROR(VLOOKUP(I3927,Setup!$A$9:$B$11,2,0),"???")&amp;"-"&amp;G3927&amp;"-"&amp;TEXT(COUNTIFS(I$5:I3927,I3927,G$5:G3927,G3927),"0000"))</f>
        <v/>
      </c>
      <c r="C3927" s="26"/>
      <c r="D3927" s="26"/>
      <c r="E3927" s="27"/>
      <c r="F3927" s="27"/>
      <c r="G3927" s="24" t="str">
        <f aca="false">IF(F3927="","",IF(F3927&lt;=5,"A",IF(F3927&lt;=8,"B",IF(F3927&lt;=10,"C","D"))))</f>
        <v/>
      </c>
      <c r="H3927" s="28"/>
      <c r="I3927" s="27"/>
      <c r="J3927" s="26"/>
      <c r="K3927" s="27"/>
      <c r="L3927" s="27"/>
      <c r="M3927" s="27"/>
      <c r="N3927" s="27"/>
      <c r="O3927" s="24" t="str">
        <f aca="false">IF(G3927="","",VLOOKUP(G3927,Setup!$A$14:$C$17,3,0))</f>
        <v/>
      </c>
      <c r="P3927" s="27"/>
      <c r="Q3927" s="29" t="str">
        <f aca="false">IF(OR(P3927="",M3927&lt;&gt;"Paid",O3927=""),"",P3927/O3927)</f>
        <v/>
      </c>
      <c r="R3927" s="30" t="str">
        <f aca="false">IF(Q3927="","",Q3927+N(H3927)*0.000000001)</f>
        <v/>
      </c>
      <c r="S3927" s="25" t="str">
        <f aca="false">IF(R3927="","",SUMPRODUCT((I$5:I$4004=I3927)*ISNUMBER(R$5:R$4004)*(R$5:R$4004&gt;R3927))+1)</f>
        <v/>
      </c>
      <c r="T3927" s="25" t="str">
        <f aca="false">IF(S3927="","",IF(S3927&lt;=Setup!$B$5,"🏆 WINNER",""))</f>
        <v/>
      </c>
      <c r="U3927" s="24" t="str">
        <f aca="false">IF(S3927="","",I3927&amp;"|"&amp;S3927)</f>
        <v/>
      </c>
    </row>
    <row r="3928" customFormat="false" ht="15" hidden="false" customHeight="false" outlineLevel="0" collapsed="false">
      <c r="A3928" s="31" t="n">
        <v>3924</v>
      </c>
      <c r="B3928" s="32" t="str">
        <f aca="false">IF(OR(C3928="",I3928="",G3928=""),"",IFERROR(VLOOKUP(I3928,Setup!$A$9:$B$11,2,0),"???")&amp;"-"&amp;G3928&amp;"-"&amp;TEXT(COUNTIFS(I$5:I3928,I3928,G$5:G3928,G3928),"0000"))</f>
        <v/>
      </c>
      <c r="C3928" s="26"/>
      <c r="D3928" s="26"/>
      <c r="E3928" s="27"/>
      <c r="F3928" s="27"/>
      <c r="G3928" s="31" t="str">
        <f aca="false">IF(F3928="","",IF(F3928&lt;=5,"A",IF(F3928&lt;=8,"B",IF(F3928&lt;=10,"C","D"))))</f>
        <v/>
      </c>
      <c r="H3928" s="28"/>
      <c r="I3928" s="27"/>
      <c r="J3928" s="26"/>
      <c r="K3928" s="27"/>
      <c r="L3928" s="27"/>
      <c r="M3928" s="27"/>
      <c r="N3928" s="27"/>
      <c r="O3928" s="31" t="str">
        <f aca="false">IF(G3928="","",VLOOKUP(G3928,Setup!$A$14:$C$17,3,0))</f>
        <v/>
      </c>
      <c r="P3928" s="27"/>
      <c r="Q3928" s="33" t="str">
        <f aca="false">IF(OR(P3928="",M3928&lt;&gt;"Paid",O3928=""),"",P3928/O3928)</f>
        <v/>
      </c>
      <c r="R3928" s="34" t="str">
        <f aca="false">IF(Q3928="","",Q3928+N(H3928)*0.000000001)</f>
        <v/>
      </c>
      <c r="S3928" s="32" t="str">
        <f aca="false">IF(R3928="","",SUMPRODUCT((I$5:I$4004=I3928)*ISNUMBER(R$5:R$4004)*(R$5:R$4004&gt;R3928))+1)</f>
        <v/>
      </c>
      <c r="T3928" s="32" t="str">
        <f aca="false">IF(S3928="","",IF(S3928&lt;=Setup!$B$5,"🏆 WINNER",""))</f>
        <v/>
      </c>
      <c r="U3928" s="31" t="str">
        <f aca="false">IF(S3928="","",I3928&amp;"|"&amp;S3928)</f>
        <v/>
      </c>
    </row>
    <row r="3929" customFormat="false" ht="15" hidden="false" customHeight="false" outlineLevel="0" collapsed="false">
      <c r="A3929" s="24" t="n">
        <v>3925</v>
      </c>
      <c r="B3929" s="25" t="str">
        <f aca="false">IF(OR(C3929="",I3929="",G3929=""),"",IFERROR(VLOOKUP(I3929,Setup!$A$9:$B$11,2,0),"???")&amp;"-"&amp;G3929&amp;"-"&amp;TEXT(COUNTIFS(I$5:I3929,I3929,G$5:G3929,G3929),"0000"))</f>
        <v/>
      </c>
      <c r="C3929" s="26"/>
      <c r="D3929" s="26"/>
      <c r="E3929" s="27"/>
      <c r="F3929" s="27"/>
      <c r="G3929" s="24" t="str">
        <f aca="false">IF(F3929="","",IF(F3929&lt;=5,"A",IF(F3929&lt;=8,"B",IF(F3929&lt;=10,"C","D"))))</f>
        <v/>
      </c>
      <c r="H3929" s="28"/>
      <c r="I3929" s="27"/>
      <c r="J3929" s="26"/>
      <c r="K3929" s="27"/>
      <c r="L3929" s="27"/>
      <c r="M3929" s="27"/>
      <c r="N3929" s="27"/>
      <c r="O3929" s="24" t="str">
        <f aca="false">IF(G3929="","",VLOOKUP(G3929,Setup!$A$14:$C$17,3,0))</f>
        <v/>
      </c>
      <c r="P3929" s="27"/>
      <c r="Q3929" s="29" t="str">
        <f aca="false">IF(OR(P3929="",M3929&lt;&gt;"Paid",O3929=""),"",P3929/O3929)</f>
        <v/>
      </c>
      <c r="R3929" s="30" t="str">
        <f aca="false">IF(Q3929="","",Q3929+N(H3929)*0.000000001)</f>
        <v/>
      </c>
      <c r="S3929" s="25" t="str">
        <f aca="false">IF(R3929="","",SUMPRODUCT((I$5:I$4004=I3929)*ISNUMBER(R$5:R$4004)*(R$5:R$4004&gt;R3929))+1)</f>
        <v/>
      </c>
      <c r="T3929" s="25" t="str">
        <f aca="false">IF(S3929="","",IF(S3929&lt;=Setup!$B$5,"🏆 WINNER",""))</f>
        <v/>
      </c>
      <c r="U3929" s="24" t="str">
        <f aca="false">IF(S3929="","",I3929&amp;"|"&amp;S3929)</f>
        <v/>
      </c>
    </row>
    <row r="3930" customFormat="false" ht="15" hidden="false" customHeight="false" outlineLevel="0" collapsed="false">
      <c r="A3930" s="31" t="n">
        <v>3926</v>
      </c>
      <c r="B3930" s="32" t="str">
        <f aca="false">IF(OR(C3930="",I3930="",G3930=""),"",IFERROR(VLOOKUP(I3930,Setup!$A$9:$B$11,2,0),"???")&amp;"-"&amp;G3930&amp;"-"&amp;TEXT(COUNTIFS(I$5:I3930,I3930,G$5:G3930,G3930),"0000"))</f>
        <v/>
      </c>
      <c r="C3930" s="26"/>
      <c r="D3930" s="26"/>
      <c r="E3930" s="27"/>
      <c r="F3930" s="27"/>
      <c r="G3930" s="31" t="str">
        <f aca="false">IF(F3930="","",IF(F3930&lt;=5,"A",IF(F3930&lt;=8,"B",IF(F3930&lt;=10,"C","D"))))</f>
        <v/>
      </c>
      <c r="H3930" s="28"/>
      <c r="I3930" s="27"/>
      <c r="J3930" s="26"/>
      <c r="K3930" s="27"/>
      <c r="L3930" s="27"/>
      <c r="M3930" s="27"/>
      <c r="N3930" s="27"/>
      <c r="O3930" s="31" t="str">
        <f aca="false">IF(G3930="","",VLOOKUP(G3930,Setup!$A$14:$C$17,3,0))</f>
        <v/>
      </c>
      <c r="P3930" s="27"/>
      <c r="Q3930" s="33" t="str">
        <f aca="false">IF(OR(P3930="",M3930&lt;&gt;"Paid",O3930=""),"",P3930/O3930)</f>
        <v/>
      </c>
      <c r="R3930" s="34" t="str">
        <f aca="false">IF(Q3930="","",Q3930+N(H3930)*0.000000001)</f>
        <v/>
      </c>
      <c r="S3930" s="32" t="str">
        <f aca="false">IF(R3930="","",SUMPRODUCT((I$5:I$4004=I3930)*ISNUMBER(R$5:R$4004)*(R$5:R$4004&gt;R3930))+1)</f>
        <v/>
      </c>
      <c r="T3930" s="32" t="str">
        <f aca="false">IF(S3930="","",IF(S3930&lt;=Setup!$B$5,"🏆 WINNER",""))</f>
        <v/>
      </c>
      <c r="U3930" s="31" t="str">
        <f aca="false">IF(S3930="","",I3930&amp;"|"&amp;S3930)</f>
        <v/>
      </c>
    </row>
    <row r="3931" customFormat="false" ht="15" hidden="false" customHeight="false" outlineLevel="0" collapsed="false">
      <c r="A3931" s="24" t="n">
        <v>3927</v>
      </c>
      <c r="B3931" s="25" t="str">
        <f aca="false">IF(OR(C3931="",I3931="",G3931=""),"",IFERROR(VLOOKUP(I3931,Setup!$A$9:$B$11,2,0),"???")&amp;"-"&amp;G3931&amp;"-"&amp;TEXT(COUNTIFS(I$5:I3931,I3931,G$5:G3931,G3931),"0000"))</f>
        <v/>
      </c>
      <c r="C3931" s="26"/>
      <c r="D3931" s="26"/>
      <c r="E3931" s="27"/>
      <c r="F3931" s="27"/>
      <c r="G3931" s="24" t="str">
        <f aca="false">IF(F3931="","",IF(F3931&lt;=5,"A",IF(F3931&lt;=8,"B",IF(F3931&lt;=10,"C","D"))))</f>
        <v/>
      </c>
      <c r="H3931" s="28"/>
      <c r="I3931" s="27"/>
      <c r="J3931" s="26"/>
      <c r="K3931" s="27"/>
      <c r="L3931" s="27"/>
      <c r="M3931" s="27"/>
      <c r="N3931" s="27"/>
      <c r="O3931" s="24" t="str">
        <f aca="false">IF(G3931="","",VLOOKUP(G3931,Setup!$A$14:$C$17,3,0))</f>
        <v/>
      </c>
      <c r="P3931" s="27"/>
      <c r="Q3931" s="29" t="str">
        <f aca="false">IF(OR(P3931="",M3931&lt;&gt;"Paid",O3931=""),"",P3931/O3931)</f>
        <v/>
      </c>
      <c r="R3931" s="30" t="str">
        <f aca="false">IF(Q3931="","",Q3931+N(H3931)*0.000000001)</f>
        <v/>
      </c>
      <c r="S3931" s="25" t="str">
        <f aca="false">IF(R3931="","",SUMPRODUCT((I$5:I$4004=I3931)*ISNUMBER(R$5:R$4004)*(R$5:R$4004&gt;R3931))+1)</f>
        <v/>
      </c>
      <c r="T3931" s="25" t="str">
        <f aca="false">IF(S3931="","",IF(S3931&lt;=Setup!$B$5,"🏆 WINNER",""))</f>
        <v/>
      </c>
      <c r="U3931" s="24" t="str">
        <f aca="false">IF(S3931="","",I3931&amp;"|"&amp;S3931)</f>
        <v/>
      </c>
    </row>
    <row r="3932" customFormat="false" ht="15" hidden="false" customHeight="false" outlineLevel="0" collapsed="false">
      <c r="A3932" s="31" t="n">
        <v>3928</v>
      </c>
      <c r="B3932" s="32" t="str">
        <f aca="false">IF(OR(C3932="",I3932="",G3932=""),"",IFERROR(VLOOKUP(I3932,Setup!$A$9:$B$11,2,0),"???")&amp;"-"&amp;G3932&amp;"-"&amp;TEXT(COUNTIFS(I$5:I3932,I3932,G$5:G3932,G3932),"0000"))</f>
        <v/>
      </c>
      <c r="C3932" s="26"/>
      <c r="D3932" s="26"/>
      <c r="E3932" s="27"/>
      <c r="F3932" s="27"/>
      <c r="G3932" s="31" t="str">
        <f aca="false">IF(F3932="","",IF(F3932&lt;=5,"A",IF(F3932&lt;=8,"B",IF(F3932&lt;=10,"C","D"))))</f>
        <v/>
      </c>
      <c r="H3932" s="28"/>
      <c r="I3932" s="27"/>
      <c r="J3932" s="26"/>
      <c r="K3932" s="27"/>
      <c r="L3932" s="27"/>
      <c r="M3932" s="27"/>
      <c r="N3932" s="27"/>
      <c r="O3932" s="31" t="str">
        <f aca="false">IF(G3932="","",VLOOKUP(G3932,Setup!$A$14:$C$17,3,0))</f>
        <v/>
      </c>
      <c r="P3932" s="27"/>
      <c r="Q3932" s="33" t="str">
        <f aca="false">IF(OR(P3932="",M3932&lt;&gt;"Paid",O3932=""),"",P3932/O3932)</f>
        <v/>
      </c>
      <c r="R3932" s="34" t="str">
        <f aca="false">IF(Q3932="","",Q3932+N(H3932)*0.000000001)</f>
        <v/>
      </c>
      <c r="S3932" s="32" t="str">
        <f aca="false">IF(R3932="","",SUMPRODUCT((I$5:I$4004=I3932)*ISNUMBER(R$5:R$4004)*(R$5:R$4004&gt;R3932))+1)</f>
        <v/>
      </c>
      <c r="T3932" s="32" t="str">
        <f aca="false">IF(S3932="","",IF(S3932&lt;=Setup!$B$5,"🏆 WINNER",""))</f>
        <v/>
      </c>
      <c r="U3932" s="31" t="str">
        <f aca="false">IF(S3932="","",I3932&amp;"|"&amp;S3932)</f>
        <v/>
      </c>
    </row>
    <row r="3933" customFormat="false" ht="15" hidden="false" customHeight="false" outlineLevel="0" collapsed="false">
      <c r="A3933" s="24" t="n">
        <v>3929</v>
      </c>
      <c r="B3933" s="25" t="str">
        <f aca="false">IF(OR(C3933="",I3933="",G3933=""),"",IFERROR(VLOOKUP(I3933,Setup!$A$9:$B$11,2,0),"???")&amp;"-"&amp;G3933&amp;"-"&amp;TEXT(COUNTIFS(I$5:I3933,I3933,G$5:G3933,G3933),"0000"))</f>
        <v/>
      </c>
      <c r="C3933" s="26"/>
      <c r="D3933" s="26"/>
      <c r="E3933" s="27"/>
      <c r="F3933" s="27"/>
      <c r="G3933" s="24" t="str">
        <f aca="false">IF(F3933="","",IF(F3933&lt;=5,"A",IF(F3933&lt;=8,"B",IF(F3933&lt;=10,"C","D"))))</f>
        <v/>
      </c>
      <c r="H3933" s="28"/>
      <c r="I3933" s="27"/>
      <c r="J3933" s="26"/>
      <c r="K3933" s="27"/>
      <c r="L3933" s="27"/>
      <c r="M3933" s="27"/>
      <c r="N3933" s="27"/>
      <c r="O3933" s="24" t="str">
        <f aca="false">IF(G3933="","",VLOOKUP(G3933,Setup!$A$14:$C$17,3,0))</f>
        <v/>
      </c>
      <c r="P3933" s="27"/>
      <c r="Q3933" s="29" t="str">
        <f aca="false">IF(OR(P3933="",M3933&lt;&gt;"Paid",O3933=""),"",P3933/O3933)</f>
        <v/>
      </c>
      <c r="R3933" s="30" t="str">
        <f aca="false">IF(Q3933="","",Q3933+N(H3933)*0.000000001)</f>
        <v/>
      </c>
      <c r="S3933" s="25" t="str">
        <f aca="false">IF(R3933="","",SUMPRODUCT((I$5:I$4004=I3933)*ISNUMBER(R$5:R$4004)*(R$5:R$4004&gt;R3933))+1)</f>
        <v/>
      </c>
      <c r="T3933" s="25" t="str">
        <f aca="false">IF(S3933="","",IF(S3933&lt;=Setup!$B$5,"🏆 WINNER",""))</f>
        <v/>
      </c>
      <c r="U3933" s="24" t="str">
        <f aca="false">IF(S3933="","",I3933&amp;"|"&amp;S3933)</f>
        <v/>
      </c>
    </row>
    <row r="3934" customFormat="false" ht="15" hidden="false" customHeight="false" outlineLevel="0" collapsed="false">
      <c r="A3934" s="31" t="n">
        <v>3930</v>
      </c>
      <c r="B3934" s="32" t="str">
        <f aca="false">IF(OR(C3934="",I3934="",G3934=""),"",IFERROR(VLOOKUP(I3934,Setup!$A$9:$B$11,2,0),"???")&amp;"-"&amp;G3934&amp;"-"&amp;TEXT(COUNTIFS(I$5:I3934,I3934,G$5:G3934,G3934),"0000"))</f>
        <v/>
      </c>
      <c r="C3934" s="26"/>
      <c r="D3934" s="26"/>
      <c r="E3934" s="27"/>
      <c r="F3934" s="27"/>
      <c r="G3934" s="31" t="str">
        <f aca="false">IF(F3934="","",IF(F3934&lt;=5,"A",IF(F3934&lt;=8,"B",IF(F3934&lt;=10,"C","D"))))</f>
        <v/>
      </c>
      <c r="H3934" s="28"/>
      <c r="I3934" s="27"/>
      <c r="J3934" s="26"/>
      <c r="K3934" s="27"/>
      <c r="L3934" s="27"/>
      <c r="M3934" s="27"/>
      <c r="N3934" s="27"/>
      <c r="O3934" s="31" t="str">
        <f aca="false">IF(G3934="","",VLOOKUP(G3934,Setup!$A$14:$C$17,3,0))</f>
        <v/>
      </c>
      <c r="P3934" s="27"/>
      <c r="Q3934" s="33" t="str">
        <f aca="false">IF(OR(P3934="",M3934&lt;&gt;"Paid",O3934=""),"",P3934/O3934)</f>
        <v/>
      </c>
      <c r="R3934" s="34" t="str">
        <f aca="false">IF(Q3934="","",Q3934+N(H3934)*0.000000001)</f>
        <v/>
      </c>
      <c r="S3934" s="32" t="str">
        <f aca="false">IF(R3934="","",SUMPRODUCT((I$5:I$4004=I3934)*ISNUMBER(R$5:R$4004)*(R$5:R$4004&gt;R3934))+1)</f>
        <v/>
      </c>
      <c r="T3934" s="32" t="str">
        <f aca="false">IF(S3934="","",IF(S3934&lt;=Setup!$B$5,"🏆 WINNER",""))</f>
        <v/>
      </c>
      <c r="U3934" s="31" t="str">
        <f aca="false">IF(S3934="","",I3934&amp;"|"&amp;S3934)</f>
        <v/>
      </c>
    </row>
    <row r="3935" customFormat="false" ht="15" hidden="false" customHeight="false" outlineLevel="0" collapsed="false">
      <c r="A3935" s="24" t="n">
        <v>3931</v>
      </c>
      <c r="B3935" s="25" t="str">
        <f aca="false">IF(OR(C3935="",I3935="",G3935=""),"",IFERROR(VLOOKUP(I3935,Setup!$A$9:$B$11,2,0),"???")&amp;"-"&amp;G3935&amp;"-"&amp;TEXT(COUNTIFS(I$5:I3935,I3935,G$5:G3935,G3935),"0000"))</f>
        <v/>
      </c>
      <c r="C3935" s="26"/>
      <c r="D3935" s="26"/>
      <c r="E3935" s="27"/>
      <c r="F3935" s="27"/>
      <c r="G3935" s="24" t="str">
        <f aca="false">IF(F3935="","",IF(F3935&lt;=5,"A",IF(F3935&lt;=8,"B",IF(F3935&lt;=10,"C","D"))))</f>
        <v/>
      </c>
      <c r="H3935" s="28"/>
      <c r="I3935" s="27"/>
      <c r="J3935" s="26"/>
      <c r="K3935" s="27"/>
      <c r="L3935" s="27"/>
      <c r="M3935" s="27"/>
      <c r="N3935" s="27"/>
      <c r="O3935" s="24" t="str">
        <f aca="false">IF(G3935="","",VLOOKUP(G3935,Setup!$A$14:$C$17,3,0))</f>
        <v/>
      </c>
      <c r="P3935" s="27"/>
      <c r="Q3935" s="29" t="str">
        <f aca="false">IF(OR(P3935="",M3935&lt;&gt;"Paid",O3935=""),"",P3935/O3935)</f>
        <v/>
      </c>
      <c r="R3935" s="30" t="str">
        <f aca="false">IF(Q3935="","",Q3935+N(H3935)*0.000000001)</f>
        <v/>
      </c>
      <c r="S3935" s="25" t="str">
        <f aca="false">IF(R3935="","",SUMPRODUCT((I$5:I$4004=I3935)*ISNUMBER(R$5:R$4004)*(R$5:R$4004&gt;R3935))+1)</f>
        <v/>
      </c>
      <c r="T3935" s="25" t="str">
        <f aca="false">IF(S3935="","",IF(S3935&lt;=Setup!$B$5,"🏆 WINNER",""))</f>
        <v/>
      </c>
      <c r="U3935" s="24" t="str">
        <f aca="false">IF(S3935="","",I3935&amp;"|"&amp;S3935)</f>
        <v/>
      </c>
    </row>
    <row r="3936" customFormat="false" ht="15" hidden="false" customHeight="false" outlineLevel="0" collapsed="false">
      <c r="A3936" s="31" t="n">
        <v>3932</v>
      </c>
      <c r="B3936" s="32" t="str">
        <f aca="false">IF(OR(C3936="",I3936="",G3936=""),"",IFERROR(VLOOKUP(I3936,Setup!$A$9:$B$11,2,0),"???")&amp;"-"&amp;G3936&amp;"-"&amp;TEXT(COUNTIFS(I$5:I3936,I3936,G$5:G3936,G3936),"0000"))</f>
        <v/>
      </c>
      <c r="C3936" s="26"/>
      <c r="D3936" s="26"/>
      <c r="E3936" s="27"/>
      <c r="F3936" s="27"/>
      <c r="G3936" s="31" t="str">
        <f aca="false">IF(F3936="","",IF(F3936&lt;=5,"A",IF(F3936&lt;=8,"B",IF(F3936&lt;=10,"C","D"))))</f>
        <v/>
      </c>
      <c r="H3936" s="28"/>
      <c r="I3936" s="27"/>
      <c r="J3936" s="26"/>
      <c r="K3936" s="27"/>
      <c r="L3936" s="27"/>
      <c r="M3936" s="27"/>
      <c r="N3936" s="27"/>
      <c r="O3936" s="31" t="str">
        <f aca="false">IF(G3936="","",VLOOKUP(G3936,Setup!$A$14:$C$17,3,0))</f>
        <v/>
      </c>
      <c r="P3936" s="27"/>
      <c r="Q3936" s="33" t="str">
        <f aca="false">IF(OR(P3936="",M3936&lt;&gt;"Paid",O3936=""),"",P3936/O3936)</f>
        <v/>
      </c>
      <c r="R3936" s="34" t="str">
        <f aca="false">IF(Q3936="","",Q3936+N(H3936)*0.000000001)</f>
        <v/>
      </c>
      <c r="S3936" s="32" t="str">
        <f aca="false">IF(R3936="","",SUMPRODUCT((I$5:I$4004=I3936)*ISNUMBER(R$5:R$4004)*(R$5:R$4004&gt;R3936))+1)</f>
        <v/>
      </c>
      <c r="T3936" s="32" t="str">
        <f aca="false">IF(S3936="","",IF(S3936&lt;=Setup!$B$5,"🏆 WINNER",""))</f>
        <v/>
      </c>
      <c r="U3936" s="31" t="str">
        <f aca="false">IF(S3936="","",I3936&amp;"|"&amp;S3936)</f>
        <v/>
      </c>
    </row>
    <row r="3937" customFormat="false" ht="15" hidden="false" customHeight="false" outlineLevel="0" collapsed="false">
      <c r="A3937" s="24" t="n">
        <v>3933</v>
      </c>
      <c r="B3937" s="25" t="str">
        <f aca="false">IF(OR(C3937="",I3937="",G3937=""),"",IFERROR(VLOOKUP(I3937,Setup!$A$9:$B$11,2,0),"???")&amp;"-"&amp;G3937&amp;"-"&amp;TEXT(COUNTIFS(I$5:I3937,I3937,G$5:G3937,G3937),"0000"))</f>
        <v/>
      </c>
      <c r="C3937" s="26"/>
      <c r="D3937" s="26"/>
      <c r="E3937" s="27"/>
      <c r="F3937" s="27"/>
      <c r="G3937" s="24" t="str">
        <f aca="false">IF(F3937="","",IF(F3937&lt;=5,"A",IF(F3937&lt;=8,"B",IF(F3937&lt;=10,"C","D"))))</f>
        <v/>
      </c>
      <c r="H3937" s="28"/>
      <c r="I3937" s="27"/>
      <c r="J3937" s="26"/>
      <c r="K3937" s="27"/>
      <c r="L3937" s="27"/>
      <c r="M3937" s="27"/>
      <c r="N3937" s="27"/>
      <c r="O3937" s="24" t="str">
        <f aca="false">IF(G3937="","",VLOOKUP(G3937,Setup!$A$14:$C$17,3,0))</f>
        <v/>
      </c>
      <c r="P3937" s="27"/>
      <c r="Q3937" s="29" t="str">
        <f aca="false">IF(OR(P3937="",M3937&lt;&gt;"Paid",O3937=""),"",P3937/O3937)</f>
        <v/>
      </c>
      <c r="R3937" s="30" t="str">
        <f aca="false">IF(Q3937="","",Q3937+N(H3937)*0.000000001)</f>
        <v/>
      </c>
      <c r="S3937" s="25" t="str">
        <f aca="false">IF(R3937="","",SUMPRODUCT((I$5:I$4004=I3937)*ISNUMBER(R$5:R$4004)*(R$5:R$4004&gt;R3937))+1)</f>
        <v/>
      </c>
      <c r="T3937" s="25" t="str">
        <f aca="false">IF(S3937="","",IF(S3937&lt;=Setup!$B$5,"🏆 WINNER",""))</f>
        <v/>
      </c>
      <c r="U3937" s="24" t="str">
        <f aca="false">IF(S3937="","",I3937&amp;"|"&amp;S3937)</f>
        <v/>
      </c>
    </row>
    <row r="3938" customFormat="false" ht="15" hidden="false" customHeight="false" outlineLevel="0" collapsed="false">
      <c r="A3938" s="31" t="n">
        <v>3934</v>
      </c>
      <c r="B3938" s="32" t="str">
        <f aca="false">IF(OR(C3938="",I3938="",G3938=""),"",IFERROR(VLOOKUP(I3938,Setup!$A$9:$B$11,2,0),"???")&amp;"-"&amp;G3938&amp;"-"&amp;TEXT(COUNTIFS(I$5:I3938,I3938,G$5:G3938,G3938),"0000"))</f>
        <v/>
      </c>
      <c r="C3938" s="26"/>
      <c r="D3938" s="26"/>
      <c r="E3938" s="27"/>
      <c r="F3938" s="27"/>
      <c r="G3938" s="31" t="str">
        <f aca="false">IF(F3938="","",IF(F3938&lt;=5,"A",IF(F3938&lt;=8,"B",IF(F3938&lt;=10,"C","D"))))</f>
        <v/>
      </c>
      <c r="H3938" s="28"/>
      <c r="I3938" s="27"/>
      <c r="J3938" s="26"/>
      <c r="K3938" s="27"/>
      <c r="L3938" s="27"/>
      <c r="M3938" s="27"/>
      <c r="N3938" s="27"/>
      <c r="O3938" s="31" t="str">
        <f aca="false">IF(G3938="","",VLOOKUP(G3938,Setup!$A$14:$C$17,3,0))</f>
        <v/>
      </c>
      <c r="P3938" s="27"/>
      <c r="Q3938" s="33" t="str">
        <f aca="false">IF(OR(P3938="",M3938&lt;&gt;"Paid",O3938=""),"",P3938/O3938)</f>
        <v/>
      </c>
      <c r="R3938" s="34" t="str">
        <f aca="false">IF(Q3938="","",Q3938+N(H3938)*0.000000001)</f>
        <v/>
      </c>
      <c r="S3938" s="32" t="str">
        <f aca="false">IF(R3938="","",SUMPRODUCT((I$5:I$4004=I3938)*ISNUMBER(R$5:R$4004)*(R$5:R$4004&gt;R3938))+1)</f>
        <v/>
      </c>
      <c r="T3938" s="32" t="str">
        <f aca="false">IF(S3938="","",IF(S3938&lt;=Setup!$B$5,"🏆 WINNER",""))</f>
        <v/>
      </c>
      <c r="U3938" s="31" t="str">
        <f aca="false">IF(S3938="","",I3938&amp;"|"&amp;S3938)</f>
        <v/>
      </c>
    </row>
    <row r="3939" customFormat="false" ht="15" hidden="false" customHeight="false" outlineLevel="0" collapsed="false">
      <c r="A3939" s="24" t="n">
        <v>3935</v>
      </c>
      <c r="B3939" s="25" t="str">
        <f aca="false">IF(OR(C3939="",I3939="",G3939=""),"",IFERROR(VLOOKUP(I3939,Setup!$A$9:$B$11,2,0),"???")&amp;"-"&amp;G3939&amp;"-"&amp;TEXT(COUNTIFS(I$5:I3939,I3939,G$5:G3939,G3939),"0000"))</f>
        <v/>
      </c>
      <c r="C3939" s="26"/>
      <c r="D3939" s="26"/>
      <c r="E3939" s="27"/>
      <c r="F3939" s="27"/>
      <c r="G3939" s="24" t="str">
        <f aca="false">IF(F3939="","",IF(F3939&lt;=5,"A",IF(F3939&lt;=8,"B",IF(F3939&lt;=10,"C","D"))))</f>
        <v/>
      </c>
      <c r="H3939" s="28"/>
      <c r="I3939" s="27"/>
      <c r="J3939" s="26"/>
      <c r="K3939" s="27"/>
      <c r="L3939" s="27"/>
      <c r="M3939" s="27"/>
      <c r="N3939" s="27"/>
      <c r="O3939" s="24" t="str">
        <f aca="false">IF(G3939="","",VLOOKUP(G3939,Setup!$A$14:$C$17,3,0))</f>
        <v/>
      </c>
      <c r="P3939" s="27"/>
      <c r="Q3939" s="29" t="str">
        <f aca="false">IF(OR(P3939="",M3939&lt;&gt;"Paid",O3939=""),"",P3939/O3939)</f>
        <v/>
      </c>
      <c r="R3939" s="30" t="str">
        <f aca="false">IF(Q3939="","",Q3939+N(H3939)*0.000000001)</f>
        <v/>
      </c>
      <c r="S3939" s="25" t="str">
        <f aca="false">IF(R3939="","",SUMPRODUCT((I$5:I$4004=I3939)*ISNUMBER(R$5:R$4004)*(R$5:R$4004&gt;R3939))+1)</f>
        <v/>
      </c>
      <c r="T3939" s="25" t="str">
        <f aca="false">IF(S3939="","",IF(S3939&lt;=Setup!$B$5,"🏆 WINNER",""))</f>
        <v/>
      </c>
      <c r="U3939" s="24" t="str">
        <f aca="false">IF(S3939="","",I3939&amp;"|"&amp;S3939)</f>
        <v/>
      </c>
    </row>
    <row r="3940" customFormat="false" ht="15" hidden="false" customHeight="false" outlineLevel="0" collapsed="false">
      <c r="A3940" s="31" t="n">
        <v>3936</v>
      </c>
      <c r="B3940" s="32" t="str">
        <f aca="false">IF(OR(C3940="",I3940="",G3940=""),"",IFERROR(VLOOKUP(I3940,Setup!$A$9:$B$11,2,0),"???")&amp;"-"&amp;G3940&amp;"-"&amp;TEXT(COUNTIFS(I$5:I3940,I3940,G$5:G3940,G3940),"0000"))</f>
        <v/>
      </c>
      <c r="C3940" s="26"/>
      <c r="D3940" s="26"/>
      <c r="E3940" s="27"/>
      <c r="F3940" s="27"/>
      <c r="G3940" s="31" t="str">
        <f aca="false">IF(F3940="","",IF(F3940&lt;=5,"A",IF(F3940&lt;=8,"B",IF(F3940&lt;=10,"C","D"))))</f>
        <v/>
      </c>
      <c r="H3940" s="28"/>
      <c r="I3940" s="27"/>
      <c r="J3940" s="26"/>
      <c r="K3940" s="27"/>
      <c r="L3940" s="27"/>
      <c r="M3940" s="27"/>
      <c r="N3940" s="27"/>
      <c r="O3940" s="31" t="str">
        <f aca="false">IF(G3940="","",VLOOKUP(G3940,Setup!$A$14:$C$17,3,0))</f>
        <v/>
      </c>
      <c r="P3940" s="27"/>
      <c r="Q3940" s="33" t="str">
        <f aca="false">IF(OR(P3940="",M3940&lt;&gt;"Paid",O3940=""),"",P3940/O3940)</f>
        <v/>
      </c>
      <c r="R3940" s="34" t="str">
        <f aca="false">IF(Q3940="","",Q3940+N(H3940)*0.000000001)</f>
        <v/>
      </c>
      <c r="S3940" s="32" t="str">
        <f aca="false">IF(R3940="","",SUMPRODUCT((I$5:I$4004=I3940)*ISNUMBER(R$5:R$4004)*(R$5:R$4004&gt;R3940))+1)</f>
        <v/>
      </c>
      <c r="T3940" s="32" t="str">
        <f aca="false">IF(S3940="","",IF(S3940&lt;=Setup!$B$5,"🏆 WINNER",""))</f>
        <v/>
      </c>
      <c r="U3940" s="31" t="str">
        <f aca="false">IF(S3940="","",I3940&amp;"|"&amp;S3940)</f>
        <v/>
      </c>
    </row>
    <row r="3941" customFormat="false" ht="15" hidden="false" customHeight="false" outlineLevel="0" collapsed="false">
      <c r="A3941" s="24" t="n">
        <v>3937</v>
      </c>
      <c r="B3941" s="25" t="str">
        <f aca="false">IF(OR(C3941="",I3941="",G3941=""),"",IFERROR(VLOOKUP(I3941,Setup!$A$9:$B$11,2,0),"???")&amp;"-"&amp;G3941&amp;"-"&amp;TEXT(COUNTIFS(I$5:I3941,I3941,G$5:G3941,G3941),"0000"))</f>
        <v/>
      </c>
      <c r="C3941" s="26"/>
      <c r="D3941" s="26"/>
      <c r="E3941" s="27"/>
      <c r="F3941" s="27"/>
      <c r="G3941" s="24" t="str">
        <f aca="false">IF(F3941="","",IF(F3941&lt;=5,"A",IF(F3941&lt;=8,"B",IF(F3941&lt;=10,"C","D"))))</f>
        <v/>
      </c>
      <c r="H3941" s="28"/>
      <c r="I3941" s="27"/>
      <c r="J3941" s="26"/>
      <c r="K3941" s="27"/>
      <c r="L3941" s="27"/>
      <c r="M3941" s="27"/>
      <c r="N3941" s="27"/>
      <c r="O3941" s="24" t="str">
        <f aca="false">IF(G3941="","",VLOOKUP(G3941,Setup!$A$14:$C$17,3,0))</f>
        <v/>
      </c>
      <c r="P3941" s="27"/>
      <c r="Q3941" s="29" t="str">
        <f aca="false">IF(OR(P3941="",M3941&lt;&gt;"Paid",O3941=""),"",P3941/O3941)</f>
        <v/>
      </c>
      <c r="R3941" s="30" t="str">
        <f aca="false">IF(Q3941="","",Q3941+N(H3941)*0.000000001)</f>
        <v/>
      </c>
      <c r="S3941" s="25" t="str">
        <f aca="false">IF(R3941="","",SUMPRODUCT((I$5:I$4004=I3941)*ISNUMBER(R$5:R$4004)*(R$5:R$4004&gt;R3941))+1)</f>
        <v/>
      </c>
      <c r="T3941" s="25" t="str">
        <f aca="false">IF(S3941="","",IF(S3941&lt;=Setup!$B$5,"🏆 WINNER",""))</f>
        <v/>
      </c>
      <c r="U3941" s="24" t="str">
        <f aca="false">IF(S3941="","",I3941&amp;"|"&amp;S3941)</f>
        <v/>
      </c>
    </row>
    <row r="3942" customFormat="false" ht="15" hidden="false" customHeight="false" outlineLevel="0" collapsed="false">
      <c r="A3942" s="31" t="n">
        <v>3938</v>
      </c>
      <c r="B3942" s="32" t="str">
        <f aca="false">IF(OR(C3942="",I3942="",G3942=""),"",IFERROR(VLOOKUP(I3942,Setup!$A$9:$B$11,2,0),"???")&amp;"-"&amp;G3942&amp;"-"&amp;TEXT(COUNTIFS(I$5:I3942,I3942,G$5:G3942,G3942),"0000"))</f>
        <v/>
      </c>
      <c r="C3942" s="26"/>
      <c r="D3942" s="26"/>
      <c r="E3942" s="27"/>
      <c r="F3942" s="27"/>
      <c r="G3942" s="31" t="str">
        <f aca="false">IF(F3942="","",IF(F3942&lt;=5,"A",IF(F3942&lt;=8,"B",IF(F3942&lt;=10,"C","D"))))</f>
        <v/>
      </c>
      <c r="H3942" s="28"/>
      <c r="I3942" s="27"/>
      <c r="J3942" s="26"/>
      <c r="K3942" s="27"/>
      <c r="L3942" s="27"/>
      <c r="M3942" s="27"/>
      <c r="N3942" s="27"/>
      <c r="O3942" s="31" t="str">
        <f aca="false">IF(G3942="","",VLOOKUP(G3942,Setup!$A$14:$C$17,3,0))</f>
        <v/>
      </c>
      <c r="P3942" s="27"/>
      <c r="Q3942" s="33" t="str">
        <f aca="false">IF(OR(P3942="",M3942&lt;&gt;"Paid",O3942=""),"",P3942/O3942)</f>
        <v/>
      </c>
      <c r="R3942" s="34" t="str">
        <f aca="false">IF(Q3942="","",Q3942+N(H3942)*0.000000001)</f>
        <v/>
      </c>
      <c r="S3942" s="32" t="str">
        <f aca="false">IF(R3942="","",SUMPRODUCT((I$5:I$4004=I3942)*ISNUMBER(R$5:R$4004)*(R$5:R$4004&gt;R3942))+1)</f>
        <v/>
      </c>
      <c r="T3942" s="32" t="str">
        <f aca="false">IF(S3942="","",IF(S3942&lt;=Setup!$B$5,"🏆 WINNER",""))</f>
        <v/>
      </c>
      <c r="U3942" s="31" t="str">
        <f aca="false">IF(S3942="","",I3942&amp;"|"&amp;S3942)</f>
        <v/>
      </c>
    </row>
    <row r="3943" customFormat="false" ht="15" hidden="false" customHeight="false" outlineLevel="0" collapsed="false">
      <c r="A3943" s="24" t="n">
        <v>3939</v>
      </c>
      <c r="B3943" s="25" t="str">
        <f aca="false">IF(OR(C3943="",I3943="",G3943=""),"",IFERROR(VLOOKUP(I3943,Setup!$A$9:$B$11,2,0),"???")&amp;"-"&amp;G3943&amp;"-"&amp;TEXT(COUNTIFS(I$5:I3943,I3943,G$5:G3943,G3943),"0000"))</f>
        <v/>
      </c>
      <c r="C3943" s="26"/>
      <c r="D3943" s="26"/>
      <c r="E3943" s="27"/>
      <c r="F3943" s="27"/>
      <c r="G3943" s="24" t="str">
        <f aca="false">IF(F3943="","",IF(F3943&lt;=5,"A",IF(F3943&lt;=8,"B",IF(F3943&lt;=10,"C","D"))))</f>
        <v/>
      </c>
      <c r="H3943" s="28"/>
      <c r="I3943" s="27"/>
      <c r="J3943" s="26"/>
      <c r="K3943" s="27"/>
      <c r="L3943" s="27"/>
      <c r="M3943" s="27"/>
      <c r="N3943" s="27"/>
      <c r="O3943" s="24" t="str">
        <f aca="false">IF(G3943="","",VLOOKUP(G3943,Setup!$A$14:$C$17,3,0))</f>
        <v/>
      </c>
      <c r="P3943" s="27"/>
      <c r="Q3943" s="29" t="str">
        <f aca="false">IF(OR(P3943="",M3943&lt;&gt;"Paid",O3943=""),"",P3943/O3943)</f>
        <v/>
      </c>
      <c r="R3943" s="30" t="str">
        <f aca="false">IF(Q3943="","",Q3943+N(H3943)*0.000000001)</f>
        <v/>
      </c>
      <c r="S3943" s="25" t="str">
        <f aca="false">IF(R3943="","",SUMPRODUCT((I$5:I$4004=I3943)*ISNUMBER(R$5:R$4004)*(R$5:R$4004&gt;R3943))+1)</f>
        <v/>
      </c>
      <c r="T3943" s="25" t="str">
        <f aca="false">IF(S3943="","",IF(S3943&lt;=Setup!$B$5,"🏆 WINNER",""))</f>
        <v/>
      </c>
      <c r="U3943" s="24" t="str">
        <f aca="false">IF(S3943="","",I3943&amp;"|"&amp;S3943)</f>
        <v/>
      </c>
    </row>
    <row r="3944" customFormat="false" ht="15" hidden="false" customHeight="false" outlineLevel="0" collapsed="false">
      <c r="A3944" s="31" t="n">
        <v>3940</v>
      </c>
      <c r="B3944" s="32" t="str">
        <f aca="false">IF(OR(C3944="",I3944="",G3944=""),"",IFERROR(VLOOKUP(I3944,Setup!$A$9:$B$11,2,0),"???")&amp;"-"&amp;G3944&amp;"-"&amp;TEXT(COUNTIFS(I$5:I3944,I3944,G$5:G3944,G3944),"0000"))</f>
        <v/>
      </c>
      <c r="C3944" s="26"/>
      <c r="D3944" s="26"/>
      <c r="E3944" s="27"/>
      <c r="F3944" s="27"/>
      <c r="G3944" s="31" t="str">
        <f aca="false">IF(F3944="","",IF(F3944&lt;=5,"A",IF(F3944&lt;=8,"B",IF(F3944&lt;=10,"C","D"))))</f>
        <v/>
      </c>
      <c r="H3944" s="28"/>
      <c r="I3944" s="27"/>
      <c r="J3944" s="26"/>
      <c r="K3944" s="27"/>
      <c r="L3944" s="27"/>
      <c r="M3944" s="27"/>
      <c r="N3944" s="27"/>
      <c r="O3944" s="31" t="str">
        <f aca="false">IF(G3944="","",VLOOKUP(G3944,Setup!$A$14:$C$17,3,0))</f>
        <v/>
      </c>
      <c r="P3944" s="27"/>
      <c r="Q3944" s="33" t="str">
        <f aca="false">IF(OR(P3944="",M3944&lt;&gt;"Paid",O3944=""),"",P3944/O3944)</f>
        <v/>
      </c>
      <c r="R3944" s="34" t="str">
        <f aca="false">IF(Q3944="","",Q3944+N(H3944)*0.000000001)</f>
        <v/>
      </c>
      <c r="S3944" s="32" t="str">
        <f aca="false">IF(R3944="","",SUMPRODUCT((I$5:I$4004=I3944)*ISNUMBER(R$5:R$4004)*(R$5:R$4004&gt;R3944))+1)</f>
        <v/>
      </c>
      <c r="T3944" s="32" t="str">
        <f aca="false">IF(S3944="","",IF(S3944&lt;=Setup!$B$5,"🏆 WINNER",""))</f>
        <v/>
      </c>
      <c r="U3944" s="31" t="str">
        <f aca="false">IF(S3944="","",I3944&amp;"|"&amp;S3944)</f>
        <v/>
      </c>
    </row>
    <row r="3945" customFormat="false" ht="15" hidden="false" customHeight="false" outlineLevel="0" collapsed="false">
      <c r="A3945" s="24" t="n">
        <v>3941</v>
      </c>
      <c r="B3945" s="25" t="str">
        <f aca="false">IF(OR(C3945="",I3945="",G3945=""),"",IFERROR(VLOOKUP(I3945,Setup!$A$9:$B$11,2,0),"???")&amp;"-"&amp;G3945&amp;"-"&amp;TEXT(COUNTIFS(I$5:I3945,I3945,G$5:G3945,G3945),"0000"))</f>
        <v/>
      </c>
      <c r="C3945" s="26"/>
      <c r="D3945" s="26"/>
      <c r="E3945" s="27"/>
      <c r="F3945" s="27"/>
      <c r="G3945" s="24" t="str">
        <f aca="false">IF(F3945="","",IF(F3945&lt;=5,"A",IF(F3945&lt;=8,"B",IF(F3945&lt;=10,"C","D"))))</f>
        <v/>
      </c>
      <c r="H3945" s="28"/>
      <c r="I3945" s="27"/>
      <c r="J3945" s="26"/>
      <c r="K3945" s="27"/>
      <c r="L3945" s="27"/>
      <c r="M3945" s="27"/>
      <c r="N3945" s="27"/>
      <c r="O3945" s="24" t="str">
        <f aca="false">IF(G3945="","",VLOOKUP(G3945,Setup!$A$14:$C$17,3,0))</f>
        <v/>
      </c>
      <c r="P3945" s="27"/>
      <c r="Q3945" s="29" t="str">
        <f aca="false">IF(OR(P3945="",M3945&lt;&gt;"Paid",O3945=""),"",P3945/O3945)</f>
        <v/>
      </c>
      <c r="R3945" s="30" t="str">
        <f aca="false">IF(Q3945="","",Q3945+N(H3945)*0.000000001)</f>
        <v/>
      </c>
      <c r="S3945" s="25" t="str">
        <f aca="false">IF(R3945="","",SUMPRODUCT((I$5:I$4004=I3945)*ISNUMBER(R$5:R$4004)*(R$5:R$4004&gt;R3945))+1)</f>
        <v/>
      </c>
      <c r="T3945" s="25" t="str">
        <f aca="false">IF(S3945="","",IF(S3945&lt;=Setup!$B$5,"🏆 WINNER",""))</f>
        <v/>
      </c>
      <c r="U3945" s="24" t="str">
        <f aca="false">IF(S3945="","",I3945&amp;"|"&amp;S3945)</f>
        <v/>
      </c>
    </row>
    <row r="3946" customFormat="false" ht="15" hidden="false" customHeight="false" outlineLevel="0" collapsed="false">
      <c r="A3946" s="31" t="n">
        <v>3942</v>
      </c>
      <c r="B3946" s="32" t="str">
        <f aca="false">IF(OR(C3946="",I3946="",G3946=""),"",IFERROR(VLOOKUP(I3946,Setup!$A$9:$B$11,2,0),"???")&amp;"-"&amp;G3946&amp;"-"&amp;TEXT(COUNTIFS(I$5:I3946,I3946,G$5:G3946,G3946),"0000"))</f>
        <v/>
      </c>
      <c r="C3946" s="26"/>
      <c r="D3946" s="26"/>
      <c r="E3946" s="27"/>
      <c r="F3946" s="27"/>
      <c r="G3946" s="31" t="str">
        <f aca="false">IF(F3946="","",IF(F3946&lt;=5,"A",IF(F3946&lt;=8,"B",IF(F3946&lt;=10,"C","D"))))</f>
        <v/>
      </c>
      <c r="H3946" s="28"/>
      <c r="I3946" s="27"/>
      <c r="J3946" s="26"/>
      <c r="K3946" s="27"/>
      <c r="L3946" s="27"/>
      <c r="M3946" s="27"/>
      <c r="N3946" s="27"/>
      <c r="O3946" s="31" t="str">
        <f aca="false">IF(G3946="","",VLOOKUP(G3946,Setup!$A$14:$C$17,3,0))</f>
        <v/>
      </c>
      <c r="P3946" s="27"/>
      <c r="Q3946" s="33" t="str">
        <f aca="false">IF(OR(P3946="",M3946&lt;&gt;"Paid",O3946=""),"",P3946/O3946)</f>
        <v/>
      </c>
      <c r="R3946" s="34" t="str">
        <f aca="false">IF(Q3946="","",Q3946+N(H3946)*0.000000001)</f>
        <v/>
      </c>
      <c r="S3946" s="32" t="str">
        <f aca="false">IF(R3946="","",SUMPRODUCT((I$5:I$4004=I3946)*ISNUMBER(R$5:R$4004)*(R$5:R$4004&gt;R3946))+1)</f>
        <v/>
      </c>
      <c r="T3946" s="32" t="str">
        <f aca="false">IF(S3946="","",IF(S3946&lt;=Setup!$B$5,"🏆 WINNER",""))</f>
        <v/>
      </c>
      <c r="U3946" s="31" t="str">
        <f aca="false">IF(S3946="","",I3946&amp;"|"&amp;S3946)</f>
        <v/>
      </c>
    </row>
    <row r="3947" customFormat="false" ht="15" hidden="false" customHeight="false" outlineLevel="0" collapsed="false">
      <c r="A3947" s="24" t="n">
        <v>3943</v>
      </c>
      <c r="B3947" s="25" t="str">
        <f aca="false">IF(OR(C3947="",I3947="",G3947=""),"",IFERROR(VLOOKUP(I3947,Setup!$A$9:$B$11,2,0),"???")&amp;"-"&amp;G3947&amp;"-"&amp;TEXT(COUNTIFS(I$5:I3947,I3947,G$5:G3947,G3947),"0000"))</f>
        <v/>
      </c>
      <c r="C3947" s="26"/>
      <c r="D3947" s="26"/>
      <c r="E3947" s="27"/>
      <c r="F3947" s="27"/>
      <c r="G3947" s="24" t="str">
        <f aca="false">IF(F3947="","",IF(F3947&lt;=5,"A",IF(F3947&lt;=8,"B",IF(F3947&lt;=10,"C","D"))))</f>
        <v/>
      </c>
      <c r="H3947" s="28"/>
      <c r="I3947" s="27"/>
      <c r="J3947" s="26"/>
      <c r="K3947" s="27"/>
      <c r="L3947" s="27"/>
      <c r="M3947" s="27"/>
      <c r="N3947" s="27"/>
      <c r="O3947" s="24" t="str">
        <f aca="false">IF(G3947="","",VLOOKUP(G3947,Setup!$A$14:$C$17,3,0))</f>
        <v/>
      </c>
      <c r="P3947" s="27"/>
      <c r="Q3947" s="29" t="str">
        <f aca="false">IF(OR(P3947="",M3947&lt;&gt;"Paid",O3947=""),"",P3947/O3947)</f>
        <v/>
      </c>
      <c r="R3947" s="30" t="str">
        <f aca="false">IF(Q3947="","",Q3947+N(H3947)*0.000000001)</f>
        <v/>
      </c>
      <c r="S3947" s="25" t="str">
        <f aca="false">IF(R3947="","",SUMPRODUCT((I$5:I$4004=I3947)*ISNUMBER(R$5:R$4004)*(R$5:R$4004&gt;R3947))+1)</f>
        <v/>
      </c>
      <c r="T3947" s="25" t="str">
        <f aca="false">IF(S3947="","",IF(S3947&lt;=Setup!$B$5,"🏆 WINNER",""))</f>
        <v/>
      </c>
      <c r="U3947" s="24" t="str">
        <f aca="false">IF(S3947="","",I3947&amp;"|"&amp;S3947)</f>
        <v/>
      </c>
    </row>
    <row r="3948" customFormat="false" ht="15" hidden="false" customHeight="false" outlineLevel="0" collapsed="false">
      <c r="A3948" s="31" t="n">
        <v>3944</v>
      </c>
      <c r="B3948" s="32" t="str">
        <f aca="false">IF(OR(C3948="",I3948="",G3948=""),"",IFERROR(VLOOKUP(I3948,Setup!$A$9:$B$11,2,0),"???")&amp;"-"&amp;G3948&amp;"-"&amp;TEXT(COUNTIFS(I$5:I3948,I3948,G$5:G3948,G3948),"0000"))</f>
        <v/>
      </c>
      <c r="C3948" s="26"/>
      <c r="D3948" s="26"/>
      <c r="E3948" s="27"/>
      <c r="F3948" s="27"/>
      <c r="G3948" s="31" t="str">
        <f aca="false">IF(F3948="","",IF(F3948&lt;=5,"A",IF(F3948&lt;=8,"B",IF(F3948&lt;=10,"C","D"))))</f>
        <v/>
      </c>
      <c r="H3948" s="28"/>
      <c r="I3948" s="27"/>
      <c r="J3948" s="26"/>
      <c r="K3948" s="27"/>
      <c r="L3948" s="27"/>
      <c r="M3948" s="27"/>
      <c r="N3948" s="27"/>
      <c r="O3948" s="31" t="str">
        <f aca="false">IF(G3948="","",VLOOKUP(G3948,Setup!$A$14:$C$17,3,0))</f>
        <v/>
      </c>
      <c r="P3948" s="27"/>
      <c r="Q3948" s="33" t="str">
        <f aca="false">IF(OR(P3948="",M3948&lt;&gt;"Paid",O3948=""),"",P3948/O3948)</f>
        <v/>
      </c>
      <c r="R3948" s="34" t="str">
        <f aca="false">IF(Q3948="","",Q3948+N(H3948)*0.000000001)</f>
        <v/>
      </c>
      <c r="S3948" s="32" t="str">
        <f aca="false">IF(R3948="","",SUMPRODUCT((I$5:I$4004=I3948)*ISNUMBER(R$5:R$4004)*(R$5:R$4004&gt;R3948))+1)</f>
        <v/>
      </c>
      <c r="T3948" s="32" t="str">
        <f aca="false">IF(S3948="","",IF(S3948&lt;=Setup!$B$5,"🏆 WINNER",""))</f>
        <v/>
      </c>
      <c r="U3948" s="31" t="str">
        <f aca="false">IF(S3948="","",I3948&amp;"|"&amp;S3948)</f>
        <v/>
      </c>
    </row>
    <row r="3949" customFormat="false" ht="15" hidden="false" customHeight="false" outlineLevel="0" collapsed="false">
      <c r="A3949" s="24" t="n">
        <v>3945</v>
      </c>
      <c r="B3949" s="25" t="str">
        <f aca="false">IF(OR(C3949="",I3949="",G3949=""),"",IFERROR(VLOOKUP(I3949,Setup!$A$9:$B$11,2,0),"???")&amp;"-"&amp;G3949&amp;"-"&amp;TEXT(COUNTIFS(I$5:I3949,I3949,G$5:G3949,G3949),"0000"))</f>
        <v/>
      </c>
      <c r="C3949" s="26"/>
      <c r="D3949" s="26"/>
      <c r="E3949" s="27"/>
      <c r="F3949" s="27"/>
      <c r="G3949" s="24" t="str">
        <f aca="false">IF(F3949="","",IF(F3949&lt;=5,"A",IF(F3949&lt;=8,"B",IF(F3949&lt;=10,"C","D"))))</f>
        <v/>
      </c>
      <c r="H3949" s="28"/>
      <c r="I3949" s="27"/>
      <c r="J3949" s="26"/>
      <c r="K3949" s="27"/>
      <c r="L3949" s="27"/>
      <c r="M3949" s="27"/>
      <c r="N3949" s="27"/>
      <c r="O3949" s="24" t="str">
        <f aca="false">IF(G3949="","",VLOOKUP(G3949,Setup!$A$14:$C$17,3,0))</f>
        <v/>
      </c>
      <c r="P3949" s="27"/>
      <c r="Q3949" s="29" t="str">
        <f aca="false">IF(OR(P3949="",M3949&lt;&gt;"Paid",O3949=""),"",P3949/O3949)</f>
        <v/>
      </c>
      <c r="R3949" s="30" t="str">
        <f aca="false">IF(Q3949="","",Q3949+N(H3949)*0.000000001)</f>
        <v/>
      </c>
      <c r="S3949" s="25" t="str">
        <f aca="false">IF(R3949="","",SUMPRODUCT((I$5:I$4004=I3949)*ISNUMBER(R$5:R$4004)*(R$5:R$4004&gt;R3949))+1)</f>
        <v/>
      </c>
      <c r="T3949" s="25" t="str">
        <f aca="false">IF(S3949="","",IF(S3949&lt;=Setup!$B$5,"🏆 WINNER",""))</f>
        <v/>
      </c>
      <c r="U3949" s="24" t="str">
        <f aca="false">IF(S3949="","",I3949&amp;"|"&amp;S3949)</f>
        <v/>
      </c>
    </row>
    <row r="3950" customFormat="false" ht="15" hidden="false" customHeight="false" outlineLevel="0" collapsed="false">
      <c r="A3950" s="31" t="n">
        <v>3946</v>
      </c>
      <c r="B3950" s="32" t="str">
        <f aca="false">IF(OR(C3950="",I3950="",G3950=""),"",IFERROR(VLOOKUP(I3950,Setup!$A$9:$B$11,2,0),"???")&amp;"-"&amp;G3950&amp;"-"&amp;TEXT(COUNTIFS(I$5:I3950,I3950,G$5:G3950,G3950),"0000"))</f>
        <v/>
      </c>
      <c r="C3950" s="26"/>
      <c r="D3950" s="26"/>
      <c r="E3950" s="27"/>
      <c r="F3950" s="27"/>
      <c r="G3950" s="31" t="str">
        <f aca="false">IF(F3950="","",IF(F3950&lt;=5,"A",IF(F3950&lt;=8,"B",IF(F3950&lt;=10,"C","D"))))</f>
        <v/>
      </c>
      <c r="H3950" s="28"/>
      <c r="I3950" s="27"/>
      <c r="J3950" s="26"/>
      <c r="K3950" s="27"/>
      <c r="L3950" s="27"/>
      <c r="M3950" s="27"/>
      <c r="N3950" s="27"/>
      <c r="O3950" s="31" t="str">
        <f aca="false">IF(G3950="","",VLOOKUP(G3950,Setup!$A$14:$C$17,3,0))</f>
        <v/>
      </c>
      <c r="P3950" s="27"/>
      <c r="Q3950" s="33" t="str">
        <f aca="false">IF(OR(P3950="",M3950&lt;&gt;"Paid",O3950=""),"",P3950/O3950)</f>
        <v/>
      </c>
      <c r="R3950" s="34" t="str">
        <f aca="false">IF(Q3950="","",Q3950+N(H3950)*0.000000001)</f>
        <v/>
      </c>
      <c r="S3950" s="32" t="str">
        <f aca="false">IF(R3950="","",SUMPRODUCT((I$5:I$4004=I3950)*ISNUMBER(R$5:R$4004)*(R$5:R$4004&gt;R3950))+1)</f>
        <v/>
      </c>
      <c r="T3950" s="32" t="str">
        <f aca="false">IF(S3950="","",IF(S3950&lt;=Setup!$B$5,"🏆 WINNER",""))</f>
        <v/>
      </c>
      <c r="U3950" s="31" t="str">
        <f aca="false">IF(S3950="","",I3950&amp;"|"&amp;S3950)</f>
        <v/>
      </c>
    </row>
    <row r="3951" customFormat="false" ht="15" hidden="false" customHeight="false" outlineLevel="0" collapsed="false">
      <c r="A3951" s="24" t="n">
        <v>3947</v>
      </c>
      <c r="B3951" s="25" t="str">
        <f aca="false">IF(OR(C3951="",I3951="",G3951=""),"",IFERROR(VLOOKUP(I3951,Setup!$A$9:$B$11,2,0),"???")&amp;"-"&amp;G3951&amp;"-"&amp;TEXT(COUNTIFS(I$5:I3951,I3951,G$5:G3951,G3951),"0000"))</f>
        <v/>
      </c>
      <c r="C3951" s="26"/>
      <c r="D3951" s="26"/>
      <c r="E3951" s="27"/>
      <c r="F3951" s="27"/>
      <c r="G3951" s="24" t="str">
        <f aca="false">IF(F3951="","",IF(F3951&lt;=5,"A",IF(F3951&lt;=8,"B",IF(F3951&lt;=10,"C","D"))))</f>
        <v/>
      </c>
      <c r="H3951" s="28"/>
      <c r="I3951" s="27"/>
      <c r="J3951" s="26"/>
      <c r="K3951" s="27"/>
      <c r="L3951" s="27"/>
      <c r="M3951" s="27"/>
      <c r="N3951" s="27"/>
      <c r="O3951" s="24" t="str">
        <f aca="false">IF(G3951="","",VLOOKUP(G3951,Setup!$A$14:$C$17,3,0))</f>
        <v/>
      </c>
      <c r="P3951" s="27"/>
      <c r="Q3951" s="29" t="str">
        <f aca="false">IF(OR(P3951="",M3951&lt;&gt;"Paid",O3951=""),"",P3951/O3951)</f>
        <v/>
      </c>
      <c r="R3951" s="30" t="str">
        <f aca="false">IF(Q3951="","",Q3951+N(H3951)*0.000000001)</f>
        <v/>
      </c>
      <c r="S3951" s="25" t="str">
        <f aca="false">IF(R3951="","",SUMPRODUCT((I$5:I$4004=I3951)*ISNUMBER(R$5:R$4004)*(R$5:R$4004&gt;R3951))+1)</f>
        <v/>
      </c>
      <c r="T3951" s="25" t="str">
        <f aca="false">IF(S3951="","",IF(S3951&lt;=Setup!$B$5,"🏆 WINNER",""))</f>
        <v/>
      </c>
      <c r="U3951" s="24" t="str">
        <f aca="false">IF(S3951="","",I3951&amp;"|"&amp;S3951)</f>
        <v/>
      </c>
    </row>
    <row r="3952" customFormat="false" ht="15" hidden="false" customHeight="false" outlineLevel="0" collapsed="false">
      <c r="A3952" s="31" t="n">
        <v>3948</v>
      </c>
      <c r="B3952" s="32" t="str">
        <f aca="false">IF(OR(C3952="",I3952="",G3952=""),"",IFERROR(VLOOKUP(I3952,Setup!$A$9:$B$11,2,0),"???")&amp;"-"&amp;G3952&amp;"-"&amp;TEXT(COUNTIFS(I$5:I3952,I3952,G$5:G3952,G3952),"0000"))</f>
        <v/>
      </c>
      <c r="C3952" s="26"/>
      <c r="D3952" s="26"/>
      <c r="E3952" s="27"/>
      <c r="F3952" s="27"/>
      <c r="G3952" s="31" t="str">
        <f aca="false">IF(F3952="","",IF(F3952&lt;=5,"A",IF(F3952&lt;=8,"B",IF(F3952&lt;=10,"C","D"))))</f>
        <v/>
      </c>
      <c r="H3952" s="28"/>
      <c r="I3952" s="27"/>
      <c r="J3952" s="26"/>
      <c r="K3952" s="27"/>
      <c r="L3952" s="27"/>
      <c r="M3952" s="27"/>
      <c r="N3952" s="27"/>
      <c r="O3952" s="31" t="str">
        <f aca="false">IF(G3952="","",VLOOKUP(G3952,Setup!$A$14:$C$17,3,0))</f>
        <v/>
      </c>
      <c r="P3952" s="27"/>
      <c r="Q3952" s="33" t="str">
        <f aca="false">IF(OR(P3952="",M3952&lt;&gt;"Paid",O3952=""),"",P3952/O3952)</f>
        <v/>
      </c>
      <c r="R3952" s="34" t="str">
        <f aca="false">IF(Q3952="","",Q3952+N(H3952)*0.000000001)</f>
        <v/>
      </c>
      <c r="S3952" s="32" t="str">
        <f aca="false">IF(R3952="","",SUMPRODUCT((I$5:I$4004=I3952)*ISNUMBER(R$5:R$4004)*(R$5:R$4004&gt;R3952))+1)</f>
        <v/>
      </c>
      <c r="T3952" s="32" t="str">
        <f aca="false">IF(S3952="","",IF(S3952&lt;=Setup!$B$5,"🏆 WINNER",""))</f>
        <v/>
      </c>
      <c r="U3952" s="31" t="str">
        <f aca="false">IF(S3952="","",I3952&amp;"|"&amp;S3952)</f>
        <v/>
      </c>
    </row>
    <row r="3953" customFormat="false" ht="15" hidden="false" customHeight="false" outlineLevel="0" collapsed="false">
      <c r="A3953" s="24" t="n">
        <v>3949</v>
      </c>
      <c r="B3953" s="25" t="str">
        <f aca="false">IF(OR(C3953="",I3953="",G3953=""),"",IFERROR(VLOOKUP(I3953,Setup!$A$9:$B$11,2,0),"???")&amp;"-"&amp;G3953&amp;"-"&amp;TEXT(COUNTIFS(I$5:I3953,I3953,G$5:G3953,G3953),"0000"))</f>
        <v/>
      </c>
      <c r="C3953" s="26"/>
      <c r="D3953" s="26"/>
      <c r="E3953" s="27"/>
      <c r="F3953" s="27"/>
      <c r="G3953" s="24" t="str">
        <f aca="false">IF(F3953="","",IF(F3953&lt;=5,"A",IF(F3953&lt;=8,"B",IF(F3953&lt;=10,"C","D"))))</f>
        <v/>
      </c>
      <c r="H3953" s="28"/>
      <c r="I3953" s="27"/>
      <c r="J3953" s="26"/>
      <c r="K3953" s="27"/>
      <c r="L3953" s="27"/>
      <c r="M3953" s="27"/>
      <c r="N3953" s="27"/>
      <c r="O3953" s="24" t="str">
        <f aca="false">IF(G3953="","",VLOOKUP(G3953,Setup!$A$14:$C$17,3,0))</f>
        <v/>
      </c>
      <c r="P3953" s="27"/>
      <c r="Q3953" s="29" t="str">
        <f aca="false">IF(OR(P3953="",M3953&lt;&gt;"Paid",O3953=""),"",P3953/O3953)</f>
        <v/>
      </c>
      <c r="R3953" s="30" t="str">
        <f aca="false">IF(Q3953="","",Q3953+N(H3953)*0.000000001)</f>
        <v/>
      </c>
      <c r="S3953" s="25" t="str">
        <f aca="false">IF(R3953="","",SUMPRODUCT((I$5:I$4004=I3953)*ISNUMBER(R$5:R$4004)*(R$5:R$4004&gt;R3953))+1)</f>
        <v/>
      </c>
      <c r="T3953" s="25" t="str">
        <f aca="false">IF(S3953="","",IF(S3953&lt;=Setup!$B$5,"🏆 WINNER",""))</f>
        <v/>
      </c>
      <c r="U3953" s="24" t="str">
        <f aca="false">IF(S3953="","",I3953&amp;"|"&amp;S3953)</f>
        <v/>
      </c>
    </row>
    <row r="3954" customFormat="false" ht="15" hidden="false" customHeight="false" outlineLevel="0" collapsed="false">
      <c r="A3954" s="31" t="n">
        <v>3950</v>
      </c>
      <c r="B3954" s="32" t="str">
        <f aca="false">IF(OR(C3954="",I3954="",G3954=""),"",IFERROR(VLOOKUP(I3954,Setup!$A$9:$B$11,2,0),"???")&amp;"-"&amp;G3954&amp;"-"&amp;TEXT(COUNTIFS(I$5:I3954,I3954,G$5:G3954,G3954),"0000"))</f>
        <v/>
      </c>
      <c r="C3954" s="26"/>
      <c r="D3954" s="26"/>
      <c r="E3954" s="27"/>
      <c r="F3954" s="27"/>
      <c r="G3954" s="31" t="str">
        <f aca="false">IF(F3954="","",IF(F3954&lt;=5,"A",IF(F3954&lt;=8,"B",IF(F3954&lt;=10,"C","D"))))</f>
        <v/>
      </c>
      <c r="H3954" s="28"/>
      <c r="I3954" s="27"/>
      <c r="J3954" s="26"/>
      <c r="K3954" s="27"/>
      <c r="L3954" s="27"/>
      <c r="M3954" s="27"/>
      <c r="N3954" s="27"/>
      <c r="O3954" s="31" t="str">
        <f aca="false">IF(G3954="","",VLOOKUP(G3954,Setup!$A$14:$C$17,3,0))</f>
        <v/>
      </c>
      <c r="P3954" s="27"/>
      <c r="Q3954" s="33" t="str">
        <f aca="false">IF(OR(P3954="",M3954&lt;&gt;"Paid",O3954=""),"",P3954/O3954)</f>
        <v/>
      </c>
      <c r="R3954" s="34" t="str">
        <f aca="false">IF(Q3954="","",Q3954+N(H3954)*0.000000001)</f>
        <v/>
      </c>
      <c r="S3954" s="32" t="str">
        <f aca="false">IF(R3954="","",SUMPRODUCT((I$5:I$4004=I3954)*ISNUMBER(R$5:R$4004)*(R$5:R$4004&gt;R3954))+1)</f>
        <v/>
      </c>
      <c r="T3954" s="32" t="str">
        <f aca="false">IF(S3954="","",IF(S3954&lt;=Setup!$B$5,"🏆 WINNER",""))</f>
        <v/>
      </c>
      <c r="U3954" s="31" t="str">
        <f aca="false">IF(S3954="","",I3954&amp;"|"&amp;S3954)</f>
        <v/>
      </c>
    </row>
    <row r="3955" customFormat="false" ht="15" hidden="false" customHeight="false" outlineLevel="0" collapsed="false">
      <c r="A3955" s="24" t="n">
        <v>3951</v>
      </c>
      <c r="B3955" s="25" t="str">
        <f aca="false">IF(OR(C3955="",I3955="",G3955=""),"",IFERROR(VLOOKUP(I3955,Setup!$A$9:$B$11,2,0),"???")&amp;"-"&amp;G3955&amp;"-"&amp;TEXT(COUNTIFS(I$5:I3955,I3955,G$5:G3955,G3955),"0000"))</f>
        <v/>
      </c>
      <c r="C3955" s="26"/>
      <c r="D3955" s="26"/>
      <c r="E3955" s="27"/>
      <c r="F3955" s="27"/>
      <c r="G3955" s="24" t="str">
        <f aca="false">IF(F3955="","",IF(F3955&lt;=5,"A",IF(F3955&lt;=8,"B",IF(F3955&lt;=10,"C","D"))))</f>
        <v/>
      </c>
      <c r="H3955" s="28"/>
      <c r="I3955" s="27"/>
      <c r="J3955" s="26"/>
      <c r="K3955" s="27"/>
      <c r="L3955" s="27"/>
      <c r="M3955" s="27"/>
      <c r="N3955" s="27"/>
      <c r="O3955" s="24" t="str">
        <f aca="false">IF(G3955="","",VLOOKUP(G3955,Setup!$A$14:$C$17,3,0))</f>
        <v/>
      </c>
      <c r="P3955" s="27"/>
      <c r="Q3955" s="29" t="str">
        <f aca="false">IF(OR(P3955="",M3955&lt;&gt;"Paid",O3955=""),"",P3955/O3955)</f>
        <v/>
      </c>
      <c r="R3955" s="30" t="str">
        <f aca="false">IF(Q3955="","",Q3955+N(H3955)*0.000000001)</f>
        <v/>
      </c>
      <c r="S3955" s="25" t="str">
        <f aca="false">IF(R3955="","",SUMPRODUCT((I$5:I$4004=I3955)*ISNUMBER(R$5:R$4004)*(R$5:R$4004&gt;R3955))+1)</f>
        <v/>
      </c>
      <c r="T3955" s="25" t="str">
        <f aca="false">IF(S3955="","",IF(S3955&lt;=Setup!$B$5,"🏆 WINNER",""))</f>
        <v/>
      </c>
      <c r="U3955" s="24" t="str">
        <f aca="false">IF(S3955="","",I3955&amp;"|"&amp;S3955)</f>
        <v/>
      </c>
    </row>
    <row r="3956" customFormat="false" ht="15" hidden="false" customHeight="false" outlineLevel="0" collapsed="false">
      <c r="A3956" s="31" t="n">
        <v>3952</v>
      </c>
      <c r="B3956" s="32" t="str">
        <f aca="false">IF(OR(C3956="",I3956="",G3956=""),"",IFERROR(VLOOKUP(I3956,Setup!$A$9:$B$11,2,0),"???")&amp;"-"&amp;G3956&amp;"-"&amp;TEXT(COUNTIFS(I$5:I3956,I3956,G$5:G3956,G3956),"0000"))</f>
        <v/>
      </c>
      <c r="C3956" s="26"/>
      <c r="D3956" s="26"/>
      <c r="E3956" s="27"/>
      <c r="F3956" s="27"/>
      <c r="G3956" s="31" t="str">
        <f aca="false">IF(F3956="","",IF(F3956&lt;=5,"A",IF(F3956&lt;=8,"B",IF(F3956&lt;=10,"C","D"))))</f>
        <v/>
      </c>
      <c r="H3956" s="28"/>
      <c r="I3956" s="27"/>
      <c r="J3956" s="26"/>
      <c r="K3956" s="27"/>
      <c r="L3956" s="27"/>
      <c r="M3956" s="27"/>
      <c r="N3956" s="27"/>
      <c r="O3956" s="31" t="str">
        <f aca="false">IF(G3956="","",VLOOKUP(G3956,Setup!$A$14:$C$17,3,0))</f>
        <v/>
      </c>
      <c r="P3956" s="27"/>
      <c r="Q3956" s="33" t="str">
        <f aca="false">IF(OR(P3956="",M3956&lt;&gt;"Paid",O3956=""),"",P3956/O3956)</f>
        <v/>
      </c>
      <c r="R3956" s="34" t="str">
        <f aca="false">IF(Q3956="","",Q3956+N(H3956)*0.000000001)</f>
        <v/>
      </c>
      <c r="S3956" s="32" t="str">
        <f aca="false">IF(R3956="","",SUMPRODUCT((I$5:I$4004=I3956)*ISNUMBER(R$5:R$4004)*(R$5:R$4004&gt;R3956))+1)</f>
        <v/>
      </c>
      <c r="T3956" s="32" t="str">
        <f aca="false">IF(S3956="","",IF(S3956&lt;=Setup!$B$5,"🏆 WINNER",""))</f>
        <v/>
      </c>
      <c r="U3956" s="31" t="str">
        <f aca="false">IF(S3956="","",I3956&amp;"|"&amp;S3956)</f>
        <v/>
      </c>
    </row>
    <row r="3957" customFormat="false" ht="15" hidden="false" customHeight="false" outlineLevel="0" collapsed="false">
      <c r="A3957" s="24" t="n">
        <v>3953</v>
      </c>
      <c r="B3957" s="25" t="str">
        <f aca="false">IF(OR(C3957="",I3957="",G3957=""),"",IFERROR(VLOOKUP(I3957,Setup!$A$9:$B$11,2,0),"???")&amp;"-"&amp;G3957&amp;"-"&amp;TEXT(COUNTIFS(I$5:I3957,I3957,G$5:G3957,G3957),"0000"))</f>
        <v/>
      </c>
      <c r="C3957" s="26"/>
      <c r="D3957" s="26"/>
      <c r="E3957" s="27"/>
      <c r="F3957" s="27"/>
      <c r="G3957" s="24" t="str">
        <f aca="false">IF(F3957="","",IF(F3957&lt;=5,"A",IF(F3957&lt;=8,"B",IF(F3957&lt;=10,"C","D"))))</f>
        <v/>
      </c>
      <c r="H3957" s="28"/>
      <c r="I3957" s="27"/>
      <c r="J3957" s="26"/>
      <c r="K3957" s="27"/>
      <c r="L3957" s="27"/>
      <c r="M3957" s="27"/>
      <c r="N3957" s="27"/>
      <c r="O3957" s="24" t="str">
        <f aca="false">IF(G3957="","",VLOOKUP(G3957,Setup!$A$14:$C$17,3,0))</f>
        <v/>
      </c>
      <c r="P3957" s="27"/>
      <c r="Q3957" s="29" t="str">
        <f aca="false">IF(OR(P3957="",M3957&lt;&gt;"Paid",O3957=""),"",P3957/O3957)</f>
        <v/>
      </c>
      <c r="R3957" s="30" t="str">
        <f aca="false">IF(Q3957="","",Q3957+N(H3957)*0.000000001)</f>
        <v/>
      </c>
      <c r="S3957" s="25" t="str">
        <f aca="false">IF(R3957="","",SUMPRODUCT((I$5:I$4004=I3957)*ISNUMBER(R$5:R$4004)*(R$5:R$4004&gt;R3957))+1)</f>
        <v/>
      </c>
      <c r="T3957" s="25" t="str">
        <f aca="false">IF(S3957="","",IF(S3957&lt;=Setup!$B$5,"🏆 WINNER",""))</f>
        <v/>
      </c>
      <c r="U3957" s="24" t="str">
        <f aca="false">IF(S3957="","",I3957&amp;"|"&amp;S3957)</f>
        <v/>
      </c>
    </row>
    <row r="3958" customFormat="false" ht="15" hidden="false" customHeight="false" outlineLevel="0" collapsed="false">
      <c r="A3958" s="31" t="n">
        <v>3954</v>
      </c>
      <c r="B3958" s="32" t="str">
        <f aca="false">IF(OR(C3958="",I3958="",G3958=""),"",IFERROR(VLOOKUP(I3958,Setup!$A$9:$B$11,2,0),"???")&amp;"-"&amp;G3958&amp;"-"&amp;TEXT(COUNTIFS(I$5:I3958,I3958,G$5:G3958,G3958),"0000"))</f>
        <v/>
      </c>
      <c r="C3958" s="26"/>
      <c r="D3958" s="26"/>
      <c r="E3958" s="27"/>
      <c r="F3958" s="27"/>
      <c r="G3958" s="31" t="str">
        <f aca="false">IF(F3958="","",IF(F3958&lt;=5,"A",IF(F3958&lt;=8,"B",IF(F3958&lt;=10,"C","D"))))</f>
        <v/>
      </c>
      <c r="H3958" s="28"/>
      <c r="I3958" s="27"/>
      <c r="J3958" s="26"/>
      <c r="K3958" s="27"/>
      <c r="L3958" s="27"/>
      <c r="M3958" s="27"/>
      <c r="N3958" s="27"/>
      <c r="O3958" s="31" t="str">
        <f aca="false">IF(G3958="","",VLOOKUP(G3958,Setup!$A$14:$C$17,3,0))</f>
        <v/>
      </c>
      <c r="P3958" s="27"/>
      <c r="Q3958" s="33" t="str">
        <f aca="false">IF(OR(P3958="",M3958&lt;&gt;"Paid",O3958=""),"",P3958/O3958)</f>
        <v/>
      </c>
      <c r="R3958" s="34" t="str">
        <f aca="false">IF(Q3958="","",Q3958+N(H3958)*0.000000001)</f>
        <v/>
      </c>
      <c r="S3958" s="32" t="str">
        <f aca="false">IF(R3958="","",SUMPRODUCT((I$5:I$4004=I3958)*ISNUMBER(R$5:R$4004)*(R$5:R$4004&gt;R3958))+1)</f>
        <v/>
      </c>
      <c r="T3958" s="32" t="str">
        <f aca="false">IF(S3958="","",IF(S3958&lt;=Setup!$B$5,"🏆 WINNER",""))</f>
        <v/>
      </c>
      <c r="U3958" s="31" t="str">
        <f aca="false">IF(S3958="","",I3958&amp;"|"&amp;S3958)</f>
        <v/>
      </c>
    </row>
    <row r="3959" customFormat="false" ht="15" hidden="false" customHeight="false" outlineLevel="0" collapsed="false">
      <c r="A3959" s="24" t="n">
        <v>3955</v>
      </c>
      <c r="B3959" s="25" t="str">
        <f aca="false">IF(OR(C3959="",I3959="",G3959=""),"",IFERROR(VLOOKUP(I3959,Setup!$A$9:$B$11,2,0),"???")&amp;"-"&amp;G3959&amp;"-"&amp;TEXT(COUNTIFS(I$5:I3959,I3959,G$5:G3959,G3959),"0000"))</f>
        <v/>
      </c>
      <c r="C3959" s="26"/>
      <c r="D3959" s="26"/>
      <c r="E3959" s="27"/>
      <c r="F3959" s="27"/>
      <c r="G3959" s="24" t="str">
        <f aca="false">IF(F3959="","",IF(F3959&lt;=5,"A",IF(F3959&lt;=8,"B",IF(F3959&lt;=10,"C","D"))))</f>
        <v/>
      </c>
      <c r="H3959" s="28"/>
      <c r="I3959" s="27"/>
      <c r="J3959" s="26"/>
      <c r="K3959" s="27"/>
      <c r="L3959" s="27"/>
      <c r="M3959" s="27"/>
      <c r="N3959" s="27"/>
      <c r="O3959" s="24" t="str">
        <f aca="false">IF(G3959="","",VLOOKUP(G3959,Setup!$A$14:$C$17,3,0))</f>
        <v/>
      </c>
      <c r="P3959" s="27"/>
      <c r="Q3959" s="29" t="str">
        <f aca="false">IF(OR(P3959="",M3959&lt;&gt;"Paid",O3959=""),"",P3959/O3959)</f>
        <v/>
      </c>
      <c r="R3959" s="30" t="str">
        <f aca="false">IF(Q3959="","",Q3959+N(H3959)*0.000000001)</f>
        <v/>
      </c>
      <c r="S3959" s="25" t="str">
        <f aca="false">IF(R3959="","",SUMPRODUCT((I$5:I$4004=I3959)*ISNUMBER(R$5:R$4004)*(R$5:R$4004&gt;R3959))+1)</f>
        <v/>
      </c>
      <c r="T3959" s="25" t="str">
        <f aca="false">IF(S3959="","",IF(S3959&lt;=Setup!$B$5,"🏆 WINNER",""))</f>
        <v/>
      </c>
      <c r="U3959" s="24" t="str">
        <f aca="false">IF(S3959="","",I3959&amp;"|"&amp;S3959)</f>
        <v/>
      </c>
    </row>
    <row r="3960" customFormat="false" ht="15" hidden="false" customHeight="false" outlineLevel="0" collapsed="false">
      <c r="A3960" s="31" t="n">
        <v>3956</v>
      </c>
      <c r="B3960" s="32" t="str">
        <f aca="false">IF(OR(C3960="",I3960="",G3960=""),"",IFERROR(VLOOKUP(I3960,Setup!$A$9:$B$11,2,0),"???")&amp;"-"&amp;G3960&amp;"-"&amp;TEXT(COUNTIFS(I$5:I3960,I3960,G$5:G3960,G3960),"0000"))</f>
        <v/>
      </c>
      <c r="C3960" s="26"/>
      <c r="D3960" s="26"/>
      <c r="E3960" s="27"/>
      <c r="F3960" s="27"/>
      <c r="G3960" s="31" t="str">
        <f aca="false">IF(F3960="","",IF(F3960&lt;=5,"A",IF(F3960&lt;=8,"B",IF(F3960&lt;=10,"C","D"))))</f>
        <v/>
      </c>
      <c r="H3960" s="28"/>
      <c r="I3960" s="27"/>
      <c r="J3960" s="26"/>
      <c r="K3960" s="27"/>
      <c r="L3960" s="27"/>
      <c r="M3960" s="27"/>
      <c r="N3960" s="27"/>
      <c r="O3960" s="31" t="str">
        <f aca="false">IF(G3960="","",VLOOKUP(G3960,Setup!$A$14:$C$17,3,0))</f>
        <v/>
      </c>
      <c r="P3960" s="27"/>
      <c r="Q3960" s="33" t="str">
        <f aca="false">IF(OR(P3960="",M3960&lt;&gt;"Paid",O3960=""),"",P3960/O3960)</f>
        <v/>
      </c>
      <c r="R3960" s="34" t="str">
        <f aca="false">IF(Q3960="","",Q3960+N(H3960)*0.000000001)</f>
        <v/>
      </c>
      <c r="S3960" s="32" t="str">
        <f aca="false">IF(R3960="","",SUMPRODUCT((I$5:I$4004=I3960)*ISNUMBER(R$5:R$4004)*(R$5:R$4004&gt;R3960))+1)</f>
        <v/>
      </c>
      <c r="T3960" s="32" t="str">
        <f aca="false">IF(S3960="","",IF(S3960&lt;=Setup!$B$5,"🏆 WINNER",""))</f>
        <v/>
      </c>
      <c r="U3960" s="31" t="str">
        <f aca="false">IF(S3960="","",I3960&amp;"|"&amp;S3960)</f>
        <v/>
      </c>
    </row>
    <row r="3961" customFormat="false" ht="15" hidden="false" customHeight="false" outlineLevel="0" collapsed="false">
      <c r="A3961" s="24" t="n">
        <v>3957</v>
      </c>
      <c r="B3961" s="25" t="str">
        <f aca="false">IF(OR(C3961="",I3961="",G3961=""),"",IFERROR(VLOOKUP(I3961,Setup!$A$9:$B$11,2,0),"???")&amp;"-"&amp;G3961&amp;"-"&amp;TEXT(COUNTIFS(I$5:I3961,I3961,G$5:G3961,G3961),"0000"))</f>
        <v/>
      </c>
      <c r="C3961" s="26"/>
      <c r="D3961" s="26"/>
      <c r="E3961" s="27"/>
      <c r="F3961" s="27"/>
      <c r="G3961" s="24" t="str">
        <f aca="false">IF(F3961="","",IF(F3961&lt;=5,"A",IF(F3961&lt;=8,"B",IF(F3961&lt;=10,"C","D"))))</f>
        <v/>
      </c>
      <c r="H3961" s="28"/>
      <c r="I3961" s="27"/>
      <c r="J3961" s="26"/>
      <c r="K3961" s="27"/>
      <c r="L3961" s="27"/>
      <c r="M3961" s="27"/>
      <c r="N3961" s="27"/>
      <c r="O3961" s="24" t="str">
        <f aca="false">IF(G3961="","",VLOOKUP(G3961,Setup!$A$14:$C$17,3,0))</f>
        <v/>
      </c>
      <c r="P3961" s="27"/>
      <c r="Q3961" s="29" t="str">
        <f aca="false">IF(OR(P3961="",M3961&lt;&gt;"Paid",O3961=""),"",P3961/O3961)</f>
        <v/>
      </c>
      <c r="R3961" s="30" t="str">
        <f aca="false">IF(Q3961="","",Q3961+N(H3961)*0.000000001)</f>
        <v/>
      </c>
      <c r="S3961" s="25" t="str">
        <f aca="false">IF(R3961="","",SUMPRODUCT((I$5:I$4004=I3961)*ISNUMBER(R$5:R$4004)*(R$5:R$4004&gt;R3961))+1)</f>
        <v/>
      </c>
      <c r="T3961" s="25" t="str">
        <f aca="false">IF(S3961="","",IF(S3961&lt;=Setup!$B$5,"🏆 WINNER",""))</f>
        <v/>
      </c>
      <c r="U3961" s="24" t="str">
        <f aca="false">IF(S3961="","",I3961&amp;"|"&amp;S3961)</f>
        <v/>
      </c>
    </row>
    <row r="3962" customFormat="false" ht="15" hidden="false" customHeight="false" outlineLevel="0" collapsed="false">
      <c r="A3962" s="31" t="n">
        <v>3958</v>
      </c>
      <c r="B3962" s="32" t="str">
        <f aca="false">IF(OR(C3962="",I3962="",G3962=""),"",IFERROR(VLOOKUP(I3962,Setup!$A$9:$B$11,2,0),"???")&amp;"-"&amp;G3962&amp;"-"&amp;TEXT(COUNTIFS(I$5:I3962,I3962,G$5:G3962,G3962),"0000"))</f>
        <v/>
      </c>
      <c r="C3962" s="26"/>
      <c r="D3962" s="26"/>
      <c r="E3962" s="27"/>
      <c r="F3962" s="27"/>
      <c r="G3962" s="31" t="str">
        <f aca="false">IF(F3962="","",IF(F3962&lt;=5,"A",IF(F3962&lt;=8,"B",IF(F3962&lt;=10,"C","D"))))</f>
        <v/>
      </c>
      <c r="H3962" s="28"/>
      <c r="I3962" s="27"/>
      <c r="J3962" s="26"/>
      <c r="K3962" s="27"/>
      <c r="L3962" s="27"/>
      <c r="M3962" s="27"/>
      <c r="N3962" s="27"/>
      <c r="O3962" s="31" t="str">
        <f aca="false">IF(G3962="","",VLOOKUP(G3962,Setup!$A$14:$C$17,3,0))</f>
        <v/>
      </c>
      <c r="P3962" s="27"/>
      <c r="Q3962" s="33" t="str">
        <f aca="false">IF(OR(P3962="",M3962&lt;&gt;"Paid",O3962=""),"",P3962/O3962)</f>
        <v/>
      </c>
      <c r="R3962" s="34" t="str">
        <f aca="false">IF(Q3962="","",Q3962+N(H3962)*0.000000001)</f>
        <v/>
      </c>
      <c r="S3962" s="32" t="str">
        <f aca="false">IF(R3962="","",SUMPRODUCT((I$5:I$4004=I3962)*ISNUMBER(R$5:R$4004)*(R$5:R$4004&gt;R3962))+1)</f>
        <v/>
      </c>
      <c r="T3962" s="32" t="str">
        <f aca="false">IF(S3962="","",IF(S3962&lt;=Setup!$B$5,"🏆 WINNER",""))</f>
        <v/>
      </c>
      <c r="U3962" s="31" t="str">
        <f aca="false">IF(S3962="","",I3962&amp;"|"&amp;S3962)</f>
        <v/>
      </c>
    </row>
    <row r="3963" customFormat="false" ht="15" hidden="false" customHeight="false" outlineLevel="0" collapsed="false">
      <c r="A3963" s="24" t="n">
        <v>3959</v>
      </c>
      <c r="B3963" s="25" t="str">
        <f aca="false">IF(OR(C3963="",I3963="",G3963=""),"",IFERROR(VLOOKUP(I3963,Setup!$A$9:$B$11,2,0),"???")&amp;"-"&amp;G3963&amp;"-"&amp;TEXT(COUNTIFS(I$5:I3963,I3963,G$5:G3963,G3963),"0000"))</f>
        <v/>
      </c>
      <c r="C3963" s="26"/>
      <c r="D3963" s="26"/>
      <c r="E3963" s="27"/>
      <c r="F3963" s="27"/>
      <c r="G3963" s="24" t="str">
        <f aca="false">IF(F3963="","",IF(F3963&lt;=5,"A",IF(F3963&lt;=8,"B",IF(F3963&lt;=10,"C","D"))))</f>
        <v/>
      </c>
      <c r="H3963" s="28"/>
      <c r="I3963" s="27"/>
      <c r="J3963" s="26"/>
      <c r="K3963" s="27"/>
      <c r="L3963" s="27"/>
      <c r="M3963" s="27"/>
      <c r="N3963" s="27"/>
      <c r="O3963" s="24" t="str">
        <f aca="false">IF(G3963="","",VLOOKUP(G3963,Setup!$A$14:$C$17,3,0))</f>
        <v/>
      </c>
      <c r="P3963" s="27"/>
      <c r="Q3963" s="29" t="str">
        <f aca="false">IF(OR(P3963="",M3963&lt;&gt;"Paid",O3963=""),"",P3963/O3963)</f>
        <v/>
      </c>
      <c r="R3963" s="30" t="str">
        <f aca="false">IF(Q3963="","",Q3963+N(H3963)*0.000000001)</f>
        <v/>
      </c>
      <c r="S3963" s="25" t="str">
        <f aca="false">IF(R3963="","",SUMPRODUCT((I$5:I$4004=I3963)*ISNUMBER(R$5:R$4004)*(R$5:R$4004&gt;R3963))+1)</f>
        <v/>
      </c>
      <c r="T3963" s="25" t="str">
        <f aca="false">IF(S3963="","",IF(S3963&lt;=Setup!$B$5,"🏆 WINNER",""))</f>
        <v/>
      </c>
      <c r="U3963" s="24" t="str">
        <f aca="false">IF(S3963="","",I3963&amp;"|"&amp;S3963)</f>
        <v/>
      </c>
    </row>
    <row r="3964" customFormat="false" ht="15" hidden="false" customHeight="false" outlineLevel="0" collapsed="false">
      <c r="A3964" s="31" t="n">
        <v>3960</v>
      </c>
      <c r="B3964" s="32" t="str">
        <f aca="false">IF(OR(C3964="",I3964="",G3964=""),"",IFERROR(VLOOKUP(I3964,Setup!$A$9:$B$11,2,0),"???")&amp;"-"&amp;G3964&amp;"-"&amp;TEXT(COUNTIFS(I$5:I3964,I3964,G$5:G3964,G3964),"0000"))</f>
        <v/>
      </c>
      <c r="C3964" s="26"/>
      <c r="D3964" s="26"/>
      <c r="E3964" s="27"/>
      <c r="F3964" s="27"/>
      <c r="G3964" s="31" t="str">
        <f aca="false">IF(F3964="","",IF(F3964&lt;=5,"A",IF(F3964&lt;=8,"B",IF(F3964&lt;=10,"C","D"))))</f>
        <v/>
      </c>
      <c r="H3964" s="28"/>
      <c r="I3964" s="27"/>
      <c r="J3964" s="26"/>
      <c r="K3964" s="27"/>
      <c r="L3964" s="27"/>
      <c r="M3964" s="27"/>
      <c r="N3964" s="27"/>
      <c r="O3964" s="31" t="str">
        <f aca="false">IF(G3964="","",VLOOKUP(G3964,Setup!$A$14:$C$17,3,0))</f>
        <v/>
      </c>
      <c r="P3964" s="27"/>
      <c r="Q3964" s="33" t="str">
        <f aca="false">IF(OR(P3964="",M3964&lt;&gt;"Paid",O3964=""),"",P3964/O3964)</f>
        <v/>
      </c>
      <c r="R3964" s="34" t="str">
        <f aca="false">IF(Q3964="","",Q3964+N(H3964)*0.000000001)</f>
        <v/>
      </c>
      <c r="S3964" s="32" t="str">
        <f aca="false">IF(R3964="","",SUMPRODUCT((I$5:I$4004=I3964)*ISNUMBER(R$5:R$4004)*(R$5:R$4004&gt;R3964))+1)</f>
        <v/>
      </c>
      <c r="T3964" s="32" t="str">
        <f aca="false">IF(S3964="","",IF(S3964&lt;=Setup!$B$5,"🏆 WINNER",""))</f>
        <v/>
      </c>
      <c r="U3964" s="31" t="str">
        <f aca="false">IF(S3964="","",I3964&amp;"|"&amp;S3964)</f>
        <v/>
      </c>
    </row>
    <row r="3965" customFormat="false" ht="15" hidden="false" customHeight="false" outlineLevel="0" collapsed="false">
      <c r="A3965" s="24" t="n">
        <v>3961</v>
      </c>
      <c r="B3965" s="25" t="str">
        <f aca="false">IF(OR(C3965="",I3965="",G3965=""),"",IFERROR(VLOOKUP(I3965,Setup!$A$9:$B$11,2,0),"???")&amp;"-"&amp;G3965&amp;"-"&amp;TEXT(COUNTIFS(I$5:I3965,I3965,G$5:G3965,G3965),"0000"))</f>
        <v/>
      </c>
      <c r="C3965" s="26"/>
      <c r="D3965" s="26"/>
      <c r="E3965" s="27"/>
      <c r="F3965" s="27"/>
      <c r="G3965" s="24" t="str">
        <f aca="false">IF(F3965="","",IF(F3965&lt;=5,"A",IF(F3965&lt;=8,"B",IF(F3965&lt;=10,"C","D"))))</f>
        <v/>
      </c>
      <c r="H3965" s="28"/>
      <c r="I3965" s="27"/>
      <c r="J3965" s="26"/>
      <c r="K3965" s="27"/>
      <c r="L3965" s="27"/>
      <c r="M3965" s="27"/>
      <c r="N3965" s="27"/>
      <c r="O3965" s="24" t="str">
        <f aca="false">IF(G3965="","",VLOOKUP(G3965,Setup!$A$14:$C$17,3,0))</f>
        <v/>
      </c>
      <c r="P3965" s="27"/>
      <c r="Q3965" s="29" t="str">
        <f aca="false">IF(OR(P3965="",M3965&lt;&gt;"Paid",O3965=""),"",P3965/O3965)</f>
        <v/>
      </c>
      <c r="R3965" s="30" t="str">
        <f aca="false">IF(Q3965="","",Q3965+N(H3965)*0.000000001)</f>
        <v/>
      </c>
      <c r="S3965" s="25" t="str">
        <f aca="false">IF(R3965="","",SUMPRODUCT((I$5:I$4004=I3965)*ISNUMBER(R$5:R$4004)*(R$5:R$4004&gt;R3965))+1)</f>
        <v/>
      </c>
      <c r="T3965" s="25" t="str">
        <f aca="false">IF(S3965="","",IF(S3965&lt;=Setup!$B$5,"🏆 WINNER",""))</f>
        <v/>
      </c>
      <c r="U3965" s="24" t="str">
        <f aca="false">IF(S3965="","",I3965&amp;"|"&amp;S3965)</f>
        <v/>
      </c>
    </row>
    <row r="3966" customFormat="false" ht="15" hidden="false" customHeight="false" outlineLevel="0" collapsed="false">
      <c r="A3966" s="31" t="n">
        <v>3962</v>
      </c>
      <c r="B3966" s="32" t="str">
        <f aca="false">IF(OR(C3966="",I3966="",G3966=""),"",IFERROR(VLOOKUP(I3966,Setup!$A$9:$B$11,2,0),"???")&amp;"-"&amp;G3966&amp;"-"&amp;TEXT(COUNTIFS(I$5:I3966,I3966,G$5:G3966,G3966),"0000"))</f>
        <v/>
      </c>
      <c r="C3966" s="26"/>
      <c r="D3966" s="26"/>
      <c r="E3966" s="27"/>
      <c r="F3966" s="27"/>
      <c r="G3966" s="31" t="str">
        <f aca="false">IF(F3966="","",IF(F3966&lt;=5,"A",IF(F3966&lt;=8,"B",IF(F3966&lt;=10,"C","D"))))</f>
        <v/>
      </c>
      <c r="H3966" s="28"/>
      <c r="I3966" s="27"/>
      <c r="J3966" s="26"/>
      <c r="K3966" s="27"/>
      <c r="L3966" s="27"/>
      <c r="M3966" s="27"/>
      <c r="N3966" s="27"/>
      <c r="O3966" s="31" t="str">
        <f aca="false">IF(G3966="","",VLOOKUP(G3966,Setup!$A$14:$C$17,3,0))</f>
        <v/>
      </c>
      <c r="P3966" s="27"/>
      <c r="Q3966" s="33" t="str">
        <f aca="false">IF(OR(P3966="",M3966&lt;&gt;"Paid",O3966=""),"",P3966/O3966)</f>
        <v/>
      </c>
      <c r="R3966" s="34" t="str">
        <f aca="false">IF(Q3966="","",Q3966+N(H3966)*0.000000001)</f>
        <v/>
      </c>
      <c r="S3966" s="32" t="str">
        <f aca="false">IF(R3966="","",SUMPRODUCT((I$5:I$4004=I3966)*ISNUMBER(R$5:R$4004)*(R$5:R$4004&gt;R3966))+1)</f>
        <v/>
      </c>
      <c r="T3966" s="32" t="str">
        <f aca="false">IF(S3966="","",IF(S3966&lt;=Setup!$B$5,"🏆 WINNER",""))</f>
        <v/>
      </c>
      <c r="U3966" s="31" t="str">
        <f aca="false">IF(S3966="","",I3966&amp;"|"&amp;S3966)</f>
        <v/>
      </c>
    </row>
    <row r="3967" customFormat="false" ht="15" hidden="false" customHeight="false" outlineLevel="0" collapsed="false">
      <c r="A3967" s="24" t="n">
        <v>3963</v>
      </c>
      <c r="B3967" s="25" t="str">
        <f aca="false">IF(OR(C3967="",I3967="",G3967=""),"",IFERROR(VLOOKUP(I3967,Setup!$A$9:$B$11,2,0),"???")&amp;"-"&amp;G3967&amp;"-"&amp;TEXT(COUNTIFS(I$5:I3967,I3967,G$5:G3967,G3967),"0000"))</f>
        <v/>
      </c>
      <c r="C3967" s="26"/>
      <c r="D3967" s="26"/>
      <c r="E3967" s="27"/>
      <c r="F3967" s="27"/>
      <c r="G3967" s="24" t="str">
        <f aca="false">IF(F3967="","",IF(F3967&lt;=5,"A",IF(F3967&lt;=8,"B",IF(F3967&lt;=10,"C","D"))))</f>
        <v/>
      </c>
      <c r="H3967" s="28"/>
      <c r="I3967" s="27"/>
      <c r="J3967" s="26"/>
      <c r="K3967" s="27"/>
      <c r="L3967" s="27"/>
      <c r="M3967" s="27"/>
      <c r="N3967" s="27"/>
      <c r="O3967" s="24" t="str">
        <f aca="false">IF(G3967="","",VLOOKUP(G3967,Setup!$A$14:$C$17,3,0))</f>
        <v/>
      </c>
      <c r="P3967" s="27"/>
      <c r="Q3967" s="29" t="str">
        <f aca="false">IF(OR(P3967="",M3967&lt;&gt;"Paid",O3967=""),"",P3967/O3967)</f>
        <v/>
      </c>
      <c r="R3967" s="30" t="str">
        <f aca="false">IF(Q3967="","",Q3967+N(H3967)*0.000000001)</f>
        <v/>
      </c>
      <c r="S3967" s="25" t="str">
        <f aca="false">IF(R3967="","",SUMPRODUCT((I$5:I$4004=I3967)*ISNUMBER(R$5:R$4004)*(R$5:R$4004&gt;R3967))+1)</f>
        <v/>
      </c>
      <c r="T3967" s="25" t="str">
        <f aca="false">IF(S3967="","",IF(S3967&lt;=Setup!$B$5,"🏆 WINNER",""))</f>
        <v/>
      </c>
      <c r="U3967" s="24" t="str">
        <f aca="false">IF(S3967="","",I3967&amp;"|"&amp;S3967)</f>
        <v/>
      </c>
    </row>
    <row r="3968" customFormat="false" ht="15" hidden="false" customHeight="false" outlineLevel="0" collapsed="false">
      <c r="A3968" s="31" t="n">
        <v>3964</v>
      </c>
      <c r="B3968" s="32" t="str">
        <f aca="false">IF(OR(C3968="",I3968="",G3968=""),"",IFERROR(VLOOKUP(I3968,Setup!$A$9:$B$11,2,0),"???")&amp;"-"&amp;G3968&amp;"-"&amp;TEXT(COUNTIFS(I$5:I3968,I3968,G$5:G3968,G3968),"0000"))</f>
        <v/>
      </c>
      <c r="C3968" s="26"/>
      <c r="D3968" s="26"/>
      <c r="E3968" s="27"/>
      <c r="F3968" s="27"/>
      <c r="G3968" s="31" t="str">
        <f aca="false">IF(F3968="","",IF(F3968&lt;=5,"A",IF(F3968&lt;=8,"B",IF(F3968&lt;=10,"C","D"))))</f>
        <v/>
      </c>
      <c r="H3968" s="28"/>
      <c r="I3968" s="27"/>
      <c r="J3968" s="26"/>
      <c r="K3968" s="27"/>
      <c r="L3968" s="27"/>
      <c r="M3968" s="27"/>
      <c r="N3968" s="27"/>
      <c r="O3968" s="31" t="str">
        <f aca="false">IF(G3968="","",VLOOKUP(G3968,Setup!$A$14:$C$17,3,0))</f>
        <v/>
      </c>
      <c r="P3968" s="27"/>
      <c r="Q3968" s="33" t="str">
        <f aca="false">IF(OR(P3968="",M3968&lt;&gt;"Paid",O3968=""),"",P3968/O3968)</f>
        <v/>
      </c>
      <c r="R3968" s="34" t="str">
        <f aca="false">IF(Q3968="","",Q3968+N(H3968)*0.000000001)</f>
        <v/>
      </c>
      <c r="S3968" s="32" t="str">
        <f aca="false">IF(R3968="","",SUMPRODUCT((I$5:I$4004=I3968)*ISNUMBER(R$5:R$4004)*(R$5:R$4004&gt;R3968))+1)</f>
        <v/>
      </c>
      <c r="T3968" s="32" t="str">
        <f aca="false">IF(S3968="","",IF(S3968&lt;=Setup!$B$5,"🏆 WINNER",""))</f>
        <v/>
      </c>
      <c r="U3968" s="31" t="str">
        <f aca="false">IF(S3968="","",I3968&amp;"|"&amp;S3968)</f>
        <v/>
      </c>
    </row>
    <row r="3969" customFormat="false" ht="15" hidden="false" customHeight="false" outlineLevel="0" collapsed="false">
      <c r="A3969" s="24" t="n">
        <v>3965</v>
      </c>
      <c r="B3969" s="25" t="str">
        <f aca="false">IF(OR(C3969="",I3969="",G3969=""),"",IFERROR(VLOOKUP(I3969,Setup!$A$9:$B$11,2,0),"???")&amp;"-"&amp;G3969&amp;"-"&amp;TEXT(COUNTIFS(I$5:I3969,I3969,G$5:G3969,G3969),"0000"))</f>
        <v/>
      </c>
      <c r="C3969" s="26"/>
      <c r="D3969" s="26"/>
      <c r="E3969" s="27"/>
      <c r="F3969" s="27"/>
      <c r="G3969" s="24" t="str">
        <f aca="false">IF(F3969="","",IF(F3969&lt;=5,"A",IF(F3969&lt;=8,"B",IF(F3969&lt;=10,"C","D"))))</f>
        <v/>
      </c>
      <c r="H3969" s="28"/>
      <c r="I3969" s="27"/>
      <c r="J3969" s="26"/>
      <c r="K3969" s="27"/>
      <c r="L3969" s="27"/>
      <c r="M3969" s="27"/>
      <c r="N3969" s="27"/>
      <c r="O3969" s="24" t="str">
        <f aca="false">IF(G3969="","",VLOOKUP(G3969,Setup!$A$14:$C$17,3,0))</f>
        <v/>
      </c>
      <c r="P3969" s="27"/>
      <c r="Q3969" s="29" t="str">
        <f aca="false">IF(OR(P3969="",M3969&lt;&gt;"Paid",O3969=""),"",P3969/O3969)</f>
        <v/>
      </c>
      <c r="R3969" s="30" t="str">
        <f aca="false">IF(Q3969="","",Q3969+N(H3969)*0.000000001)</f>
        <v/>
      </c>
      <c r="S3969" s="25" t="str">
        <f aca="false">IF(R3969="","",SUMPRODUCT((I$5:I$4004=I3969)*ISNUMBER(R$5:R$4004)*(R$5:R$4004&gt;R3969))+1)</f>
        <v/>
      </c>
      <c r="T3969" s="25" t="str">
        <f aca="false">IF(S3969="","",IF(S3969&lt;=Setup!$B$5,"🏆 WINNER",""))</f>
        <v/>
      </c>
      <c r="U3969" s="24" t="str">
        <f aca="false">IF(S3969="","",I3969&amp;"|"&amp;S3969)</f>
        <v/>
      </c>
    </row>
    <row r="3970" customFormat="false" ht="15" hidden="false" customHeight="false" outlineLevel="0" collapsed="false">
      <c r="A3970" s="31" t="n">
        <v>3966</v>
      </c>
      <c r="B3970" s="32" t="str">
        <f aca="false">IF(OR(C3970="",I3970="",G3970=""),"",IFERROR(VLOOKUP(I3970,Setup!$A$9:$B$11,2,0),"???")&amp;"-"&amp;G3970&amp;"-"&amp;TEXT(COUNTIFS(I$5:I3970,I3970,G$5:G3970,G3970),"0000"))</f>
        <v/>
      </c>
      <c r="C3970" s="26"/>
      <c r="D3970" s="26"/>
      <c r="E3970" s="27"/>
      <c r="F3970" s="27"/>
      <c r="G3970" s="31" t="str">
        <f aca="false">IF(F3970="","",IF(F3970&lt;=5,"A",IF(F3970&lt;=8,"B",IF(F3970&lt;=10,"C","D"))))</f>
        <v/>
      </c>
      <c r="H3970" s="28"/>
      <c r="I3970" s="27"/>
      <c r="J3970" s="26"/>
      <c r="K3970" s="27"/>
      <c r="L3970" s="27"/>
      <c r="M3970" s="27"/>
      <c r="N3970" s="27"/>
      <c r="O3970" s="31" t="str">
        <f aca="false">IF(G3970="","",VLOOKUP(G3970,Setup!$A$14:$C$17,3,0))</f>
        <v/>
      </c>
      <c r="P3970" s="27"/>
      <c r="Q3970" s="33" t="str">
        <f aca="false">IF(OR(P3970="",M3970&lt;&gt;"Paid",O3970=""),"",P3970/O3970)</f>
        <v/>
      </c>
      <c r="R3970" s="34" t="str">
        <f aca="false">IF(Q3970="","",Q3970+N(H3970)*0.000000001)</f>
        <v/>
      </c>
      <c r="S3970" s="32" t="str">
        <f aca="false">IF(R3970="","",SUMPRODUCT((I$5:I$4004=I3970)*ISNUMBER(R$5:R$4004)*(R$5:R$4004&gt;R3970))+1)</f>
        <v/>
      </c>
      <c r="T3970" s="32" t="str">
        <f aca="false">IF(S3970="","",IF(S3970&lt;=Setup!$B$5,"🏆 WINNER",""))</f>
        <v/>
      </c>
      <c r="U3970" s="31" t="str">
        <f aca="false">IF(S3970="","",I3970&amp;"|"&amp;S3970)</f>
        <v/>
      </c>
    </row>
    <row r="3971" customFormat="false" ht="15" hidden="false" customHeight="false" outlineLevel="0" collapsed="false">
      <c r="A3971" s="24" t="n">
        <v>3967</v>
      </c>
      <c r="B3971" s="25" t="str">
        <f aca="false">IF(OR(C3971="",I3971="",G3971=""),"",IFERROR(VLOOKUP(I3971,Setup!$A$9:$B$11,2,0),"???")&amp;"-"&amp;G3971&amp;"-"&amp;TEXT(COUNTIFS(I$5:I3971,I3971,G$5:G3971,G3971),"0000"))</f>
        <v/>
      </c>
      <c r="C3971" s="26"/>
      <c r="D3971" s="26"/>
      <c r="E3971" s="27"/>
      <c r="F3971" s="27"/>
      <c r="G3971" s="24" t="str">
        <f aca="false">IF(F3971="","",IF(F3971&lt;=5,"A",IF(F3971&lt;=8,"B",IF(F3971&lt;=10,"C","D"))))</f>
        <v/>
      </c>
      <c r="H3971" s="28"/>
      <c r="I3971" s="27"/>
      <c r="J3971" s="26"/>
      <c r="K3971" s="27"/>
      <c r="L3971" s="27"/>
      <c r="M3971" s="27"/>
      <c r="N3971" s="27"/>
      <c r="O3971" s="24" t="str">
        <f aca="false">IF(G3971="","",VLOOKUP(G3971,Setup!$A$14:$C$17,3,0))</f>
        <v/>
      </c>
      <c r="P3971" s="27"/>
      <c r="Q3971" s="29" t="str">
        <f aca="false">IF(OR(P3971="",M3971&lt;&gt;"Paid",O3971=""),"",P3971/O3971)</f>
        <v/>
      </c>
      <c r="R3971" s="30" t="str">
        <f aca="false">IF(Q3971="","",Q3971+N(H3971)*0.000000001)</f>
        <v/>
      </c>
      <c r="S3971" s="25" t="str">
        <f aca="false">IF(R3971="","",SUMPRODUCT((I$5:I$4004=I3971)*ISNUMBER(R$5:R$4004)*(R$5:R$4004&gt;R3971))+1)</f>
        <v/>
      </c>
      <c r="T3971" s="25" t="str">
        <f aca="false">IF(S3971="","",IF(S3971&lt;=Setup!$B$5,"🏆 WINNER",""))</f>
        <v/>
      </c>
      <c r="U3971" s="24" t="str">
        <f aca="false">IF(S3971="","",I3971&amp;"|"&amp;S3971)</f>
        <v/>
      </c>
    </row>
    <row r="3972" customFormat="false" ht="15" hidden="false" customHeight="false" outlineLevel="0" collapsed="false">
      <c r="A3972" s="31" t="n">
        <v>3968</v>
      </c>
      <c r="B3972" s="32" t="str">
        <f aca="false">IF(OR(C3972="",I3972="",G3972=""),"",IFERROR(VLOOKUP(I3972,Setup!$A$9:$B$11,2,0),"???")&amp;"-"&amp;G3972&amp;"-"&amp;TEXT(COUNTIFS(I$5:I3972,I3972,G$5:G3972,G3972),"0000"))</f>
        <v/>
      </c>
      <c r="C3972" s="26"/>
      <c r="D3972" s="26"/>
      <c r="E3972" s="27"/>
      <c r="F3972" s="27"/>
      <c r="G3972" s="31" t="str">
        <f aca="false">IF(F3972="","",IF(F3972&lt;=5,"A",IF(F3972&lt;=8,"B",IF(F3972&lt;=10,"C","D"))))</f>
        <v/>
      </c>
      <c r="H3972" s="28"/>
      <c r="I3972" s="27"/>
      <c r="J3972" s="26"/>
      <c r="K3972" s="27"/>
      <c r="L3972" s="27"/>
      <c r="M3972" s="27"/>
      <c r="N3972" s="27"/>
      <c r="O3972" s="31" t="str">
        <f aca="false">IF(G3972="","",VLOOKUP(G3972,Setup!$A$14:$C$17,3,0))</f>
        <v/>
      </c>
      <c r="P3972" s="27"/>
      <c r="Q3972" s="33" t="str">
        <f aca="false">IF(OR(P3972="",M3972&lt;&gt;"Paid",O3972=""),"",P3972/O3972)</f>
        <v/>
      </c>
      <c r="R3972" s="34" t="str">
        <f aca="false">IF(Q3972="","",Q3972+N(H3972)*0.000000001)</f>
        <v/>
      </c>
      <c r="S3972" s="32" t="str">
        <f aca="false">IF(R3972="","",SUMPRODUCT((I$5:I$4004=I3972)*ISNUMBER(R$5:R$4004)*(R$5:R$4004&gt;R3972))+1)</f>
        <v/>
      </c>
      <c r="T3972" s="32" t="str">
        <f aca="false">IF(S3972="","",IF(S3972&lt;=Setup!$B$5,"🏆 WINNER",""))</f>
        <v/>
      </c>
      <c r="U3972" s="31" t="str">
        <f aca="false">IF(S3972="","",I3972&amp;"|"&amp;S3972)</f>
        <v/>
      </c>
    </row>
    <row r="3973" customFormat="false" ht="15" hidden="false" customHeight="false" outlineLevel="0" collapsed="false">
      <c r="A3973" s="24" t="n">
        <v>3969</v>
      </c>
      <c r="B3973" s="25" t="str">
        <f aca="false">IF(OR(C3973="",I3973="",G3973=""),"",IFERROR(VLOOKUP(I3973,Setup!$A$9:$B$11,2,0),"???")&amp;"-"&amp;G3973&amp;"-"&amp;TEXT(COUNTIFS(I$5:I3973,I3973,G$5:G3973,G3973),"0000"))</f>
        <v/>
      </c>
      <c r="C3973" s="26"/>
      <c r="D3973" s="26"/>
      <c r="E3973" s="27"/>
      <c r="F3973" s="27"/>
      <c r="G3973" s="24" t="str">
        <f aca="false">IF(F3973="","",IF(F3973&lt;=5,"A",IF(F3973&lt;=8,"B",IF(F3973&lt;=10,"C","D"))))</f>
        <v/>
      </c>
      <c r="H3973" s="28"/>
      <c r="I3973" s="27"/>
      <c r="J3973" s="26"/>
      <c r="K3973" s="27"/>
      <c r="L3973" s="27"/>
      <c r="M3973" s="27"/>
      <c r="N3973" s="27"/>
      <c r="O3973" s="24" t="str">
        <f aca="false">IF(G3973="","",VLOOKUP(G3973,Setup!$A$14:$C$17,3,0))</f>
        <v/>
      </c>
      <c r="P3973" s="27"/>
      <c r="Q3973" s="29" t="str">
        <f aca="false">IF(OR(P3973="",M3973&lt;&gt;"Paid",O3973=""),"",P3973/O3973)</f>
        <v/>
      </c>
      <c r="R3973" s="30" t="str">
        <f aca="false">IF(Q3973="","",Q3973+N(H3973)*0.000000001)</f>
        <v/>
      </c>
      <c r="S3973" s="25" t="str">
        <f aca="false">IF(R3973="","",SUMPRODUCT((I$5:I$4004=I3973)*ISNUMBER(R$5:R$4004)*(R$5:R$4004&gt;R3973))+1)</f>
        <v/>
      </c>
      <c r="T3973" s="25" t="str">
        <f aca="false">IF(S3973="","",IF(S3973&lt;=Setup!$B$5,"🏆 WINNER",""))</f>
        <v/>
      </c>
      <c r="U3973" s="24" t="str">
        <f aca="false">IF(S3973="","",I3973&amp;"|"&amp;S3973)</f>
        <v/>
      </c>
    </row>
    <row r="3974" customFormat="false" ht="15" hidden="false" customHeight="false" outlineLevel="0" collapsed="false">
      <c r="A3974" s="31" t="n">
        <v>3970</v>
      </c>
      <c r="B3974" s="32" t="str">
        <f aca="false">IF(OR(C3974="",I3974="",G3974=""),"",IFERROR(VLOOKUP(I3974,Setup!$A$9:$B$11,2,0),"???")&amp;"-"&amp;G3974&amp;"-"&amp;TEXT(COUNTIFS(I$5:I3974,I3974,G$5:G3974,G3974),"0000"))</f>
        <v/>
      </c>
      <c r="C3974" s="26"/>
      <c r="D3974" s="26"/>
      <c r="E3974" s="27"/>
      <c r="F3974" s="27"/>
      <c r="G3974" s="31" t="str">
        <f aca="false">IF(F3974="","",IF(F3974&lt;=5,"A",IF(F3974&lt;=8,"B",IF(F3974&lt;=10,"C","D"))))</f>
        <v/>
      </c>
      <c r="H3974" s="28"/>
      <c r="I3974" s="27"/>
      <c r="J3974" s="26"/>
      <c r="K3974" s="27"/>
      <c r="L3974" s="27"/>
      <c r="M3974" s="27"/>
      <c r="N3974" s="27"/>
      <c r="O3974" s="31" t="str">
        <f aca="false">IF(G3974="","",VLOOKUP(G3974,Setup!$A$14:$C$17,3,0))</f>
        <v/>
      </c>
      <c r="P3974" s="27"/>
      <c r="Q3974" s="33" t="str">
        <f aca="false">IF(OR(P3974="",M3974&lt;&gt;"Paid",O3974=""),"",P3974/O3974)</f>
        <v/>
      </c>
      <c r="R3974" s="34" t="str">
        <f aca="false">IF(Q3974="","",Q3974+N(H3974)*0.000000001)</f>
        <v/>
      </c>
      <c r="S3974" s="32" t="str">
        <f aca="false">IF(R3974="","",SUMPRODUCT((I$5:I$4004=I3974)*ISNUMBER(R$5:R$4004)*(R$5:R$4004&gt;R3974))+1)</f>
        <v/>
      </c>
      <c r="T3974" s="32" t="str">
        <f aca="false">IF(S3974="","",IF(S3974&lt;=Setup!$B$5,"🏆 WINNER",""))</f>
        <v/>
      </c>
      <c r="U3974" s="31" t="str">
        <f aca="false">IF(S3974="","",I3974&amp;"|"&amp;S3974)</f>
        <v/>
      </c>
    </row>
    <row r="3975" customFormat="false" ht="15" hidden="false" customHeight="false" outlineLevel="0" collapsed="false">
      <c r="A3975" s="24" t="n">
        <v>3971</v>
      </c>
      <c r="B3975" s="25" t="str">
        <f aca="false">IF(OR(C3975="",I3975="",G3975=""),"",IFERROR(VLOOKUP(I3975,Setup!$A$9:$B$11,2,0),"???")&amp;"-"&amp;G3975&amp;"-"&amp;TEXT(COUNTIFS(I$5:I3975,I3975,G$5:G3975,G3975),"0000"))</f>
        <v/>
      </c>
      <c r="C3975" s="26"/>
      <c r="D3975" s="26"/>
      <c r="E3975" s="27"/>
      <c r="F3975" s="27"/>
      <c r="G3975" s="24" t="str">
        <f aca="false">IF(F3975="","",IF(F3975&lt;=5,"A",IF(F3975&lt;=8,"B",IF(F3975&lt;=10,"C","D"))))</f>
        <v/>
      </c>
      <c r="H3975" s="28"/>
      <c r="I3975" s="27"/>
      <c r="J3975" s="26"/>
      <c r="K3975" s="27"/>
      <c r="L3975" s="27"/>
      <c r="M3975" s="27"/>
      <c r="N3975" s="27"/>
      <c r="O3975" s="24" t="str">
        <f aca="false">IF(G3975="","",VLOOKUP(G3975,Setup!$A$14:$C$17,3,0))</f>
        <v/>
      </c>
      <c r="P3975" s="27"/>
      <c r="Q3975" s="29" t="str">
        <f aca="false">IF(OR(P3975="",M3975&lt;&gt;"Paid",O3975=""),"",P3975/O3975)</f>
        <v/>
      </c>
      <c r="R3975" s="30" t="str">
        <f aca="false">IF(Q3975="","",Q3975+N(H3975)*0.000000001)</f>
        <v/>
      </c>
      <c r="S3975" s="25" t="str">
        <f aca="false">IF(R3975="","",SUMPRODUCT((I$5:I$4004=I3975)*ISNUMBER(R$5:R$4004)*(R$5:R$4004&gt;R3975))+1)</f>
        <v/>
      </c>
      <c r="T3975" s="25" t="str">
        <f aca="false">IF(S3975="","",IF(S3975&lt;=Setup!$B$5,"🏆 WINNER",""))</f>
        <v/>
      </c>
      <c r="U3975" s="24" t="str">
        <f aca="false">IF(S3975="","",I3975&amp;"|"&amp;S3975)</f>
        <v/>
      </c>
    </row>
    <row r="3976" customFormat="false" ht="15" hidden="false" customHeight="false" outlineLevel="0" collapsed="false">
      <c r="A3976" s="31" t="n">
        <v>3972</v>
      </c>
      <c r="B3976" s="32" t="str">
        <f aca="false">IF(OR(C3976="",I3976="",G3976=""),"",IFERROR(VLOOKUP(I3976,Setup!$A$9:$B$11,2,0),"???")&amp;"-"&amp;G3976&amp;"-"&amp;TEXT(COUNTIFS(I$5:I3976,I3976,G$5:G3976,G3976),"0000"))</f>
        <v/>
      </c>
      <c r="C3976" s="26"/>
      <c r="D3976" s="26"/>
      <c r="E3976" s="27"/>
      <c r="F3976" s="27"/>
      <c r="G3976" s="31" t="str">
        <f aca="false">IF(F3976="","",IF(F3976&lt;=5,"A",IF(F3976&lt;=8,"B",IF(F3976&lt;=10,"C","D"))))</f>
        <v/>
      </c>
      <c r="H3976" s="28"/>
      <c r="I3976" s="27"/>
      <c r="J3976" s="26"/>
      <c r="K3976" s="27"/>
      <c r="L3976" s="27"/>
      <c r="M3976" s="27"/>
      <c r="N3976" s="27"/>
      <c r="O3976" s="31" t="str">
        <f aca="false">IF(G3976="","",VLOOKUP(G3976,Setup!$A$14:$C$17,3,0))</f>
        <v/>
      </c>
      <c r="P3976" s="27"/>
      <c r="Q3976" s="33" t="str">
        <f aca="false">IF(OR(P3976="",M3976&lt;&gt;"Paid",O3976=""),"",P3976/O3976)</f>
        <v/>
      </c>
      <c r="R3976" s="34" t="str">
        <f aca="false">IF(Q3976="","",Q3976+N(H3976)*0.000000001)</f>
        <v/>
      </c>
      <c r="S3976" s="32" t="str">
        <f aca="false">IF(R3976="","",SUMPRODUCT((I$5:I$4004=I3976)*ISNUMBER(R$5:R$4004)*(R$5:R$4004&gt;R3976))+1)</f>
        <v/>
      </c>
      <c r="T3976" s="32" t="str">
        <f aca="false">IF(S3976="","",IF(S3976&lt;=Setup!$B$5,"🏆 WINNER",""))</f>
        <v/>
      </c>
      <c r="U3976" s="31" t="str">
        <f aca="false">IF(S3976="","",I3976&amp;"|"&amp;S3976)</f>
        <v/>
      </c>
    </row>
    <row r="3977" customFormat="false" ht="15" hidden="false" customHeight="false" outlineLevel="0" collapsed="false">
      <c r="A3977" s="24" t="n">
        <v>3973</v>
      </c>
      <c r="B3977" s="25" t="str">
        <f aca="false">IF(OR(C3977="",I3977="",G3977=""),"",IFERROR(VLOOKUP(I3977,Setup!$A$9:$B$11,2,0),"???")&amp;"-"&amp;G3977&amp;"-"&amp;TEXT(COUNTIFS(I$5:I3977,I3977,G$5:G3977,G3977),"0000"))</f>
        <v/>
      </c>
      <c r="C3977" s="26"/>
      <c r="D3977" s="26"/>
      <c r="E3977" s="27"/>
      <c r="F3977" s="27"/>
      <c r="G3977" s="24" t="str">
        <f aca="false">IF(F3977="","",IF(F3977&lt;=5,"A",IF(F3977&lt;=8,"B",IF(F3977&lt;=10,"C","D"))))</f>
        <v/>
      </c>
      <c r="H3977" s="28"/>
      <c r="I3977" s="27"/>
      <c r="J3977" s="26"/>
      <c r="K3977" s="27"/>
      <c r="L3977" s="27"/>
      <c r="M3977" s="27"/>
      <c r="N3977" s="27"/>
      <c r="O3977" s="24" t="str">
        <f aca="false">IF(G3977="","",VLOOKUP(G3977,Setup!$A$14:$C$17,3,0))</f>
        <v/>
      </c>
      <c r="P3977" s="27"/>
      <c r="Q3977" s="29" t="str">
        <f aca="false">IF(OR(P3977="",M3977&lt;&gt;"Paid",O3977=""),"",P3977/O3977)</f>
        <v/>
      </c>
      <c r="R3977" s="30" t="str">
        <f aca="false">IF(Q3977="","",Q3977+N(H3977)*0.000000001)</f>
        <v/>
      </c>
      <c r="S3977" s="25" t="str">
        <f aca="false">IF(R3977="","",SUMPRODUCT((I$5:I$4004=I3977)*ISNUMBER(R$5:R$4004)*(R$5:R$4004&gt;R3977))+1)</f>
        <v/>
      </c>
      <c r="T3977" s="25" t="str">
        <f aca="false">IF(S3977="","",IF(S3977&lt;=Setup!$B$5,"🏆 WINNER",""))</f>
        <v/>
      </c>
      <c r="U3977" s="24" t="str">
        <f aca="false">IF(S3977="","",I3977&amp;"|"&amp;S3977)</f>
        <v/>
      </c>
    </row>
    <row r="3978" customFormat="false" ht="15" hidden="false" customHeight="false" outlineLevel="0" collapsed="false">
      <c r="A3978" s="31" t="n">
        <v>3974</v>
      </c>
      <c r="B3978" s="32" t="str">
        <f aca="false">IF(OR(C3978="",I3978="",G3978=""),"",IFERROR(VLOOKUP(I3978,Setup!$A$9:$B$11,2,0),"???")&amp;"-"&amp;G3978&amp;"-"&amp;TEXT(COUNTIFS(I$5:I3978,I3978,G$5:G3978,G3978),"0000"))</f>
        <v/>
      </c>
      <c r="C3978" s="26"/>
      <c r="D3978" s="26"/>
      <c r="E3978" s="27"/>
      <c r="F3978" s="27"/>
      <c r="G3978" s="31" t="str">
        <f aca="false">IF(F3978="","",IF(F3978&lt;=5,"A",IF(F3978&lt;=8,"B",IF(F3978&lt;=10,"C","D"))))</f>
        <v/>
      </c>
      <c r="H3978" s="28"/>
      <c r="I3978" s="27"/>
      <c r="J3978" s="26"/>
      <c r="K3978" s="27"/>
      <c r="L3978" s="27"/>
      <c r="M3978" s="27"/>
      <c r="N3978" s="27"/>
      <c r="O3978" s="31" t="str">
        <f aca="false">IF(G3978="","",VLOOKUP(G3978,Setup!$A$14:$C$17,3,0))</f>
        <v/>
      </c>
      <c r="P3978" s="27"/>
      <c r="Q3978" s="33" t="str">
        <f aca="false">IF(OR(P3978="",M3978&lt;&gt;"Paid",O3978=""),"",P3978/O3978)</f>
        <v/>
      </c>
      <c r="R3978" s="34" t="str">
        <f aca="false">IF(Q3978="","",Q3978+N(H3978)*0.000000001)</f>
        <v/>
      </c>
      <c r="S3978" s="32" t="str">
        <f aca="false">IF(R3978="","",SUMPRODUCT((I$5:I$4004=I3978)*ISNUMBER(R$5:R$4004)*(R$5:R$4004&gt;R3978))+1)</f>
        <v/>
      </c>
      <c r="T3978" s="32" t="str">
        <f aca="false">IF(S3978="","",IF(S3978&lt;=Setup!$B$5,"🏆 WINNER",""))</f>
        <v/>
      </c>
      <c r="U3978" s="31" t="str">
        <f aca="false">IF(S3978="","",I3978&amp;"|"&amp;S3978)</f>
        <v/>
      </c>
    </row>
    <row r="3979" customFormat="false" ht="15" hidden="false" customHeight="false" outlineLevel="0" collapsed="false">
      <c r="A3979" s="24" t="n">
        <v>3975</v>
      </c>
      <c r="B3979" s="25" t="str">
        <f aca="false">IF(OR(C3979="",I3979="",G3979=""),"",IFERROR(VLOOKUP(I3979,Setup!$A$9:$B$11,2,0),"???")&amp;"-"&amp;G3979&amp;"-"&amp;TEXT(COUNTIFS(I$5:I3979,I3979,G$5:G3979,G3979),"0000"))</f>
        <v/>
      </c>
      <c r="C3979" s="26"/>
      <c r="D3979" s="26"/>
      <c r="E3979" s="27"/>
      <c r="F3979" s="27"/>
      <c r="G3979" s="24" t="str">
        <f aca="false">IF(F3979="","",IF(F3979&lt;=5,"A",IF(F3979&lt;=8,"B",IF(F3979&lt;=10,"C","D"))))</f>
        <v/>
      </c>
      <c r="H3979" s="28"/>
      <c r="I3979" s="27"/>
      <c r="J3979" s="26"/>
      <c r="K3979" s="27"/>
      <c r="L3979" s="27"/>
      <c r="M3979" s="27"/>
      <c r="N3979" s="27"/>
      <c r="O3979" s="24" t="str">
        <f aca="false">IF(G3979="","",VLOOKUP(G3979,Setup!$A$14:$C$17,3,0))</f>
        <v/>
      </c>
      <c r="P3979" s="27"/>
      <c r="Q3979" s="29" t="str">
        <f aca="false">IF(OR(P3979="",M3979&lt;&gt;"Paid",O3979=""),"",P3979/O3979)</f>
        <v/>
      </c>
      <c r="R3979" s="30" t="str">
        <f aca="false">IF(Q3979="","",Q3979+N(H3979)*0.000000001)</f>
        <v/>
      </c>
      <c r="S3979" s="25" t="str">
        <f aca="false">IF(R3979="","",SUMPRODUCT((I$5:I$4004=I3979)*ISNUMBER(R$5:R$4004)*(R$5:R$4004&gt;R3979))+1)</f>
        <v/>
      </c>
      <c r="T3979" s="25" t="str">
        <f aca="false">IF(S3979="","",IF(S3979&lt;=Setup!$B$5,"🏆 WINNER",""))</f>
        <v/>
      </c>
      <c r="U3979" s="24" t="str">
        <f aca="false">IF(S3979="","",I3979&amp;"|"&amp;S3979)</f>
        <v/>
      </c>
    </row>
    <row r="3980" customFormat="false" ht="15" hidden="false" customHeight="false" outlineLevel="0" collapsed="false">
      <c r="A3980" s="31" t="n">
        <v>3976</v>
      </c>
      <c r="B3980" s="32" t="str">
        <f aca="false">IF(OR(C3980="",I3980="",G3980=""),"",IFERROR(VLOOKUP(I3980,Setup!$A$9:$B$11,2,0),"???")&amp;"-"&amp;G3980&amp;"-"&amp;TEXT(COUNTIFS(I$5:I3980,I3980,G$5:G3980,G3980),"0000"))</f>
        <v/>
      </c>
      <c r="C3980" s="26"/>
      <c r="D3980" s="26"/>
      <c r="E3980" s="27"/>
      <c r="F3980" s="27"/>
      <c r="G3980" s="31" t="str">
        <f aca="false">IF(F3980="","",IF(F3980&lt;=5,"A",IF(F3980&lt;=8,"B",IF(F3980&lt;=10,"C","D"))))</f>
        <v/>
      </c>
      <c r="H3980" s="28"/>
      <c r="I3980" s="27"/>
      <c r="J3980" s="26"/>
      <c r="K3980" s="27"/>
      <c r="L3980" s="27"/>
      <c r="M3980" s="27"/>
      <c r="N3980" s="27"/>
      <c r="O3980" s="31" t="str">
        <f aca="false">IF(G3980="","",VLOOKUP(G3980,Setup!$A$14:$C$17,3,0))</f>
        <v/>
      </c>
      <c r="P3980" s="27"/>
      <c r="Q3980" s="33" t="str">
        <f aca="false">IF(OR(P3980="",M3980&lt;&gt;"Paid",O3980=""),"",P3980/O3980)</f>
        <v/>
      </c>
      <c r="R3980" s="34" t="str">
        <f aca="false">IF(Q3980="","",Q3980+N(H3980)*0.000000001)</f>
        <v/>
      </c>
      <c r="S3980" s="32" t="str">
        <f aca="false">IF(R3980="","",SUMPRODUCT((I$5:I$4004=I3980)*ISNUMBER(R$5:R$4004)*(R$5:R$4004&gt;R3980))+1)</f>
        <v/>
      </c>
      <c r="T3980" s="32" t="str">
        <f aca="false">IF(S3980="","",IF(S3980&lt;=Setup!$B$5,"🏆 WINNER",""))</f>
        <v/>
      </c>
      <c r="U3980" s="31" t="str">
        <f aca="false">IF(S3980="","",I3980&amp;"|"&amp;S3980)</f>
        <v/>
      </c>
    </row>
    <row r="3981" customFormat="false" ht="15" hidden="false" customHeight="false" outlineLevel="0" collapsed="false">
      <c r="A3981" s="24" t="n">
        <v>3977</v>
      </c>
      <c r="B3981" s="25" t="str">
        <f aca="false">IF(OR(C3981="",I3981="",G3981=""),"",IFERROR(VLOOKUP(I3981,Setup!$A$9:$B$11,2,0),"???")&amp;"-"&amp;G3981&amp;"-"&amp;TEXT(COUNTIFS(I$5:I3981,I3981,G$5:G3981,G3981),"0000"))</f>
        <v/>
      </c>
      <c r="C3981" s="26"/>
      <c r="D3981" s="26"/>
      <c r="E3981" s="27"/>
      <c r="F3981" s="27"/>
      <c r="G3981" s="24" t="str">
        <f aca="false">IF(F3981="","",IF(F3981&lt;=5,"A",IF(F3981&lt;=8,"B",IF(F3981&lt;=10,"C","D"))))</f>
        <v/>
      </c>
      <c r="H3981" s="28"/>
      <c r="I3981" s="27"/>
      <c r="J3981" s="26"/>
      <c r="K3981" s="27"/>
      <c r="L3981" s="27"/>
      <c r="M3981" s="27"/>
      <c r="N3981" s="27"/>
      <c r="O3981" s="24" t="str">
        <f aca="false">IF(G3981="","",VLOOKUP(G3981,Setup!$A$14:$C$17,3,0))</f>
        <v/>
      </c>
      <c r="P3981" s="27"/>
      <c r="Q3981" s="29" t="str">
        <f aca="false">IF(OR(P3981="",M3981&lt;&gt;"Paid",O3981=""),"",P3981/O3981)</f>
        <v/>
      </c>
      <c r="R3981" s="30" t="str">
        <f aca="false">IF(Q3981="","",Q3981+N(H3981)*0.000000001)</f>
        <v/>
      </c>
      <c r="S3981" s="25" t="str">
        <f aca="false">IF(R3981="","",SUMPRODUCT((I$5:I$4004=I3981)*ISNUMBER(R$5:R$4004)*(R$5:R$4004&gt;R3981))+1)</f>
        <v/>
      </c>
      <c r="T3981" s="25" t="str">
        <f aca="false">IF(S3981="","",IF(S3981&lt;=Setup!$B$5,"🏆 WINNER",""))</f>
        <v/>
      </c>
      <c r="U3981" s="24" t="str">
        <f aca="false">IF(S3981="","",I3981&amp;"|"&amp;S3981)</f>
        <v/>
      </c>
    </row>
    <row r="3982" customFormat="false" ht="15" hidden="false" customHeight="false" outlineLevel="0" collapsed="false">
      <c r="A3982" s="31" t="n">
        <v>3978</v>
      </c>
      <c r="B3982" s="32" t="str">
        <f aca="false">IF(OR(C3982="",I3982="",G3982=""),"",IFERROR(VLOOKUP(I3982,Setup!$A$9:$B$11,2,0),"???")&amp;"-"&amp;G3982&amp;"-"&amp;TEXT(COUNTIFS(I$5:I3982,I3982,G$5:G3982,G3982),"0000"))</f>
        <v/>
      </c>
      <c r="C3982" s="26"/>
      <c r="D3982" s="26"/>
      <c r="E3982" s="27"/>
      <c r="F3982" s="27"/>
      <c r="G3982" s="31" t="str">
        <f aca="false">IF(F3982="","",IF(F3982&lt;=5,"A",IF(F3982&lt;=8,"B",IF(F3982&lt;=10,"C","D"))))</f>
        <v/>
      </c>
      <c r="H3982" s="28"/>
      <c r="I3982" s="27"/>
      <c r="J3982" s="26"/>
      <c r="K3982" s="27"/>
      <c r="L3982" s="27"/>
      <c r="M3982" s="27"/>
      <c r="N3982" s="27"/>
      <c r="O3982" s="31" t="str">
        <f aca="false">IF(G3982="","",VLOOKUP(G3982,Setup!$A$14:$C$17,3,0))</f>
        <v/>
      </c>
      <c r="P3982" s="27"/>
      <c r="Q3982" s="33" t="str">
        <f aca="false">IF(OR(P3982="",M3982&lt;&gt;"Paid",O3982=""),"",P3982/O3982)</f>
        <v/>
      </c>
      <c r="R3982" s="34" t="str">
        <f aca="false">IF(Q3982="","",Q3982+N(H3982)*0.000000001)</f>
        <v/>
      </c>
      <c r="S3982" s="32" t="str">
        <f aca="false">IF(R3982="","",SUMPRODUCT((I$5:I$4004=I3982)*ISNUMBER(R$5:R$4004)*(R$5:R$4004&gt;R3982))+1)</f>
        <v/>
      </c>
      <c r="T3982" s="32" t="str">
        <f aca="false">IF(S3982="","",IF(S3982&lt;=Setup!$B$5,"🏆 WINNER",""))</f>
        <v/>
      </c>
      <c r="U3982" s="31" t="str">
        <f aca="false">IF(S3982="","",I3982&amp;"|"&amp;S3982)</f>
        <v/>
      </c>
    </row>
    <row r="3983" customFormat="false" ht="15" hidden="false" customHeight="false" outlineLevel="0" collapsed="false">
      <c r="A3983" s="24" t="n">
        <v>3979</v>
      </c>
      <c r="B3983" s="25" t="str">
        <f aca="false">IF(OR(C3983="",I3983="",G3983=""),"",IFERROR(VLOOKUP(I3983,Setup!$A$9:$B$11,2,0),"???")&amp;"-"&amp;G3983&amp;"-"&amp;TEXT(COUNTIFS(I$5:I3983,I3983,G$5:G3983,G3983),"0000"))</f>
        <v/>
      </c>
      <c r="C3983" s="26"/>
      <c r="D3983" s="26"/>
      <c r="E3983" s="27"/>
      <c r="F3983" s="27"/>
      <c r="G3983" s="24" t="str">
        <f aca="false">IF(F3983="","",IF(F3983&lt;=5,"A",IF(F3983&lt;=8,"B",IF(F3983&lt;=10,"C","D"))))</f>
        <v/>
      </c>
      <c r="H3983" s="28"/>
      <c r="I3983" s="27"/>
      <c r="J3983" s="26"/>
      <c r="K3983" s="27"/>
      <c r="L3983" s="27"/>
      <c r="M3983" s="27"/>
      <c r="N3983" s="27"/>
      <c r="O3983" s="24" t="str">
        <f aca="false">IF(G3983="","",VLOOKUP(G3983,Setup!$A$14:$C$17,3,0))</f>
        <v/>
      </c>
      <c r="P3983" s="27"/>
      <c r="Q3983" s="29" t="str">
        <f aca="false">IF(OR(P3983="",M3983&lt;&gt;"Paid",O3983=""),"",P3983/O3983)</f>
        <v/>
      </c>
      <c r="R3983" s="30" t="str">
        <f aca="false">IF(Q3983="","",Q3983+N(H3983)*0.000000001)</f>
        <v/>
      </c>
      <c r="S3983" s="25" t="str">
        <f aca="false">IF(R3983="","",SUMPRODUCT((I$5:I$4004=I3983)*ISNUMBER(R$5:R$4004)*(R$5:R$4004&gt;R3983))+1)</f>
        <v/>
      </c>
      <c r="T3983" s="25" t="str">
        <f aca="false">IF(S3983="","",IF(S3983&lt;=Setup!$B$5,"🏆 WINNER",""))</f>
        <v/>
      </c>
      <c r="U3983" s="24" t="str">
        <f aca="false">IF(S3983="","",I3983&amp;"|"&amp;S3983)</f>
        <v/>
      </c>
    </row>
    <row r="3984" customFormat="false" ht="15" hidden="false" customHeight="false" outlineLevel="0" collapsed="false">
      <c r="A3984" s="31" t="n">
        <v>3980</v>
      </c>
      <c r="B3984" s="32" t="str">
        <f aca="false">IF(OR(C3984="",I3984="",G3984=""),"",IFERROR(VLOOKUP(I3984,Setup!$A$9:$B$11,2,0),"???")&amp;"-"&amp;G3984&amp;"-"&amp;TEXT(COUNTIFS(I$5:I3984,I3984,G$5:G3984,G3984),"0000"))</f>
        <v/>
      </c>
      <c r="C3984" s="26"/>
      <c r="D3984" s="26"/>
      <c r="E3984" s="27"/>
      <c r="F3984" s="27"/>
      <c r="G3984" s="31" t="str">
        <f aca="false">IF(F3984="","",IF(F3984&lt;=5,"A",IF(F3984&lt;=8,"B",IF(F3984&lt;=10,"C","D"))))</f>
        <v/>
      </c>
      <c r="H3984" s="28"/>
      <c r="I3984" s="27"/>
      <c r="J3984" s="26"/>
      <c r="K3984" s="27"/>
      <c r="L3984" s="27"/>
      <c r="M3984" s="27"/>
      <c r="N3984" s="27"/>
      <c r="O3984" s="31" t="str">
        <f aca="false">IF(G3984="","",VLOOKUP(G3984,Setup!$A$14:$C$17,3,0))</f>
        <v/>
      </c>
      <c r="P3984" s="27"/>
      <c r="Q3984" s="33" t="str">
        <f aca="false">IF(OR(P3984="",M3984&lt;&gt;"Paid",O3984=""),"",P3984/O3984)</f>
        <v/>
      </c>
      <c r="R3984" s="34" t="str">
        <f aca="false">IF(Q3984="","",Q3984+N(H3984)*0.000000001)</f>
        <v/>
      </c>
      <c r="S3984" s="32" t="str">
        <f aca="false">IF(R3984="","",SUMPRODUCT((I$5:I$4004=I3984)*ISNUMBER(R$5:R$4004)*(R$5:R$4004&gt;R3984))+1)</f>
        <v/>
      </c>
      <c r="T3984" s="32" t="str">
        <f aca="false">IF(S3984="","",IF(S3984&lt;=Setup!$B$5,"🏆 WINNER",""))</f>
        <v/>
      </c>
      <c r="U3984" s="31" t="str">
        <f aca="false">IF(S3984="","",I3984&amp;"|"&amp;S3984)</f>
        <v/>
      </c>
    </row>
    <row r="3985" customFormat="false" ht="15" hidden="false" customHeight="false" outlineLevel="0" collapsed="false">
      <c r="A3985" s="24" t="n">
        <v>3981</v>
      </c>
      <c r="B3985" s="25" t="str">
        <f aca="false">IF(OR(C3985="",I3985="",G3985=""),"",IFERROR(VLOOKUP(I3985,Setup!$A$9:$B$11,2,0),"???")&amp;"-"&amp;G3985&amp;"-"&amp;TEXT(COUNTIFS(I$5:I3985,I3985,G$5:G3985,G3985),"0000"))</f>
        <v/>
      </c>
      <c r="C3985" s="26"/>
      <c r="D3985" s="26"/>
      <c r="E3985" s="27"/>
      <c r="F3985" s="27"/>
      <c r="G3985" s="24" t="str">
        <f aca="false">IF(F3985="","",IF(F3985&lt;=5,"A",IF(F3985&lt;=8,"B",IF(F3985&lt;=10,"C","D"))))</f>
        <v/>
      </c>
      <c r="H3985" s="28"/>
      <c r="I3985" s="27"/>
      <c r="J3985" s="26"/>
      <c r="K3985" s="27"/>
      <c r="L3985" s="27"/>
      <c r="M3985" s="27"/>
      <c r="N3985" s="27"/>
      <c r="O3985" s="24" t="str">
        <f aca="false">IF(G3985="","",VLOOKUP(G3985,Setup!$A$14:$C$17,3,0))</f>
        <v/>
      </c>
      <c r="P3985" s="27"/>
      <c r="Q3985" s="29" t="str">
        <f aca="false">IF(OR(P3985="",M3985&lt;&gt;"Paid",O3985=""),"",P3985/O3985)</f>
        <v/>
      </c>
      <c r="R3985" s="30" t="str">
        <f aca="false">IF(Q3985="","",Q3985+N(H3985)*0.000000001)</f>
        <v/>
      </c>
      <c r="S3985" s="25" t="str">
        <f aca="false">IF(R3985="","",SUMPRODUCT((I$5:I$4004=I3985)*ISNUMBER(R$5:R$4004)*(R$5:R$4004&gt;R3985))+1)</f>
        <v/>
      </c>
      <c r="T3985" s="25" t="str">
        <f aca="false">IF(S3985="","",IF(S3985&lt;=Setup!$B$5,"🏆 WINNER",""))</f>
        <v/>
      </c>
      <c r="U3985" s="24" t="str">
        <f aca="false">IF(S3985="","",I3985&amp;"|"&amp;S3985)</f>
        <v/>
      </c>
    </row>
    <row r="3986" customFormat="false" ht="15" hidden="false" customHeight="false" outlineLevel="0" collapsed="false">
      <c r="A3986" s="31" t="n">
        <v>3982</v>
      </c>
      <c r="B3986" s="32" t="str">
        <f aca="false">IF(OR(C3986="",I3986="",G3986=""),"",IFERROR(VLOOKUP(I3986,Setup!$A$9:$B$11,2,0),"???")&amp;"-"&amp;G3986&amp;"-"&amp;TEXT(COUNTIFS(I$5:I3986,I3986,G$5:G3986,G3986),"0000"))</f>
        <v/>
      </c>
      <c r="C3986" s="26"/>
      <c r="D3986" s="26"/>
      <c r="E3986" s="27"/>
      <c r="F3986" s="27"/>
      <c r="G3986" s="31" t="str">
        <f aca="false">IF(F3986="","",IF(F3986&lt;=5,"A",IF(F3986&lt;=8,"B",IF(F3986&lt;=10,"C","D"))))</f>
        <v/>
      </c>
      <c r="H3986" s="28"/>
      <c r="I3986" s="27"/>
      <c r="J3986" s="26"/>
      <c r="K3986" s="27"/>
      <c r="L3986" s="27"/>
      <c r="M3986" s="27"/>
      <c r="N3986" s="27"/>
      <c r="O3986" s="31" t="str">
        <f aca="false">IF(G3986="","",VLOOKUP(G3986,Setup!$A$14:$C$17,3,0))</f>
        <v/>
      </c>
      <c r="P3986" s="27"/>
      <c r="Q3986" s="33" t="str">
        <f aca="false">IF(OR(P3986="",M3986&lt;&gt;"Paid",O3986=""),"",P3986/O3986)</f>
        <v/>
      </c>
      <c r="R3986" s="34" t="str">
        <f aca="false">IF(Q3986="","",Q3986+N(H3986)*0.000000001)</f>
        <v/>
      </c>
      <c r="S3986" s="32" t="str">
        <f aca="false">IF(R3986="","",SUMPRODUCT((I$5:I$4004=I3986)*ISNUMBER(R$5:R$4004)*(R$5:R$4004&gt;R3986))+1)</f>
        <v/>
      </c>
      <c r="T3986" s="32" t="str">
        <f aca="false">IF(S3986="","",IF(S3986&lt;=Setup!$B$5,"🏆 WINNER",""))</f>
        <v/>
      </c>
      <c r="U3986" s="31" t="str">
        <f aca="false">IF(S3986="","",I3986&amp;"|"&amp;S3986)</f>
        <v/>
      </c>
    </row>
    <row r="3987" customFormat="false" ht="15" hidden="false" customHeight="false" outlineLevel="0" collapsed="false">
      <c r="A3987" s="24" t="n">
        <v>3983</v>
      </c>
      <c r="B3987" s="25" t="str">
        <f aca="false">IF(OR(C3987="",I3987="",G3987=""),"",IFERROR(VLOOKUP(I3987,Setup!$A$9:$B$11,2,0),"???")&amp;"-"&amp;G3987&amp;"-"&amp;TEXT(COUNTIFS(I$5:I3987,I3987,G$5:G3987,G3987),"0000"))</f>
        <v/>
      </c>
      <c r="C3987" s="26"/>
      <c r="D3987" s="26"/>
      <c r="E3987" s="27"/>
      <c r="F3987" s="27"/>
      <c r="G3987" s="24" t="str">
        <f aca="false">IF(F3987="","",IF(F3987&lt;=5,"A",IF(F3987&lt;=8,"B",IF(F3987&lt;=10,"C","D"))))</f>
        <v/>
      </c>
      <c r="H3987" s="28"/>
      <c r="I3987" s="27"/>
      <c r="J3987" s="26"/>
      <c r="K3987" s="27"/>
      <c r="L3987" s="27"/>
      <c r="M3987" s="27"/>
      <c r="N3987" s="27"/>
      <c r="O3987" s="24" t="str">
        <f aca="false">IF(G3987="","",VLOOKUP(G3987,Setup!$A$14:$C$17,3,0))</f>
        <v/>
      </c>
      <c r="P3987" s="27"/>
      <c r="Q3987" s="29" t="str">
        <f aca="false">IF(OR(P3987="",M3987&lt;&gt;"Paid",O3987=""),"",P3987/O3987)</f>
        <v/>
      </c>
      <c r="R3987" s="30" t="str">
        <f aca="false">IF(Q3987="","",Q3987+N(H3987)*0.000000001)</f>
        <v/>
      </c>
      <c r="S3987" s="25" t="str">
        <f aca="false">IF(R3987="","",SUMPRODUCT((I$5:I$4004=I3987)*ISNUMBER(R$5:R$4004)*(R$5:R$4004&gt;R3987))+1)</f>
        <v/>
      </c>
      <c r="T3987" s="25" t="str">
        <f aca="false">IF(S3987="","",IF(S3987&lt;=Setup!$B$5,"🏆 WINNER",""))</f>
        <v/>
      </c>
      <c r="U3987" s="24" t="str">
        <f aca="false">IF(S3987="","",I3987&amp;"|"&amp;S3987)</f>
        <v/>
      </c>
    </row>
    <row r="3988" customFormat="false" ht="15" hidden="false" customHeight="false" outlineLevel="0" collapsed="false">
      <c r="A3988" s="31" t="n">
        <v>3984</v>
      </c>
      <c r="B3988" s="32" t="str">
        <f aca="false">IF(OR(C3988="",I3988="",G3988=""),"",IFERROR(VLOOKUP(I3988,Setup!$A$9:$B$11,2,0),"???")&amp;"-"&amp;G3988&amp;"-"&amp;TEXT(COUNTIFS(I$5:I3988,I3988,G$5:G3988,G3988),"0000"))</f>
        <v/>
      </c>
      <c r="C3988" s="26"/>
      <c r="D3988" s="26"/>
      <c r="E3988" s="27"/>
      <c r="F3988" s="27"/>
      <c r="G3988" s="31" t="str">
        <f aca="false">IF(F3988="","",IF(F3988&lt;=5,"A",IF(F3988&lt;=8,"B",IF(F3988&lt;=10,"C","D"))))</f>
        <v/>
      </c>
      <c r="H3988" s="28"/>
      <c r="I3988" s="27"/>
      <c r="J3988" s="26"/>
      <c r="K3988" s="27"/>
      <c r="L3988" s="27"/>
      <c r="M3988" s="27"/>
      <c r="N3988" s="27"/>
      <c r="O3988" s="31" t="str">
        <f aca="false">IF(G3988="","",VLOOKUP(G3988,Setup!$A$14:$C$17,3,0))</f>
        <v/>
      </c>
      <c r="P3988" s="27"/>
      <c r="Q3988" s="33" t="str">
        <f aca="false">IF(OR(P3988="",M3988&lt;&gt;"Paid",O3988=""),"",P3988/O3988)</f>
        <v/>
      </c>
      <c r="R3988" s="34" t="str">
        <f aca="false">IF(Q3988="","",Q3988+N(H3988)*0.000000001)</f>
        <v/>
      </c>
      <c r="S3988" s="32" t="str">
        <f aca="false">IF(R3988="","",SUMPRODUCT((I$5:I$4004=I3988)*ISNUMBER(R$5:R$4004)*(R$5:R$4004&gt;R3988))+1)</f>
        <v/>
      </c>
      <c r="T3988" s="32" t="str">
        <f aca="false">IF(S3988="","",IF(S3988&lt;=Setup!$B$5,"🏆 WINNER",""))</f>
        <v/>
      </c>
      <c r="U3988" s="31" t="str">
        <f aca="false">IF(S3988="","",I3988&amp;"|"&amp;S3988)</f>
        <v/>
      </c>
    </row>
    <row r="3989" customFormat="false" ht="15" hidden="false" customHeight="false" outlineLevel="0" collapsed="false">
      <c r="A3989" s="24" t="n">
        <v>3985</v>
      </c>
      <c r="B3989" s="25" t="str">
        <f aca="false">IF(OR(C3989="",I3989="",G3989=""),"",IFERROR(VLOOKUP(I3989,Setup!$A$9:$B$11,2,0),"???")&amp;"-"&amp;G3989&amp;"-"&amp;TEXT(COUNTIFS(I$5:I3989,I3989,G$5:G3989,G3989),"0000"))</f>
        <v/>
      </c>
      <c r="C3989" s="26"/>
      <c r="D3989" s="26"/>
      <c r="E3989" s="27"/>
      <c r="F3989" s="27"/>
      <c r="G3989" s="24" t="str">
        <f aca="false">IF(F3989="","",IF(F3989&lt;=5,"A",IF(F3989&lt;=8,"B",IF(F3989&lt;=10,"C","D"))))</f>
        <v/>
      </c>
      <c r="H3989" s="28"/>
      <c r="I3989" s="27"/>
      <c r="J3989" s="26"/>
      <c r="K3989" s="27"/>
      <c r="L3989" s="27"/>
      <c r="M3989" s="27"/>
      <c r="N3989" s="27"/>
      <c r="O3989" s="24" t="str">
        <f aca="false">IF(G3989="","",VLOOKUP(G3989,Setup!$A$14:$C$17,3,0))</f>
        <v/>
      </c>
      <c r="P3989" s="27"/>
      <c r="Q3989" s="29" t="str">
        <f aca="false">IF(OR(P3989="",M3989&lt;&gt;"Paid",O3989=""),"",P3989/O3989)</f>
        <v/>
      </c>
      <c r="R3989" s="30" t="str">
        <f aca="false">IF(Q3989="","",Q3989+N(H3989)*0.000000001)</f>
        <v/>
      </c>
      <c r="S3989" s="25" t="str">
        <f aca="false">IF(R3989="","",SUMPRODUCT((I$5:I$4004=I3989)*ISNUMBER(R$5:R$4004)*(R$5:R$4004&gt;R3989))+1)</f>
        <v/>
      </c>
      <c r="T3989" s="25" t="str">
        <f aca="false">IF(S3989="","",IF(S3989&lt;=Setup!$B$5,"🏆 WINNER",""))</f>
        <v/>
      </c>
      <c r="U3989" s="24" t="str">
        <f aca="false">IF(S3989="","",I3989&amp;"|"&amp;S3989)</f>
        <v/>
      </c>
    </row>
    <row r="3990" customFormat="false" ht="15" hidden="false" customHeight="false" outlineLevel="0" collapsed="false">
      <c r="A3990" s="31" t="n">
        <v>3986</v>
      </c>
      <c r="B3990" s="32" t="str">
        <f aca="false">IF(OR(C3990="",I3990="",G3990=""),"",IFERROR(VLOOKUP(I3990,Setup!$A$9:$B$11,2,0),"???")&amp;"-"&amp;G3990&amp;"-"&amp;TEXT(COUNTIFS(I$5:I3990,I3990,G$5:G3990,G3990),"0000"))</f>
        <v/>
      </c>
      <c r="C3990" s="26"/>
      <c r="D3990" s="26"/>
      <c r="E3990" s="27"/>
      <c r="F3990" s="27"/>
      <c r="G3990" s="31" t="str">
        <f aca="false">IF(F3990="","",IF(F3990&lt;=5,"A",IF(F3990&lt;=8,"B",IF(F3990&lt;=10,"C","D"))))</f>
        <v/>
      </c>
      <c r="H3990" s="28"/>
      <c r="I3990" s="27"/>
      <c r="J3990" s="26"/>
      <c r="K3990" s="27"/>
      <c r="L3990" s="27"/>
      <c r="M3990" s="27"/>
      <c r="N3990" s="27"/>
      <c r="O3990" s="31" t="str">
        <f aca="false">IF(G3990="","",VLOOKUP(G3990,Setup!$A$14:$C$17,3,0))</f>
        <v/>
      </c>
      <c r="P3990" s="27"/>
      <c r="Q3990" s="33" t="str">
        <f aca="false">IF(OR(P3990="",M3990&lt;&gt;"Paid",O3990=""),"",P3990/O3990)</f>
        <v/>
      </c>
      <c r="R3990" s="34" t="str">
        <f aca="false">IF(Q3990="","",Q3990+N(H3990)*0.000000001)</f>
        <v/>
      </c>
      <c r="S3990" s="32" t="str">
        <f aca="false">IF(R3990="","",SUMPRODUCT((I$5:I$4004=I3990)*ISNUMBER(R$5:R$4004)*(R$5:R$4004&gt;R3990))+1)</f>
        <v/>
      </c>
      <c r="T3990" s="32" t="str">
        <f aca="false">IF(S3990="","",IF(S3990&lt;=Setup!$B$5,"🏆 WINNER",""))</f>
        <v/>
      </c>
      <c r="U3990" s="31" t="str">
        <f aca="false">IF(S3990="","",I3990&amp;"|"&amp;S3990)</f>
        <v/>
      </c>
    </row>
    <row r="3991" customFormat="false" ht="15" hidden="false" customHeight="false" outlineLevel="0" collapsed="false">
      <c r="A3991" s="24" t="n">
        <v>3987</v>
      </c>
      <c r="B3991" s="25" t="str">
        <f aca="false">IF(OR(C3991="",I3991="",G3991=""),"",IFERROR(VLOOKUP(I3991,Setup!$A$9:$B$11,2,0),"???")&amp;"-"&amp;G3991&amp;"-"&amp;TEXT(COUNTIFS(I$5:I3991,I3991,G$5:G3991,G3991),"0000"))</f>
        <v/>
      </c>
      <c r="C3991" s="26"/>
      <c r="D3991" s="26"/>
      <c r="E3991" s="27"/>
      <c r="F3991" s="27"/>
      <c r="G3991" s="24" t="str">
        <f aca="false">IF(F3991="","",IF(F3991&lt;=5,"A",IF(F3991&lt;=8,"B",IF(F3991&lt;=10,"C","D"))))</f>
        <v/>
      </c>
      <c r="H3991" s="28"/>
      <c r="I3991" s="27"/>
      <c r="J3991" s="26"/>
      <c r="K3991" s="27"/>
      <c r="L3991" s="27"/>
      <c r="M3991" s="27"/>
      <c r="N3991" s="27"/>
      <c r="O3991" s="24" t="str">
        <f aca="false">IF(G3991="","",VLOOKUP(G3991,Setup!$A$14:$C$17,3,0))</f>
        <v/>
      </c>
      <c r="P3991" s="27"/>
      <c r="Q3991" s="29" t="str">
        <f aca="false">IF(OR(P3991="",M3991&lt;&gt;"Paid",O3991=""),"",P3991/O3991)</f>
        <v/>
      </c>
      <c r="R3991" s="30" t="str">
        <f aca="false">IF(Q3991="","",Q3991+N(H3991)*0.000000001)</f>
        <v/>
      </c>
      <c r="S3991" s="25" t="str">
        <f aca="false">IF(R3991="","",SUMPRODUCT((I$5:I$4004=I3991)*ISNUMBER(R$5:R$4004)*(R$5:R$4004&gt;R3991))+1)</f>
        <v/>
      </c>
      <c r="T3991" s="25" t="str">
        <f aca="false">IF(S3991="","",IF(S3991&lt;=Setup!$B$5,"🏆 WINNER",""))</f>
        <v/>
      </c>
      <c r="U3991" s="24" t="str">
        <f aca="false">IF(S3991="","",I3991&amp;"|"&amp;S3991)</f>
        <v/>
      </c>
    </row>
    <row r="3992" customFormat="false" ht="15" hidden="false" customHeight="false" outlineLevel="0" collapsed="false">
      <c r="A3992" s="31" t="n">
        <v>3988</v>
      </c>
      <c r="B3992" s="32" t="str">
        <f aca="false">IF(OR(C3992="",I3992="",G3992=""),"",IFERROR(VLOOKUP(I3992,Setup!$A$9:$B$11,2,0),"???")&amp;"-"&amp;G3992&amp;"-"&amp;TEXT(COUNTIFS(I$5:I3992,I3992,G$5:G3992,G3992),"0000"))</f>
        <v/>
      </c>
      <c r="C3992" s="26"/>
      <c r="D3992" s="26"/>
      <c r="E3992" s="27"/>
      <c r="F3992" s="27"/>
      <c r="G3992" s="31" t="str">
        <f aca="false">IF(F3992="","",IF(F3992&lt;=5,"A",IF(F3992&lt;=8,"B",IF(F3992&lt;=10,"C","D"))))</f>
        <v/>
      </c>
      <c r="H3992" s="28"/>
      <c r="I3992" s="27"/>
      <c r="J3992" s="26"/>
      <c r="K3992" s="27"/>
      <c r="L3992" s="27"/>
      <c r="M3992" s="27"/>
      <c r="N3992" s="27"/>
      <c r="O3992" s="31" t="str">
        <f aca="false">IF(G3992="","",VLOOKUP(G3992,Setup!$A$14:$C$17,3,0))</f>
        <v/>
      </c>
      <c r="P3992" s="27"/>
      <c r="Q3992" s="33" t="str">
        <f aca="false">IF(OR(P3992="",M3992&lt;&gt;"Paid",O3992=""),"",P3992/O3992)</f>
        <v/>
      </c>
      <c r="R3992" s="34" t="str">
        <f aca="false">IF(Q3992="","",Q3992+N(H3992)*0.000000001)</f>
        <v/>
      </c>
      <c r="S3992" s="32" t="str">
        <f aca="false">IF(R3992="","",SUMPRODUCT((I$5:I$4004=I3992)*ISNUMBER(R$5:R$4004)*(R$5:R$4004&gt;R3992))+1)</f>
        <v/>
      </c>
      <c r="T3992" s="32" t="str">
        <f aca="false">IF(S3992="","",IF(S3992&lt;=Setup!$B$5,"🏆 WINNER",""))</f>
        <v/>
      </c>
      <c r="U3992" s="31" t="str">
        <f aca="false">IF(S3992="","",I3992&amp;"|"&amp;S3992)</f>
        <v/>
      </c>
    </row>
    <row r="3993" customFormat="false" ht="15" hidden="false" customHeight="false" outlineLevel="0" collapsed="false">
      <c r="A3993" s="24" t="n">
        <v>3989</v>
      </c>
      <c r="B3993" s="25" t="str">
        <f aca="false">IF(OR(C3993="",I3993="",G3993=""),"",IFERROR(VLOOKUP(I3993,Setup!$A$9:$B$11,2,0),"???")&amp;"-"&amp;G3993&amp;"-"&amp;TEXT(COUNTIFS(I$5:I3993,I3993,G$5:G3993,G3993),"0000"))</f>
        <v/>
      </c>
      <c r="C3993" s="26"/>
      <c r="D3993" s="26"/>
      <c r="E3993" s="27"/>
      <c r="F3993" s="27"/>
      <c r="G3993" s="24" t="str">
        <f aca="false">IF(F3993="","",IF(F3993&lt;=5,"A",IF(F3993&lt;=8,"B",IF(F3993&lt;=10,"C","D"))))</f>
        <v/>
      </c>
      <c r="H3993" s="28"/>
      <c r="I3993" s="27"/>
      <c r="J3993" s="26"/>
      <c r="K3993" s="27"/>
      <c r="L3993" s="27"/>
      <c r="M3993" s="27"/>
      <c r="N3993" s="27"/>
      <c r="O3993" s="24" t="str">
        <f aca="false">IF(G3993="","",VLOOKUP(G3993,Setup!$A$14:$C$17,3,0))</f>
        <v/>
      </c>
      <c r="P3993" s="27"/>
      <c r="Q3993" s="29" t="str">
        <f aca="false">IF(OR(P3993="",M3993&lt;&gt;"Paid",O3993=""),"",P3993/O3993)</f>
        <v/>
      </c>
      <c r="R3993" s="30" t="str">
        <f aca="false">IF(Q3993="","",Q3993+N(H3993)*0.000000001)</f>
        <v/>
      </c>
      <c r="S3993" s="25" t="str">
        <f aca="false">IF(R3993="","",SUMPRODUCT((I$5:I$4004=I3993)*ISNUMBER(R$5:R$4004)*(R$5:R$4004&gt;R3993))+1)</f>
        <v/>
      </c>
      <c r="T3993" s="25" t="str">
        <f aca="false">IF(S3993="","",IF(S3993&lt;=Setup!$B$5,"🏆 WINNER",""))</f>
        <v/>
      </c>
      <c r="U3993" s="24" t="str">
        <f aca="false">IF(S3993="","",I3993&amp;"|"&amp;S3993)</f>
        <v/>
      </c>
    </row>
    <row r="3994" customFormat="false" ht="15" hidden="false" customHeight="false" outlineLevel="0" collapsed="false">
      <c r="A3994" s="31" t="n">
        <v>3990</v>
      </c>
      <c r="B3994" s="32" t="str">
        <f aca="false">IF(OR(C3994="",I3994="",G3994=""),"",IFERROR(VLOOKUP(I3994,Setup!$A$9:$B$11,2,0),"???")&amp;"-"&amp;G3994&amp;"-"&amp;TEXT(COUNTIFS(I$5:I3994,I3994,G$5:G3994,G3994),"0000"))</f>
        <v/>
      </c>
      <c r="C3994" s="26"/>
      <c r="D3994" s="26"/>
      <c r="E3994" s="27"/>
      <c r="F3994" s="27"/>
      <c r="G3994" s="31" t="str">
        <f aca="false">IF(F3994="","",IF(F3994&lt;=5,"A",IF(F3994&lt;=8,"B",IF(F3994&lt;=10,"C","D"))))</f>
        <v/>
      </c>
      <c r="H3994" s="28"/>
      <c r="I3994" s="27"/>
      <c r="J3994" s="26"/>
      <c r="K3994" s="27"/>
      <c r="L3994" s="27"/>
      <c r="M3994" s="27"/>
      <c r="N3994" s="27"/>
      <c r="O3994" s="31" t="str">
        <f aca="false">IF(G3994="","",VLOOKUP(G3994,Setup!$A$14:$C$17,3,0))</f>
        <v/>
      </c>
      <c r="P3994" s="27"/>
      <c r="Q3994" s="33" t="str">
        <f aca="false">IF(OR(P3994="",M3994&lt;&gt;"Paid",O3994=""),"",P3994/O3994)</f>
        <v/>
      </c>
      <c r="R3994" s="34" t="str">
        <f aca="false">IF(Q3994="","",Q3994+N(H3994)*0.000000001)</f>
        <v/>
      </c>
      <c r="S3994" s="32" t="str">
        <f aca="false">IF(R3994="","",SUMPRODUCT((I$5:I$4004=I3994)*ISNUMBER(R$5:R$4004)*(R$5:R$4004&gt;R3994))+1)</f>
        <v/>
      </c>
      <c r="T3994" s="32" t="str">
        <f aca="false">IF(S3994="","",IF(S3994&lt;=Setup!$B$5,"🏆 WINNER",""))</f>
        <v/>
      </c>
      <c r="U3994" s="31" t="str">
        <f aca="false">IF(S3994="","",I3994&amp;"|"&amp;S3994)</f>
        <v/>
      </c>
    </row>
    <row r="3995" customFormat="false" ht="15" hidden="false" customHeight="false" outlineLevel="0" collapsed="false">
      <c r="A3995" s="24" t="n">
        <v>3991</v>
      </c>
      <c r="B3995" s="25" t="str">
        <f aca="false">IF(OR(C3995="",I3995="",G3995=""),"",IFERROR(VLOOKUP(I3995,Setup!$A$9:$B$11,2,0),"???")&amp;"-"&amp;G3995&amp;"-"&amp;TEXT(COUNTIFS(I$5:I3995,I3995,G$5:G3995,G3995),"0000"))</f>
        <v/>
      </c>
      <c r="C3995" s="26"/>
      <c r="D3995" s="26"/>
      <c r="E3995" s="27"/>
      <c r="F3995" s="27"/>
      <c r="G3995" s="24" t="str">
        <f aca="false">IF(F3995="","",IF(F3995&lt;=5,"A",IF(F3995&lt;=8,"B",IF(F3995&lt;=10,"C","D"))))</f>
        <v/>
      </c>
      <c r="H3995" s="28"/>
      <c r="I3995" s="27"/>
      <c r="J3995" s="26"/>
      <c r="K3995" s="27"/>
      <c r="L3995" s="27"/>
      <c r="M3995" s="27"/>
      <c r="N3995" s="27"/>
      <c r="O3995" s="24" t="str">
        <f aca="false">IF(G3995="","",VLOOKUP(G3995,Setup!$A$14:$C$17,3,0))</f>
        <v/>
      </c>
      <c r="P3995" s="27"/>
      <c r="Q3995" s="29" t="str">
        <f aca="false">IF(OR(P3995="",M3995&lt;&gt;"Paid",O3995=""),"",P3995/O3995)</f>
        <v/>
      </c>
      <c r="R3995" s="30" t="str">
        <f aca="false">IF(Q3995="","",Q3995+N(H3995)*0.000000001)</f>
        <v/>
      </c>
      <c r="S3995" s="25" t="str">
        <f aca="false">IF(R3995="","",SUMPRODUCT((I$5:I$4004=I3995)*ISNUMBER(R$5:R$4004)*(R$5:R$4004&gt;R3995))+1)</f>
        <v/>
      </c>
      <c r="T3995" s="25" t="str">
        <f aca="false">IF(S3995="","",IF(S3995&lt;=Setup!$B$5,"🏆 WINNER",""))</f>
        <v/>
      </c>
      <c r="U3995" s="24" t="str">
        <f aca="false">IF(S3995="","",I3995&amp;"|"&amp;S3995)</f>
        <v/>
      </c>
    </row>
    <row r="3996" customFormat="false" ht="15" hidden="false" customHeight="false" outlineLevel="0" collapsed="false">
      <c r="A3996" s="31" t="n">
        <v>3992</v>
      </c>
      <c r="B3996" s="32" t="str">
        <f aca="false">IF(OR(C3996="",I3996="",G3996=""),"",IFERROR(VLOOKUP(I3996,Setup!$A$9:$B$11,2,0),"???")&amp;"-"&amp;G3996&amp;"-"&amp;TEXT(COUNTIFS(I$5:I3996,I3996,G$5:G3996,G3996),"0000"))</f>
        <v/>
      </c>
      <c r="C3996" s="26"/>
      <c r="D3996" s="26"/>
      <c r="E3996" s="27"/>
      <c r="F3996" s="27"/>
      <c r="G3996" s="31" t="str">
        <f aca="false">IF(F3996="","",IF(F3996&lt;=5,"A",IF(F3996&lt;=8,"B",IF(F3996&lt;=10,"C","D"))))</f>
        <v/>
      </c>
      <c r="H3996" s="28"/>
      <c r="I3996" s="27"/>
      <c r="J3996" s="26"/>
      <c r="K3996" s="27"/>
      <c r="L3996" s="27"/>
      <c r="M3996" s="27"/>
      <c r="N3996" s="27"/>
      <c r="O3996" s="31" t="str">
        <f aca="false">IF(G3996="","",VLOOKUP(G3996,Setup!$A$14:$C$17,3,0))</f>
        <v/>
      </c>
      <c r="P3996" s="27"/>
      <c r="Q3996" s="33" t="str">
        <f aca="false">IF(OR(P3996="",M3996&lt;&gt;"Paid",O3996=""),"",P3996/O3996)</f>
        <v/>
      </c>
      <c r="R3996" s="34" t="str">
        <f aca="false">IF(Q3996="","",Q3996+N(H3996)*0.000000001)</f>
        <v/>
      </c>
      <c r="S3996" s="32" t="str">
        <f aca="false">IF(R3996="","",SUMPRODUCT((I$5:I$4004=I3996)*ISNUMBER(R$5:R$4004)*(R$5:R$4004&gt;R3996))+1)</f>
        <v/>
      </c>
      <c r="T3996" s="32" t="str">
        <f aca="false">IF(S3996="","",IF(S3996&lt;=Setup!$B$5,"🏆 WINNER",""))</f>
        <v/>
      </c>
      <c r="U3996" s="31" t="str">
        <f aca="false">IF(S3996="","",I3996&amp;"|"&amp;S3996)</f>
        <v/>
      </c>
    </row>
    <row r="3997" customFormat="false" ht="15" hidden="false" customHeight="false" outlineLevel="0" collapsed="false">
      <c r="A3997" s="24" t="n">
        <v>3993</v>
      </c>
      <c r="B3997" s="25" t="str">
        <f aca="false">IF(OR(C3997="",I3997="",G3997=""),"",IFERROR(VLOOKUP(I3997,Setup!$A$9:$B$11,2,0),"???")&amp;"-"&amp;G3997&amp;"-"&amp;TEXT(COUNTIFS(I$5:I3997,I3997,G$5:G3997,G3997),"0000"))</f>
        <v/>
      </c>
      <c r="C3997" s="26"/>
      <c r="D3997" s="26"/>
      <c r="E3997" s="27"/>
      <c r="F3997" s="27"/>
      <c r="G3997" s="24" t="str">
        <f aca="false">IF(F3997="","",IF(F3997&lt;=5,"A",IF(F3997&lt;=8,"B",IF(F3997&lt;=10,"C","D"))))</f>
        <v/>
      </c>
      <c r="H3997" s="28"/>
      <c r="I3997" s="27"/>
      <c r="J3997" s="26"/>
      <c r="K3997" s="27"/>
      <c r="L3997" s="27"/>
      <c r="M3997" s="27"/>
      <c r="N3997" s="27"/>
      <c r="O3997" s="24" t="str">
        <f aca="false">IF(G3997="","",VLOOKUP(G3997,Setup!$A$14:$C$17,3,0))</f>
        <v/>
      </c>
      <c r="P3997" s="27"/>
      <c r="Q3997" s="29" t="str">
        <f aca="false">IF(OR(P3997="",M3997&lt;&gt;"Paid",O3997=""),"",P3997/O3997)</f>
        <v/>
      </c>
      <c r="R3997" s="30" t="str">
        <f aca="false">IF(Q3997="","",Q3997+N(H3997)*0.000000001)</f>
        <v/>
      </c>
      <c r="S3997" s="25" t="str">
        <f aca="false">IF(R3997="","",SUMPRODUCT((I$5:I$4004=I3997)*ISNUMBER(R$5:R$4004)*(R$5:R$4004&gt;R3997))+1)</f>
        <v/>
      </c>
      <c r="T3997" s="25" t="str">
        <f aca="false">IF(S3997="","",IF(S3997&lt;=Setup!$B$5,"🏆 WINNER",""))</f>
        <v/>
      </c>
      <c r="U3997" s="24" t="str">
        <f aca="false">IF(S3997="","",I3997&amp;"|"&amp;S3997)</f>
        <v/>
      </c>
    </row>
    <row r="3998" customFormat="false" ht="15" hidden="false" customHeight="false" outlineLevel="0" collapsed="false">
      <c r="A3998" s="31" t="n">
        <v>3994</v>
      </c>
      <c r="B3998" s="32" t="str">
        <f aca="false">IF(OR(C3998="",I3998="",G3998=""),"",IFERROR(VLOOKUP(I3998,Setup!$A$9:$B$11,2,0),"???")&amp;"-"&amp;G3998&amp;"-"&amp;TEXT(COUNTIFS(I$5:I3998,I3998,G$5:G3998,G3998),"0000"))</f>
        <v/>
      </c>
      <c r="C3998" s="26"/>
      <c r="D3998" s="26"/>
      <c r="E3998" s="27"/>
      <c r="F3998" s="27"/>
      <c r="G3998" s="31" t="str">
        <f aca="false">IF(F3998="","",IF(F3998&lt;=5,"A",IF(F3998&lt;=8,"B",IF(F3998&lt;=10,"C","D"))))</f>
        <v/>
      </c>
      <c r="H3998" s="28"/>
      <c r="I3998" s="27"/>
      <c r="J3998" s="26"/>
      <c r="K3998" s="27"/>
      <c r="L3998" s="27"/>
      <c r="M3998" s="27"/>
      <c r="N3998" s="27"/>
      <c r="O3998" s="31" t="str">
        <f aca="false">IF(G3998="","",VLOOKUP(G3998,Setup!$A$14:$C$17,3,0))</f>
        <v/>
      </c>
      <c r="P3998" s="27"/>
      <c r="Q3998" s="33" t="str">
        <f aca="false">IF(OR(P3998="",M3998&lt;&gt;"Paid",O3998=""),"",P3998/O3998)</f>
        <v/>
      </c>
      <c r="R3998" s="34" t="str">
        <f aca="false">IF(Q3998="","",Q3998+N(H3998)*0.000000001)</f>
        <v/>
      </c>
      <c r="S3998" s="32" t="str">
        <f aca="false">IF(R3998="","",SUMPRODUCT((I$5:I$4004=I3998)*ISNUMBER(R$5:R$4004)*(R$5:R$4004&gt;R3998))+1)</f>
        <v/>
      </c>
      <c r="T3998" s="32" t="str">
        <f aca="false">IF(S3998="","",IF(S3998&lt;=Setup!$B$5,"🏆 WINNER",""))</f>
        <v/>
      </c>
      <c r="U3998" s="31" t="str">
        <f aca="false">IF(S3998="","",I3998&amp;"|"&amp;S3998)</f>
        <v/>
      </c>
    </row>
    <row r="3999" customFormat="false" ht="15" hidden="false" customHeight="false" outlineLevel="0" collapsed="false">
      <c r="A3999" s="24" t="n">
        <v>3995</v>
      </c>
      <c r="B3999" s="25" t="str">
        <f aca="false">IF(OR(C3999="",I3999="",G3999=""),"",IFERROR(VLOOKUP(I3999,Setup!$A$9:$B$11,2,0),"???")&amp;"-"&amp;G3999&amp;"-"&amp;TEXT(COUNTIFS(I$5:I3999,I3999,G$5:G3999,G3999),"0000"))</f>
        <v/>
      </c>
      <c r="C3999" s="26"/>
      <c r="D3999" s="26"/>
      <c r="E3999" s="27"/>
      <c r="F3999" s="27"/>
      <c r="G3999" s="24" t="str">
        <f aca="false">IF(F3999="","",IF(F3999&lt;=5,"A",IF(F3999&lt;=8,"B",IF(F3999&lt;=10,"C","D"))))</f>
        <v/>
      </c>
      <c r="H3999" s="28"/>
      <c r="I3999" s="27"/>
      <c r="J3999" s="26"/>
      <c r="K3999" s="27"/>
      <c r="L3999" s="27"/>
      <c r="M3999" s="27"/>
      <c r="N3999" s="27"/>
      <c r="O3999" s="24" t="str">
        <f aca="false">IF(G3999="","",VLOOKUP(G3999,Setup!$A$14:$C$17,3,0))</f>
        <v/>
      </c>
      <c r="P3999" s="27"/>
      <c r="Q3999" s="29" t="str">
        <f aca="false">IF(OR(P3999="",M3999&lt;&gt;"Paid",O3999=""),"",P3999/O3999)</f>
        <v/>
      </c>
      <c r="R3999" s="30" t="str">
        <f aca="false">IF(Q3999="","",Q3999+N(H3999)*0.000000001)</f>
        <v/>
      </c>
      <c r="S3999" s="25" t="str">
        <f aca="false">IF(R3999="","",SUMPRODUCT((I$5:I$4004=I3999)*ISNUMBER(R$5:R$4004)*(R$5:R$4004&gt;R3999))+1)</f>
        <v/>
      </c>
      <c r="T3999" s="25" t="str">
        <f aca="false">IF(S3999="","",IF(S3999&lt;=Setup!$B$5,"🏆 WINNER",""))</f>
        <v/>
      </c>
      <c r="U3999" s="24" t="str">
        <f aca="false">IF(S3999="","",I3999&amp;"|"&amp;S3999)</f>
        <v/>
      </c>
    </row>
    <row r="4000" customFormat="false" ht="15" hidden="false" customHeight="false" outlineLevel="0" collapsed="false">
      <c r="A4000" s="31" t="n">
        <v>3996</v>
      </c>
      <c r="B4000" s="32" t="str">
        <f aca="false">IF(OR(C4000="",I4000="",G4000=""),"",IFERROR(VLOOKUP(I4000,Setup!$A$9:$B$11,2,0),"???")&amp;"-"&amp;G4000&amp;"-"&amp;TEXT(COUNTIFS(I$5:I4000,I4000,G$5:G4000,G4000),"0000"))</f>
        <v/>
      </c>
      <c r="C4000" s="26"/>
      <c r="D4000" s="26"/>
      <c r="E4000" s="27"/>
      <c r="F4000" s="27"/>
      <c r="G4000" s="31" t="str">
        <f aca="false">IF(F4000="","",IF(F4000&lt;=5,"A",IF(F4000&lt;=8,"B",IF(F4000&lt;=10,"C","D"))))</f>
        <v/>
      </c>
      <c r="H4000" s="28"/>
      <c r="I4000" s="27"/>
      <c r="J4000" s="26"/>
      <c r="K4000" s="27"/>
      <c r="L4000" s="27"/>
      <c r="M4000" s="27"/>
      <c r="N4000" s="27"/>
      <c r="O4000" s="31" t="str">
        <f aca="false">IF(G4000="","",VLOOKUP(G4000,Setup!$A$14:$C$17,3,0))</f>
        <v/>
      </c>
      <c r="P4000" s="27"/>
      <c r="Q4000" s="33" t="str">
        <f aca="false">IF(OR(P4000="",M4000&lt;&gt;"Paid",O4000=""),"",P4000/O4000)</f>
        <v/>
      </c>
      <c r="R4000" s="34" t="str">
        <f aca="false">IF(Q4000="","",Q4000+N(H4000)*0.000000001)</f>
        <v/>
      </c>
      <c r="S4000" s="32" t="str">
        <f aca="false">IF(R4000="","",SUMPRODUCT((I$5:I$4004=I4000)*ISNUMBER(R$5:R$4004)*(R$5:R$4004&gt;R4000))+1)</f>
        <v/>
      </c>
      <c r="T4000" s="32" t="str">
        <f aca="false">IF(S4000="","",IF(S4000&lt;=Setup!$B$5,"🏆 WINNER",""))</f>
        <v/>
      </c>
      <c r="U4000" s="31" t="str">
        <f aca="false">IF(S4000="","",I4000&amp;"|"&amp;S4000)</f>
        <v/>
      </c>
    </row>
    <row r="4001" customFormat="false" ht="15" hidden="false" customHeight="false" outlineLevel="0" collapsed="false">
      <c r="A4001" s="24" t="n">
        <v>3997</v>
      </c>
      <c r="B4001" s="25" t="str">
        <f aca="false">IF(OR(C4001="",I4001="",G4001=""),"",IFERROR(VLOOKUP(I4001,Setup!$A$9:$B$11,2,0),"???")&amp;"-"&amp;G4001&amp;"-"&amp;TEXT(COUNTIFS(I$5:I4001,I4001,G$5:G4001,G4001),"0000"))</f>
        <v/>
      </c>
      <c r="C4001" s="26"/>
      <c r="D4001" s="26"/>
      <c r="E4001" s="27"/>
      <c r="F4001" s="27"/>
      <c r="G4001" s="24" t="str">
        <f aca="false">IF(F4001="","",IF(F4001&lt;=5,"A",IF(F4001&lt;=8,"B",IF(F4001&lt;=10,"C","D"))))</f>
        <v/>
      </c>
      <c r="H4001" s="28"/>
      <c r="I4001" s="27"/>
      <c r="J4001" s="26"/>
      <c r="K4001" s="27"/>
      <c r="L4001" s="27"/>
      <c r="M4001" s="27"/>
      <c r="N4001" s="27"/>
      <c r="O4001" s="24" t="str">
        <f aca="false">IF(G4001="","",VLOOKUP(G4001,Setup!$A$14:$C$17,3,0))</f>
        <v/>
      </c>
      <c r="P4001" s="27"/>
      <c r="Q4001" s="29" t="str">
        <f aca="false">IF(OR(P4001="",M4001&lt;&gt;"Paid",O4001=""),"",P4001/O4001)</f>
        <v/>
      </c>
      <c r="R4001" s="30" t="str">
        <f aca="false">IF(Q4001="","",Q4001+N(H4001)*0.000000001)</f>
        <v/>
      </c>
      <c r="S4001" s="25" t="str">
        <f aca="false">IF(R4001="","",SUMPRODUCT((I$5:I$4004=I4001)*ISNUMBER(R$5:R$4004)*(R$5:R$4004&gt;R4001))+1)</f>
        <v/>
      </c>
      <c r="T4001" s="25" t="str">
        <f aca="false">IF(S4001="","",IF(S4001&lt;=Setup!$B$5,"🏆 WINNER",""))</f>
        <v/>
      </c>
      <c r="U4001" s="24" t="str">
        <f aca="false">IF(S4001="","",I4001&amp;"|"&amp;S4001)</f>
        <v/>
      </c>
    </row>
    <row r="4002" customFormat="false" ht="15" hidden="false" customHeight="false" outlineLevel="0" collapsed="false">
      <c r="A4002" s="31" t="n">
        <v>3998</v>
      </c>
      <c r="B4002" s="32" t="str">
        <f aca="false">IF(OR(C4002="",I4002="",G4002=""),"",IFERROR(VLOOKUP(I4002,Setup!$A$9:$B$11,2,0),"???")&amp;"-"&amp;G4002&amp;"-"&amp;TEXT(COUNTIFS(I$5:I4002,I4002,G$5:G4002,G4002),"0000"))</f>
        <v/>
      </c>
      <c r="C4002" s="26"/>
      <c r="D4002" s="26"/>
      <c r="E4002" s="27"/>
      <c r="F4002" s="27"/>
      <c r="G4002" s="31" t="str">
        <f aca="false">IF(F4002="","",IF(F4002&lt;=5,"A",IF(F4002&lt;=8,"B",IF(F4002&lt;=10,"C","D"))))</f>
        <v/>
      </c>
      <c r="H4002" s="28"/>
      <c r="I4002" s="27"/>
      <c r="J4002" s="26"/>
      <c r="K4002" s="27"/>
      <c r="L4002" s="27"/>
      <c r="M4002" s="27"/>
      <c r="N4002" s="27"/>
      <c r="O4002" s="31" t="str">
        <f aca="false">IF(G4002="","",VLOOKUP(G4002,Setup!$A$14:$C$17,3,0))</f>
        <v/>
      </c>
      <c r="P4002" s="27"/>
      <c r="Q4002" s="33" t="str">
        <f aca="false">IF(OR(P4002="",M4002&lt;&gt;"Paid",O4002=""),"",P4002/O4002)</f>
        <v/>
      </c>
      <c r="R4002" s="34" t="str">
        <f aca="false">IF(Q4002="","",Q4002+N(H4002)*0.000000001)</f>
        <v/>
      </c>
      <c r="S4002" s="32" t="str">
        <f aca="false">IF(R4002="","",SUMPRODUCT((I$5:I$4004=I4002)*ISNUMBER(R$5:R$4004)*(R$5:R$4004&gt;R4002))+1)</f>
        <v/>
      </c>
      <c r="T4002" s="32" t="str">
        <f aca="false">IF(S4002="","",IF(S4002&lt;=Setup!$B$5,"🏆 WINNER",""))</f>
        <v/>
      </c>
      <c r="U4002" s="31" t="str">
        <f aca="false">IF(S4002="","",I4002&amp;"|"&amp;S4002)</f>
        <v/>
      </c>
    </row>
    <row r="4003" customFormat="false" ht="15" hidden="false" customHeight="false" outlineLevel="0" collapsed="false">
      <c r="A4003" s="24" t="n">
        <v>3999</v>
      </c>
      <c r="B4003" s="25" t="str">
        <f aca="false">IF(OR(C4003="",I4003="",G4003=""),"",IFERROR(VLOOKUP(I4003,Setup!$A$9:$B$11,2,0),"???")&amp;"-"&amp;G4003&amp;"-"&amp;TEXT(COUNTIFS(I$5:I4003,I4003,G$5:G4003,G4003),"0000"))</f>
        <v/>
      </c>
      <c r="C4003" s="26"/>
      <c r="D4003" s="26"/>
      <c r="E4003" s="27"/>
      <c r="F4003" s="27"/>
      <c r="G4003" s="24" t="str">
        <f aca="false">IF(F4003="","",IF(F4003&lt;=5,"A",IF(F4003&lt;=8,"B",IF(F4003&lt;=10,"C","D"))))</f>
        <v/>
      </c>
      <c r="H4003" s="28"/>
      <c r="I4003" s="27"/>
      <c r="J4003" s="26"/>
      <c r="K4003" s="27"/>
      <c r="L4003" s="27"/>
      <c r="M4003" s="27"/>
      <c r="N4003" s="27"/>
      <c r="O4003" s="24" t="str">
        <f aca="false">IF(G4003="","",VLOOKUP(G4003,Setup!$A$14:$C$17,3,0))</f>
        <v/>
      </c>
      <c r="P4003" s="27"/>
      <c r="Q4003" s="29" t="str">
        <f aca="false">IF(OR(P4003="",M4003&lt;&gt;"Paid",O4003=""),"",P4003/O4003)</f>
        <v/>
      </c>
      <c r="R4003" s="30" t="str">
        <f aca="false">IF(Q4003="","",Q4003+N(H4003)*0.000000001)</f>
        <v/>
      </c>
      <c r="S4003" s="25" t="str">
        <f aca="false">IF(R4003="","",SUMPRODUCT((I$5:I$4004=I4003)*ISNUMBER(R$5:R$4004)*(R$5:R$4004&gt;R4003))+1)</f>
        <v/>
      </c>
      <c r="T4003" s="25" t="str">
        <f aca="false">IF(S4003="","",IF(S4003&lt;=Setup!$B$5,"🏆 WINNER",""))</f>
        <v/>
      </c>
      <c r="U4003" s="24" t="str">
        <f aca="false">IF(S4003="","",I4003&amp;"|"&amp;S4003)</f>
        <v/>
      </c>
    </row>
    <row r="4004" customFormat="false" ht="15" hidden="false" customHeight="false" outlineLevel="0" collapsed="false">
      <c r="A4004" s="31" t="n">
        <v>4000</v>
      </c>
      <c r="B4004" s="32" t="str">
        <f aca="false">IF(OR(C4004="",I4004="",G4004=""),"",IFERROR(VLOOKUP(I4004,Setup!$A$9:$B$11,2,0),"???")&amp;"-"&amp;G4004&amp;"-"&amp;TEXT(COUNTIFS(I$5:I4004,I4004,G$5:G4004,G4004),"0000"))</f>
        <v/>
      </c>
      <c r="C4004" s="26"/>
      <c r="D4004" s="26"/>
      <c r="E4004" s="27"/>
      <c r="F4004" s="27"/>
      <c r="G4004" s="31" t="str">
        <f aca="false">IF(F4004="","",IF(F4004&lt;=5,"A",IF(F4004&lt;=8,"B",IF(F4004&lt;=10,"C","D"))))</f>
        <v/>
      </c>
      <c r="H4004" s="28"/>
      <c r="I4004" s="27"/>
      <c r="J4004" s="26"/>
      <c r="K4004" s="27"/>
      <c r="L4004" s="27"/>
      <c r="M4004" s="27"/>
      <c r="N4004" s="27"/>
      <c r="O4004" s="31" t="str">
        <f aca="false">IF(G4004="","",VLOOKUP(G4004,Setup!$A$14:$C$17,3,0))</f>
        <v/>
      </c>
      <c r="P4004" s="27"/>
      <c r="Q4004" s="33" t="str">
        <f aca="false">IF(OR(P4004="",M4004&lt;&gt;"Paid",O4004=""),"",P4004/O4004)</f>
        <v/>
      </c>
      <c r="R4004" s="34" t="str">
        <f aca="false">IF(Q4004="","",Q4004+N(H4004)*0.000000001)</f>
        <v/>
      </c>
      <c r="S4004" s="32" t="str">
        <f aca="false">IF(R4004="","",SUMPRODUCT((I$5:I$4004=I4004)*ISNUMBER(R$5:R$4004)*(R$5:R$4004&gt;R4004))+1)</f>
        <v/>
      </c>
      <c r="T4004" s="32" t="str">
        <f aca="false">IF(S4004="","",IF(S4004&lt;=Setup!$B$5,"🏆 WINNER",""))</f>
        <v/>
      </c>
      <c r="U4004" s="31" t="str">
        <f aca="false">IF(S4004="","",I4004&amp;"|"&amp;S4004)</f>
        <v/>
      </c>
    </row>
  </sheetData>
  <mergeCells count="2">
    <mergeCell ref="A1:S1"/>
    <mergeCell ref="A2:S2"/>
  </mergeCells>
  <conditionalFormatting sqref="M5:M4004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1">
      <formula>"Unpaid"</formula>
    </cfRule>
  </conditionalFormatting>
  <conditionalFormatting sqref="A5:T4004">
    <cfRule type="expression" priority="4" aboveAverage="0" equalAverage="0" bottom="0" percent="0" rank="0" text="" dxfId="2">
      <formula>$T5="🏆 WINNER"</formula>
    </cfRule>
  </conditionalFormatting>
  <conditionalFormatting sqref="G5:G4004">
    <cfRule type="cellIs" priority="5" operator="equal" aboveAverage="0" equalAverage="0" bottom="0" percent="0" rank="0" text="" dxfId="3">
      <formula>"A"</formula>
    </cfRule>
    <cfRule type="cellIs" priority="6" operator="equal" aboveAverage="0" equalAverage="0" bottom="0" percent="0" rank="0" text="" dxfId="4">
      <formula>"B"</formula>
    </cfRule>
    <cfRule type="cellIs" priority="7" operator="equal" aboveAverage="0" equalAverage="0" bottom="0" percent="0" rank="0" text="" dxfId="5">
      <formula>"C"</formula>
    </cfRule>
    <cfRule type="cellIs" priority="8" operator="equal" aboveAverage="0" equalAverage="0" bottom="0" percent="0" rank="0" text="" dxfId="6">
      <formula>"D"</formula>
    </cfRule>
  </conditionalFormatting>
  <dataValidations count="5">
    <dataValidation allowBlank="true" errorStyle="stop" operator="between" showDropDown="false" showErrorMessage="false" showInputMessage="false" sqref="E5:E4004" type="list">
      <formula1>"Male,Female"</formula1>
      <formula2>0</formula2>
    </dataValidation>
    <dataValidation allowBlank="true" errorStyle="stop" operator="between" showDropDown="false" showErrorMessage="false" showInputMessage="false" sqref="F5:F4004" type="list">
      <formula1>"4,5,6,7,8,9,10,11,12"</formula1>
      <formula2>0</formula2>
    </dataValidation>
    <dataValidation allowBlank="true" errorStyle="stop" operator="between" showDropDown="false" showErrorMessage="false" showInputMessage="false" sqref="I5:I4004" type="list">
      <formula1>Setup!$A$9:$A$11</formula1>
      <formula2>0</formula2>
    </dataValidation>
    <dataValidation allowBlank="true" errorStyle="stop" operator="between" showDropDown="false" showErrorMessage="false" showInputMessage="false" sqref="M5:M4004" type="list">
      <formula1>"Paid,Unpaid"</formula1>
      <formula2>0</formula2>
    </dataValidation>
    <dataValidation allowBlank="true" error="Marks cannot be more than the total marks." errorStyle="stop" operator="between" showDropDown="false" showErrorMessage="false" showInputMessage="false" sqref="P5:P4004" type="decimal">
      <formula1>0</formula1>
      <formula2>O5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5" t="str">
        <f aca="false">"📍 District "&amp;Setup!$A$9</f>
        <v>📍 District Dadu</v>
      </c>
      <c r="B4" s="35"/>
      <c r="C4" s="35"/>
      <c r="D4" s="35"/>
      <c r="E4" s="35"/>
      <c r="F4" s="35"/>
      <c r="G4" s="35"/>
      <c r="H4" s="35"/>
    </row>
    <row r="5" customFormat="false" ht="15" hidden="false" customHeight="false" outlineLevel="0" collapsed="false">
      <c r="A5" s="36" t="s">
        <v>74</v>
      </c>
      <c r="B5" s="36" t="s">
        <v>47</v>
      </c>
      <c r="C5" s="36" t="s">
        <v>48</v>
      </c>
      <c r="D5" s="36" t="s">
        <v>49</v>
      </c>
      <c r="E5" s="36" t="s">
        <v>51</v>
      </c>
      <c r="F5" s="36" t="s">
        <v>14</v>
      </c>
      <c r="G5" s="36" t="s">
        <v>53</v>
      </c>
      <c r="H5" s="36" t="s">
        <v>59</v>
      </c>
    </row>
    <row r="6" customFormat="false" ht="15" hidden="false" customHeight="false" outlineLevel="0" collapsed="false">
      <c r="A6" s="37" t="n">
        <v>1</v>
      </c>
      <c r="B6" s="18" t="str">
        <f aca="false">IFERROR(INDEX(Registrations!$B$5:$B$4004,MATCH(Setup!$A$9&amp;"|1",Registrations!$U$5:$U$4004,0))&amp;"","")</f>
        <v/>
      </c>
      <c r="C6" s="17" t="str">
        <f aca="false">IFERROR(INDEX(Registrations!$C$5:$C$4004,MATCH(Setup!$A$9&amp;"|1",Registrations!$U$5:$U$4004,0))&amp;"","")</f>
        <v/>
      </c>
      <c r="D6" s="38" t="str">
        <f aca="false">IFERROR(INDEX(Registrations!$D$5:$D$4004,MATCH(Setup!$A$9&amp;"|1",Registrations!$U$5:$U$4004,0))&amp;"","")</f>
        <v/>
      </c>
      <c r="E6" s="10" t="str">
        <f aca="false">IFERROR(INDEX(Registrations!$F$5:$F$4004,MATCH(Setup!$A$9&amp;"|1",Registrations!$U$5:$U$4004,0)),"")</f>
        <v/>
      </c>
      <c r="F6" s="10" t="str">
        <f aca="false">IFERROR(INDEX(Registrations!$G$5:$G$4004,MATCH(Setup!$A$9&amp;"|1",Registrations!$U$5:$U$4004,0))&amp;"","")</f>
        <v/>
      </c>
      <c r="G6" s="38" t="str">
        <f aca="false">IFERROR(INDEX(Registrations!$J$5:$J$4004,MATCH(Setup!$A$9&amp;"|1",Registrations!$U$5:$U$4004,0))&amp;"","")</f>
        <v/>
      </c>
      <c r="H6" s="39" t="str">
        <f aca="false">IFERROR(INDEX(Registrations!$Q$5:$Q$4004,MATCH(Setup!$A$9&amp;"|1",Registrations!$U$5:$U$4004,0)),"")</f>
        <v/>
      </c>
    </row>
    <row r="7" customFormat="false" ht="15" hidden="false" customHeight="false" outlineLevel="0" collapsed="false">
      <c r="A7" s="37" t="n">
        <v>2</v>
      </c>
      <c r="B7" s="18" t="str">
        <f aca="false">IFERROR(INDEX(Registrations!$B$5:$B$4004,MATCH(Setup!$A$9&amp;"|2",Registrations!$U$5:$U$4004,0))&amp;"","")</f>
        <v/>
      </c>
      <c r="C7" s="17" t="str">
        <f aca="false">IFERROR(INDEX(Registrations!$C$5:$C$4004,MATCH(Setup!$A$9&amp;"|2",Registrations!$U$5:$U$4004,0))&amp;"","")</f>
        <v/>
      </c>
      <c r="D7" s="38" t="str">
        <f aca="false">IFERROR(INDEX(Registrations!$D$5:$D$4004,MATCH(Setup!$A$9&amp;"|2",Registrations!$U$5:$U$4004,0))&amp;"","")</f>
        <v/>
      </c>
      <c r="E7" s="10" t="str">
        <f aca="false">IFERROR(INDEX(Registrations!$F$5:$F$4004,MATCH(Setup!$A$9&amp;"|2",Registrations!$U$5:$U$4004,0)),"")</f>
        <v/>
      </c>
      <c r="F7" s="10" t="str">
        <f aca="false">IFERROR(INDEX(Registrations!$G$5:$G$4004,MATCH(Setup!$A$9&amp;"|2",Registrations!$U$5:$U$4004,0))&amp;"","")</f>
        <v/>
      </c>
      <c r="G7" s="38" t="str">
        <f aca="false">IFERROR(INDEX(Registrations!$J$5:$J$4004,MATCH(Setup!$A$9&amp;"|2",Registrations!$U$5:$U$4004,0))&amp;"","")</f>
        <v/>
      </c>
      <c r="H7" s="39" t="str">
        <f aca="false">IFERROR(INDEX(Registrations!$Q$5:$Q$4004,MATCH(Setup!$A$9&amp;"|2",Registrations!$U$5:$U$4004,0)),"")</f>
        <v/>
      </c>
    </row>
    <row r="8" customFormat="false" ht="15" hidden="false" customHeight="false" outlineLevel="0" collapsed="false">
      <c r="A8" s="37" t="n">
        <v>3</v>
      </c>
      <c r="B8" s="18" t="str">
        <f aca="false">IFERROR(INDEX(Registrations!$B$5:$B$4004,MATCH(Setup!$A$9&amp;"|3",Registrations!$U$5:$U$4004,0))&amp;"","")</f>
        <v/>
      </c>
      <c r="C8" s="17" t="str">
        <f aca="false">IFERROR(INDEX(Registrations!$C$5:$C$4004,MATCH(Setup!$A$9&amp;"|3",Registrations!$U$5:$U$4004,0))&amp;"","")</f>
        <v/>
      </c>
      <c r="D8" s="38" t="str">
        <f aca="false">IFERROR(INDEX(Registrations!$D$5:$D$4004,MATCH(Setup!$A$9&amp;"|3",Registrations!$U$5:$U$4004,0))&amp;"","")</f>
        <v/>
      </c>
      <c r="E8" s="10" t="str">
        <f aca="false">IFERROR(INDEX(Registrations!$F$5:$F$4004,MATCH(Setup!$A$9&amp;"|3",Registrations!$U$5:$U$4004,0)),"")</f>
        <v/>
      </c>
      <c r="F8" s="10" t="str">
        <f aca="false">IFERROR(INDEX(Registrations!$G$5:$G$4004,MATCH(Setup!$A$9&amp;"|3",Registrations!$U$5:$U$4004,0))&amp;"","")</f>
        <v/>
      </c>
      <c r="G8" s="38" t="str">
        <f aca="false">IFERROR(INDEX(Registrations!$J$5:$J$4004,MATCH(Setup!$A$9&amp;"|3",Registrations!$U$5:$U$4004,0))&amp;"","")</f>
        <v/>
      </c>
      <c r="H8" s="39" t="str">
        <f aca="false">IFERROR(INDEX(Registrations!$Q$5:$Q$4004,MATCH(Setup!$A$9&amp;"|3",Registrations!$U$5:$U$4004,0)),"")</f>
        <v/>
      </c>
    </row>
    <row r="9" customFormat="false" ht="15" hidden="false" customHeight="false" outlineLevel="0" collapsed="false">
      <c r="A9" s="37" t="n">
        <v>4</v>
      </c>
      <c r="B9" s="18" t="str">
        <f aca="false">IFERROR(INDEX(Registrations!$B$5:$B$4004,MATCH(Setup!$A$9&amp;"|4",Registrations!$U$5:$U$4004,0))&amp;"","")</f>
        <v/>
      </c>
      <c r="C9" s="17" t="str">
        <f aca="false">IFERROR(INDEX(Registrations!$C$5:$C$4004,MATCH(Setup!$A$9&amp;"|4",Registrations!$U$5:$U$4004,0))&amp;"","")</f>
        <v/>
      </c>
      <c r="D9" s="38" t="str">
        <f aca="false">IFERROR(INDEX(Registrations!$D$5:$D$4004,MATCH(Setup!$A$9&amp;"|4",Registrations!$U$5:$U$4004,0))&amp;"","")</f>
        <v/>
      </c>
      <c r="E9" s="10" t="str">
        <f aca="false">IFERROR(INDEX(Registrations!$F$5:$F$4004,MATCH(Setup!$A$9&amp;"|4",Registrations!$U$5:$U$4004,0)),"")</f>
        <v/>
      </c>
      <c r="F9" s="10" t="str">
        <f aca="false">IFERROR(INDEX(Registrations!$G$5:$G$4004,MATCH(Setup!$A$9&amp;"|4",Registrations!$U$5:$U$4004,0))&amp;"","")</f>
        <v/>
      </c>
      <c r="G9" s="38" t="str">
        <f aca="false">IFERROR(INDEX(Registrations!$J$5:$J$4004,MATCH(Setup!$A$9&amp;"|4",Registrations!$U$5:$U$4004,0))&amp;"","")</f>
        <v/>
      </c>
      <c r="H9" s="39" t="str">
        <f aca="false">IFERROR(INDEX(Registrations!$Q$5:$Q$4004,MATCH(Setup!$A$9&amp;"|4",Registrations!$U$5:$U$4004,0)),"")</f>
        <v/>
      </c>
    </row>
    <row r="10" customFormat="false" ht="15" hidden="false" customHeight="false" outlineLevel="0" collapsed="false">
      <c r="A10" s="37" t="n">
        <v>5</v>
      </c>
      <c r="B10" s="18" t="str">
        <f aca="false">IFERROR(INDEX(Registrations!$B$5:$B$4004,MATCH(Setup!$A$9&amp;"|5",Registrations!$U$5:$U$4004,0))&amp;"","")</f>
        <v/>
      </c>
      <c r="C10" s="17" t="str">
        <f aca="false">IFERROR(INDEX(Registrations!$C$5:$C$4004,MATCH(Setup!$A$9&amp;"|5",Registrations!$U$5:$U$4004,0))&amp;"","")</f>
        <v/>
      </c>
      <c r="D10" s="38" t="str">
        <f aca="false">IFERROR(INDEX(Registrations!$D$5:$D$4004,MATCH(Setup!$A$9&amp;"|5",Registrations!$U$5:$U$4004,0))&amp;"","")</f>
        <v/>
      </c>
      <c r="E10" s="10" t="str">
        <f aca="false">IFERROR(INDEX(Registrations!$F$5:$F$4004,MATCH(Setup!$A$9&amp;"|5",Registrations!$U$5:$U$4004,0)),"")</f>
        <v/>
      </c>
      <c r="F10" s="10" t="str">
        <f aca="false">IFERROR(INDEX(Registrations!$G$5:$G$4004,MATCH(Setup!$A$9&amp;"|5",Registrations!$U$5:$U$4004,0))&amp;"","")</f>
        <v/>
      </c>
      <c r="G10" s="38" t="str">
        <f aca="false">IFERROR(INDEX(Registrations!$J$5:$J$4004,MATCH(Setup!$A$9&amp;"|5",Registrations!$U$5:$U$4004,0))&amp;"","")</f>
        <v/>
      </c>
      <c r="H10" s="39" t="str">
        <f aca="false">IFERROR(INDEX(Registrations!$Q$5:$Q$4004,MATCH(Setup!$A$9&amp;"|5",Registrations!$U$5:$U$4004,0)),"")</f>
        <v/>
      </c>
    </row>
    <row r="12" customFormat="false" ht="15" hidden="false" customHeight="false" outlineLevel="0" collapsed="false">
      <c r="A12" s="35" t="str">
        <f aca="false">"📍 District "&amp;Setup!$A$10</f>
        <v>📍 District Jamshoro</v>
      </c>
      <c r="B12" s="35"/>
      <c r="C12" s="35"/>
      <c r="D12" s="35"/>
      <c r="E12" s="35"/>
      <c r="F12" s="35"/>
      <c r="G12" s="35"/>
      <c r="H12" s="35"/>
    </row>
    <row r="13" customFormat="false" ht="15" hidden="false" customHeight="false" outlineLevel="0" collapsed="false">
      <c r="A13" s="36" t="s">
        <v>74</v>
      </c>
      <c r="B13" s="36" t="s">
        <v>47</v>
      </c>
      <c r="C13" s="36" t="s">
        <v>48</v>
      </c>
      <c r="D13" s="36" t="s">
        <v>49</v>
      </c>
      <c r="E13" s="36" t="s">
        <v>51</v>
      </c>
      <c r="F13" s="36" t="s">
        <v>14</v>
      </c>
      <c r="G13" s="36" t="s">
        <v>53</v>
      </c>
      <c r="H13" s="36" t="s">
        <v>59</v>
      </c>
    </row>
    <row r="14" customFormat="false" ht="15" hidden="false" customHeight="false" outlineLevel="0" collapsed="false">
      <c r="A14" s="37" t="n">
        <v>1</v>
      </c>
      <c r="B14" s="18" t="str">
        <f aca="false">IFERROR(INDEX(Registrations!$B$5:$B$4004,MATCH(Setup!$A$10&amp;"|1",Registrations!$U$5:$U$4004,0))&amp;"","")</f>
        <v>JAM-C-0001</v>
      </c>
      <c r="C14" s="17" t="str">
        <f aca="false">IFERROR(INDEX(Registrations!$C$5:$C$4004,MATCH(Setup!$A$10&amp;"|1",Registrations!$U$5:$U$4004,0))&amp;"","")</f>
        <v>Ali Raza (example)</v>
      </c>
      <c r="D14" s="38" t="str">
        <f aca="false">IFERROR(INDEX(Registrations!$D$5:$D$4004,MATCH(Setup!$A$10&amp;"|1",Registrations!$U$5:$U$4004,0))&amp;"","")</f>
        <v>Raza Khan</v>
      </c>
      <c r="E14" s="10" t="n">
        <f aca="false">IFERROR(INDEX(Registrations!$F$5:$F$4004,MATCH(Setup!$A$10&amp;"|1",Registrations!$U$5:$U$4004,0)),"")</f>
        <v>9</v>
      </c>
      <c r="F14" s="10" t="str">
        <f aca="false">IFERROR(INDEX(Registrations!$G$5:$G$4004,MATCH(Setup!$A$10&amp;"|1",Registrations!$U$5:$U$4004,0))&amp;"","")</f>
        <v>C</v>
      </c>
      <c r="G14" s="38" t="str">
        <f aca="false">IFERROR(INDEX(Registrations!$J$5:$J$4004,MATCH(Setup!$A$10&amp;"|1",Registrations!$U$5:$U$4004,0))&amp;"","")</f>
        <v>Govt High School Jamshoro</v>
      </c>
      <c r="H14" s="39" t="n">
        <f aca="false">IFERROR(INDEX(Registrations!$Q$5:$Q$4004,MATCH(Setup!$A$10&amp;"|1",Registrations!$U$5:$U$4004,0)),"")</f>
        <v>0.906666666666667</v>
      </c>
    </row>
    <row r="15" customFormat="false" ht="15" hidden="false" customHeight="false" outlineLevel="0" collapsed="false">
      <c r="A15" s="37" t="n">
        <v>2</v>
      </c>
      <c r="B15" s="18" t="str">
        <f aca="false">IFERROR(INDEX(Registrations!$B$5:$B$4004,MATCH(Setup!$A$10&amp;"|2",Registrations!$U$5:$U$4004,0))&amp;"","")</f>
        <v/>
      </c>
      <c r="C15" s="17" t="str">
        <f aca="false">IFERROR(INDEX(Registrations!$C$5:$C$4004,MATCH(Setup!$A$10&amp;"|2",Registrations!$U$5:$U$4004,0))&amp;"","")</f>
        <v/>
      </c>
      <c r="D15" s="38" t="str">
        <f aca="false">IFERROR(INDEX(Registrations!$D$5:$D$4004,MATCH(Setup!$A$10&amp;"|2",Registrations!$U$5:$U$4004,0))&amp;"","")</f>
        <v/>
      </c>
      <c r="E15" s="10" t="str">
        <f aca="false">IFERROR(INDEX(Registrations!$F$5:$F$4004,MATCH(Setup!$A$10&amp;"|2",Registrations!$U$5:$U$4004,0)),"")</f>
        <v/>
      </c>
      <c r="F15" s="10" t="str">
        <f aca="false">IFERROR(INDEX(Registrations!$G$5:$G$4004,MATCH(Setup!$A$10&amp;"|2",Registrations!$U$5:$U$4004,0))&amp;"","")</f>
        <v/>
      </c>
      <c r="G15" s="38" t="str">
        <f aca="false">IFERROR(INDEX(Registrations!$J$5:$J$4004,MATCH(Setup!$A$10&amp;"|2",Registrations!$U$5:$U$4004,0))&amp;"","")</f>
        <v/>
      </c>
      <c r="H15" s="39" t="str">
        <f aca="false">IFERROR(INDEX(Registrations!$Q$5:$Q$4004,MATCH(Setup!$A$10&amp;"|2",Registrations!$U$5:$U$4004,0)),"")</f>
        <v/>
      </c>
    </row>
    <row r="16" customFormat="false" ht="15" hidden="false" customHeight="false" outlineLevel="0" collapsed="false">
      <c r="A16" s="37" t="n">
        <v>3</v>
      </c>
      <c r="B16" s="18" t="str">
        <f aca="false">IFERROR(INDEX(Registrations!$B$5:$B$4004,MATCH(Setup!$A$10&amp;"|3",Registrations!$U$5:$U$4004,0))&amp;"","")</f>
        <v/>
      </c>
      <c r="C16" s="17" t="str">
        <f aca="false">IFERROR(INDEX(Registrations!$C$5:$C$4004,MATCH(Setup!$A$10&amp;"|3",Registrations!$U$5:$U$4004,0))&amp;"","")</f>
        <v/>
      </c>
      <c r="D16" s="38" t="str">
        <f aca="false">IFERROR(INDEX(Registrations!$D$5:$D$4004,MATCH(Setup!$A$10&amp;"|3",Registrations!$U$5:$U$4004,0))&amp;"","")</f>
        <v/>
      </c>
      <c r="E16" s="10" t="str">
        <f aca="false">IFERROR(INDEX(Registrations!$F$5:$F$4004,MATCH(Setup!$A$10&amp;"|3",Registrations!$U$5:$U$4004,0)),"")</f>
        <v/>
      </c>
      <c r="F16" s="10" t="str">
        <f aca="false">IFERROR(INDEX(Registrations!$G$5:$G$4004,MATCH(Setup!$A$10&amp;"|3",Registrations!$U$5:$U$4004,0))&amp;"","")</f>
        <v/>
      </c>
      <c r="G16" s="38" t="str">
        <f aca="false">IFERROR(INDEX(Registrations!$J$5:$J$4004,MATCH(Setup!$A$10&amp;"|3",Registrations!$U$5:$U$4004,0))&amp;"","")</f>
        <v/>
      </c>
      <c r="H16" s="39" t="str">
        <f aca="false">IFERROR(INDEX(Registrations!$Q$5:$Q$4004,MATCH(Setup!$A$10&amp;"|3",Registrations!$U$5:$U$4004,0)),"")</f>
        <v/>
      </c>
    </row>
    <row r="17" customFormat="false" ht="15" hidden="false" customHeight="false" outlineLevel="0" collapsed="false">
      <c r="A17" s="37" t="n">
        <v>4</v>
      </c>
      <c r="B17" s="18" t="str">
        <f aca="false">IFERROR(INDEX(Registrations!$B$5:$B$4004,MATCH(Setup!$A$10&amp;"|4",Registrations!$U$5:$U$4004,0))&amp;"","")</f>
        <v/>
      </c>
      <c r="C17" s="17" t="str">
        <f aca="false">IFERROR(INDEX(Registrations!$C$5:$C$4004,MATCH(Setup!$A$10&amp;"|4",Registrations!$U$5:$U$4004,0))&amp;"","")</f>
        <v/>
      </c>
      <c r="D17" s="38" t="str">
        <f aca="false">IFERROR(INDEX(Registrations!$D$5:$D$4004,MATCH(Setup!$A$10&amp;"|4",Registrations!$U$5:$U$4004,0))&amp;"","")</f>
        <v/>
      </c>
      <c r="E17" s="10" t="str">
        <f aca="false">IFERROR(INDEX(Registrations!$F$5:$F$4004,MATCH(Setup!$A$10&amp;"|4",Registrations!$U$5:$U$4004,0)),"")</f>
        <v/>
      </c>
      <c r="F17" s="10" t="str">
        <f aca="false">IFERROR(INDEX(Registrations!$G$5:$G$4004,MATCH(Setup!$A$10&amp;"|4",Registrations!$U$5:$U$4004,0))&amp;"","")</f>
        <v/>
      </c>
      <c r="G17" s="38" t="str">
        <f aca="false">IFERROR(INDEX(Registrations!$J$5:$J$4004,MATCH(Setup!$A$10&amp;"|4",Registrations!$U$5:$U$4004,0))&amp;"","")</f>
        <v/>
      </c>
      <c r="H17" s="39" t="str">
        <f aca="false">IFERROR(INDEX(Registrations!$Q$5:$Q$4004,MATCH(Setup!$A$10&amp;"|4",Registrations!$U$5:$U$4004,0)),"")</f>
        <v/>
      </c>
    </row>
    <row r="18" customFormat="false" ht="15" hidden="false" customHeight="false" outlineLevel="0" collapsed="false">
      <c r="A18" s="37" t="n">
        <v>5</v>
      </c>
      <c r="B18" s="18" t="str">
        <f aca="false">IFERROR(INDEX(Registrations!$B$5:$B$4004,MATCH(Setup!$A$10&amp;"|5",Registrations!$U$5:$U$4004,0))&amp;"","")</f>
        <v/>
      </c>
      <c r="C18" s="17" t="str">
        <f aca="false">IFERROR(INDEX(Registrations!$C$5:$C$4004,MATCH(Setup!$A$10&amp;"|5",Registrations!$U$5:$U$4004,0))&amp;"","")</f>
        <v/>
      </c>
      <c r="D18" s="38" t="str">
        <f aca="false">IFERROR(INDEX(Registrations!$D$5:$D$4004,MATCH(Setup!$A$10&amp;"|5",Registrations!$U$5:$U$4004,0))&amp;"","")</f>
        <v/>
      </c>
      <c r="E18" s="10" t="str">
        <f aca="false">IFERROR(INDEX(Registrations!$F$5:$F$4004,MATCH(Setup!$A$10&amp;"|5",Registrations!$U$5:$U$4004,0)),"")</f>
        <v/>
      </c>
      <c r="F18" s="10" t="str">
        <f aca="false">IFERROR(INDEX(Registrations!$G$5:$G$4004,MATCH(Setup!$A$10&amp;"|5",Registrations!$U$5:$U$4004,0))&amp;"","")</f>
        <v/>
      </c>
      <c r="G18" s="38" t="str">
        <f aca="false">IFERROR(INDEX(Registrations!$J$5:$J$4004,MATCH(Setup!$A$10&amp;"|5",Registrations!$U$5:$U$4004,0))&amp;"","")</f>
        <v/>
      </c>
      <c r="H18" s="39" t="str">
        <f aca="false">IFERROR(INDEX(Registrations!$Q$5:$Q$4004,MATCH(Setup!$A$10&amp;"|5",Registrations!$U$5:$U$4004,0)),"")</f>
        <v/>
      </c>
    </row>
    <row r="20" customFormat="false" ht="15" hidden="false" customHeight="false" outlineLevel="0" collapsed="false">
      <c r="A20" s="35" t="str">
        <f aca="false">"📍 District "&amp;Setup!$A$11</f>
        <v>📍 District Hyderabad</v>
      </c>
      <c r="B20" s="35"/>
      <c r="C20" s="35"/>
      <c r="D20" s="35"/>
      <c r="E20" s="35"/>
      <c r="F20" s="35"/>
      <c r="G20" s="35"/>
      <c r="H20" s="35"/>
    </row>
    <row r="21" customFormat="false" ht="15" hidden="false" customHeight="false" outlineLevel="0" collapsed="false">
      <c r="A21" s="36" t="s">
        <v>74</v>
      </c>
      <c r="B21" s="36" t="s">
        <v>47</v>
      </c>
      <c r="C21" s="36" t="s">
        <v>48</v>
      </c>
      <c r="D21" s="36" t="s">
        <v>49</v>
      </c>
      <c r="E21" s="36" t="s">
        <v>51</v>
      </c>
      <c r="F21" s="36" t="s">
        <v>14</v>
      </c>
      <c r="G21" s="36" t="s">
        <v>53</v>
      </c>
      <c r="H21" s="36" t="s">
        <v>59</v>
      </c>
    </row>
    <row r="22" customFormat="false" ht="15" hidden="false" customHeight="false" outlineLevel="0" collapsed="false">
      <c r="A22" s="37" t="n">
        <v>1</v>
      </c>
      <c r="B22" s="18" t="str">
        <f aca="false">IFERROR(INDEX(Registrations!$B$5:$B$4004,MATCH(Setup!$A$11&amp;"|1",Registrations!$U$5:$U$4004,0))&amp;"","")</f>
        <v/>
      </c>
      <c r="C22" s="17" t="str">
        <f aca="false">IFERROR(INDEX(Registrations!$C$5:$C$4004,MATCH(Setup!$A$11&amp;"|1",Registrations!$U$5:$U$4004,0))&amp;"","")</f>
        <v/>
      </c>
      <c r="D22" s="38" t="str">
        <f aca="false">IFERROR(INDEX(Registrations!$D$5:$D$4004,MATCH(Setup!$A$11&amp;"|1",Registrations!$U$5:$U$4004,0))&amp;"","")</f>
        <v/>
      </c>
      <c r="E22" s="10" t="str">
        <f aca="false">IFERROR(INDEX(Registrations!$F$5:$F$4004,MATCH(Setup!$A$11&amp;"|1",Registrations!$U$5:$U$4004,0)),"")</f>
        <v/>
      </c>
      <c r="F22" s="10" t="str">
        <f aca="false">IFERROR(INDEX(Registrations!$G$5:$G$4004,MATCH(Setup!$A$11&amp;"|1",Registrations!$U$5:$U$4004,0))&amp;"","")</f>
        <v/>
      </c>
      <c r="G22" s="38" t="str">
        <f aca="false">IFERROR(INDEX(Registrations!$J$5:$J$4004,MATCH(Setup!$A$11&amp;"|1",Registrations!$U$5:$U$4004,0))&amp;"","")</f>
        <v/>
      </c>
      <c r="H22" s="39" t="str">
        <f aca="false">IFERROR(INDEX(Registrations!$Q$5:$Q$4004,MATCH(Setup!$A$11&amp;"|1",Registrations!$U$5:$U$4004,0)),"")</f>
        <v/>
      </c>
    </row>
    <row r="23" customFormat="false" ht="15" hidden="false" customHeight="false" outlineLevel="0" collapsed="false">
      <c r="A23" s="37" t="n">
        <v>2</v>
      </c>
      <c r="B23" s="18" t="str">
        <f aca="false">IFERROR(INDEX(Registrations!$B$5:$B$4004,MATCH(Setup!$A$11&amp;"|2",Registrations!$U$5:$U$4004,0))&amp;"","")</f>
        <v/>
      </c>
      <c r="C23" s="17" t="str">
        <f aca="false">IFERROR(INDEX(Registrations!$C$5:$C$4004,MATCH(Setup!$A$11&amp;"|2",Registrations!$U$5:$U$4004,0))&amp;"","")</f>
        <v/>
      </c>
      <c r="D23" s="38" t="str">
        <f aca="false">IFERROR(INDEX(Registrations!$D$5:$D$4004,MATCH(Setup!$A$11&amp;"|2",Registrations!$U$5:$U$4004,0))&amp;"","")</f>
        <v/>
      </c>
      <c r="E23" s="10" t="str">
        <f aca="false">IFERROR(INDEX(Registrations!$F$5:$F$4004,MATCH(Setup!$A$11&amp;"|2",Registrations!$U$5:$U$4004,0)),"")</f>
        <v/>
      </c>
      <c r="F23" s="10" t="str">
        <f aca="false">IFERROR(INDEX(Registrations!$G$5:$G$4004,MATCH(Setup!$A$11&amp;"|2",Registrations!$U$5:$U$4004,0))&amp;"","")</f>
        <v/>
      </c>
      <c r="G23" s="38" t="str">
        <f aca="false">IFERROR(INDEX(Registrations!$J$5:$J$4004,MATCH(Setup!$A$11&amp;"|2",Registrations!$U$5:$U$4004,0))&amp;"","")</f>
        <v/>
      </c>
      <c r="H23" s="39" t="str">
        <f aca="false">IFERROR(INDEX(Registrations!$Q$5:$Q$4004,MATCH(Setup!$A$11&amp;"|2",Registrations!$U$5:$U$4004,0)),"")</f>
        <v/>
      </c>
    </row>
    <row r="24" customFormat="false" ht="15" hidden="false" customHeight="false" outlineLevel="0" collapsed="false">
      <c r="A24" s="37" t="n">
        <v>3</v>
      </c>
      <c r="B24" s="18" t="str">
        <f aca="false">IFERROR(INDEX(Registrations!$B$5:$B$4004,MATCH(Setup!$A$11&amp;"|3",Registrations!$U$5:$U$4004,0))&amp;"","")</f>
        <v/>
      </c>
      <c r="C24" s="17" t="str">
        <f aca="false">IFERROR(INDEX(Registrations!$C$5:$C$4004,MATCH(Setup!$A$11&amp;"|3",Registrations!$U$5:$U$4004,0))&amp;"","")</f>
        <v/>
      </c>
      <c r="D24" s="38" t="str">
        <f aca="false">IFERROR(INDEX(Registrations!$D$5:$D$4004,MATCH(Setup!$A$11&amp;"|3",Registrations!$U$5:$U$4004,0))&amp;"","")</f>
        <v/>
      </c>
      <c r="E24" s="10" t="str">
        <f aca="false">IFERROR(INDEX(Registrations!$F$5:$F$4004,MATCH(Setup!$A$11&amp;"|3",Registrations!$U$5:$U$4004,0)),"")</f>
        <v/>
      </c>
      <c r="F24" s="10" t="str">
        <f aca="false">IFERROR(INDEX(Registrations!$G$5:$G$4004,MATCH(Setup!$A$11&amp;"|3",Registrations!$U$5:$U$4004,0))&amp;"","")</f>
        <v/>
      </c>
      <c r="G24" s="38" t="str">
        <f aca="false">IFERROR(INDEX(Registrations!$J$5:$J$4004,MATCH(Setup!$A$11&amp;"|3",Registrations!$U$5:$U$4004,0))&amp;"","")</f>
        <v/>
      </c>
      <c r="H24" s="39" t="str">
        <f aca="false">IFERROR(INDEX(Registrations!$Q$5:$Q$4004,MATCH(Setup!$A$11&amp;"|3",Registrations!$U$5:$U$4004,0)),"")</f>
        <v/>
      </c>
    </row>
    <row r="25" customFormat="false" ht="15" hidden="false" customHeight="false" outlineLevel="0" collapsed="false">
      <c r="A25" s="37" t="n">
        <v>4</v>
      </c>
      <c r="B25" s="18" t="str">
        <f aca="false">IFERROR(INDEX(Registrations!$B$5:$B$4004,MATCH(Setup!$A$11&amp;"|4",Registrations!$U$5:$U$4004,0))&amp;"","")</f>
        <v/>
      </c>
      <c r="C25" s="17" t="str">
        <f aca="false">IFERROR(INDEX(Registrations!$C$5:$C$4004,MATCH(Setup!$A$11&amp;"|4",Registrations!$U$5:$U$4004,0))&amp;"","")</f>
        <v/>
      </c>
      <c r="D25" s="38" t="str">
        <f aca="false">IFERROR(INDEX(Registrations!$D$5:$D$4004,MATCH(Setup!$A$11&amp;"|4",Registrations!$U$5:$U$4004,0))&amp;"","")</f>
        <v/>
      </c>
      <c r="E25" s="10" t="str">
        <f aca="false">IFERROR(INDEX(Registrations!$F$5:$F$4004,MATCH(Setup!$A$11&amp;"|4",Registrations!$U$5:$U$4004,0)),"")</f>
        <v/>
      </c>
      <c r="F25" s="10" t="str">
        <f aca="false">IFERROR(INDEX(Registrations!$G$5:$G$4004,MATCH(Setup!$A$11&amp;"|4",Registrations!$U$5:$U$4004,0))&amp;"","")</f>
        <v/>
      </c>
      <c r="G25" s="38" t="str">
        <f aca="false">IFERROR(INDEX(Registrations!$J$5:$J$4004,MATCH(Setup!$A$11&amp;"|4",Registrations!$U$5:$U$4004,0))&amp;"","")</f>
        <v/>
      </c>
      <c r="H25" s="39" t="str">
        <f aca="false">IFERROR(INDEX(Registrations!$Q$5:$Q$4004,MATCH(Setup!$A$11&amp;"|4",Registrations!$U$5:$U$4004,0)),"")</f>
        <v/>
      </c>
    </row>
    <row r="26" customFormat="false" ht="15" hidden="false" customHeight="false" outlineLevel="0" collapsed="false">
      <c r="A26" s="37" t="n">
        <v>5</v>
      </c>
      <c r="B26" s="18" t="str">
        <f aca="false">IFERROR(INDEX(Registrations!$B$5:$B$4004,MATCH(Setup!$A$11&amp;"|5",Registrations!$U$5:$U$4004,0))&amp;"","")</f>
        <v/>
      </c>
      <c r="C26" s="17" t="str">
        <f aca="false">IFERROR(INDEX(Registrations!$C$5:$C$4004,MATCH(Setup!$A$11&amp;"|5",Registrations!$U$5:$U$4004,0))&amp;"","")</f>
        <v/>
      </c>
      <c r="D26" s="38" t="str">
        <f aca="false">IFERROR(INDEX(Registrations!$D$5:$D$4004,MATCH(Setup!$A$11&amp;"|5",Registrations!$U$5:$U$4004,0))&amp;"","")</f>
        <v/>
      </c>
      <c r="E26" s="10" t="str">
        <f aca="false">IFERROR(INDEX(Registrations!$F$5:$F$4004,MATCH(Setup!$A$11&amp;"|5",Registrations!$U$5:$U$4004,0)),"")</f>
        <v/>
      </c>
      <c r="F26" s="10" t="str">
        <f aca="false">IFERROR(INDEX(Registrations!$G$5:$G$4004,MATCH(Setup!$A$11&amp;"|5",Registrations!$U$5:$U$4004,0))&amp;"","")</f>
        <v/>
      </c>
      <c r="G26" s="38" t="str">
        <f aca="false">IFERROR(INDEX(Registrations!$J$5:$J$4004,MATCH(Setup!$A$11&amp;"|5",Registrations!$U$5:$U$4004,0))&amp;"","")</f>
        <v/>
      </c>
      <c r="H26" s="39" t="str">
        <f aca="false">IFERROR(INDEX(Registrations!$Q$5:$Q$4004,MATCH(Setup!$A$11&amp;"|5",Registrations!$U$5:$U$4004,0)),"")</f>
        <v/>
      </c>
    </row>
  </sheetData>
  <mergeCells count="5">
    <mergeCell ref="A1:H1"/>
    <mergeCell ref="A2:H2"/>
    <mergeCell ref="A4:H4"/>
    <mergeCell ref="A12:H1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2026-10-09T07:45:40Z</dcterms:created>
  <dc:creator>openpyxl</dc:creator>
  <dc:description/>
  <dc:language>en-US</dc:language>
  <cp:lastModifiedBy/>
  <dcterms:modified xsi:type="dcterms:W3CDTF">2026-10-09T07:45:49Z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